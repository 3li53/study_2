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svalbard-my.sharepoint.com/personal/elisebs_unis_no/Documents/R/INSULATE/study_2/data/raw/irms/vegetation/"/>
    </mc:Choice>
  </mc:AlternateContent>
  <xr:revisionPtr revIDLastSave="95" documentId="13_ncr:1_{E047BF2C-20CB-4D27-BB63-BD323F669326}" xr6:coauthVersionLast="47" xr6:coauthVersionMax="47" xr10:uidLastSave="{3D419A84-D236-4B23-A069-BB537D8FE06A}"/>
  <bookViews>
    <workbookView xWindow="-120" yWindow="-120" windowWidth="29040" windowHeight="17520" activeTab="2" xr2:uid="{00000000-000D-0000-FFFF-FFFF00000000}"/>
  </bookViews>
  <sheets>
    <sheet name="raw" sheetId="1" r:id="rId1"/>
    <sheet name="calculationsDELTAtoATM" sheetId="8" r:id="rId2"/>
    <sheet name="FINAL" sheetId="6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V3" i="1" l="1"/>
  <c r="AO170" i="1"/>
  <c r="AN34" i="1"/>
  <c r="R48" i="8"/>
  <c r="Q48" i="8"/>
  <c r="AK3" i="1"/>
  <c r="AU178" i="1"/>
  <c r="AD178" i="1"/>
  <c r="AF178" i="1" s="1"/>
  <c r="AL3" i="1"/>
  <c r="F33" i="8" l="1"/>
  <c r="C25" i="8"/>
  <c r="AK286" i="1" l="1"/>
  <c r="AK285" i="1"/>
  <c r="AK284" i="1"/>
  <c r="AK283" i="1"/>
  <c r="AK280" i="1"/>
  <c r="AK279" i="1"/>
  <c r="AK278" i="1"/>
  <c r="AK276" i="1"/>
  <c r="AK275" i="1"/>
  <c r="AK274" i="1"/>
  <c r="AK273" i="1"/>
  <c r="AK271" i="1"/>
  <c r="AK270" i="1"/>
  <c r="AK269" i="1"/>
  <c r="AK268" i="1"/>
  <c r="AK267" i="1"/>
  <c r="AK266" i="1"/>
  <c r="AK265" i="1"/>
  <c r="AK264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E288" i="1"/>
  <c r="AD288" i="1"/>
  <c r="AF286" i="1"/>
  <c r="AH286" i="1" s="1"/>
  <c r="W288" i="1"/>
  <c r="V288" i="1"/>
  <c r="AU288" i="1" s="1"/>
  <c r="AV288" i="1" s="1"/>
  <c r="AW288" i="1" s="1"/>
  <c r="U288" i="1"/>
  <c r="T288" i="1"/>
  <c r="AN288" i="1" s="1"/>
  <c r="AO288" i="1" s="1"/>
  <c r="AP288" i="1" s="1"/>
  <c r="S288" i="1"/>
  <c r="AE280" i="1"/>
  <c r="AG280" i="1" s="1"/>
  <c r="AD280" i="1"/>
  <c r="AF280" i="1" s="1"/>
  <c r="AS280" i="1" s="1"/>
  <c r="AU280" i="1"/>
  <c r="AV280" i="1" s="1"/>
  <c r="AW280" i="1" s="1"/>
  <c r="AN280" i="1"/>
  <c r="AO280" i="1" s="1"/>
  <c r="AP280" i="1" s="1"/>
  <c r="AL280" i="1"/>
  <c r="W281" i="1"/>
  <c r="V281" i="1"/>
  <c r="AL281" i="1" s="1"/>
  <c r="U281" i="1"/>
  <c r="T281" i="1"/>
  <c r="AK281" i="1" s="1"/>
  <c r="S281" i="1"/>
  <c r="W272" i="1"/>
  <c r="V272" i="1"/>
  <c r="AL272" i="1" s="1"/>
  <c r="U272" i="1"/>
  <c r="T272" i="1"/>
  <c r="AN272" i="1" s="1"/>
  <c r="AO272" i="1" s="1"/>
  <c r="AP272" i="1" s="1"/>
  <c r="S272" i="1"/>
  <c r="AU286" i="1"/>
  <c r="AV286" i="1" s="1"/>
  <c r="AW286" i="1" s="1"/>
  <c r="AN286" i="1"/>
  <c r="AO286" i="1" s="1"/>
  <c r="AP286" i="1" s="1"/>
  <c r="AL286" i="1"/>
  <c r="AE286" i="1"/>
  <c r="AG286" i="1" s="1"/>
  <c r="AD286" i="1"/>
  <c r="AU285" i="1"/>
  <c r="AV285" i="1" s="1"/>
  <c r="AW285" i="1" s="1"/>
  <c r="AN285" i="1"/>
  <c r="AO285" i="1" s="1"/>
  <c r="AP285" i="1" s="1"/>
  <c r="AL285" i="1"/>
  <c r="AE285" i="1"/>
  <c r="AG285" i="1" s="1"/>
  <c r="AD285" i="1"/>
  <c r="AF285" i="1" s="1"/>
  <c r="AU284" i="1"/>
  <c r="AV284" i="1" s="1"/>
  <c r="AW284" i="1" s="1"/>
  <c r="AN284" i="1"/>
  <c r="AO284" i="1" s="1"/>
  <c r="AP284" i="1" s="1"/>
  <c r="AL284" i="1"/>
  <c r="AE284" i="1"/>
  <c r="AG284" i="1" s="1"/>
  <c r="AD284" i="1"/>
  <c r="AF284" i="1" s="1"/>
  <c r="AU283" i="1"/>
  <c r="AV283" i="1" s="1"/>
  <c r="AW283" i="1" s="1"/>
  <c r="AN283" i="1"/>
  <c r="AO283" i="1" s="1"/>
  <c r="AP283" i="1" s="1"/>
  <c r="AL283" i="1"/>
  <c r="AE283" i="1"/>
  <c r="AG283" i="1" s="1"/>
  <c r="AD283" i="1"/>
  <c r="AF283" i="1" s="1"/>
  <c r="AE281" i="1"/>
  <c r="AD281" i="1"/>
  <c r="AU279" i="1"/>
  <c r="AV279" i="1" s="1"/>
  <c r="AW279" i="1" s="1"/>
  <c r="AN279" i="1"/>
  <c r="AO279" i="1" s="1"/>
  <c r="AP279" i="1" s="1"/>
  <c r="AL279" i="1"/>
  <c r="AE279" i="1"/>
  <c r="AG279" i="1" s="1"/>
  <c r="AD279" i="1"/>
  <c r="AF279" i="1" s="1"/>
  <c r="AH279" i="1" s="1"/>
  <c r="AQ279" i="1" s="1"/>
  <c r="AU278" i="1"/>
  <c r="AV278" i="1" s="1"/>
  <c r="AW278" i="1" s="1"/>
  <c r="AN278" i="1"/>
  <c r="AO278" i="1" s="1"/>
  <c r="AP278" i="1" s="1"/>
  <c r="AL278" i="1"/>
  <c r="AE278" i="1"/>
  <c r="AG278" i="1" s="1"/>
  <c r="AD278" i="1"/>
  <c r="AF278" i="1" s="1"/>
  <c r="AU276" i="1"/>
  <c r="AV276" i="1" s="1"/>
  <c r="AW276" i="1" s="1"/>
  <c r="AN276" i="1"/>
  <c r="AO276" i="1" s="1"/>
  <c r="AP276" i="1" s="1"/>
  <c r="AL276" i="1"/>
  <c r="AE276" i="1"/>
  <c r="AG276" i="1" s="1"/>
  <c r="AD276" i="1"/>
  <c r="AF276" i="1" s="1"/>
  <c r="AU275" i="1"/>
  <c r="AV275" i="1" s="1"/>
  <c r="AW275" i="1" s="1"/>
  <c r="AN275" i="1"/>
  <c r="AO275" i="1" s="1"/>
  <c r="AP275" i="1" s="1"/>
  <c r="AL275" i="1"/>
  <c r="AE275" i="1"/>
  <c r="AG275" i="1" s="1"/>
  <c r="AD275" i="1"/>
  <c r="AF275" i="1" s="1"/>
  <c r="AH275" i="1" s="1"/>
  <c r="AQ275" i="1" s="1"/>
  <c r="AU274" i="1"/>
  <c r="AV274" i="1" s="1"/>
  <c r="AW274" i="1" s="1"/>
  <c r="AN274" i="1"/>
  <c r="AO274" i="1" s="1"/>
  <c r="AP274" i="1" s="1"/>
  <c r="AL274" i="1"/>
  <c r="AE274" i="1"/>
  <c r="AG274" i="1" s="1"/>
  <c r="AD274" i="1"/>
  <c r="AF274" i="1" s="1"/>
  <c r="AU273" i="1"/>
  <c r="AV273" i="1" s="1"/>
  <c r="AW273" i="1" s="1"/>
  <c r="AN273" i="1"/>
  <c r="AO273" i="1" s="1"/>
  <c r="AP273" i="1" s="1"/>
  <c r="AL273" i="1"/>
  <c r="AE273" i="1"/>
  <c r="AG273" i="1" s="1"/>
  <c r="AD273" i="1"/>
  <c r="AF273" i="1" s="1"/>
  <c r="AE272" i="1"/>
  <c r="AD272" i="1"/>
  <c r="AU271" i="1"/>
  <c r="AV271" i="1" s="1"/>
  <c r="AW271" i="1" s="1"/>
  <c r="AN271" i="1"/>
  <c r="AO271" i="1" s="1"/>
  <c r="AP271" i="1" s="1"/>
  <c r="AL271" i="1"/>
  <c r="AE271" i="1"/>
  <c r="AG271" i="1" s="1"/>
  <c r="AD271" i="1"/>
  <c r="AF271" i="1" s="1"/>
  <c r="AU270" i="1"/>
  <c r="AV270" i="1" s="1"/>
  <c r="AW270" i="1" s="1"/>
  <c r="AN270" i="1"/>
  <c r="AO270" i="1" s="1"/>
  <c r="AP270" i="1" s="1"/>
  <c r="AL270" i="1"/>
  <c r="AE270" i="1"/>
  <c r="AG270" i="1" s="1"/>
  <c r="AD270" i="1"/>
  <c r="AF270" i="1" s="1"/>
  <c r="AU269" i="1"/>
  <c r="AV269" i="1" s="1"/>
  <c r="AW269" i="1" s="1"/>
  <c r="AN269" i="1"/>
  <c r="AO269" i="1" s="1"/>
  <c r="AP269" i="1" s="1"/>
  <c r="AL269" i="1"/>
  <c r="AE269" i="1"/>
  <c r="AG269" i="1" s="1"/>
  <c r="AI269" i="1" s="1"/>
  <c r="AX269" i="1" s="1"/>
  <c r="AD269" i="1"/>
  <c r="AF269" i="1" s="1"/>
  <c r="AU268" i="1"/>
  <c r="AV268" i="1" s="1"/>
  <c r="AW268" i="1" s="1"/>
  <c r="AN268" i="1"/>
  <c r="AO268" i="1" s="1"/>
  <c r="AP268" i="1" s="1"/>
  <c r="AL268" i="1"/>
  <c r="AE268" i="1"/>
  <c r="AG268" i="1" s="1"/>
  <c r="AD268" i="1"/>
  <c r="AF268" i="1" s="1"/>
  <c r="AU267" i="1"/>
  <c r="AV267" i="1" s="1"/>
  <c r="AW267" i="1" s="1"/>
  <c r="AN267" i="1"/>
  <c r="AO267" i="1" s="1"/>
  <c r="AP267" i="1" s="1"/>
  <c r="AL267" i="1"/>
  <c r="AE267" i="1"/>
  <c r="AG267" i="1" s="1"/>
  <c r="AI267" i="1" s="1"/>
  <c r="AX267" i="1" s="1"/>
  <c r="AD267" i="1"/>
  <c r="AF267" i="1" s="1"/>
  <c r="AU266" i="1"/>
  <c r="AV266" i="1" s="1"/>
  <c r="AW266" i="1" s="1"/>
  <c r="AN266" i="1"/>
  <c r="AO266" i="1" s="1"/>
  <c r="AP266" i="1" s="1"/>
  <c r="AL266" i="1"/>
  <c r="AE266" i="1"/>
  <c r="AG266" i="1" s="1"/>
  <c r="AD266" i="1"/>
  <c r="AF266" i="1" s="1"/>
  <c r="AU265" i="1"/>
  <c r="AV265" i="1" s="1"/>
  <c r="AW265" i="1" s="1"/>
  <c r="AN265" i="1"/>
  <c r="AO265" i="1" s="1"/>
  <c r="AP265" i="1" s="1"/>
  <c r="AL265" i="1"/>
  <c r="AE265" i="1"/>
  <c r="AG265" i="1" s="1"/>
  <c r="AD265" i="1"/>
  <c r="AF265" i="1" s="1"/>
  <c r="AH265" i="1" s="1"/>
  <c r="AQ265" i="1" s="1"/>
  <c r="AU264" i="1"/>
  <c r="AV264" i="1" s="1"/>
  <c r="AW264" i="1" s="1"/>
  <c r="AN264" i="1"/>
  <c r="AO264" i="1" s="1"/>
  <c r="AP264" i="1" s="1"/>
  <c r="AL264" i="1"/>
  <c r="AE264" i="1"/>
  <c r="AG264" i="1" s="1"/>
  <c r="AD264" i="1"/>
  <c r="AF264" i="1" s="1"/>
  <c r="AU262" i="1"/>
  <c r="AV262" i="1" s="1"/>
  <c r="AW262" i="1" s="1"/>
  <c r="AN262" i="1"/>
  <c r="AO262" i="1" s="1"/>
  <c r="AP262" i="1" s="1"/>
  <c r="AL262" i="1"/>
  <c r="AE262" i="1"/>
  <c r="AG262" i="1" s="1"/>
  <c r="AD262" i="1"/>
  <c r="AF262" i="1" s="1"/>
  <c r="AU261" i="1"/>
  <c r="AV261" i="1" s="1"/>
  <c r="AW261" i="1" s="1"/>
  <c r="AN261" i="1"/>
  <c r="AO261" i="1" s="1"/>
  <c r="AP261" i="1" s="1"/>
  <c r="AL261" i="1"/>
  <c r="AE261" i="1"/>
  <c r="AG261" i="1" s="1"/>
  <c r="AD261" i="1"/>
  <c r="AF261" i="1" s="1"/>
  <c r="AH261" i="1" s="1"/>
  <c r="AQ261" i="1" s="1"/>
  <c r="AU260" i="1"/>
  <c r="AV260" i="1" s="1"/>
  <c r="AW260" i="1" s="1"/>
  <c r="AN260" i="1"/>
  <c r="AO260" i="1" s="1"/>
  <c r="AP260" i="1" s="1"/>
  <c r="AL260" i="1"/>
  <c r="AE260" i="1"/>
  <c r="AG260" i="1" s="1"/>
  <c r="AD260" i="1"/>
  <c r="AF260" i="1" s="1"/>
  <c r="AU259" i="1"/>
  <c r="AV259" i="1" s="1"/>
  <c r="AW259" i="1" s="1"/>
  <c r="AN259" i="1"/>
  <c r="AO259" i="1" s="1"/>
  <c r="AP259" i="1" s="1"/>
  <c r="AL259" i="1"/>
  <c r="AG259" i="1"/>
  <c r="AI259" i="1" s="1"/>
  <c r="AX259" i="1" s="1"/>
  <c r="AE259" i="1"/>
  <c r="AD259" i="1"/>
  <c r="AF259" i="1" s="1"/>
  <c r="AH259" i="1" s="1"/>
  <c r="AQ259" i="1" s="1"/>
  <c r="AU258" i="1"/>
  <c r="AV258" i="1" s="1"/>
  <c r="AW258" i="1" s="1"/>
  <c r="AN258" i="1"/>
  <c r="AO258" i="1" s="1"/>
  <c r="AP258" i="1" s="1"/>
  <c r="AL258" i="1"/>
  <c r="AE258" i="1"/>
  <c r="AG258" i="1" s="1"/>
  <c r="AD258" i="1"/>
  <c r="AF258" i="1" s="1"/>
  <c r="AU257" i="1"/>
  <c r="AV257" i="1" s="1"/>
  <c r="AW257" i="1" s="1"/>
  <c r="AN257" i="1"/>
  <c r="AO257" i="1" s="1"/>
  <c r="AP257" i="1" s="1"/>
  <c r="AL257" i="1"/>
  <c r="AE257" i="1"/>
  <c r="AG257" i="1" s="1"/>
  <c r="AD257" i="1"/>
  <c r="AF257" i="1" s="1"/>
  <c r="AU256" i="1"/>
  <c r="AV256" i="1" s="1"/>
  <c r="AW256" i="1" s="1"/>
  <c r="AN256" i="1"/>
  <c r="AO256" i="1" s="1"/>
  <c r="AP256" i="1" s="1"/>
  <c r="AL256" i="1"/>
  <c r="AE256" i="1"/>
  <c r="AG256" i="1" s="1"/>
  <c r="AD256" i="1"/>
  <c r="AF256" i="1" s="1"/>
  <c r="AU255" i="1"/>
  <c r="AV255" i="1" s="1"/>
  <c r="AW255" i="1" s="1"/>
  <c r="AN255" i="1"/>
  <c r="AO255" i="1" s="1"/>
  <c r="AP255" i="1" s="1"/>
  <c r="AL255" i="1"/>
  <c r="AE255" i="1"/>
  <c r="AG255" i="1" s="1"/>
  <c r="AD255" i="1"/>
  <c r="AF255" i="1" s="1"/>
  <c r="AH255" i="1" s="1"/>
  <c r="AQ255" i="1" s="1"/>
  <c r="AU254" i="1"/>
  <c r="AV254" i="1" s="1"/>
  <c r="AW254" i="1" s="1"/>
  <c r="AN254" i="1"/>
  <c r="AO254" i="1" s="1"/>
  <c r="AP254" i="1" s="1"/>
  <c r="AL254" i="1"/>
  <c r="AE254" i="1"/>
  <c r="AG254" i="1" s="1"/>
  <c r="AD254" i="1"/>
  <c r="AF254" i="1" s="1"/>
  <c r="AU253" i="1"/>
  <c r="AV253" i="1" s="1"/>
  <c r="AW253" i="1" s="1"/>
  <c r="AN253" i="1"/>
  <c r="AO253" i="1" s="1"/>
  <c r="AP253" i="1" s="1"/>
  <c r="AL253" i="1"/>
  <c r="AE253" i="1"/>
  <c r="AG253" i="1" s="1"/>
  <c r="AD253" i="1"/>
  <c r="AF253" i="1" s="1"/>
  <c r="AH253" i="1" s="1"/>
  <c r="AQ253" i="1" s="1"/>
  <c r="AU252" i="1"/>
  <c r="AV252" i="1" s="1"/>
  <c r="AW252" i="1" s="1"/>
  <c r="AN252" i="1"/>
  <c r="AO252" i="1" s="1"/>
  <c r="AP252" i="1" s="1"/>
  <c r="AL252" i="1"/>
  <c r="AE252" i="1"/>
  <c r="AG252" i="1" s="1"/>
  <c r="AD252" i="1"/>
  <c r="AF252" i="1" s="1"/>
  <c r="AU251" i="1"/>
  <c r="AV251" i="1" s="1"/>
  <c r="AW251" i="1" s="1"/>
  <c r="AN251" i="1"/>
  <c r="AO251" i="1" s="1"/>
  <c r="AP251" i="1" s="1"/>
  <c r="AL251" i="1"/>
  <c r="AE251" i="1"/>
  <c r="AG251" i="1" s="1"/>
  <c r="AI251" i="1" s="1"/>
  <c r="AX251" i="1" s="1"/>
  <c r="AD251" i="1"/>
  <c r="AF251" i="1" s="1"/>
  <c r="AU250" i="1"/>
  <c r="AV250" i="1" s="1"/>
  <c r="AW250" i="1" s="1"/>
  <c r="AN250" i="1"/>
  <c r="AO250" i="1" s="1"/>
  <c r="AP250" i="1" s="1"/>
  <c r="AL250" i="1"/>
  <c r="AE250" i="1"/>
  <c r="AG250" i="1" s="1"/>
  <c r="AD250" i="1"/>
  <c r="AF250" i="1" s="1"/>
  <c r="AU249" i="1"/>
  <c r="AV249" i="1" s="1"/>
  <c r="AW249" i="1" s="1"/>
  <c r="AN249" i="1"/>
  <c r="AO249" i="1" s="1"/>
  <c r="AP249" i="1" s="1"/>
  <c r="AL249" i="1"/>
  <c r="AE249" i="1"/>
  <c r="AG249" i="1" s="1"/>
  <c r="AI249" i="1" s="1"/>
  <c r="AX249" i="1" s="1"/>
  <c r="AD249" i="1"/>
  <c r="AF249" i="1" s="1"/>
  <c r="AU248" i="1"/>
  <c r="AV248" i="1" s="1"/>
  <c r="AW248" i="1" s="1"/>
  <c r="AN248" i="1"/>
  <c r="AO248" i="1" s="1"/>
  <c r="AP248" i="1" s="1"/>
  <c r="AL248" i="1"/>
  <c r="AE248" i="1"/>
  <c r="AG248" i="1" s="1"/>
  <c r="AD248" i="1"/>
  <c r="AF248" i="1" s="1"/>
  <c r="AU247" i="1"/>
  <c r="AV247" i="1" s="1"/>
  <c r="AW247" i="1" s="1"/>
  <c r="AN247" i="1"/>
  <c r="AO247" i="1" s="1"/>
  <c r="AP247" i="1" s="1"/>
  <c r="AL247" i="1"/>
  <c r="AE247" i="1"/>
  <c r="AG247" i="1" s="1"/>
  <c r="AD247" i="1"/>
  <c r="AF247" i="1" s="1"/>
  <c r="AH247" i="1" s="1"/>
  <c r="AQ247" i="1" s="1"/>
  <c r="AU246" i="1"/>
  <c r="AV246" i="1" s="1"/>
  <c r="AW246" i="1" s="1"/>
  <c r="AN246" i="1"/>
  <c r="AO246" i="1" s="1"/>
  <c r="AP246" i="1" s="1"/>
  <c r="AL246" i="1"/>
  <c r="AE246" i="1"/>
  <c r="AG246" i="1" s="1"/>
  <c r="AD246" i="1"/>
  <c r="AF246" i="1" s="1"/>
  <c r="AU245" i="1"/>
  <c r="AV245" i="1" s="1"/>
  <c r="AW245" i="1" s="1"/>
  <c r="AN245" i="1"/>
  <c r="AO245" i="1" s="1"/>
  <c r="AP245" i="1" s="1"/>
  <c r="AL245" i="1"/>
  <c r="AE245" i="1"/>
  <c r="AG245" i="1" s="1"/>
  <c r="AI245" i="1" s="1"/>
  <c r="AX245" i="1" s="1"/>
  <c r="AD245" i="1"/>
  <c r="AF245" i="1" s="1"/>
  <c r="AH245" i="1" s="1"/>
  <c r="AQ245" i="1" s="1"/>
  <c r="AU244" i="1"/>
  <c r="AV244" i="1" s="1"/>
  <c r="AW244" i="1" s="1"/>
  <c r="AN244" i="1"/>
  <c r="AO244" i="1" s="1"/>
  <c r="AP244" i="1" s="1"/>
  <c r="AL244" i="1"/>
  <c r="AE244" i="1"/>
  <c r="AG244" i="1" s="1"/>
  <c r="AD244" i="1"/>
  <c r="AF244" i="1" s="1"/>
  <c r="AU243" i="1"/>
  <c r="AV243" i="1" s="1"/>
  <c r="AW243" i="1" s="1"/>
  <c r="AN243" i="1"/>
  <c r="AO243" i="1" s="1"/>
  <c r="AP243" i="1" s="1"/>
  <c r="AL243" i="1"/>
  <c r="AE243" i="1"/>
  <c r="AG243" i="1" s="1"/>
  <c r="AI243" i="1" s="1"/>
  <c r="AX243" i="1" s="1"/>
  <c r="AD243" i="1"/>
  <c r="AF243" i="1" s="1"/>
  <c r="AU242" i="1"/>
  <c r="AV242" i="1" s="1"/>
  <c r="AW242" i="1" s="1"/>
  <c r="AN242" i="1"/>
  <c r="AO242" i="1" s="1"/>
  <c r="AP242" i="1" s="1"/>
  <c r="AL242" i="1"/>
  <c r="AE242" i="1"/>
  <c r="AG242" i="1" s="1"/>
  <c r="AI242" i="1" s="1"/>
  <c r="AX242" i="1" s="1"/>
  <c r="AD242" i="1"/>
  <c r="AF242" i="1" s="1"/>
  <c r="AU241" i="1"/>
  <c r="AV241" i="1" s="1"/>
  <c r="AW241" i="1" s="1"/>
  <c r="AN241" i="1"/>
  <c r="AO241" i="1" s="1"/>
  <c r="AP241" i="1" s="1"/>
  <c r="AL241" i="1"/>
  <c r="AE241" i="1"/>
  <c r="AG241" i="1" s="1"/>
  <c r="AD241" i="1"/>
  <c r="AF241" i="1" s="1"/>
  <c r="AU240" i="1"/>
  <c r="AV240" i="1" s="1"/>
  <c r="AW240" i="1" s="1"/>
  <c r="AN240" i="1"/>
  <c r="AO240" i="1" s="1"/>
  <c r="AP240" i="1" s="1"/>
  <c r="AL240" i="1"/>
  <c r="AE240" i="1"/>
  <c r="AG240" i="1" s="1"/>
  <c r="AI240" i="1" s="1"/>
  <c r="AX240" i="1" s="1"/>
  <c r="AD240" i="1"/>
  <c r="AF240" i="1" s="1"/>
  <c r="AU239" i="1"/>
  <c r="AV239" i="1" s="1"/>
  <c r="AW239" i="1" s="1"/>
  <c r="AN239" i="1"/>
  <c r="AO239" i="1" s="1"/>
  <c r="AP239" i="1" s="1"/>
  <c r="AL239" i="1"/>
  <c r="AE239" i="1"/>
  <c r="AG239" i="1" s="1"/>
  <c r="AD239" i="1"/>
  <c r="AF239" i="1" s="1"/>
  <c r="AU238" i="1"/>
  <c r="AV238" i="1" s="1"/>
  <c r="AW238" i="1" s="1"/>
  <c r="AN238" i="1"/>
  <c r="AO238" i="1" s="1"/>
  <c r="AP238" i="1" s="1"/>
  <c r="AL238" i="1"/>
  <c r="AE238" i="1"/>
  <c r="AG238" i="1" s="1"/>
  <c r="AI238" i="1" s="1"/>
  <c r="AX238" i="1" s="1"/>
  <c r="AD238" i="1"/>
  <c r="AF238" i="1" s="1"/>
  <c r="AU237" i="1"/>
  <c r="AV237" i="1" s="1"/>
  <c r="AW237" i="1" s="1"/>
  <c r="AN237" i="1"/>
  <c r="AO237" i="1" s="1"/>
  <c r="AP237" i="1" s="1"/>
  <c r="AL237" i="1"/>
  <c r="AE237" i="1"/>
  <c r="AG237" i="1" s="1"/>
  <c r="AD237" i="1"/>
  <c r="AF237" i="1" s="1"/>
  <c r="AU236" i="1"/>
  <c r="AV236" i="1" s="1"/>
  <c r="AW236" i="1" s="1"/>
  <c r="AN236" i="1"/>
  <c r="AO236" i="1" s="1"/>
  <c r="AP236" i="1" s="1"/>
  <c r="AL236" i="1"/>
  <c r="AE236" i="1"/>
  <c r="AG236" i="1" s="1"/>
  <c r="AD236" i="1"/>
  <c r="AF236" i="1" s="1"/>
  <c r="AU235" i="1"/>
  <c r="AV235" i="1" s="1"/>
  <c r="AW235" i="1" s="1"/>
  <c r="AN235" i="1"/>
  <c r="AO235" i="1" s="1"/>
  <c r="AP235" i="1" s="1"/>
  <c r="AL235" i="1"/>
  <c r="AE235" i="1"/>
  <c r="AG235" i="1" s="1"/>
  <c r="AD235" i="1"/>
  <c r="AF235" i="1" s="1"/>
  <c r="AH235" i="1" s="1"/>
  <c r="AQ235" i="1" s="1"/>
  <c r="AU234" i="1"/>
  <c r="AV234" i="1" s="1"/>
  <c r="AW234" i="1" s="1"/>
  <c r="AN234" i="1"/>
  <c r="AO234" i="1" s="1"/>
  <c r="AP234" i="1" s="1"/>
  <c r="AL234" i="1"/>
  <c r="AE234" i="1"/>
  <c r="AG234" i="1" s="1"/>
  <c r="AD234" i="1"/>
  <c r="AF234" i="1" s="1"/>
  <c r="AH234" i="1" s="1"/>
  <c r="AQ234" i="1" s="1"/>
  <c r="AR234" i="1" s="1"/>
  <c r="AU233" i="1"/>
  <c r="AV233" i="1" s="1"/>
  <c r="AW233" i="1" s="1"/>
  <c r="AN233" i="1"/>
  <c r="AO233" i="1" s="1"/>
  <c r="AP233" i="1" s="1"/>
  <c r="AL233" i="1"/>
  <c r="AE233" i="1"/>
  <c r="AG233" i="1" s="1"/>
  <c r="AD233" i="1"/>
  <c r="AF233" i="1" s="1"/>
  <c r="AJ233" i="1" s="1"/>
  <c r="AU232" i="1"/>
  <c r="AV232" i="1" s="1"/>
  <c r="AW232" i="1" s="1"/>
  <c r="AN232" i="1"/>
  <c r="AO232" i="1" s="1"/>
  <c r="AP232" i="1" s="1"/>
  <c r="AL232" i="1"/>
  <c r="AE232" i="1"/>
  <c r="AG232" i="1" s="1"/>
  <c r="AD232" i="1"/>
  <c r="AF232" i="1" s="1"/>
  <c r="AU231" i="1"/>
  <c r="AV231" i="1" s="1"/>
  <c r="AW231" i="1" s="1"/>
  <c r="AN231" i="1"/>
  <c r="AO231" i="1" s="1"/>
  <c r="AP231" i="1" s="1"/>
  <c r="AL231" i="1"/>
  <c r="AE231" i="1"/>
  <c r="AG231" i="1" s="1"/>
  <c r="AI231" i="1" s="1"/>
  <c r="AX231" i="1" s="1"/>
  <c r="AD231" i="1"/>
  <c r="AF231" i="1" s="1"/>
  <c r="AU230" i="1"/>
  <c r="AV230" i="1" s="1"/>
  <c r="AW230" i="1" s="1"/>
  <c r="AN230" i="1"/>
  <c r="AO230" i="1" s="1"/>
  <c r="AP230" i="1" s="1"/>
  <c r="AL230" i="1"/>
  <c r="AE230" i="1"/>
  <c r="AG230" i="1" s="1"/>
  <c r="AD230" i="1"/>
  <c r="AF230" i="1" s="1"/>
  <c r="AU229" i="1"/>
  <c r="AV229" i="1" s="1"/>
  <c r="AW229" i="1" s="1"/>
  <c r="AN229" i="1"/>
  <c r="AO229" i="1" s="1"/>
  <c r="AP229" i="1" s="1"/>
  <c r="AL229" i="1"/>
  <c r="AE229" i="1"/>
  <c r="AG229" i="1" s="1"/>
  <c r="AD229" i="1"/>
  <c r="AF229" i="1" s="1"/>
  <c r="AH229" i="1" s="1"/>
  <c r="AQ229" i="1" s="1"/>
  <c r="AU228" i="1"/>
  <c r="AV228" i="1" s="1"/>
  <c r="AW228" i="1" s="1"/>
  <c r="AN228" i="1"/>
  <c r="AO228" i="1" s="1"/>
  <c r="AP228" i="1" s="1"/>
  <c r="AL228" i="1"/>
  <c r="AE228" i="1"/>
  <c r="AG228" i="1" s="1"/>
  <c r="AD228" i="1"/>
  <c r="AF228" i="1" s="1"/>
  <c r="AH228" i="1" s="1"/>
  <c r="AQ228" i="1" s="1"/>
  <c r="AU227" i="1"/>
  <c r="AV227" i="1" s="1"/>
  <c r="AW227" i="1" s="1"/>
  <c r="AN227" i="1"/>
  <c r="AO227" i="1" s="1"/>
  <c r="AP227" i="1" s="1"/>
  <c r="AL227" i="1"/>
  <c r="AE227" i="1"/>
  <c r="AG227" i="1" s="1"/>
  <c r="AD227" i="1"/>
  <c r="AF227" i="1" s="1"/>
  <c r="AU226" i="1"/>
  <c r="AV226" i="1" s="1"/>
  <c r="AW226" i="1" s="1"/>
  <c r="AN226" i="1"/>
  <c r="AO226" i="1" s="1"/>
  <c r="AP226" i="1" s="1"/>
  <c r="AL226" i="1"/>
  <c r="AE226" i="1"/>
  <c r="AG226" i="1" s="1"/>
  <c r="AD226" i="1"/>
  <c r="AF226" i="1" s="1"/>
  <c r="AU225" i="1"/>
  <c r="AV225" i="1" s="1"/>
  <c r="AW225" i="1" s="1"/>
  <c r="AN225" i="1"/>
  <c r="AO225" i="1" s="1"/>
  <c r="AP225" i="1" s="1"/>
  <c r="AL225" i="1"/>
  <c r="AE225" i="1"/>
  <c r="AG225" i="1" s="1"/>
  <c r="AD225" i="1"/>
  <c r="AF225" i="1" s="1"/>
  <c r="AH225" i="1" s="1"/>
  <c r="AQ225" i="1" s="1"/>
  <c r="AU224" i="1"/>
  <c r="AV224" i="1" s="1"/>
  <c r="AW224" i="1" s="1"/>
  <c r="AZ224" i="1" s="1"/>
  <c r="AO224" i="1"/>
  <c r="AP224" i="1" s="1"/>
  <c r="AN224" i="1"/>
  <c r="AL224" i="1"/>
  <c r="AE224" i="1"/>
  <c r="AG224" i="1" s="1"/>
  <c r="AD224" i="1"/>
  <c r="AF224" i="1" s="1"/>
  <c r="AU223" i="1"/>
  <c r="AV223" i="1" s="1"/>
  <c r="AW223" i="1" s="1"/>
  <c r="AN223" i="1"/>
  <c r="AO223" i="1" s="1"/>
  <c r="AP223" i="1" s="1"/>
  <c r="AL223" i="1"/>
  <c r="AE223" i="1"/>
  <c r="AG223" i="1" s="1"/>
  <c r="AD223" i="1"/>
  <c r="AF223" i="1" s="1"/>
  <c r="AH223" i="1" s="1"/>
  <c r="AQ223" i="1" s="1"/>
  <c r="AU222" i="1"/>
  <c r="AV222" i="1" s="1"/>
  <c r="AW222" i="1" s="1"/>
  <c r="AN222" i="1"/>
  <c r="AO222" i="1" s="1"/>
  <c r="AP222" i="1" s="1"/>
  <c r="AL222" i="1"/>
  <c r="AE222" i="1"/>
  <c r="AG222" i="1" s="1"/>
  <c r="AD222" i="1"/>
  <c r="AF222" i="1" s="1"/>
  <c r="AU221" i="1"/>
  <c r="AV221" i="1" s="1"/>
  <c r="AW221" i="1" s="1"/>
  <c r="AN221" i="1"/>
  <c r="AO221" i="1" s="1"/>
  <c r="AP221" i="1" s="1"/>
  <c r="AL221" i="1"/>
  <c r="AE221" i="1"/>
  <c r="AG221" i="1" s="1"/>
  <c r="AD221" i="1"/>
  <c r="AF221" i="1" s="1"/>
  <c r="AU220" i="1"/>
  <c r="AV220" i="1" s="1"/>
  <c r="AW220" i="1" s="1"/>
  <c r="AN220" i="1"/>
  <c r="AO220" i="1" s="1"/>
  <c r="AP220" i="1" s="1"/>
  <c r="AL220" i="1"/>
  <c r="AE220" i="1"/>
  <c r="AG220" i="1" s="1"/>
  <c r="AD220" i="1"/>
  <c r="AF220" i="1" s="1"/>
  <c r="AH220" i="1" s="1"/>
  <c r="AQ220" i="1" s="1"/>
  <c r="AU219" i="1"/>
  <c r="AV219" i="1" s="1"/>
  <c r="AW219" i="1" s="1"/>
  <c r="AN219" i="1"/>
  <c r="AO219" i="1" s="1"/>
  <c r="AP219" i="1" s="1"/>
  <c r="AL219" i="1"/>
  <c r="AE219" i="1"/>
  <c r="AG219" i="1" s="1"/>
  <c r="AI219" i="1" s="1"/>
  <c r="AX219" i="1" s="1"/>
  <c r="AD219" i="1"/>
  <c r="AF219" i="1" s="1"/>
  <c r="AH219" i="1" s="1"/>
  <c r="AQ219" i="1" s="1"/>
  <c r="AR219" i="1" s="1"/>
  <c r="AU218" i="1"/>
  <c r="AV218" i="1" s="1"/>
  <c r="AW218" i="1" s="1"/>
  <c r="AN218" i="1"/>
  <c r="AO218" i="1" s="1"/>
  <c r="AP218" i="1" s="1"/>
  <c r="AL218" i="1"/>
  <c r="AE218" i="1"/>
  <c r="AG218" i="1" s="1"/>
  <c r="AD218" i="1"/>
  <c r="AF218" i="1" s="1"/>
  <c r="AH218" i="1" s="1"/>
  <c r="AQ218" i="1" s="1"/>
  <c r="AU217" i="1"/>
  <c r="AV217" i="1" s="1"/>
  <c r="AW217" i="1" s="1"/>
  <c r="AN217" i="1"/>
  <c r="AO217" i="1" s="1"/>
  <c r="AP217" i="1" s="1"/>
  <c r="AL217" i="1"/>
  <c r="AE217" i="1"/>
  <c r="AG217" i="1" s="1"/>
  <c r="AJ217" i="1" s="1"/>
  <c r="AD217" i="1"/>
  <c r="AF217" i="1" s="1"/>
  <c r="AU216" i="1"/>
  <c r="AV216" i="1" s="1"/>
  <c r="AW216" i="1" s="1"/>
  <c r="AN216" i="1"/>
  <c r="AO216" i="1" s="1"/>
  <c r="AP216" i="1" s="1"/>
  <c r="AL216" i="1"/>
  <c r="AE216" i="1"/>
  <c r="AG216" i="1" s="1"/>
  <c r="AD216" i="1"/>
  <c r="AF216" i="1" s="1"/>
  <c r="AH216" i="1" s="1"/>
  <c r="AQ216" i="1" s="1"/>
  <c r="AU215" i="1"/>
  <c r="AV215" i="1" s="1"/>
  <c r="AW215" i="1" s="1"/>
  <c r="AN215" i="1"/>
  <c r="AO215" i="1" s="1"/>
  <c r="AP215" i="1" s="1"/>
  <c r="AL215" i="1"/>
  <c r="AE215" i="1"/>
  <c r="AG215" i="1" s="1"/>
  <c r="AD215" i="1"/>
  <c r="AF215" i="1" s="1"/>
  <c r="AU214" i="1"/>
  <c r="AV214" i="1" s="1"/>
  <c r="AW214" i="1" s="1"/>
  <c r="AN214" i="1"/>
  <c r="AO214" i="1" s="1"/>
  <c r="AP214" i="1" s="1"/>
  <c r="AL214" i="1"/>
  <c r="AE214" i="1"/>
  <c r="AG214" i="1" s="1"/>
  <c r="AD214" i="1"/>
  <c r="AF214" i="1" s="1"/>
  <c r="AU213" i="1"/>
  <c r="AV213" i="1" s="1"/>
  <c r="AW213" i="1" s="1"/>
  <c r="AN213" i="1"/>
  <c r="AO213" i="1" s="1"/>
  <c r="AP213" i="1" s="1"/>
  <c r="AL213" i="1"/>
  <c r="AE213" i="1"/>
  <c r="AG213" i="1" s="1"/>
  <c r="AD213" i="1"/>
  <c r="AF213" i="1" s="1"/>
  <c r="AU212" i="1"/>
  <c r="AV212" i="1" s="1"/>
  <c r="AW212" i="1" s="1"/>
  <c r="AN212" i="1"/>
  <c r="AO212" i="1" s="1"/>
  <c r="AP212" i="1" s="1"/>
  <c r="AL212" i="1"/>
  <c r="AE212" i="1"/>
  <c r="AG212" i="1" s="1"/>
  <c r="AD212" i="1"/>
  <c r="AF212" i="1" s="1"/>
  <c r="AU211" i="1"/>
  <c r="AV211" i="1" s="1"/>
  <c r="AW211" i="1" s="1"/>
  <c r="AN211" i="1"/>
  <c r="AO211" i="1" s="1"/>
  <c r="AP211" i="1" s="1"/>
  <c r="AL211" i="1"/>
  <c r="AE211" i="1"/>
  <c r="AG211" i="1" s="1"/>
  <c r="AD211" i="1"/>
  <c r="AF211" i="1" s="1"/>
  <c r="AU210" i="1"/>
  <c r="AV210" i="1" s="1"/>
  <c r="AW210" i="1" s="1"/>
  <c r="AN210" i="1"/>
  <c r="AO210" i="1" s="1"/>
  <c r="AP210" i="1" s="1"/>
  <c r="AL210" i="1"/>
  <c r="AE210" i="1"/>
  <c r="AG210" i="1" s="1"/>
  <c r="AD210" i="1"/>
  <c r="AF210" i="1" s="1"/>
  <c r="AH210" i="1" s="1"/>
  <c r="AQ210" i="1" s="1"/>
  <c r="AU209" i="1"/>
  <c r="AV209" i="1" s="1"/>
  <c r="AW209" i="1" s="1"/>
  <c r="AN209" i="1"/>
  <c r="AO209" i="1" s="1"/>
  <c r="AP209" i="1" s="1"/>
  <c r="AL209" i="1"/>
  <c r="AE209" i="1"/>
  <c r="AG209" i="1" s="1"/>
  <c r="AD209" i="1"/>
  <c r="AF209" i="1" s="1"/>
  <c r="AU208" i="1"/>
  <c r="AV208" i="1" s="1"/>
  <c r="AW208" i="1" s="1"/>
  <c r="AN208" i="1"/>
  <c r="AO208" i="1" s="1"/>
  <c r="AP208" i="1" s="1"/>
  <c r="AL208" i="1"/>
  <c r="AE208" i="1"/>
  <c r="AG208" i="1" s="1"/>
  <c r="AD208" i="1"/>
  <c r="AF208" i="1" s="1"/>
  <c r="AU207" i="1"/>
  <c r="AV207" i="1" s="1"/>
  <c r="AW207" i="1" s="1"/>
  <c r="AN207" i="1"/>
  <c r="AO207" i="1" s="1"/>
  <c r="AP207" i="1" s="1"/>
  <c r="AL207" i="1"/>
  <c r="AE207" i="1"/>
  <c r="AG207" i="1" s="1"/>
  <c r="AD207" i="1"/>
  <c r="AF207" i="1" s="1"/>
  <c r="AU206" i="1"/>
  <c r="AV206" i="1" s="1"/>
  <c r="AW206" i="1" s="1"/>
  <c r="AN206" i="1"/>
  <c r="AO206" i="1" s="1"/>
  <c r="AP206" i="1" s="1"/>
  <c r="AL206" i="1"/>
  <c r="AE206" i="1"/>
  <c r="AG206" i="1" s="1"/>
  <c r="AI206" i="1" s="1"/>
  <c r="AX206" i="1" s="1"/>
  <c r="AD206" i="1"/>
  <c r="AF206" i="1" s="1"/>
  <c r="AU205" i="1"/>
  <c r="AV205" i="1" s="1"/>
  <c r="AW205" i="1" s="1"/>
  <c r="AN205" i="1"/>
  <c r="AO205" i="1" s="1"/>
  <c r="AP205" i="1" s="1"/>
  <c r="AL205" i="1"/>
  <c r="AE205" i="1"/>
  <c r="AG205" i="1" s="1"/>
  <c r="AD205" i="1"/>
  <c r="AF205" i="1" s="1"/>
  <c r="AU204" i="1"/>
  <c r="AV204" i="1" s="1"/>
  <c r="AW204" i="1" s="1"/>
  <c r="AN204" i="1"/>
  <c r="AO204" i="1" s="1"/>
  <c r="AP204" i="1" s="1"/>
  <c r="AL204" i="1"/>
  <c r="AE204" i="1"/>
  <c r="AG204" i="1" s="1"/>
  <c r="AD204" i="1"/>
  <c r="AF204" i="1" s="1"/>
  <c r="AH204" i="1" s="1"/>
  <c r="AQ204" i="1" s="1"/>
  <c r="AU203" i="1"/>
  <c r="AV203" i="1" s="1"/>
  <c r="AW203" i="1" s="1"/>
  <c r="AN203" i="1"/>
  <c r="AO203" i="1" s="1"/>
  <c r="AP203" i="1" s="1"/>
  <c r="AL203" i="1"/>
  <c r="AE203" i="1"/>
  <c r="AG203" i="1" s="1"/>
  <c r="AZ203" i="1" s="1"/>
  <c r="AD203" i="1"/>
  <c r="AF203" i="1" s="1"/>
  <c r="AU202" i="1"/>
  <c r="AV202" i="1" s="1"/>
  <c r="AW202" i="1" s="1"/>
  <c r="AN202" i="1"/>
  <c r="AO202" i="1" s="1"/>
  <c r="AP202" i="1" s="1"/>
  <c r="AL202" i="1"/>
  <c r="AE202" i="1"/>
  <c r="AG202" i="1" s="1"/>
  <c r="AD202" i="1"/>
  <c r="AF202" i="1" s="1"/>
  <c r="AU201" i="1"/>
  <c r="AV201" i="1" s="1"/>
  <c r="AW201" i="1" s="1"/>
  <c r="AN201" i="1"/>
  <c r="AO201" i="1" s="1"/>
  <c r="AP201" i="1" s="1"/>
  <c r="AL201" i="1"/>
  <c r="AE201" i="1"/>
  <c r="AG201" i="1" s="1"/>
  <c r="AD201" i="1"/>
  <c r="AF201" i="1" s="1"/>
  <c r="AU200" i="1"/>
  <c r="AV200" i="1" s="1"/>
  <c r="AW200" i="1" s="1"/>
  <c r="AN200" i="1"/>
  <c r="AO200" i="1" s="1"/>
  <c r="AP200" i="1" s="1"/>
  <c r="AL200" i="1"/>
  <c r="AE200" i="1"/>
  <c r="AG200" i="1" s="1"/>
  <c r="AD200" i="1"/>
  <c r="AF200" i="1" s="1"/>
  <c r="AU199" i="1"/>
  <c r="AV199" i="1" s="1"/>
  <c r="AW199" i="1" s="1"/>
  <c r="AN199" i="1"/>
  <c r="AO199" i="1" s="1"/>
  <c r="AP199" i="1" s="1"/>
  <c r="AL199" i="1"/>
  <c r="AE199" i="1"/>
  <c r="AG199" i="1" s="1"/>
  <c r="AD199" i="1"/>
  <c r="AF199" i="1" s="1"/>
  <c r="AU198" i="1"/>
  <c r="AV198" i="1" s="1"/>
  <c r="AW198" i="1" s="1"/>
  <c r="AN198" i="1"/>
  <c r="AO198" i="1" s="1"/>
  <c r="AP198" i="1" s="1"/>
  <c r="AL198" i="1"/>
  <c r="AE198" i="1"/>
  <c r="AG198" i="1" s="1"/>
  <c r="AD198" i="1"/>
  <c r="AF198" i="1" s="1"/>
  <c r="AH198" i="1" s="1"/>
  <c r="AQ198" i="1" s="1"/>
  <c r="AU197" i="1"/>
  <c r="AV197" i="1" s="1"/>
  <c r="AW197" i="1" s="1"/>
  <c r="AN197" i="1"/>
  <c r="AO197" i="1" s="1"/>
  <c r="AP197" i="1" s="1"/>
  <c r="AL197" i="1"/>
  <c r="AG197" i="1"/>
  <c r="AE197" i="1"/>
  <c r="AD197" i="1"/>
  <c r="AF197" i="1" s="1"/>
  <c r="AU196" i="1"/>
  <c r="AV196" i="1" s="1"/>
  <c r="AW196" i="1" s="1"/>
  <c r="AN196" i="1"/>
  <c r="AO196" i="1" s="1"/>
  <c r="AP196" i="1" s="1"/>
  <c r="AL196" i="1"/>
  <c r="AE196" i="1"/>
  <c r="AG196" i="1" s="1"/>
  <c r="AD196" i="1"/>
  <c r="AF196" i="1" s="1"/>
  <c r="AU195" i="1"/>
  <c r="AV195" i="1" s="1"/>
  <c r="AW195" i="1" s="1"/>
  <c r="AN195" i="1"/>
  <c r="AO195" i="1" s="1"/>
  <c r="AP195" i="1" s="1"/>
  <c r="AL195" i="1"/>
  <c r="AE195" i="1"/>
  <c r="AG195" i="1" s="1"/>
  <c r="AD195" i="1"/>
  <c r="AF195" i="1" s="1"/>
  <c r="AU194" i="1"/>
  <c r="AV194" i="1" s="1"/>
  <c r="AW194" i="1" s="1"/>
  <c r="AN194" i="1"/>
  <c r="AO194" i="1" s="1"/>
  <c r="AP194" i="1" s="1"/>
  <c r="AL194" i="1"/>
  <c r="AE194" i="1"/>
  <c r="AG194" i="1" s="1"/>
  <c r="AD194" i="1"/>
  <c r="AF194" i="1" s="1"/>
  <c r="AU193" i="1"/>
  <c r="AV193" i="1" s="1"/>
  <c r="AW193" i="1" s="1"/>
  <c r="AN193" i="1"/>
  <c r="AO193" i="1" s="1"/>
  <c r="AP193" i="1" s="1"/>
  <c r="AL193" i="1"/>
  <c r="AE193" i="1"/>
  <c r="AG193" i="1" s="1"/>
  <c r="AD193" i="1"/>
  <c r="AF193" i="1" s="1"/>
  <c r="AU192" i="1"/>
  <c r="AV192" i="1" s="1"/>
  <c r="AW192" i="1" s="1"/>
  <c r="AN192" i="1"/>
  <c r="AO192" i="1" s="1"/>
  <c r="AP192" i="1" s="1"/>
  <c r="AL192" i="1"/>
  <c r="AE192" i="1"/>
  <c r="AG192" i="1" s="1"/>
  <c r="AD192" i="1"/>
  <c r="AF192" i="1" s="1"/>
  <c r="AU191" i="1"/>
  <c r="AV191" i="1" s="1"/>
  <c r="AW191" i="1" s="1"/>
  <c r="AN191" i="1"/>
  <c r="AO191" i="1" s="1"/>
  <c r="AP191" i="1" s="1"/>
  <c r="AL191" i="1"/>
  <c r="AE191" i="1"/>
  <c r="AG191" i="1" s="1"/>
  <c r="AD191" i="1"/>
  <c r="AF191" i="1" s="1"/>
  <c r="AU190" i="1"/>
  <c r="AV190" i="1" s="1"/>
  <c r="AW190" i="1" s="1"/>
  <c r="AN190" i="1"/>
  <c r="AO190" i="1" s="1"/>
  <c r="AP190" i="1" s="1"/>
  <c r="AL190" i="1"/>
  <c r="AE190" i="1"/>
  <c r="AG190" i="1" s="1"/>
  <c r="AD190" i="1"/>
  <c r="AF190" i="1" s="1"/>
  <c r="AU189" i="1"/>
  <c r="AV189" i="1" s="1"/>
  <c r="AW189" i="1" s="1"/>
  <c r="AN189" i="1"/>
  <c r="AO189" i="1" s="1"/>
  <c r="AP189" i="1" s="1"/>
  <c r="AL189" i="1"/>
  <c r="AE189" i="1"/>
  <c r="AG189" i="1" s="1"/>
  <c r="AD189" i="1"/>
  <c r="AF189" i="1" s="1"/>
  <c r="AU188" i="1"/>
  <c r="AV188" i="1" s="1"/>
  <c r="AW188" i="1" s="1"/>
  <c r="AN188" i="1"/>
  <c r="AO188" i="1" s="1"/>
  <c r="AP188" i="1" s="1"/>
  <c r="AL188" i="1"/>
  <c r="AE188" i="1"/>
  <c r="AG188" i="1" s="1"/>
  <c r="AD188" i="1"/>
  <c r="AF188" i="1" s="1"/>
  <c r="AU187" i="1"/>
  <c r="AV187" i="1" s="1"/>
  <c r="AW187" i="1" s="1"/>
  <c r="AN187" i="1"/>
  <c r="AO187" i="1" s="1"/>
  <c r="AP187" i="1" s="1"/>
  <c r="AL187" i="1"/>
  <c r="AE187" i="1"/>
  <c r="AG187" i="1" s="1"/>
  <c r="AI187" i="1" s="1"/>
  <c r="AX187" i="1" s="1"/>
  <c r="AD187" i="1"/>
  <c r="AF187" i="1" s="1"/>
  <c r="AU186" i="1"/>
  <c r="AV186" i="1" s="1"/>
  <c r="AW186" i="1" s="1"/>
  <c r="AN186" i="1"/>
  <c r="AO186" i="1" s="1"/>
  <c r="AP186" i="1" s="1"/>
  <c r="AL186" i="1"/>
  <c r="AE186" i="1"/>
  <c r="AG186" i="1" s="1"/>
  <c r="AD186" i="1"/>
  <c r="AF186" i="1" s="1"/>
  <c r="AU185" i="1"/>
  <c r="AV185" i="1" s="1"/>
  <c r="AW185" i="1" s="1"/>
  <c r="AN185" i="1"/>
  <c r="AO185" i="1" s="1"/>
  <c r="AP185" i="1" s="1"/>
  <c r="AL185" i="1"/>
  <c r="AE185" i="1"/>
  <c r="AG185" i="1" s="1"/>
  <c r="AI185" i="1" s="1"/>
  <c r="AX185" i="1" s="1"/>
  <c r="AD185" i="1"/>
  <c r="AF185" i="1" s="1"/>
  <c r="AU184" i="1"/>
  <c r="AV184" i="1" s="1"/>
  <c r="AW184" i="1" s="1"/>
  <c r="AN184" i="1"/>
  <c r="AO184" i="1" s="1"/>
  <c r="AP184" i="1" s="1"/>
  <c r="AL184" i="1"/>
  <c r="AE184" i="1"/>
  <c r="AG184" i="1" s="1"/>
  <c r="AD184" i="1"/>
  <c r="AF184" i="1" s="1"/>
  <c r="AU183" i="1"/>
  <c r="AV183" i="1" s="1"/>
  <c r="AW183" i="1" s="1"/>
  <c r="AN183" i="1"/>
  <c r="AO183" i="1" s="1"/>
  <c r="AP183" i="1" s="1"/>
  <c r="AL183" i="1"/>
  <c r="AE183" i="1"/>
  <c r="AG183" i="1" s="1"/>
  <c r="AI183" i="1" s="1"/>
  <c r="AX183" i="1" s="1"/>
  <c r="AD183" i="1"/>
  <c r="AF183" i="1" s="1"/>
  <c r="AU182" i="1"/>
  <c r="AV182" i="1" s="1"/>
  <c r="AW182" i="1" s="1"/>
  <c r="AN182" i="1"/>
  <c r="AO182" i="1" s="1"/>
  <c r="AP182" i="1" s="1"/>
  <c r="AL182" i="1"/>
  <c r="AE182" i="1"/>
  <c r="AG182" i="1" s="1"/>
  <c r="AD182" i="1"/>
  <c r="AF182" i="1" s="1"/>
  <c r="AU181" i="1"/>
  <c r="AV181" i="1" s="1"/>
  <c r="AW181" i="1" s="1"/>
  <c r="AN181" i="1"/>
  <c r="AO181" i="1" s="1"/>
  <c r="AP181" i="1" s="1"/>
  <c r="AL181" i="1"/>
  <c r="AE181" i="1"/>
  <c r="AG181" i="1" s="1"/>
  <c r="AD181" i="1"/>
  <c r="AF181" i="1" s="1"/>
  <c r="AU180" i="1"/>
  <c r="AV180" i="1" s="1"/>
  <c r="AW180" i="1" s="1"/>
  <c r="AN180" i="1"/>
  <c r="AO180" i="1" s="1"/>
  <c r="AP180" i="1" s="1"/>
  <c r="AL180" i="1"/>
  <c r="AE180" i="1"/>
  <c r="AG180" i="1" s="1"/>
  <c r="AI180" i="1" s="1"/>
  <c r="AX180" i="1" s="1"/>
  <c r="AD180" i="1"/>
  <c r="AF180" i="1" s="1"/>
  <c r="AH180" i="1" s="1"/>
  <c r="AQ180" i="1" s="1"/>
  <c r="AU179" i="1"/>
  <c r="AV179" i="1" s="1"/>
  <c r="AW179" i="1" s="1"/>
  <c r="AN179" i="1"/>
  <c r="AO179" i="1" s="1"/>
  <c r="AP179" i="1" s="1"/>
  <c r="AL179" i="1"/>
  <c r="AE179" i="1"/>
  <c r="AG179" i="1" s="1"/>
  <c r="AI179" i="1" s="1"/>
  <c r="AX179" i="1" s="1"/>
  <c r="AD179" i="1"/>
  <c r="AF179" i="1" s="1"/>
  <c r="AV178" i="1"/>
  <c r="AW178" i="1" s="1"/>
  <c r="AN178" i="1"/>
  <c r="AO178" i="1" s="1"/>
  <c r="AP178" i="1" s="1"/>
  <c r="AS178" i="1" s="1"/>
  <c r="AL178" i="1"/>
  <c r="AE178" i="1"/>
  <c r="AG178" i="1" s="1"/>
  <c r="AI178" i="1" s="1"/>
  <c r="AX178" i="1" s="1"/>
  <c r="AU177" i="1"/>
  <c r="AV177" i="1" s="1"/>
  <c r="AW177" i="1" s="1"/>
  <c r="AN177" i="1"/>
  <c r="AO177" i="1" s="1"/>
  <c r="AP177" i="1" s="1"/>
  <c r="AL177" i="1"/>
  <c r="AE177" i="1"/>
  <c r="AG177" i="1" s="1"/>
  <c r="AI177" i="1" s="1"/>
  <c r="AX177" i="1" s="1"/>
  <c r="AD177" i="1"/>
  <c r="AF177" i="1" s="1"/>
  <c r="AU176" i="1"/>
  <c r="AV176" i="1" s="1"/>
  <c r="AW176" i="1" s="1"/>
  <c r="AN176" i="1"/>
  <c r="AO176" i="1" s="1"/>
  <c r="AP176" i="1" s="1"/>
  <c r="AL176" i="1"/>
  <c r="AE176" i="1"/>
  <c r="AG176" i="1" s="1"/>
  <c r="AD176" i="1"/>
  <c r="AF176" i="1" s="1"/>
  <c r="AU175" i="1"/>
  <c r="AV175" i="1" s="1"/>
  <c r="AW175" i="1" s="1"/>
  <c r="AN175" i="1"/>
  <c r="AO175" i="1" s="1"/>
  <c r="AP175" i="1" s="1"/>
  <c r="AL175" i="1"/>
  <c r="AE175" i="1"/>
  <c r="AG175" i="1" s="1"/>
  <c r="AI175" i="1" s="1"/>
  <c r="AX175" i="1" s="1"/>
  <c r="AD175" i="1"/>
  <c r="AF175" i="1" s="1"/>
  <c r="AH175" i="1" s="1"/>
  <c r="AQ175" i="1" s="1"/>
  <c r="AU174" i="1"/>
  <c r="AV174" i="1" s="1"/>
  <c r="AW174" i="1" s="1"/>
  <c r="AN174" i="1"/>
  <c r="AO174" i="1" s="1"/>
  <c r="AP174" i="1" s="1"/>
  <c r="AL174" i="1"/>
  <c r="AE174" i="1"/>
  <c r="AG174" i="1" s="1"/>
  <c r="AD174" i="1"/>
  <c r="AF174" i="1" s="1"/>
  <c r="AU173" i="1"/>
  <c r="AV173" i="1" s="1"/>
  <c r="AW173" i="1" s="1"/>
  <c r="AN173" i="1"/>
  <c r="AO173" i="1" s="1"/>
  <c r="AP173" i="1" s="1"/>
  <c r="AL173" i="1"/>
  <c r="AE173" i="1"/>
  <c r="AG173" i="1" s="1"/>
  <c r="AD173" i="1"/>
  <c r="AF173" i="1" s="1"/>
  <c r="AU172" i="1"/>
  <c r="AV172" i="1" s="1"/>
  <c r="AW172" i="1" s="1"/>
  <c r="AN172" i="1"/>
  <c r="AO172" i="1" s="1"/>
  <c r="AP172" i="1" s="1"/>
  <c r="AL172" i="1"/>
  <c r="AE172" i="1"/>
  <c r="AG172" i="1" s="1"/>
  <c r="AD172" i="1"/>
  <c r="AF172" i="1" s="1"/>
  <c r="AU171" i="1"/>
  <c r="AV171" i="1" s="1"/>
  <c r="AW171" i="1" s="1"/>
  <c r="AN171" i="1"/>
  <c r="AO171" i="1" s="1"/>
  <c r="AP171" i="1" s="1"/>
  <c r="AL171" i="1"/>
  <c r="AE171" i="1"/>
  <c r="AG171" i="1" s="1"/>
  <c r="AD171" i="1"/>
  <c r="AF171" i="1" s="1"/>
  <c r="AU170" i="1"/>
  <c r="AV170" i="1" s="1"/>
  <c r="AW170" i="1" s="1"/>
  <c r="AN170" i="1"/>
  <c r="AP170" i="1" s="1"/>
  <c r="AL170" i="1"/>
  <c r="AE170" i="1"/>
  <c r="AG170" i="1" s="1"/>
  <c r="AD170" i="1"/>
  <c r="AF170" i="1" s="1"/>
  <c r="AU169" i="1"/>
  <c r="AV169" i="1" s="1"/>
  <c r="AW169" i="1" s="1"/>
  <c r="AN169" i="1"/>
  <c r="AO169" i="1" s="1"/>
  <c r="AP169" i="1" s="1"/>
  <c r="AL169" i="1"/>
  <c r="AE169" i="1"/>
  <c r="AG169" i="1" s="1"/>
  <c r="AD169" i="1"/>
  <c r="AF169" i="1" s="1"/>
  <c r="AU168" i="1"/>
  <c r="AV168" i="1" s="1"/>
  <c r="AW168" i="1" s="1"/>
  <c r="AN168" i="1"/>
  <c r="AO168" i="1" s="1"/>
  <c r="AP168" i="1" s="1"/>
  <c r="AL168" i="1"/>
  <c r="AE168" i="1"/>
  <c r="AG168" i="1" s="1"/>
  <c r="AD168" i="1"/>
  <c r="AF168" i="1" s="1"/>
  <c r="AU167" i="1"/>
  <c r="AV167" i="1" s="1"/>
  <c r="AW167" i="1" s="1"/>
  <c r="AN167" i="1"/>
  <c r="AO167" i="1" s="1"/>
  <c r="AP167" i="1" s="1"/>
  <c r="AL167" i="1"/>
  <c r="AE167" i="1"/>
  <c r="AG167" i="1" s="1"/>
  <c r="AD167" i="1"/>
  <c r="AF167" i="1" s="1"/>
  <c r="AU166" i="1"/>
  <c r="AV166" i="1" s="1"/>
  <c r="AW166" i="1" s="1"/>
  <c r="AN166" i="1"/>
  <c r="AO166" i="1" s="1"/>
  <c r="AP166" i="1" s="1"/>
  <c r="AL166" i="1"/>
  <c r="AE166" i="1"/>
  <c r="AG166" i="1" s="1"/>
  <c r="AD166" i="1"/>
  <c r="AF166" i="1" s="1"/>
  <c r="AU165" i="1"/>
  <c r="AV165" i="1" s="1"/>
  <c r="AW165" i="1" s="1"/>
  <c r="AN165" i="1"/>
  <c r="AO165" i="1" s="1"/>
  <c r="AP165" i="1" s="1"/>
  <c r="AL165" i="1"/>
  <c r="AE165" i="1"/>
  <c r="AG165" i="1" s="1"/>
  <c r="AD165" i="1"/>
  <c r="AF165" i="1" s="1"/>
  <c r="AU164" i="1"/>
  <c r="AV164" i="1" s="1"/>
  <c r="AW164" i="1" s="1"/>
  <c r="AN164" i="1"/>
  <c r="AO164" i="1" s="1"/>
  <c r="AP164" i="1" s="1"/>
  <c r="AL164" i="1"/>
  <c r="AE164" i="1"/>
  <c r="AG164" i="1" s="1"/>
  <c r="AD164" i="1"/>
  <c r="AF164" i="1" s="1"/>
  <c r="AU163" i="1"/>
  <c r="AV163" i="1" s="1"/>
  <c r="AW163" i="1" s="1"/>
  <c r="AN163" i="1"/>
  <c r="AO163" i="1" s="1"/>
  <c r="AP163" i="1" s="1"/>
  <c r="AL163" i="1"/>
  <c r="AE163" i="1"/>
  <c r="AG163" i="1" s="1"/>
  <c r="AD163" i="1"/>
  <c r="AF163" i="1" s="1"/>
  <c r="AU162" i="1"/>
  <c r="AV162" i="1" s="1"/>
  <c r="AW162" i="1" s="1"/>
  <c r="AN162" i="1"/>
  <c r="AO162" i="1" s="1"/>
  <c r="AP162" i="1" s="1"/>
  <c r="AL162" i="1"/>
  <c r="AE162" i="1"/>
  <c r="AG162" i="1" s="1"/>
  <c r="AD162" i="1"/>
  <c r="AF162" i="1" s="1"/>
  <c r="AU161" i="1"/>
  <c r="AV161" i="1" s="1"/>
  <c r="AW161" i="1" s="1"/>
  <c r="AN161" i="1"/>
  <c r="AO161" i="1" s="1"/>
  <c r="AP161" i="1" s="1"/>
  <c r="AL161" i="1"/>
  <c r="AE161" i="1"/>
  <c r="AG161" i="1" s="1"/>
  <c r="AD161" i="1"/>
  <c r="AF161" i="1" s="1"/>
  <c r="AU160" i="1"/>
  <c r="AV160" i="1" s="1"/>
  <c r="AW160" i="1" s="1"/>
  <c r="AN160" i="1"/>
  <c r="AO160" i="1" s="1"/>
  <c r="AP160" i="1" s="1"/>
  <c r="AL160" i="1"/>
  <c r="AE160" i="1"/>
  <c r="AG160" i="1" s="1"/>
  <c r="AD160" i="1"/>
  <c r="AF160" i="1" s="1"/>
  <c r="AU159" i="1"/>
  <c r="AV159" i="1" s="1"/>
  <c r="AW159" i="1" s="1"/>
  <c r="AN159" i="1"/>
  <c r="AO159" i="1" s="1"/>
  <c r="AP159" i="1" s="1"/>
  <c r="AL159" i="1"/>
  <c r="AE159" i="1"/>
  <c r="AG159" i="1" s="1"/>
  <c r="AD159" i="1"/>
  <c r="AF159" i="1" s="1"/>
  <c r="AU158" i="1"/>
  <c r="AV158" i="1" s="1"/>
  <c r="AW158" i="1" s="1"/>
  <c r="AN158" i="1"/>
  <c r="AO158" i="1" s="1"/>
  <c r="AP158" i="1" s="1"/>
  <c r="AL158" i="1"/>
  <c r="AE158" i="1"/>
  <c r="AG158" i="1" s="1"/>
  <c r="AD158" i="1"/>
  <c r="AF158" i="1" s="1"/>
  <c r="AU157" i="1"/>
  <c r="AV157" i="1" s="1"/>
  <c r="AW157" i="1" s="1"/>
  <c r="AN157" i="1"/>
  <c r="AO157" i="1" s="1"/>
  <c r="AP157" i="1" s="1"/>
  <c r="AL157" i="1"/>
  <c r="AE157" i="1"/>
  <c r="AG157" i="1" s="1"/>
  <c r="AD157" i="1"/>
  <c r="AF157" i="1" s="1"/>
  <c r="AH157" i="1" s="1"/>
  <c r="AQ157" i="1" s="1"/>
  <c r="AU156" i="1"/>
  <c r="AV156" i="1" s="1"/>
  <c r="AW156" i="1" s="1"/>
  <c r="AN156" i="1"/>
  <c r="AO156" i="1" s="1"/>
  <c r="AP156" i="1" s="1"/>
  <c r="AL156" i="1"/>
  <c r="AE156" i="1"/>
  <c r="AG156" i="1" s="1"/>
  <c r="AD156" i="1"/>
  <c r="AF156" i="1" s="1"/>
  <c r="AU155" i="1"/>
  <c r="AV155" i="1" s="1"/>
  <c r="AW155" i="1" s="1"/>
  <c r="AN155" i="1"/>
  <c r="AO155" i="1" s="1"/>
  <c r="AP155" i="1" s="1"/>
  <c r="AL155" i="1"/>
  <c r="AE155" i="1"/>
  <c r="AG155" i="1" s="1"/>
  <c r="AD155" i="1"/>
  <c r="AF155" i="1" s="1"/>
  <c r="AH155" i="1" s="1"/>
  <c r="AQ155" i="1" s="1"/>
  <c r="AU154" i="1"/>
  <c r="AV154" i="1" s="1"/>
  <c r="AW154" i="1" s="1"/>
  <c r="AN154" i="1"/>
  <c r="AO154" i="1" s="1"/>
  <c r="AP154" i="1" s="1"/>
  <c r="AL154" i="1"/>
  <c r="AE154" i="1"/>
  <c r="AG154" i="1" s="1"/>
  <c r="AD154" i="1"/>
  <c r="AF154" i="1" s="1"/>
  <c r="AU153" i="1"/>
  <c r="AV153" i="1" s="1"/>
  <c r="AW153" i="1" s="1"/>
  <c r="AN153" i="1"/>
  <c r="AO153" i="1" s="1"/>
  <c r="AP153" i="1" s="1"/>
  <c r="AL153" i="1"/>
  <c r="AE153" i="1"/>
  <c r="AG153" i="1" s="1"/>
  <c r="AD153" i="1"/>
  <c r="AF153" i="1" s="1"/>
  <c r="AH153" i="1" s="1"/>
  <c r="AQ153" i="1" s="1"/>
  <c r="AU152" i="1"/>
  <c r="AV152" i="1" s="1"/>
  <c r="AW152" i="1" s="1"/>
  <c r="AN152" i="1"/>
  <c r="AO152" i="1" s="1"/>
  <c r="AP152" i="1" s="1"/>
  <c r="AL152" i="1"/>
  <c r="AE152" i="1"/>
  <c r="AG152" i="1" s="1"/>
  <c r="AD152" i="1"/>
  <c r="AF152" i="1" s="1"/>
  <c r="AU151" i="1"/>
  <c r="AV151" i="1" s="1"/>
  <c r="AW151" i="1" s="1"/>
  <c r="AN151" i="1"/>
  <c r="AO151" i="1" s="1"/>
  <c r="AP151" i="1" s="1"/>
  <c r="AL151" i="1"/>
  <c r="AE151" i="1"/>
  <c r="AG151" i="1" s="1"/>
  <c r="AD151" i="1"/>
  <c r="AF151" i="1" s="1"/>
  <c r="AU150" i="1"/>
  <c r="AV150" i="1" s="1"/>
  <c r="AW150" i="1" s="1"/>
  <c r="AN150" i="1"/>
  <c r="AO150" i="1" s="1"/>
  <c r="AP150" i="1" s="1"/>
  <c r="AL150" i="1"/>
  <c r="AE150" i="1"/>
  <c r="AG150" i="1" s="1"/>
  <c r="AD150" i="1"/>
  <c r="AF150" i="1" s="1"/>
  <c r="AU149" i="1"/>
  <c r="AV149" i="1" s="1"/>
  <c r="AW149" i="1" s="1"/>
  <c r="AN149" i="1"/>
  <c r="AO149" i="1" s="1"/>
  <c r="AP149" i="1" s="1"/>
  <c r="AL149" i="1"/>
  <c r="AE149" i="1"/>
  <c r="AG149" i="1" s="1"/>
  <c r="AD149" i="1"/>
  <c r="AF149" i="1" s="1"/>
  <c r="AH149" i="1" s="1"/>
  <c r="AQ149" i="1" s="1"/>
  <c r="AU148" i="1"/>
  <c r="AV148" i="1" s="1"/>
  <c r="AW148" i="1" s="1"/>
  <c r="AN148" i="1"/>
  <c r="AO148" i="1" s="1"/>
  <c r="AP148" i="1" s="1"/>
  <c r="AL148" i="1"/>
  <c r="AE148" i="1"/>
  <c r="AG148" i="1" s="1"/>
  <c r="AD148" i="1"/>
  <c r="AF148" i="1" s="1"/>
  <c r="AU147" i="1"/>
  <c r="AV147" i="1" s="1"/>
  <c r="AW147" i="1" s="1"/>
  <c r="AN147" i="1"/>
  <c r="AO147" i="1" s="1"/>
  <c r="AP147" i="1" s="1"/>
  <c r="AL147" i="1"/>
  <c r="AE147" i="1"/>
  <c r="AG147" i="1" s="1"/>
  <c r="AI147" i="1" s="1"/>
  <c r="AX147" i="1" s="1"/>
  <c r="AD147" i="1"/>
  <c r="AF147" i="1" s="1"/>
  <c r="AU146" i="1"/>
  <c r="AV146" i="1" s="1"/>
  <c r="AW146" i="1" s="1"/>
  <c r="AN146" i="1"/>
  <c r="AO146" i="1" s="1"/>
  <c r="AP146" i="1" s="1"/>
  <c r="AL146" i="1"/>
  <c r="AE146" i="1"/>
  <c r="AG146" i="1" s="1"/>
  <c r="AD146" i="1"/>
  <c r="AF146" i="1" s="1"/>
  <c r="AH146" i="1" s="1"/>
  <c r="AQ146" i="1" s="1"/>
  <c r="AU145" i="1"/>
  <c r="AV145" i="1" s="1"/>
  <c r="AW145" i="1" s="1"/>
  <c r="AN145" i="1"/>
  <c r="AO145" i="1" s="1"/>
  <c r="AP145" i="1" s="1"/>
  <c r="AL145" i="1"/>
  <c r="AE145" i="1"/>
  <c r="AG145" i="1" s="1"/>
  <c r="AI145" i="1" s="1"/>
  <c r="AX145" i="1" s="1"/>
  <c r="AD145" i="1"/>
  <c r="AF145" i="1" s="1"/>
  <c r="AU144" i="1"/>
  <c r="AV144" i="1" s="1"/>
  <c r="AW144" i="1" s="1"/>
  <c r="AN144" i="1"/>
  <c r="AO144" i="1" s="1"/>
  <c r="AP144" i="1" s="1"/>
  <c r="AL144" i="1"/>
  <c r="AE144" i="1"/>
  <c r="AG144" i="1" s="1"/>
  <c r="AD144" i="1"/>
  <c r="AF144" i="1" s="1"/>
  <c r="AH144" i="1" s="1"/>
  <c r="AQ144" i="1" s="1"/>
  <c r="AU143" i="1"/>
  <c r="AV143" i="1" s="1"/>
  <c r="AW143" i="1" s="1"/>
  <c r="AS143" i="1"/>
  <c r="AN143" i="1"/>
  <c r="AO143" i="1" s="1"/>
  <c r="AP143" i="1" s="1"/>
  <c r="AL143" i="1"/>
  <c r="AE143" i="1"/>
  <c r="AG143" i="1" s="1"/>
  <c r="AI143" i="1" s="1"/>
  <c r="AX143" i="1" s="1"/>
  <c r="AD143" i="1"/>
  <c r="AF143" i="1" s="1"/>
  <c r="AH143" i="1" s="1"/>
  <c r="AQ143" i="1" s="1"/>
  <c r="AU142" i="1"/>
  <c r="AV142" i="1" s="1"/>
  <c r="AW142" i="1" s="1"/>
  <c r="AN142" i="1"/>
  <c r="AO142" i="1" s="1"/>
  <c r="AP142" i="1" s="1"/>
  <c r="AL142" i="1"/>
  <c r="AE142" i="1"/>
  <c r="AG142" i="1" s="1"/>
  <c r="AD142" i="1"/>
  <c r="AF142" i="1" s="1"/>
  <c r="AH142" i="1" s="1"/>
  <c r="AQ142" i="1" s="1"/>
  <c r="AU141" i="1"/>
  <c r="AV141" i="1" s="1"/>
  <c r="AW141" i="1" s="1"/>
  <c r="AN141" i="1"/>
  <c r="AO141" i="1" s="1"/>
  <c r="AP141" i="1" s="1"/>
  <c r="AL141" i="1"/>
  <c r="AE141" i="1"/>
  <c r="AG141" i="1" s="1"/>
  <c r="AI141" i="1" s="1"/>
  <c r="AX141" i="1" s="1"/>
  <c r="AD141" i="1"/>
  <c r="AF141" i="1" s="1"/>
  <c r="AU140" i="1"/>
  <c r="AV140" i="1" s="1"/>
  <c r="AW140" i="1" s="1"/>
  <c r="AN140" i="1"/>
  <c r="AO140" i="1" s="1"/>
  <c r="AP140" i="1" s="1"/>
  <c r="AL140" i="1"/>
  <c r="AE140" i="1"/>
  <c r="AG140" i="1" s="1"/>
  <c r="AD140" i="1"/>
  <c r="AF140" i="1" s="1"/>
  <c r="AH140" i="1" s="1"/>
  <c r="AQ140" i="1" s="1"/>
  <c r="AU139" i="1"/>
  <c r="AV139" i="1" s="1"/>
  <c r="AW139" i="1" s="1"/>
  <c r="AN139" i="1"/>
  <c r="AO139" i="1" s="1"/>
  <c r="AP139" i="1" s="1"/>
  <c r="AL139" i="1"/>
  <c r="AG139" i="1"/>
  <c r="AI139" i="1" s="1"/>
  <c r="AX139" i="1" s="1"/>
  <c r="AE139" i="1"/>
  <c r="AD139" i="1"/>
  <c r="AF139" i="1" s="1"/>
  <c r="AH139" i="1" s="1"/>
  <c r="AQ139" i="1" s="1"/>
  <c r="AU138" i="1"/>
  <c r="AV138" i="1" s="1"/>
  <c r="AW138" i="1" s="1"/>
  <c r="AN138" i="1"/>
  <c r="AO138" i="1" s="1"/>
  <c r="AP138" i="1" s="1"/>
  <c r="AL138" i="1"/>
  <c r="AE138" i="1"/>
  <c r="AG138" i="1" s="1"/>
  <c r="AD138" i="1"/>
  <c r="AF138" i="1" s="1"/>
  <c r="AH138" i="1" s="1"/>
  <c r="AQ138" i="1" s="1"/>
  <c r="AU137" i="1"/>
  <c r="AV137" i="1" s="1"/>
  <c r="AW137" i="1" s="1"/>
  <c r="AN137" i="1"/>
  <c r="AO137" i="1" s="1"/>
  <c r="AP137" i="1" s="1"/>
  <c r="AL137" i="1"/>
  <c r="AE137" i="1"/>
  <c r="AG137" i="1" s="1"/>
  <c r="AD137" i="1"/>
  <c r="AF137" i="1" s="1"/>
  <c r="AH137" i="1" s="1"/>
  <c r="AQ137" i="1" s="1"/>
  <c r="AU136" i="1"/>
  <c r="AV136" i="1" s="1"/>
  <c r="AW136" i="1" s="1"/>
  <c r="AN136" i="1"/>
  <c r="AO136" i="1" s="1"/>
  <c r="AP136" i="1" s="1"/>
  <c r="AL136" i="1"/>
  <c r="AE136" i="1"/>
  <c r="AG136" i="1" s="1"/>
  <c r="AD136" i="1"/>
  <c r="AF136" i="1" s="1"/>
  <c r="AU135" i="1"/>
  <c r="AV135" i="1" s="1"/>
  <c r="AW135" i="1" s="1"/>
  <c r="AN135" i="1"/>
  <c r="AO135" i="1" s="1"/>
  <c r="AP135" i="1" s="1"/>
  <c r="AL135" i="1"/>
  <c r="AE135" i="1"/>
  <c r="AG135" i="1" s="1"/>
  <c r="AD135" i="1"/>
  <c r="AF135" i="1" s="1"/>
  <c r="AU134" i="1"/>
  <c r="AV134" i="1" s="1"/>
  <c r="AW134" i="1" s="1"/>
  <c r="AN134" i="1"/>
  <c r="AO134" i="1" s="1"/>
  <c r="AP134" i="1" s="1"/>
  <c r="AL134" i="1"/>
  <c r="AE134" i="1"/>
  <c r="AG134" i="1" s="1"/>
  <c r="AD134" i="1"/>
  <c r="AF134" i="1" s="1"/>
  <c r="AU133" i="1"/>
  <c r="AV133" i="1" s="1"/>
  <c r="AW133" i="1" s="1"/>
  <c r="AN133" i="1"/>
  <c r="AO133" i="1" s="1"/>
  <c r="AP133" i="1" s="1"/>
  <c r="AL133" i="1"/>
  <c r="AE133" i="1"/>
  <c r="AG133" i="1" s="1"/>
  <c r="AD133" i="1"/>
  <c r="AF133" i="1" s="1"/>
  <c r="AU132" i="1"/>
  <c r="AV132" i="1" s="1"/>
  <c r="AW132" i="1" s="1"/>
  <c r="AN132" i="1"/>
  <c r="AO132" i="1" s="1"/>
  <c r="AP132" i="1" s="1"/>
  <c r="AL132" i="1"/>
  <c r="AE132" i="1"/>
  <c r="AG132" i="1" s="1"/>
  <c r="AD132" i="1"/>
  <c r="AF132" i="1" s="1"/>
  <c r="AU131" i="1"/>
  <c r="AV131" i="1" s="1"/>
  <c r="AW131" i="1" s="1"/>
  <c r="AN131" i="1"/>
  <c r="AO131" i="1" s="1"/>
  <c r="AP131" i="1" s="1"/>
  <c r="AL131" i="1"/>
  <c r="AE131" i="1"/>
  <c r="AG131" i="1" s="1"/>
  <c r="AD131" i="1"/>
  <c r="AF131" i="1" s="1"/>
  <c r="AU130" i="1"/>
  <c r="AV130" i="1" s="1"/>
  <c r="AW130" i="1" s="1"/>
  <c r="AN130" i="1"/>
  <c r="AO130" i="1" s="1"/>
  <c r="AP130" i="1" s="1"/>
  <c r="AL130" i="1"/>
  <c r="AE130" i="1"/>
  <c r="AG130" i="1" s="1"/>
  <c r="AD130" i="1"/>
  <c r="AF130" i="1" s="1"/>
  <c r="AU129" i="1"/>
  <c r="AV129" i="1" s="1"/>
  <c r="AW129" i="1" s="1"/>
  <c r="AN129" i="1"/>
  <c r="AO129" i="1" s="1"/>
  <c r="AP129" i="1" s="1"/>
  <c r="AL129" i="1"/>
  <c r="AE129" i="1"/>
  <c r="AG129" i="1" s="1"/>
  <c r="AD129" i="1"/>
  <c r="AF129" i="1" s="1"/>
  <c r="AU128" i="1"/>
  <c r="AV128" i="1" s="1"/>
  <c r="AW128" i="1" s="1"/>
  <c r="AN128" i="1"/>
  <c r="AO128" i="1" s="1"/>
  <c r="AP128" i="1" s="1"/>
  <c r="AL128" i="1"/>
  <c r="AE128" i="1"/>
  <c r="AG128" i="1" s="1"/>
  <c r="AD128" i="1"/>
  <c r="AF128" i="1" s="1"/>
  <c r="AU127" i="1"/>
  <c r="AV127" i="1" s="1"/>
  <c r="AW127" i="1" s="1"/>
  <c r="AN127" i="1"/>
  <c r="AO127" i="1" s="1"/>
  <c r="AP127" i="1" s="1"/>
  <c r="AL127" i="1"/>
  <c r="AE127" i="1"/>
  <c r="AG127" i="1" s="1"/>
  <c r="AD127" i="1"/>
  <c r="AF127" i="1" s="1"/>
  <c r="AU126" i="1"/>
  <c r="AV126" i="1" s="1"/>
  <c r="AW126" i="1" s="1"/>
  <c r="AN126" i="1"/>
  <c r="AO126" i="1" s="1"/>
  <c r="AP126" i="1" s="1"/>
  <c r="AL126" i="1"/>
  <c r="AE126" i="1"/>
  <c r="AG126" i="1" s="1"/>
  <c r="AD126" i="1"/>
  <c r="AF126" i="1" s="1"/>
  <c r="AU125" i="1"/>
  <c r="AV125" i="1" s="1"/>
  <c r="AW125" i="1" s="1"/>
  <c r="AN125" i="1"/>
  <c r="AO125" i="1" s="1"/>
  <c r="AP125" i="1" s="1"/>
  <c r="AL125" i="1"/>
  <c r="AE125" i="1"/>
  <c r="AG125" i="1" s="1"/>
  <c r="AD125" i="1"/>
  <c r="AF125" i="1" s="1"/>
  <c r="AU124" i="1"/>
  <c r="AV124" i="1" s="1"/>
  <c r="AW124" i="1" s="1"/>
  <c r="AN124" i="1"/>
  <c r="AO124" i="1" s="1"/>
  <c r="AP124" i="1" s="1"/>
  <c r="AL124" i="1"/>
  <c r="AE124" i="1"/>
  <c r="AG124" i="1" s="1"/>
  <c r="AD124" i="1"/>
  <c r="AF124" i="1" s="1"/>
  <c r="AU123" i="1"/>
  <c r="AV123" i="1" s="1"/>
  <c r="AW123" i="1" s="1"/>
  <c r="AN123" i="1"/>
  <c r="AO123" i="1" s="1"/>
  <c r="AP123" i="1" s="1"/>
  <c r="AL123" i="1"/>
  <c r="AE123" i="1"/>
  <c r="AG123" i="1" s="1"/>
  <c r="AD123" i="1"/>
  <c r="AF123" i="1" s="1"/>
  <c r="AU122" i="1"/>
  <c r="AV122" i="1" s="1"/>
  <c r="AW122" i="1" s="1"/>
  <c r="AN122" i="1"/>
  <c r="AO122" i="1" s="1"/>
  <c r="AP122" i="1" s="1"/>
  <c r="AL122" i="1"/>
  <c r="AE122" i="1"/>
  <c r="AG122" i="1" s="1"/>
  <c r="AD122" i="1"/>
  <c r="AF122" i="1" s="1"/>
  <c r="AU121" i="1"/>
  <c r="AV121" i="1" s="1"/>
  <c r="AW121" i="1" s="1"/>
  <c r="AN121" i="1"/>
  <c r="AO121" i="1" s="1"/>
  <c r="AP121" i="1" s="1"/>
  <c r="AL121" i="1"/>
  <c r="AE121" i="1"/>
  <c r="AG121" i="1" s="1"/>
  <c r="AD121" i="1"/>
  <c r="AF121" i="1" s="1"/>
  <c r="AU120" i="1"/>
  <c r="AV120" i="1" s="1"/>
  <c r="AW120" i="1" s="1"/>
  <c r="AN120" i="1"/>
  <c r="AO120" i="1" s="1"/>
  <c r="AP120" i="1" s="1"/>
  <c r="AL120" i="1"/>
  <c r="AE120" i="1"/>
  <c r="AG120" i="1" s="1"/>
  <c r="AD120" i="1"/>
  <c r="AF120" i="1" s="1"/>
  <c r="AU119" i="1"/>
  <c r="AV119" i="1" s="1"/>
  <c r="AW119" i="1" s="1"/>
  <c r="AN119" i="1"/>
  <c r="AO119" i="1" s="1"/>
  <c r="AP119" i="1" s="1"/>
  <c r="AL119" i="1"/>
  <c r="AE119" i="1"/>
  <c r="AG119" i="1" s="1"/>
  <c r="AD119" i="1"/>
  <c r="AF119" i="1" s="1"/>
  <c r="AU118" i="1"/>
  <c r="AV118" i="1" s="1"/>
  <c r="AW118" i="1" s="1"/>
  <c r="AN118" i="1"/>
  <c r="AO118" i="1" s="1"/>
  <c r="AP118" i="1" s="1"/>
  <c r="AL118" i="1"/>
  <c r="AE118" i="1"/>
  <c r="AG118" i="1" s="1"/>
  <c r="AD118" i="1"/>
  <c r="AF118" i="1" s="1"/>
  <c r="AU117" i="1"/>
  <c r="AV117" i="1" s="1"/>
  <c r="AW117" i="1" s="1"/>
  <c r="AN117" i="1"/>
  <c r="AO117" i="1" s="1"/>
  <c r="AP117" i="1" s="1"/>
  <c r="AL117" i="1"/>
  <c r="AE117" i="1"/>
  <c r="AG117" i="1" s="1"/>
  <c r="AD117" i="1"/>
  <c r="AF117" i="1" s="1"/>
  <c r="AU116" i="1"/>
  <c r="AV116" i="1" s="1"/>
  <c r="AW116" i="1" s="1"/>
  <c r="AN116" i="1"/>
  <c r="AO116" i="1" s="1"/>
  <c r="AP116" i="1" s="1"/>
  <c r="AL116" i="1"/>
  <c r="AE116" i="1"/>
  <c r="AG116" i="1" s="1"/>
  <c r="AD116" i="1"/>
  <c r="AF116" i="1" s="1"/>
  <c r="AU115" i="1"/>
  <c r="AV115" i="1" s="1"/>
  <c r="AW115" i="1" s="1"/>
  <c r="AN115" i="1"/>
  <c r="AO115" i="1" s="1"/>
  <c r="AP115" i="1" s="1"/>
  <c r="AL115" i="1"/>
  <c r="AE115" i="1"/>
  <c r="AG115" i="1" s="1"/>
  <c r="AD115" i="1"/>
  <c r="AF115" i="1" s="1"/>
  <c r="AU114" i="1"/>
  <c r="AV114" i="1" s="1"/>
  <c r="AW114" i="1" s="1"/>
  <c r="AN114" i="1"/>
  <c r="AO114" i="1" s="1"/>
  <c r="AP114" i="1" s="1"/>
  <c r="AL114" i="1"/>
  <c r="AE114" i="1"/>
  <c r="AG114" i="1" s="1"/>
  <c r="AD114" i="1"/>
  <c r="AF114" i="1" s="1"/>
  <c r="AU113" i="1"/>
  <c r="AV113" i="1" s="1"/>
  <c r="AW113" i="1" s="1"/>
  <c r="AN113" i="1"/>
  <c r="AO113" i="1" s="1"/>
  <c r="AP113" i="1" s="1"/>
  <c r="AL113" i="1"/>
  <c r="AE113" i="1"/>
  <c r="AG113" i="1" s="1"/>
  <c r="AD113" i="1"/>
  <c r="AF113" i="1" s="1"/>
  <c r="AU112" i="1"/>
  <c r="AV112" i="1" s="1"/>
  <c r="AW112" i="1" s="1"/>
  <c r="AN112" i="1"/>
  <c r="AO112" i="1" s="1"/>
  <c r="AP112" i="1" s="1"/>
  <c r="AL112" i="1"/>
  <c r="AE112" i="1"/>
  <c r="AG112" i="1" s="1"/>
  <c r="AD112" i="1"/>
  <c r="AF112" i="1" s="1"/>
  <c r="AU111" i="1"/>
  <c r="AV111" i="1" s="1"/>
  <c r="AW111" i="1" s="1"/>
  <c r="AN111" i="1"/>
  <c r="AO111" i="1" s="1"/>
  <c r="AP111" i="1" s="1"/>
  <c r="AL111" i="1"/>
  <c r="AE111" i="1"/>
  <c r="AG111" i="1" s="1"/>
  <c r="AD111" i="1"/>
  <c r="AF111" i="1" s="1"/>
  <c r="AU110" i="1"/>
  <c r="AV110" i="1" s="1"/>
  <c r="AW110" i="1" s="1"/>
  <c r="AN110" i="1"/>
  <c r="AO110" i="1" s="1"/>
  <c r="AP110" i="1" s="1"/>
  <c r="AL110" i="1"/>
  <c r="AE110" i="1"/>
  <c r="AG110" i="1" s="1"/>
  <c r="AD110" i="1"/>
  <c r="AF110" i="1" s="1"/>
  <c r="AU109" i="1"/>
  <c r="AV109" i="1" s="1"/>
  <c r="AW109" i="1" s="1"/>
  <c r="AN109" i="1"/>
  <c r="AO109" i="1" s="1"/>
  <c r="AP109" i="1" s="1"/>
  <c r="AL109" i="1"/>
  <c r="AE109" i="1"/>
  <c r="AG109" i="1" s="1"/>
  <c r="AD109" i="1"/>
  <c r="AF109" i="1" s="1"/>
  <c r="AU108" i="1"/>
  <c r="AV108" i="1" s="1"/>
  <c r="AW108" i="1" s="1"/>
  <c r="AN108" i="1"/>
  <c r="AO108" i="1" s="1"/>
  <c r="AP108" i="1" s="1"/>
  <c r="AL108" i="1"/>
  <c r="AE108" i="1"/>
  <c r="AG108" i="1" s="1"/>
  <c r="AD108" i="1"/>
  <c r="AF108" i="1" s="1"/>
  <c r="AU107" i="1"/>
  <c r="AV107" i="1" s="1"/>
  <c r="AW107" i="1" s="1"/>
  <c r="AN107" i="1"/>
  <c r="AO107" i="1" s="1"/>
  <c r="AP107" i="1" s="1"/>
  <c r="AL107" i="1"/>
  <c r="AE107" i="1"/>
  <c r="AG107" i="1" s="1"/>
  <c r="AD107" i="1"/>
  <c r="AF107" i="1" s="1"/>
  <c r="AU106" i="1"/>
  <c r="AV106" i="1" s="1"/>
  <c r="AW106" i="1" s="1"/>
  <c r="AN106" i="1"/>
  <c r="AO106" i="1" s="1"/>
  <c r="AP106" i="1" s="1"/>
  <c r="AL106" i="1"/>
  <c r="AE106" i="1"/>
  <c r="AG106" i="1" s="1"/>
  <c r="AD106" i="1"/>
  <c r="AF106" i="1" s="1"/>
  <c r="AU105" i="1"/>
  <c r="AV105" i="1" s="1"/>
  <c r="AW105" i="1" s="1"/>
  <c r="AN105" i="1"/>
  <c r="AO105" i="1" s="1"/>
  <c r="AP105" i="1" s="1"/>
  <c r="AL105" i="1"/>
  <c r="AE105" i="1"/>
  <c r="AG105" i="1" s="1"/>
  <c r="AD105" i="1"/>
  <c r="AF105" i="1" s="1"/>
  <c r="AU104" i="1"/>
  <c r="AV104" i="1" s="1"/>
  <c r="AW104" i="1" s="1"/>
  <c r="AN104" i="1"/>
  <c r="AO104" i="1" s="1"/>
  <c r="AP104" i="1" s="1"/>
  <c r="AL104" i="1"/>
  <c r="AE104" i="1"/>
  <c r="AG104" i="1" s="1"/>
  <c r="AD104" i="1"/>
  <c r="AF104" i="1" s="1"/>
  <c r="AU103" i="1"/>
  <c r="AV103" i="1" s="1"/>
  <c r="AW103" i="1" s="1"/>
  <c r="AN103" i="1"/>
  <c r="AO103" i="1" s="1"/>
  <c r="AP103" i="1" s="1"/>
  <c r="AL103" i="1"/>
  <c r="AE103" i="1"/>
  <c r="AG103" i="1" s="1"/>
  <c r="AD103" i="1"/>
  <c r="AF103" i="1" s="1"/>
  <c r="AU102" i="1"/>
  <c r="AV102" i="1" s="1"/>
  <c r="AW102" i="1" s="1"/>
  <c r="AN102" i="1"/>
  <c r="AO102" i="1" s="1"/>
  <c r="AP102" i="1" s="1"/>
  <c r="AL102" i="1"/>
  <c r="AE102" i="1"/>
  <c r="AG102" i="1" s="1"/>
  <c r="AD102" i="1"/>
  <c r="AF102" i="1" s="1"/>
  <c r="AU101" i="1"/>
  <c r="AV101" i="1" s="1"/>
  <c r="AW101" i="1" s="1"/>
  <c r="AN101" i="1"/>
  <c r="AO101" i="1" s="1"/>
  <c r="AP101" i="1" s="1"/>
  <c r="AL101" i="1"/>
  <c r="AE101" i="1"/>
  <c r="AG101" i="1" s="1"/>
  <c r="AD101" i="1"/>
  <c r="AF101" i="1" s="1"/>
  <c r="AU100" i="1"/>
  <c r="AV100" i="1" s="1"/>
  <c r="AW100" i="1" s="1"/>
  <c r="AN100" i="1"/>
  <c r="AO100" i="1" s="1"/>
  <c r="AP100" i="1" s="1"/>
  <c r="AL100" i="1"/>
  <c r="AE100" i="1"/>
  <c r="AG100" i="1" s="1"/>
  <c r="AD100" i="1"/>
  <c r="AF100" i="1" s="1"/>
  <c r="AU99" i="1"/>
  <c r="AV99" i="1" s="1"/>
  <c r="AW99" i="1" s="1"/>
  <c r="AN99" i="1"/>
  <c r="AO99" i="1" s="1"/>
  <c r="AP99" i="1" s="1"/>
  <c r="AL99" i="1"/>
  <c r="AE99" i="1"/>
  <c r="AG99" i="1" s="1"/>
  <c r="AI99" i="1" s="1"/>
  <c r="AX99" i="1" s="1"/>
  <c r="AY99" i="1" s="1"/>
  <c r="AD99" i="1"/>
  <c r="AF99" i="1" s="1"/>
  <c r="AH99" i="1" s="1"/>
  <c r="AQ99" i="1" s="1"/>
  <c r="AU98" i="1"/>
  <c r="AV98" i="1" s="1"/>
  <c r="AW98" i="1" s="1"/>
  <c r="AN98" i="1"/>
  <c r="AO98" i="1" s="1"/>
  <c r="AP98" i="1" s="1"/>
  <c r="AL98" i="1"/>
  <c r="AE98" i="1"/>
  <c r="AG98" i="1" s="1"/>
  <c r="AD98" i="1"/>
  <c r="AF98" i="1" s="1"/>
  <c r="AU97" i="1"/>
  <c r="AV97" i="1" s="1"/>
  <c r="AW97" i="1" s="1"/>
  <c r="AN97" i="1"/>
  <c r="AO97" i="1" s="1"/>
  <c r="AP97" i="1" s="1"/>
  <c r="AL97" i="1"/>
  <c r="AE97" i="1"/>
  <c r="AG97" i="1" s="1"/>
  <c r="AD97" i="1"/>
  <c r="AF97" i="1" s="1"/>
  <c r="AH97" i="1" s="1"/>
  <c r="AQ97" i="1" s="1"/>
  <c r="AU96" i="1"/>
  <c r="AV96" i="1" s="1"/>
  <c r="AW96" i="1" s="1"/>
  <c r="AN96" i="1"/>
  <c r="AO96" i="1" s="1"/>
  <c r="AP96" i="1" s="1"/>
  <c r="AL96" i="1"/>
  <c r="AE96" i="1"/>
  <c r="AG96" i="1" s="1"/>
  <c r="AD96" i="1"/>
  <c r="AF96" i="1" s="1"/>
  <c r="AU95" i="1"/>
  <c r="AV95" i="1" s="1"/>
  <c r="AW95" i="1" s="1"/>
  <c r="AN95" i="1"/>
  <c r="AO95" i="1" s="1"/>
  <c r="AP95" i="1" s="1"/>
  <c r="AL95" i="1"/>
  <c r="AE95" i="1"/>
  <c r="AG95" i="1" s="1"/>
  <c r="AD95" i="1"/>
  <c r="AF95" i="1" s="1"/>
  <c r="AH95" i="1" s="1"/>
  <c r="AQ95" i="1" s="1"/>
  <c r="AU94" i="1"/>
  <c r="AV94" i="1" s="1"/>
  <c r="AW94" i="1" s="1"/>
  <c r="AN94" i="1"/>
  <c r="AO94" i="1" s="1"/>
  <c r="AP94" i="1" s="1"/>
  <c r="AL94" i="1"/>
  <c r="AE94" i="1"/>
  <c r="AG94" i="1" s="1"/>
  <c r="AD94" i="1"/>
  <c r="AF94" i="1" s="1"/>
  <c r="AU93" i="1"/>
  <c r="AV93" i="1" s="1"/>
  <c r="AW93" i="1" s="1"/>
  <c r="AN93" i="1"/>
  <c r="AO93" i="1" s="1"/>
  <c r="AP93" i="1" s="1"/>
  <c r="AL93" i="1"/>
  <c r="AE93" i="1"/>
  <c r="AG93" i="1" s="1"/>
  <c r="AD93" i="1"/>
  <c r="AF93" i="1" s="1"/>
  <c r="AH93" i="1" s="1"/>
  <c r="AQ93" i="1" s="1"/>
  <c r="AU92" i="1"/>
  <c r="AV92" i="1" s="1"/>
  <c r="AW92" i="1" s="1"/>
  <c r="AN92" i="1"/>
  <c r="AO92" i="1" s="1"/>
  <c r="AP92" i="1" s="1"/>
  <c r="AL92" i="1"/>
  <c r="AE92" i="1"/>
  <c r="AG92" i="1" s="1"/>
  <c r="AD92" i="1"/>
  <c r="AF92" i="1" s="1"/>
  <c r="AH92" i="1" s="1"/>
  <c r="AQ92" i="1" s="1"/>
  <c r="AU91" i="1"/>
  <c r="AV91" i="1" s="1"/>
  <c r="AW91" i="1" s="1"/>
  <c r="AN91" i="1"/>
  <c r="AO91" i="1" s="1"/>
  <c r="AP91" i="1" s="1"/>
  <c r="AL91" i="1"/>
  <c r="AE91" i="1"/>
  <c r="AG91" i="1" s="1"/>
  <c r="AD91" i="1"/>
  <c r="AF91" i="1" s="1"/>
  <c r="AU90" i="1"/>
  <c r="AV90" i="1" s="1"/>
  <c r="AW90" i="1" s="1"/>
  <c r="AN90" i="1"/>
  <c r="AO90" i="1" s="1"/>
  <c r="AP90" i="1" s="1"/>
  <c r="AL90" i="1"/>
  <c r="AE90" i="1"/>
  <c r="AG90" i="1" s="1"/>
  <c r="AD90" i="1"/>
  <c r="AF90" i="1" s="1"/>
  <c r="AU89" i="1"/>
  <c r="AV89" i="1" s="1"/>
  <c r="AW89" i="1" s="1"/>
  <c r="AN89" i="1"/>
  <c r="AO89" i="1" s="1"/>
  <c r="AP89" i="1" s="1"/>
  <c r="AL89" i="1"/>
  <c r="AE89" i="1"/>
  <c r="AG89" i="1" s="1"/>
  <c r="AD89" i="1"/>
  <c r="AF89" i="1" s="1"/>
  <c r="AV88" i="1"/>
  <c r="AW88" i="1" s="1"/>
  <c r="AU88" i="1"/>
  <c r="AN88" i="1"/>
  <c r="AO88" i="1" s="1"/>
  <c r="AP88" i="1" s="1"/>
  <c r="AL88" i="1"/>
  <c r="AE88" i="1"/>
  <c r="AG88" i="1" s="1"/>
  <c r="AD88" i="1"/>
  <c r="AF88" i="1" s="1"/>
  <c r="AU87" i="1"/>
  <c r="AV87" i="1" s="1"/>
  <c r="AW87" i="1" s="1"/>
  <c r="AN87" i="1"/>
  <c r="AO87" i="1" s="1"/>
  <c r="AP87" i="1" s="1"/>
  <c r="AL87" i="1"/>
  <c r="AE87" i="1"/>
  <c r="AG87" i="1" s="1"/>
  <c r="AD87" i="1"/>
  <c r="AF87" i="1" s="1"/>
  <c r="AU86" i="1"/>
  <c r="AV86" i="1" s="1"/>
  <c r="AW86" i="1" s="1"/>
  <c r="AN86" i="1"/>
  <c r="AO86" i="1" s="1"/>
  <c r="AP86" i="1" s="1"/>
  <c r="AL86" i="1"/>
  <c r="AE86" i="1"/>
  <c r="AG86" i="1" s="1"/>
  <c r="AD86" i="1"/>
  <c r="AF86" i="1" s="1"/>
  <c r="AU85" i="1"/>
  <c r="AV85" i="1" s="1"/>
  <c r="AW85" i="1" s="1"/>
  <c r="AN85" i="1"/>
  <c r="AO85" i="1" s="1"/>
  <c r="AP85" i="1" s="1"/>
  <c r="AL85" i="1"/>
  <c r="AE85" i="1"/>
  <c r="AG85" i="1" s="1"/>
  <c r="AD85" i="1"/>
  <c r="AF85" i="1" s="1"/>
  <c r="AU84" i="1"/>
  <c r="AV84" i="1" s="1"/>
  <c r="AW84" i="1" s="1"/>
  <c r="AN84" i="1"/>
  <c r="AO84" i="1" s="1"/>
  <c r="AP84" i="1" s="1"/>
  <c r="AL84" i="1"/>
  <c r="AE84" i="1"/>
  <c r="AG84" i="1" s="1"/>
  <c r="AD84" i="1"/>
  <c r="AF84" i="1" s="1"/>
  <c r="AU83" i="1"/>
  <c r="AV83" i="1" s="1"/>
  <c r="AW83" i="1" s="1"/>
  <c r="AN83" i="1"/>
  <c r="AO83" i="1" s="1"/>
  <c r="AP83" i="1" s="1"/>
  <c r="AL83" i="1"/>
  <c r="AE83" i="1"/>
  <c r="AG83" i="1" s="1"/>
  <c r="AD83" i="1"/>
  <c r="AF83" i="1" s="1"/>
  <c r="AU82" i="1"/>
  <c r="AV82" i="1" s="1"/>
  <c r="AW82" i="1" s="1"/>
  <c r="AN82" i="1"/>
  <c r="AO82" i="1" s="1"/>
  <c r="AP82" i="1" s="1"/>
  <c r="AL82" i="1"/>
  <c r="AE82" i="1"/>
  <c r="AG82" i="1" s="1"/>
  <c r="AD82" i="1"/>
  <c r="AF82" i="1" s="1"/>
  <c r="AU81" i="1"/>
  <c r="AV81" i="1" s="1"/>
  <c r="AW81" i="1" s="1"/>
  <c r="AN81" i="1"/>
  <c r="AO81" i="1" s="1"/>
  <c r="AP81" i="1" s="1"/>
  <c r="AL81" i="1"/>
  <c r="AE81" i="1"/>
  <c r="AG81" i="1" s="1"/>
  <c r="AD81" i="1"/>
  <c r="AF81" i="1" s="1"/>
  <c r="AU80" i="1"/>
  <c r="AV80" i="1" s="1"/>
  <c r="AW80" i="1" s="1"/>
  <c r="AN80" i="1"/>
  <c r="AO80" i="1" s="1"/>
  <c r="AP80" i="1" s="1"/>
  <c r="AL80" i="1"/>
  <c r="AE80" i="1"/>
  <c r="AG80" i="1" s="1"/>
  <c r="AD80" i="1"/>
  <c r="AF80" i="1" s="1"/>
  <c r="AU79" i="1"/>
  <c r="AV79" i="1" s="1"/>
  <c r="AW79" i="1" s="1"/>
  <c r="AN79" i="1"/>
  <c r="AO79" i="1" s="1"/>
  <c r="AP79" i="1" s="1"/>
  <c r="AL79" i="1"/>
  <c r="AE79" i="1"/>
  <c r="AG79" i="1" s="1"/>
  <c r="AD79" i="1"/>
  <c r="AF79" i="1" s="1"/>
  <c r="AU78" i="1"/>
  <c r="AV78" i="1" s="1"/>
  <c r="AW78" i="1" s="1"/>
  <c r="AN78" i="1"/>
  <c r="AO78" i="1" s="1"/>
  <c r="AP78" i="1" s="1"/>
  <c r="AL78" i="1"/>
  <c r="AE78" i="1"/>
  <c r="AG78" i="1" s="1"/>
  <c r="AD78" i="1"/>
  <c r="AF78" i="1" s="1"/>
  <c r="AU77" i="1"/>
  <c r="AV77" i="1" s="1"/>
  <c r="AW77" i="1" s="1"/>
  <c r="AN77" i="1"/>
  <c r="AO77" i="1" s="1"/>
  <c r="AP77" i="1" s="1"/>
  <c r="AL77" i="1"/>
  <c r="AE77" i="1"/>
  <c r="AG77" i="1" s="1"/>
  <c r="AD77" i="1"/>
  <c r="AF77" i="1" s="1"/>
  <c r="AU76" i="1"/>
  <c r="AV76" i="1" s="1"/>
  <c r="AW76" i="1" s="1"/>
  <c r="AN76" i="1"/>
  <c r="AO76" i="1" s="1"/>
  <c r="AP76" i="1" s="1"/>
  <c r="AL76" i="1"/>
  <c r="AE76" i="1"/>
  <c r="AG76" i="1" s="1"/>
  <c r="AD76" i="1"/>
  <c r="AF76" i="1" s="1"/>
  <c r="AU75" i="1"/>
  <c r="AV75" i="1" s="1"/>
  <c r="AW75" i="1" s="1"/>
  <c r="AN75" i="1"/>
  <c r="AO75" i="1" s="1"/>
  <c r="AP75" i="1" s="1"/>
  <c r="AL75" i="1"/>
  <c r="AE75" i="1"/>
  <c r="AG75" i="1" s="1"/>
  <c r="AD75" i="1"/>
  <c r="AF75" i="1" s="1"/>
  <c r="AU74" i="1"/>
  <c r="AV74" i="1" s="1"/>
  <c r="AW74" i="1" s="1"/>
  <c r="AN74" i="1"/>
  <c r="AO74" i="1" s="1"/>
  <c r="AP74" i="1" s="1"/>
  <c r="AL74" i="1"/>
  <c r="AE74" i="1"/>
  <c r="AG74" i="1" s="1"/>
  <c r="AD74" i="1"/>
  <c r="AF74" i="1" s="1"/>
  <c r="AU73" i="1"/>
  <c r="AV73" i="1" s="1"/>
  <c r="AW73" i="1" s="1"/>
  <c r="AN73" i="1"/>
  <c r="AO73" i="1" s="1"/>
  <c r="AP73" i="1" s="1"/>
  <c r="AL73" i="1"/>
  <c r="AE73" i="1"/>
  <c r="AG73" i="1" s="1"/>
  <c r="AD73" i="1"/>
  <c r="AF73" i="1" s="1"/>
  <c r="AU72" i="1"/>
  <c r="AV72" i="1" s="1"/>
  <c r="AW72" i="1" s="1"/>
  <c r="AN72" i="1"/>
  <c r="AO72" i="1" s="1"/>
  <c r="AP72" i="1" s="1"/>
  <c r="AL72" i="1"/>
  <c r="AE72" i="1"/>
  <c r="AG72" i="1" s="1"/>
  <c r="AD72" i="1"/>
  <c r="AF72" i="1" s="1"/>
  <c r="AU71" i="1"/>
  <c r="AV71" i="1" s="1"/>
  <c r="AW71" i="1" s="1"/>
  <c r="AN71" i="1"/>
  <c r="AO71" i="1" s="1"/>
  <c r="AP71" i="1" s="1"/>
  <c r="AL71" i="1"/>
  <c r="AE71" i="1"/>
  <c r="AG71" i="1" s="1"/>
  <c r="AJ71" i="1" s="1"/>
  <c r="AD71" i="1"/>
  <c r="AF71" i="1" s="1"/>
  <c r="AU70" i="1"/>
  <c r="AV70" i="1" s="1"/>
  <c r="AW70" i="1" s="1"/>
  <c r="AN70" i="1"/>
  <c r="AO70" i="1" s="1"/>
  <c r="AP70" i="1" s="1"/>
  <c r="AL70" i="1"/>
  <c r="AE70" i="1"/>
  <c r="AG70" i="1" s="1"/>
  <c r="AD70" i="1"/>
  <c r="AF70" i="1" s="1"/>
  <c r="AU69" i="1"/>
  <c r="AV69" i="1" s="1"/>
  <c r="AW69" i="1" s="1"/>
  <c r="AN69" i="1"/>
  <c r="AO69" i="1" s="1"/>
  <c r="AP69" i="1" s="1"/>
  <c r="AL69" i="1"/>
  <c r="AE69" i="1"/>
  <c r="AG69" i="1" s="1"/>
  <c r="AD69" i="1"/>
  <c r="AF69" i="1" s="1"/>
  <c r="AU68" i="1"/>
  <c r="AV68" i="1" s="1"/>
  <c r="AW68" i="1" s="1"/>
  <c r="AN68" i="1"/>
  <c r="AO68" i="1" s="1"/>
  <c r="AP68" i="1" s="1"/>
  <c r="AL68" i="1"/>
  <c r="AE68" i="1"/>
  <c r="AG68" i="1" s="1"/>
  <c r="AD68" i="1"/>
  <c r="AF68" i="1" s="1"/>
  <c r="AU67" i="1"/>
  <c r="AV67" i="1" s="1"/>
  <c r="AW67" i="1" s="1"/>
  <c r="AN67" i="1"/>
  <c r="AO67" i="1" s="1"/>
  <c r="AP67" i="1" s="1"/>
  <c r="AL67" i="1"/>
  <c r="AE67" i="1"/>
  <c r="AG67" i="1" s="1"/>
  <c r="AD67" i="1"/>
  <c r="AF67" i="1" s="1"/>
  <c r="AH67" i="1" s="1"/>
  <c r="AQ67" i="1" s="1"/>
  <c r="AU66" i="1"/>
  <c r="AV66" i="1" s="1"/>
  <c r="AW66" i="1" s="1"/>
  <c r="AN66" i="1"/>
  <c r="AO66" i="1" s="1"/>
  <c r="AP66" i="1" s="1"/>
  <c r="AL66" i="1"/>
  <c r="AE66" i="1"/>
  <c r="AG66" i="1" s="1"/>
  <c r="AD66" i="1"/>
  <c r="AF66" i="1" s="1"/>
  <c r="AU65" i="1"/>
  <c r="AV65" i="1" s="1"/>
  <c r="AW65" i="1" s="1"/>
  <c r="AN65" i="1"/>
  <c r="AO65" i="1" s="1"/>
  <c r="AP65" i="1" s="1"/>
  <c r="AL65" i="1"/>
  <c r="AE65" i="1"/>
  <c r="AG65" i="1" s="1"/>
  <c r="AD65" i="1"/>
  <c r="AF65" i="1" s="1"/>
  <c r="AH65" i="1" s="1"/>
  <c r="AQ65" i="1" s="1"/>
  <c r="AU64" i="1"/>
  <c r="AV64" i="1" s="1"/>
  <c r="AW64" i="1" s="1"/>
  <c r="AN64" i="1"/>
  <c r="AO64" i="1" s="1"/>
  <c r="AP64" i="1" s="1"/>
  <c r="AL64" i="1"/>
  <c r="AE64" i="1"/>
  <c r="AG64" i="1" s="1"/>
  <c r="AD64" i="1"/>
  <c r="AF64" i="1" s="1"/>
  <c r="AU63" i="1"/>
  <c r="AV63" i="1" s="1"/>
  <c r="AW63" i="1" s="1"/>
  <c r="AN63" i="1"/>
  <c r="AO63" i="1" s="1"/>
  <c r="AP63" i="1" s="1"/>
  <c r="AL63" i="1"/>
  <c r="AE63" i="1"/>
  <c r="AG63" i="1" s="1"/>
  <c r="AD63" i="1"/>
  <c r="AF63" i="1" s="1"/>
  <c r="AH63" i="1" s="1"/>
  <c r="AQ63" i="1" s="1"/>
  <c r="AU62" i="1"/>
  <c r="AV62" i="1" s="1"/>
  <c r="AW62" i="1" s="1"/>
  <c r="AN62" i="1"/>
  <c r="AO62" i="1" s="1"/>
  <c r="AP62" i="1" s="1"/>
  <c r="AL62" i="1"/>
  <c r="AE62" i="1"/>
  <c r="AG62" i="1" s="1"/>
  <c r="AD62" i="1"/>
  <c r="AF62" i="1" s="1"/>
  <c r="AU61" i="1"/>
  <c r="AV61" i="1" s="1"/>
  <c r="AW61" i="1" s="1"/>
  <c r="AN61" i="1"/>
  <c r="AO61" i="1" s="1"/>
  <c r="AP61" i="1" s="1"/>
  <c r="AL61" i="1"/>
  <c r="AE61" i="1"/>
  <c r="AG61" i="1" s="1"/>
  <c r="AD61" i="1"/>
  <c r="AF61" i="1" s="1"/>
  <c r="AH61" i="1" s="1"/>
  <c r="AQ61" i="1" s="1"/>
  <c r="AR61" i="1" s="1"/>
  <c r="AU60" i="1"/>
  <c r="AV60" i="1" s="1"/>
  <c r="AW60" i="1" s="1"/>
  <c r="AN60" i="1"/>
  <c r="AO60" i="1" s="1"/>
  <c r="AP60" i="1" s="1"/>
  <c r="AL60" i="1"/>
  <c r="AE60" i="1"/>
  <c r="AG60" i="1" s="1"/>
  <c r="AD60" i="1"/>
  <c r="AF60" i="1" s="1"/>
  <c r="AU59" i="1"/>
  <c r="AV59" i="1" s="1"/>
  <c r="AW59" i="1" s="1"/>
  <c r="AN59" i="1"/>
  <c r="AO59" i="1" s="1"/>
  <c r="AP59" i="1" s="1"/>
  <c r="AL59" i="1"/>
  <c r="AE59" i="1"/>
  <c r="AG59" i="1" s="1"/>
  <c r="AD59" i="1"/>
  <c r="AF59" i="1" s="1"/>
  <c r="AH59" i="1" s="1"/>
  <c r="AQ59" i="1" s="1"/>
  <c r="AU58" i="1"/>
  <c r="AV58" i="1" s="1"/>
  <c r="AW58" i="1" s="1"/>
  <c r="AN58" i="1"/>
  <c r="AO58" i="1" s="1"/>
  <c r="AP58" i="1" s="1"/>
  <c r="AL58" i="1"/>
  <c r="AE58" i="1"/>
  <c r="AG58" i="1" s="1"/>
  <c r="AD58" i="1"/>
  <c r="AF58" i="1" s="1"/>
  <c r="AU57" i="1"/>
  <c r="AV57" i="1" s="1"/>
  <c r="AW57" i="1" s="1"/>
  <c r="AN57" i="1"/>
  <c r="AO57" i="1" s="1"/>
  <c r="AP57" i="1" s="1"/>
  <c r="AL57" i="1"/>
  <c r="AE57" i="1"/>
  <c r="AG57" i="1" s="1"/>
  <c r="AD57" i="1"/>
  <c r="AF57" i="1" s="1"/>
  <c r="AH57" i="1" s="1"/>
  <c r="AQ57" i="1" s="1"/>
  <c r="AU56" i="1"/>
  <c r="AV56" i="1" s="1"/>
  <c r="AW56" i="1" s="1"/>
  <c r="AN56" i="1"/>
  <c r="AO56" i="1" s="1"/>
  <c r="AP56" i="1" s="1"/>
  <c r="AL56" i="1"/>
  <c r="AE56" i="1"/>
  <c r="AG56" i="1" s="1"/>
  <c r="AD56" i="1"/>
  <c r="AF56" i="1" s="1"/>
  <c r="AU55" i="1"/>
  <c r="AV55" i="1" s="1"/>
  <c r="AW55" i="1" s="1"/>
  <c r="AN55" i="1"/>
  <c r="AO55" i="1" s="1"/>
  <c r="AP55" i="1" s="1"/>
  <c r="AL55" i="1"/>
  <c r="AE55" i="1"/>
  <c r="AG55" i="1" s="1"/>
  <c r="AD55" i="1"/>
  <c r="AF55" i="1" s="1"/>
  <c r="AH55" i="1" s="1"/>
  <c r="AQ55" i="1" s="1"/>
  <c r="AU54" i="1"/>
  <c r="AV54" i="1" s="1"/>
  <c r="AW54" i="1" s="1"/>
  <c r="AN54" i="1"/>
  <c r="AO54" i="1" s="1"/>
  <c r="AP54" i="1" s="1"/>
  <c r="AL54" i="1"/>
  <c r="AE54" i="1"/>
  <c r="AG54" i="1" s="1"/>
  <c r="AD54" i="1"/>
  <c r="AF54" i="1" s="1"/>
  <c r="AH54" i="1" s="1"/>
  <c r="AQ54" i="1" s="1"/>
  <c r="AU53" i="1"/>
  <c r="AV53" i="1" s="1"/>
  <c r="AW53" i="1" s="1"/>
  <c r="AN53" i="1"/>
  <c r="AO53" i="1" s="1"/>
  <c r="AP53" i="1" s="1"/>
  <c r="AL53" i="1"/>
  <c r="AE53" i="1"/>
  <c r="AG53" i="1" s="1"/>
  <c r="AD53" i="1"/>
  <c r="AF53" i="1" s="1"/>
  <c r="AU52" i="1"/>
  <c r="AV52" i="1" s="1"/>
  <c r="AW52" i="1" s="1"/>
  <c r="AN52" i="1"/>
  <c r="AO52" i="1" s="1"/>
  <c r="AP52" i="1" s="1"/>
  <c r="AL52" i="1"/>
  <c r="AE52" i="1"/>
  <c r="AG52" i="1" s="1"/>
  <c r="AD52" i="1"/>
  <c r="AF52" i="1" s="1"/>
  <c r="AH52" i="1" s="1"/>
  <c r="AQ52" i="1" s="1"/>
  <c r="AU51" i="1"/>
  <c r="AV51" i="1" s="1"/>
  <c r="AW51" i="1" s="1"/>
  <c r="AN51" i="1"/>
  <c r="AO51" i="1" s="1"/>
  <c r="AP51" i="1" s="1"/>
  <c r="AL51" i="1"/>
  <c r="AE51" i="1"/>
  <c r="AG51" i="1" s="1"/>
  <c r="AD51" i="1"/>
  <c r="AF51" i="1" s="1"/>
  <c r="AH51" i="1" s="1"/>
  <c r="AQ51" i="1" s="1"/>
  <c r="AU50" i="1"/>
  <c r="AV50" i="1" s="1"/>
  <c r="AW50" i="1" s="1"/>
  <c r="AN50" i="1"/>
  <c r="AO50" i="1" s="1"/>
  <c r="AP50" i="1" s="1"/>
  <c r="AL50" i="1"/>
  <c r="AE50" i="1"/>
  <c r="AG50" i="1" s="1"/>
  <c r="AD50" i="1"/>
  <c r="AF50" i="1" s="1"/>
  <c r="AU49" i="1"/>
  <c r="AV49" i="1" s="1"/>
  <c r="AW49" i="1" s="1"/>
  <c r="AN49" i="1"/>
  <c r="AO49" i="1" s="1"/>
  <c r="AP49" i="1" s="1"/>
  <c r="AL49" i="1"/>
  <c r="AE49" i="1"/>
  <c r="AG49" i="1" s="1"/>
  <c r="AD49" i="1"/>
  <c r="AF49" i="1" s="1"/>
  <c r="AU48" i="1"/>
  <c r="AV48" i="1" s="1"/>
  <c r="AW48" i="1" s="1"/>
  <c r="AN48" i="1"/>
  <c r="AO48" i="1" s="1"/>
  <c r="AP48" i="1" s="1"/>
  <c r="AL48" i="1"/>
  <c r="AE48" i="1"/>
  <c r="AG48" i="1" s="1"/>
  <c r="AD48" i="1"/>
  <c r="AF48" i="1" s="1"/>
  <c r="AU47" i="1"/>
  <c r="AV47" i="1" s="1"/>
  <c r="AW47" i="1" s="1"/>
  <c r="AN47" i="1"/>
  <c r="AO47" i="1" s="1"/>
  <c r="AP47" i="1" s="1"/>
  <c r="AL47" i="1"/>
  <c r="AE47" i="1"/>
  <c r="AG47" i="1" s="1"/>
  <c r="AD47" i="1"/>
  <c r="AF47" i="1" s="1"/>
  <c r="AU46" i="1"/>
  <c r="AV46" i="1" s="1"/>
  <c r="AW46" i="1" s="1"/>
  <c r="AN46" i="1"/>
  <c r="AO46" i="1" s="1"/>
  <c r="AP46" i="1" s="1"/>
  <c r="AL46" i="1"/>
  <c r="AE46" i="1"/>
  <c r="AG46" i="1" s="1"/>
  <c r="AD46" i="1"/>
  <c r="AF46" i="1" s="1"/>
  <c r="AU45" i="1"/>
  <c r="AV45" i="1" s="1"/>
  <c r="AW45" i="1" s="1"/>
  <c r="AN45" i="1"/>
  <c r="AO45" i="1" s="1"/>
  <c r="AP45" i="1" s="1"/>
  <c r="AL45" i="1"/>
  <c r="AE45" i="1"/>
  <c r="AG45" i="1" s="1"/>
  <c r="AD45" i="1"/>
  <c r="AF45" i="1" s="1"/>
  <c r="AU44" i="1"/>
  <c r="AV44" i="1" s="1"/>
  <c r="AW44" i="1" s="1"/>
  <c r="AN44" i="1"/>
  <c r="AO44" i="1" s="1"/>
  <c r="AP44" i="1" s="1"/>
  <c r="AL44" i="1"/>
  <c r="AE44" i="1"/>
  <c r="AG44" i="1" s="1"/>
  <c r="AD44" i="1"/>
  <c r="AF44" i="1" s="1"/>
  <c r="AU43" i="1"/>
  <c r="AV43" i="1" s="1"/>
  <c r="AW43" i="1" s="1"/>
  <c r="AN43" i="1"/>
  <c r="AO43" i="1" s="1"/>
  <c r="AP43" i="1" s="1"/>
  <c r="AL43" i="1"/>
  <c r="AE43" i="1"/>
  <c r="AG43" i="1" s="1"/>
  <c r="AD43" i="1"/>
  <c r="AF43" i="1" s="1"/>
  <c r="AU42" i="1"/>
  <c r="AV42" i="1" s="1"/>
  <c r="AW42" i="1" s="1"/>
  <c r="AN42" i="1"/>
  <c r="AO42" i="1" s="1"/>
  <c r="AP42" i="1" s="1"/>
  <c r="AL42" i="1"/>
  <c r="AE42" i="1"/>
  <c r="AG42" i="1" s="1"/>
  <c r="AD42" i="1"/>
  <c r="AF42" i="1" s="1"/>
  <c r="AU41" i="1"/>
  <c r="AV41" i="1" s="1"/>
  <c r="AW41" i="1" s="1"/>
  <c r="AN41" i="1"/>
  <c r="AO41" i="1" s="1"/>
  <c r="AP41" i="1" s="1"/>
  <c r="AL41" i="1"/>
  <c r="AE41" i="1"/>
  <c r="AG41" i="1" s="1"/>
  <c r="AD41" i="1"/>
  <c r="AF41" i="1" s="1"/>
  <c r="AU40" i="1"/>
  <c r="AV40" i="1" s="1"/>
  <c r="AW40" i="1" s="1"/>
  <c r="AN40" i="1"/>
  <c r="AO40" i="1" s="1"/>
  <c r="AP40" i="1" s="1"/>
  <c r="AL40" i="1"/>
  <c r="AE40" i="1"/>
  <c r="AG40" i="1" s="1"/>
  <c r="AD40" i="1"/>
  <c r="AF40" i="1" s="1"/>
  <c r="AU39" i="1"/>
  <c r="AV39" i="1" s="1"/>
  <c r="AW39" i="1" s="1"/>
  <c r="AN39" i="1"/>
  <c r="AO39" i="1" s="1"/>
  <c r="AP39" i="1" s="1"/>
  <c r="AL39" i="1"/>
  <c r="AE39" i="1"/>
  <c r="AG39" i="1" s="1"/>
  <c r="AD39" i="1"/>
  <c r="AF39" i="1" s="1"/>
  <c r="AU38" i="1"/>
  <c r="AV38" i="1" s="1"/>
  <c r="AW38" i="1" s="1"/>
  <c r="AN38" i="1"/>
  <c r="AO38" i="1" s="1"/>
  <c r="AP38" i="1" s="1"/>
  <c r="AL38" i="1"/>
  <c r="AE38" i="1"/>
  <c r="AG38" i="1" s="1"/>
  <c r="AD38" i="1"/>
  <c r="AF38" i="1" s="1"/>
  <c r="AU37" i="1"/>
  <c r="AV37" i="1" s="1"/>
  <c r="AW37" i="1" s="1"/>
  <c r="AO37" i="1"/>
  <c r="AP37" i="1" s="1"/>
  <c r="AN37" i="1"/>
  <c r="AL37" i="1"/>
  <c r="AE37" i="1"/>
  <c r="AG37" i="1" s="1"/>
  <c r="AD37" i="1"/>
  <c r="AF37" i="1" s="1"/>
  <c r="AU36" i="1"/>
  <c r="AV36" i="1" s="1"/>
  <c r="AW36" i="1" s="1"/>
  <c r="AN36" i="1"/>
  <c r="AO36" i="1" s="1"/>
  <c r="AP36" i="1" s="1"/>
  <c r="AL36" i="1"/>
  <c r="AE36" i="1"/>
  <c r="AG36" i="1" s="1"/>
  <c r="AD36" i="1"/>
  <c r="AF36" i="1" s="1"/>
  <c r="AU35" i="1"/>
  <c r="AV35" i="1" s="1"/>
  <c r="AW35" i="1" s="1"/>
  <c r="AN35" i="1"/>
  <c r="AO35" i="1" s="1"/>
  <c r="AP35" i="1" s="1"/>
  <c r="AL35" i="1"/>
  <c r="AE35" i="1"/>
  <c r="AG35" i="1" s="1"/>
  <c r="AD35" i="1"/>
  <c r="AF35" i="1" s="1"/>
  <c r="AU34" i="1"/>
  <c r="AV34" i="1" s="1"/>
  <c r="AW34" i="1" s="1"/>
  <c r="AO34" i="1"/>
  <c r="AP34" i="1" s="1"/>
  <c r="AL34" i="1"/>
  <c r="AE34" i="1"/>
  <c r="AG34" i="1" s="1"/>
  <c r="AD34" i="1"/>
  <c r="AF34" i="1" s="1"/>
  <c r="AU33" i="1"/>
  <c r="AV33" i="1" s="1"/>
  <c r="AW33" i="1" s="1"/>
  <c r="AN33" i="1"/>
  <c r="AO33" i="1" s="1"/>
  <c r="AP33" i="1" s="1"/>
  <c r="AL33" i="1"/>
  <c r="AF33" i="1"/>
  <c r="AE33" i="1"/>
  <c r="AG33" i="1" s="1"/>
  <c r="AD33" i="1"/>
  <c r="AU32" i="1"/>
  <c r="AV32" i="1" s="1"/>
  <c r="AW32" i="1" s="1"/>
  <c r="AN32" i="1"/>
  <c r="AO32" i="1" s="1"/>
  <c r="AP32" i="1" s="1"/>
  <c r="AL32" i="1"/>
  <c r="AF32" i="1"/>
  <c r="AE32" i="1"/>
  <c r="AG32" i="1" s="1"/>
  <c r="AD32" i="1"/>
  <c r="AU31" i="1"/>
  <c r="AV31" i="1" s="1"/>
  <c r="AW31" i="1" s="1"/>
  <c r="AN31" i="1"/>
  <c r="AO31" i="1" s="1"/>
  <c r="AP31" i="1" s="1"/>
  <c r="AL31" i="1"/>
  <c r="AE31" i="1"/>
  <c r="AG31" i="1" s="1"/>
  <c r="AD31" i="1"/>
  <c r="AF31" i="1" s="1"/>
  <c r="AU30" i="1"/>
  <c r="AV30" i="1" s="1"/>
  <c r="AW30" i="1" s="1"/>
  <c r="AN30" i="1"/>
  <c r="AO30" i="1" s="1"/>
  <c r="AP30" i="1" s="1"/>
  <c r="AL30" i="1"/>
  <c r="AE30" i="1"/>
  <c r="AG30" i="1" s="1"/>
  <c r="AD30" i="1"/>
  <c r="AF30" i="1" s="1"/>
  <c r="AU29" i="1"/>
  <c r="AV29" i="1" s="1"/>
  <c r="AW29" i="1" s="1"/>
  <c r="AN29" i="1"/>
  <c r="AO29" i="1" s="1"/>
  <c r="AP29" i="1" s="1"/>
  <c r="AL29" i="1"/>
  <c r="AE29" i="1"/>
  <c r="AG29" i="1" s="1"/>
  <c r="AD29" i="1"/>
  <c r="AF29" i="1" s="1"/>
  <c r="AU28" i="1"/>
  <c r="AV28" i="1" s="1"/>
  <c r="AW28" i="1" s="1"/>
  <c r="AN28" i="1"/>
  <c r="AO28" i="1" s="1"/>
  <c r="AP28" i="1" s="1"/>
  <c r="AL28" i="1"/>
  <c r="AE28" i="1"/>
  <c r="AG28" i="1" s="1"/>
  <c r="AI28" i="1" s="1"/>
  <c r="AX28" i="1" s="1"/>
  <c r="AD28" i="1"/>
  <c r="AF28" i="1" s="1"/>
  <c r="AU27" i="1"/>
  <c r="AV27" i="1" s="1"/>
  <c r="AW27" i="1" s="1"/>
  <c r="AN27" i="1"/>
  <c r="AO27" i="1" s="1"/>
  <c r="AP27" i="1" s="1"/>
  <c r="AL27" i="1"/>
  <c r="AE27" i="1"/>
  <c r="AG27" i="1" s="1"/>
  <c r="AD27" i="1"/>
  <c r="AF27" i="1" s="1"/>
  <c r="AU26" i="1"/>
  <c r="AV26" i="1" s="1"/>
  <c r="AW26" i="1" s="1"/>
  <c r="AN26" i="1"/>
  <c r="AO26" i="1" s="1"/>
  <c r="AP26" i="1" s="1"/>
  <c r="AL26" i="1"/>
  <c r="AE26" i="1"/>
  <c r="AG26" i="1" s="1"/>
  <c r="AD26" i="1"/>
  <c r="AF26" i="1" s="1"/>
  <c r="AH26" i="1" s="1"/>
  <c r="AQ26" i="1" s="1"/>
  <c r="AU25" i="1"/>
  <c r="AV25" i="1" s="1"/>
  <c r="AW25" i="1" s="1"/>
  <c r="AN25" i="1"/>
  <c r="AO25" i="1" s="1"/>
  <c r="AP25" i="1" s="1"/>
  <c r="AL25" i="1"/>
  <c r="AE25" i="1"/>
  <c r="AG25" i="1" s="1"/>
  <c r="AD25" i="1"/>
  <c r="AF25" i="1" s="1"/>
  <c r="AU24" i="1"/>
  <c r="AV24" i="1" s="1"/>
  <c r="AW24" i="1" s="1"/>
  <c r="AN24" i="1"/>
  <c r="AO24" i="1" s="1"/>
  <c r="AP24" i="1" s="1"/>
  <c r="AL24" i="1"/>
  <c r="AE24" i="1"/>
  <c r="AG24" i="1" s="1"/>
  <c r="AD24" i="1"/>
  <c r="AF24" i="1" s="1"/>
  <c r="AH24" i="1" s="1"/>
  <c r="AQ24" i="1" s="1"/>
  <c r="AU23" i="1"/>
  <c r="AV23" i="1" s="1"/>
  <c r="AW23" i="1" s="1"/>
  <c r="AN23" i="1"/>
  <c r="AO23" i="1" s="1"/>
  <c r="AP23" i="1" s="1"/>
  <c r="AL23" i="1"/>
  <c r="AE23" i="1"/>
  <c r="AG23" i="1" s="1"/>
  <c r="AD23" i="1"/>
  <c r="AF23" i="1" s="1"/>
  <c r="AH23" i="1" s="1"/>
  <c r="AQ23" i="1" s="1"/>
  <c r="AR23" i="1" s="1"/>
  <c r="AU22" i="1"/>
  <c r="AV22" i="1" s="1"/>
  <c r="AW22" i="1" s="1"/>
  <c r="AN22" i="1"/>
  <c r="AO22" i="1" s="1"/>
  <c r="AP22" i="1" s="1"/>
  <c r="AL22" i="1"/>
  <c r="AE22" i="1"/>
  <c r="AG22" i="1" s="1"/>
  <c r="AI22" i="1" s="1"/>
  <c r="AX22" i="1" s="1"/>
  <c r="AD22" i="1"/>
  <c r="AF22" i="1" s="1"/>
  <c r="AH22" i="1" s="1"/>
  <c r="AQ22" i="1" s="1"/>
  <c r="AU21" i="1"/>
  <c r="AV21" i="1" s="1"/>
  <c r="AW21" i="1" s="1"/>
  <c r="AN21" i="1"/>
  <c r="AO21" i="1" s="1"/>
  <c r="AP21" i="1" s="1"/>
  <c r="AL21" i="1"/>
  <c r="AE21" i="1"/>
  <c r="AG21" i="1" s="1"/>
  <c r="AD21" i="1"/>
  <c r="AF21" i="1" s="1"/>
  <c r="AH21" i="1" s="1"/>
  <c r="AQ21" i="1" s="1"/>
  <c r="AU20" i="1"/>
  <c r="AV20" i="1" s="1"/>
  <c r="AW20" i="1" s="1"/>
  <c r="AN20" i="1"/>
  <c r="AO20" i="1" s="1"/>
  <c r="AP20" i="1" s="1"/>
  <c r="AL20" i="1"/>
  <c r="AE20" i="1"/>
  <c r="AG20" i="1" s="1"/>
  <c r="AD20" i="1"/>
  <c r="AF20" i="1" s="1"/>
  <c r="AH20" i="1" s="1"/>
  <c r="AQ20" i="1" s="1"/>
  <c r="AU19" i="1"/>
  <c r="AV19" i="1" s="1"/>
  <c r="AW19" i="1" s="1"/>
  <c r="AN19" i="1"/>
  <c r="AO19" i="1" s="1"/>
  <c r="AP19" i="1" s="1"/>
  <c r="AL19" i="1"/>
  <c r="AE19" i="1"/>
  <c r="AG19" i="1" s="1"/>
  <c r="AD19" i="1"/>
  <c r="AF19" i="1" s="1"/>
  <c r="AH19" i="1" s="1"/>
  <c r="AQ19" i="1" s="1"/>
  <c r="AU18" i="1"/>
  <c r="AV18" i="1" s="1"/>
  <c r="AW18" i="1" s="1"/>
  <c r="AN18" i="1"/>
  <c r="AO18" i="1" s="1"/>
  <c r="AP18" i="1" s="1"/>
  <c r="AL18" i="1"/>
  <c r="AE18" i="1"/>
  <c r="AG18" i="1" s="1"/>
  <c r="AI18" i="1" s="1"/>
  <c r="AX18" i="1" s="1"/>
  <c r="AD18" i="1"/>
  <c r="AF18" i="1" s="1"/>
  <c r="AH18" i="1" s="1"/>
  <c r="AQ18" i="1" s="1"/>
  <c r="AU17" i="1"/>
  <c r="AV17" i="1" s="1"/>
  <c r="AW17" i="1" s="1"/>
  <c r="AN17" i="1"/>
  <c r="AO17" i="1" s="1"/>
  <c r="AP17" i="1" s="1"/>
  <c r="AL17" i="1"/>
  <c r="AE17" i="1"/>
  <c r="AG17" i="1" s="1"/>
  <c r="AD17" i="1"/>
  <c r="AF17" i="1" s="1"/>
  <c r="AH17" i="1" s="1"/>
  <c r="AQ17" i="1" s="1"/>
  <c r="AU16" i="1"/>
  <c r="AV16" i="1" s="1"/>
  <c r="AW16" i="1" s="1"/>
  <c r="AN16" i="1"/>
  <c r="AO16" i="1" s="1"/>
  <c r="AP16" i="1" s="1"/>
  <c r="AL16" i="1"/>
  <c r="AE16" i="1"/>
  <c r="AG16" i="1" s="1"/>
  <c r="AD16" i="1"/>
  <c r="AF16" i="1" s="1"/>
  <c r="AH16" i="1" s="1"/>
  <c r="AQ16" i="1" s="1"/>
  <c r="AU15" i="1"/>
  <c r="AV15" i="1" s="1"/>
  <c r="AW15" i="1" s="1"/>
  <c r="AN15" i="1"/>
  <c r="AO15" i="1" s="1"/>
  <c r="AP15" i="1" s="1"/>
  <c r="AS15" i="1" s="1"/>
  <c r="AL15" i="1"/>
  <c r="AE15" i="1"/>
  <c r="AG15" i="1" s="1"/>
  <c r="AD15" i="1"/>
  <c r="AF15" i="1" s="1"/>
  <c r="AH15" i="1" s="1"/>
  <c r="AQ15" i="1" s="1"/>
  <c r="AU14" i="1"/>
  <c r="AV14" i="1" s="1"/>
  <c r="AW14" i="1" s="1"/>
  <c r="AN14" i="1"/>
  <c r="AO14" i="1" s="1"/>
  <c r="AP14" i="1" s="1"/>
  <c r="AL14" i="1"/>
  <c r="AE14" i="1"/>
  <c r="AG14" i="1" s="1"/>
  <c r="AI14" i="1" s="1"/>
  <c r="AX14" i="1" s="1"/>
  <c r="AD14" i="1"/>
  <c r="AF14" i="1" s="1"/>
  <c r="AH14" i="1" s="1"/>
  <c r="AQ14" i="1" s="1"/>
  <c r="AU13" i="1"/>
  <c r="AV13" i="1" s="1"/>
  <c r="AW13" i="1" s="1"/>
  <c r="AN13" i="1"/>
  <c r="AO13" i="1" s="1"/>
  <c r="AP13" i="1" s="1"/>
  <c r="AL13" i="1"/>
  <c r="AE13" i="1"/>
  <c r="AG13" i="1" s="1"/>
  <c r="AD13" i="1"/>
  <c r="AF13" i="1" s="1"/>
  <c r="AH13" i="1" s="1"/>
  <c r="AQ13" i="1" s="1"/>
  <c r="AU12" i="1"/>
  <c r="AV12" i="1" s="1"/>
  <c r="AW12" i="1" s="1"/>
  <c r="AN12" i="1"/>
  <c r="AO12" i="1" s="1"/>
  <c r="AP12" i="1" s="1"/>
  <c r="AL12" i="1"/>
  <c r="AE12" i="1"/>
  <c r="AG12" i="1" s="1"/>
  <c r="AD12" i="1"/>
  <c r="AF12" i="1" s="1"/>
  <c r="AU11" i="1"/>
  <c r="AV11" i="1" s="1"/>
  <c r="AW11" i="1" s="1"/>
  <c r="AN11" i="1"/>
  <c r="AO11" i="1" s="1"/>
  <c r="AP11" i="1" s="1"/>
  <c r="AL11" i="1"/>
  <c r="AE11" i="1"/>
  <c r="AG11" i="1" s="1"/>
  <c r="AD11" i="1"/>
  <c r="AF11" i="1" s="1"/>
  <c r="AH11" i="1" s="1"/>
  <c r="AQ11" i="1" s="1"/>
  <c r="AU10" i="1"/>
  <c r="AV10" i="1" s="1"/>
  <c r="AW10" i="1" s="1"/>
  <c r="AN10" i="1"/>
  <c r="AO10" i="1" s="1"/>
  <c r="AP10" i="1" s="1"/>
  <c r="AL10" i="1"/>
  <c r="AE10" i="1"/>
  <c r="AG10" i="1" s="1"/>
  <c r="AD10" i="1"/>
  <c r="AF10" i="1" s="1"/>
  <c r="AU9" i="1"/>
  <c r="AV9" i="1" s="1"/>
  <c r="AW9" i="1" s="1"/>
  <c r="AN9" i="1"/>
  <c r="AO9" i="1" s="1"/>
  <c r="AP9" i="1" s="1"/>
  <c r="AL9" i="1"/>
  <c r="AE9" i="1"/>
  <c r="AG9" i="1" s="1"/>
  <c r="AD9" i="1"/>
  <c r="AF9" i="1" s="1"/>
  <c r="AH9" i="1" s="1"/>
  <c r="AQ9" i="1" s="1"/>
  <c r="AU8" i="1"/>
  <c r="AV8" i="1" s="1"/>
  <c r="AW8" i="1" s="1"/>
  <c r="AN8" i="1"/>
  <c r="AO8" i="1" s="1"/>
  <c r="AP8" i="1" s="1"/>
  <c r="AL8" i="1"/>
  <c r="AE8" i="1"/>
  <c r="AG8" i="1" s="1"/>
  <c r="AD8" i="1"/>
  <c r="AF8" i="1" s="1"/>
  <c r="AU7" i="1"/>
  <c r="AV7" i="1" s="1"/>
  <c r="AW7" i="1" s="1"/>
  <c r="AN7" i="1"/>
  <c r="AO7" i="1" s="1"/>
  <c r="AP7" i="1" s="1"/>
  <c r="AL7" i="1"/>
  <c r="AE7" i="1"/>
  <c r="AG7" i="1" s="1"/>
  <c r="AD7" i="1"/>
  <c r="AF7" i="1" s="1"/>
  <c r="AH7" i="1" s="1"/>
  <c r="AQ7" i="1" s="1"/>
  <c r="AU6" i="1"/>
  <c r="AV6" i="1" s="1"/>
  <c r="AW6" i="1" s="1"/>
  <c r="AN6" i="1"/>
  <c r="AO6" i="1" s="1"/>
  <c r="AP6" i="1" s="1"/>
  <c r="AL6" i="1"/>
  <c r="AE6" i="1"/>
  <c r="AG6" i="1" s="1"/>
  <c r="AD6" i="1"/>
  <c r="AF6" i="1" s="1"/>
  <c r="AU5" i="1"/>
  <c r="AV5" i="1" s="1"/>
  <c r="AW5" i="1" s="1"/>
  <c r="AN5" i="1"/>
  <c r="AO5" i="1" s="1"/>
  <c r="AP5" i="1" s="1"/>
  <c r="AL5" i="1"/>
  <c r="AF5" i="1"/>
  <c r="AH5" i="1" s="1"/>
  <c r="AQ5" i="1" s="1"/>
  <c r="AE5" i="1"/>
  <c r="AG5" i="1" s="1"/>
  <c r="AD5" i="1"/>
  <c r="AU4" i="1"/>
  <c r="AV4" i="1" s="1"/>
  <c r="AW4" i="1" s="1"/>
  <c r="AN4" i="1"/>
  <c r="AO4" i="1" s="1"/>
  <c r="AP4" i="1" s="1"/>
  <c r="AL4" i="1"/>
  <c r="AE4" i="1"/>
  <c r="AG4" i="1" s="1"/>
  <c r="AD4" i="1"/>
  <c r="AF4" i="1" s="1"/>
  <c r="AU3" i="1"/>
  <c r="AW3" i="1" s="1"/>
  <c r="AN3" i="1"/>
  <c r="AO3" i="1" s="1"/>
  <c r="AP3" i="1" s="1"/>
  <c r="AE3" i="1"/>
  <c r="AG3" i="1" s="1"/>
  <c r="AD3" i="1"/>
  <c r="AF3" i="1" s="1"/>
  <c r="O51" i="8"/>
  <c r="N51" i="8"/>
  <c r="G33" i="8"/>
  <c r="E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J14" i="8"/>
  <c r="H14" i="8"/>
  <c r="E14" i="8"/>
  <c r="C14" i="8"/>
  <c r="J13" i="8"/>
  <c r="H13" i="8"/>
  <c r="E13" i="8"/>
  <c r="C13" i="8"/>
  <c r="J12" i="8"/>
  <c r="H12" i="8"/>
  <c r="E12" i="8"/>
  <c r="C12" i="8"/>
  <c r="J11" i="8"/>
  <c r="H11" i="8"/>
  <c r="E11" i="8"/>
  <c r="C11" i="8"/>
  <c r="J10" i="8"/>
  <c r="H10" i="8"/>
  <c r="AZ105" i="1" l="1"/>
  <c r="AJ247" i="1"/>
  <c r="AJ261" i="1"/>
  <c r="AS22" i="1"/>
  <c r="AR153" i="1"/>
  <c r="AR245" i="1"/>
  <c r="AJ151" i="1"/>
  <c r="AJ194" i="1"/>
  <c r="AJ255" i="1"/>
  <c r="AZ21" i="1"/>
  <c r="AR26" i="1"/>
  <c r="AJ73" i="1"/>
  <c r="J33" i="8"/>
  <c r="K33" i="8" s="1"/>
  <c r="I33" i="8"/>
  <c r="AR59" i="1"/>
  <c r="AN281" i="1"/>
  <c r="AO281" i="1" s="1"/>
  <c r="AP281" i="1" s="1"/>
  <c r="AR52" i="1"/>
  <c r="AR95" i="1"/>
  <c r="AZ47" i="1"/>
  <c r="AR5" i="1"/>
  <c r="AR157" i="1"/>
  <c r="AJ230" i="1"/>
  <c r="AK288" i="1"/>
  <c r="AI286" i="1"/>
  <c r="AJ286" i="1"/>
  <c r="AZ17" i="1"/>
  <c r="AJ97" i="1"/>
  <c r="AS236" i="1"/>
  <c r="AF288" i="1"/>
  <c r="AG288" i="1"/>
  <c r="AJ288" i="1" s="1"/>
  <c r="AY179" i="1"/>
  <c r="AL288" i="1"/>
  <c r="AK272" i="1"/>
  <c r="AR198" i="1"/>
  <c r="AR218" i="1"/>
  <c r="AR235" i="1"/>
  <c r="AR261" i="1"/>
  <c r="AZ39" i="1"/>
  <c r="AZ195" i="1"/>
  <c r="AR204" i="1"/>
  <c r="AU281" i="1"/>
  <c r="AV281" i="1" s="1"/>
  <c r="AW281" i="1" s="1"/>
  <c r="AZ188" i="1"/>
  <c r="AY219" i="1"/>
  <c r="AY238" i="1"/>
  <c r="AS288" i="1"/>
  <c r="AH288" i="1"/>
  <c r="AQ288" i="1" s="1"/>
  <c r="AR288" i="1" s="1"/>
  <c r="AZ288" i="1"/>
  <c r="AJ213" i="1"/>
  <c r="AR255" i="1"/>
  <c r="AZ256" i="1"/>
  <c r="AY240" i="1"/>
  <c r="AJ253" i="1"/>
  <c r="AI253" i="1"/>
  <c r="AX253" i="1" s="1"/>
  <c r="AJ234" i="1"/>
  <c r="AZ186" i="1"/>
  <c r="AS147" i="1"/>
  <c r="AJ245" i="1"/>
  <c r="AJ259" i="1"/>
  <c r="AI261" i="1"/>
  <c r="AX261" i="1" s="1"/>
  <c r="AJ95" i="1"/>
  <c r="AR229" i="1"/>
  <c r="AZ242" i="1"/>
  <c r="AR247" i="1"/>
  <c r="AS249" i="1"/>
  <c r="AS251" i="1"/>
  <c r="AS20" i="1"/>
  <c r="AS92" i="1"/>
  <c r="AZ209" i="1"/>
  <c r="AI247" i="1"/>
  <c r="AX247" i="1" s="1"/>
  <c r="AS12" i="1"/>
  <c r="AR210" i="1"/>
  <c r="AJ243" i="1"/>
  <c r="AZ82" i="1"/>
  <c r="AS227" i="1"/>
  <c r="AR228" i="1"/>
  <c r="AH280" i="1"/>
  <c r="AQ280" i="1" s="1"/>
  <c r="AR280" i="1" s="1"/>
  <c r="AZ280" i="1"/>
  <c r="AI280" i="1"/>
  <c r="AX280" i="1" s="1"/>
  <c r="AY280" i="1" s="1"/>
  <c r="AJ280" i="1"/>
  <c r="AR140" i="1"/>
  <c r="AZ119" i="1"/>
  <c r="AS141" i="1"/>
  <c r="AS145" i="1"/>
  <c r="AZ109" i="1"/>
  <c r="AZ115" i="1"/>
  <c r="AR139" i="1"/>
  <c r="AZ143" i="1"/>
  <c r="AR137" i="1"/>
  <c r="AR144" i="1"/>
  <c r="AR175" i="1"/>
  <c r="AY178" i="1"/>
  <c r="AZ200" i="1"/>
  <c r="AS151" i="1"/>
  <c r="AZ117" i="1"/>
  <c r="AZ125" i="1"/>
  <c r="AZ192" i="1"/>
  <c r="AZ138" i="1"/>
  <c r="AY177" i="1"/>
  <c r="AR180" i="1"/>
  <c r="AZ113" i="1"/>
  <c r="AZ139" i="1"/>
  <c r="AZ146" i="1"/>
  <c r="AH147" i="1"/>
  <c r="AQ147" i="1" s="1"/>
  <c r="AR147" i="1" s="1"/>
  <c r="AZ121" i="1"/>
  <c r="AZ129" i="1"/>
  <c r="AI181" i="1"/>
  <c r="AX181" i="1" s="1"/>
  <c r="AY181" i="1" s="1"/>
  <c r="AJ181" i="1"/>
  <c r="AI194" i="1"/>
  <c r="AX194" i="1" s="1"/>
  <c r="AZ199" i="1"/>
  <c r="AZ255" i="1"/>
  <c r="AI255" i="1"/>
  <c r="AX255" i="1" s="1"/>
  <c r="AY255" i="1" s="1"/>
  <c r="AZ107" i="1"/>
  <c r="AZ142" i="1"/>
  <c r="AJ196" i="1"/>
  <c r="AI196" i="1"/>
  <c r="AX196" i="1" s="1"/>
  <c r="AY259" i="1"/>
  <c r="AZ123" i="1"/>
  <c r="AI176" i="1"/>
  <c r="AX176" i="1" s="1"/>
  <c r="AY176" i="1" s="1"/>
  <c r="AZ176" i="1"/>
  <c r="AI200" i="1"/>
  <c r="AX200" i="1" s="1"/>
  <c r="AJ200" i="1"/>
  <c r="AJ229" i="1"/>
  <c r="AZ133" i="1"/>
  <c r="AI153" i="1"/>
  <c r="AX153" i="1" s="1"/>
  <c r="AY153" i="1" s="1"/>
  <c r="AZ153" i="1"/>
  <c r="AZ211" i="1"/>
  <c r="AZ214" i="1"/>
  <c r="AZ216" i="1"/>
  <c r="AR253" i="1"/>
  <c r="AJ257" i="1"/>
  <c r="AI257" i="1"/>
  <c r="AX257" i="1" s="1"/>
  <c r="AH196" i="1"/>
  <c r="AQ196" i="1" s="1"/>
  <c r="AR196" i="1" s="1"/>
  <c r="AS196" i="1"/>
  <c r="AJ38" i="1"/>
  <c r="AZ131" i="1"/>
  <c r="AY139" i="1"/>
  <c r="AZ190" i="1"/>
  <c r="AJ190" i="1"/>
  <c r="AI190" i="1"/>
  <c r="AX190" i="1" s="1"/>
  <c r="AH194" i="1"/>
  <c r="AQ194" i="1" s="1"/>
  <c r="AR194" i="1" s="1"/>
  <c r="AS194" i="1"/>
  <c r="AZ198" i="1"/>
  <c r="AI198" i="1"/>
  <c r="AX198" i="1" s="1"/>
  <c r="AJ198" i="1"/>
  <c r="AJ226" i="1"/>
  <c r="AZ226" i="1"/>
  <c r="AS190" i="1"/>
  <c r="AS231" i="1"/>
  <c r="AJ231" i="1"/>
  <c r="AZ236" i="1"/>
  <c r="AI236" i="1"/>
  <c r="AX236" i="1" s="1"/>
  <c r="AY236" i="1" s="1"/>
  <c r="AS6" i="1"/>
  <c r="AS41" i="1"/>
  <c r="AS47" i="1"/>
  <c r="AS51" i="1"/>
  <c r="AZ80" i="1"/>
  <c r="AZ141" i="1"/>
  <c r="AZ147" i="1"/>
  <c r="AY175" i="1"/>
  <c r="AS202" i="1"/>
  <c r="AS214" i="1"/>
  <c r="AJ249" i="1"/>
  <c r="AS257" i="1"/>
  <c r="AR9" i="1"/>
  <c r="AS46" i="1"/>
  <c r="AZ59" i="1"/>
  <c r="AZ70" i="1"/>
  <c r="AH151" i="1"/>
  <c r="AQ151" i="1" s="1"/>
  <c r="AR151" i="1" s="1"/>
  <c r="AZ184" i="1"/>
  <c r="AS253" i="1"/>
  <c r="AS40" i="1"/>
  <c r="AJ137" i="1"/>
  <c r="AS139" i="1"/>
  <c r="AH141" i="1"/>
  <c r="AQ141" i="1" s="1"/>
  <c r="AR141" i="1" s="1"/>
  <c r="AR143" i="1"/>
  <c r="AS198" i="1"/>
  <c r="AH202" i="1"/>
  <c r="AQ202" i="1" s="1"/>
  <c r="AR202" i="1" s="1"/>
  <c r="AH214" i="1"/>
  <c r="AQ214" i="1" s="1"/>
  <c r="AR214" i="1" s="1"/>
  <c r="AS225" i="1"/>
  <c r="AZ234" i="1"/>
  <c r="AH249" i="1"/>
  <c r="AQ249" i="1" s="1"/>
  <c r="AR249" i="1" s="1"/>
  <c r="AH257" i="1"/>
  <c r="AQ257" i="1" s="1"/>
  <c r="AR257" i="1" s="1"/>
  <c r="AS24" i="1"/>
  <c r="AZ135" i="1"/>
  <c r="AZ145" i="1"/>
  <c r="AR155" i="1"/>
  <c r="AS245" i="1"/>
  <c r="AS247" i="1"/>
  <c r="AZ252" i="1"/>
  <c r="AS48" i="1"/>
  <c r="AR54" i="1"/>
  <c r="AS223" i="1"/>
  <c r="AS229" i="1"/>
  <c r="AY242" i="1"/>
  <c r="AY251" i="1"/>
  <c r="AS255" i="1"/>
  <c r="AS19" i="1"/>
  <c r="AS137" i="1"/>
  <c r="AS159" i="1"/>
  <c r="AJ185" i="1"/>
  <c r="AZ225" i="1"/>
  <c r="AI234" i="1"/>
  <c r="AX234" i="1" s="1"/>
  <c r="AY234" i="1" s="1"/>
  <c r="AY22" i="1"/>
  <c r="AY28" i="1"/>
  <c r="AH145" i="1"/>
  <c r="AQ145" i="1" s="1"/>
  <c r="AR145" i="1" s="1"/>
  <c r="AJ279" i="1"/>
  <c r="AS36" i="1"/>
  <c r="AJ36" i="1"/>
  <c r="AJ52" i="1"/>
  <c r="AI52" i="1"/>
  <c r="AX52" i="1" s="1"/>
  <c r="AY52" i="1" s="1"/>
  <c r="AJ51" i="1"/>
  <c r="AI51" i="1"/>
  <c r="AX51" i="1" s="1"/>
  <c r="AY51" i="1" s="1"/>
  <c r="AH28" i="1"/>
  <c r="AQ28" i="1" s="1"/>
  <c r="AS28" i="1"/>
  <c r="AZ68" i="1"/>
  <c r="AZ72" i="1"/>
  <c r="AZ86" i="1"/>
  <c r="AZ93" i="1"/>
  <c r="AI93" i="1"/>
  <c r="AX93" i="1" s="1"/>
  <c r="AY93" i="1" s="1"/>
  <c r="AS23" i="1"/>
  <c r="AS50" i="1"/>
  <c r="AZ78" i="1"/>
  <c r="AZ88" i="1"/>
  <c r="AS34" i="1"/>
  <c r="AZ84" i="1"/>
  <c r="AJ34" i="1"/>
  <c r="AS49" i="1"/>
  <c r="AZ74" i="1"/>
  <c r="AR67" i="1"/>
  <c r="AS68" i="1"/>
  <c r="AZ76" i="1"/>
  <c r="AZ16" i="1"/>
  <c r="AS18" i="1"/>
  <c r="AR57" i="1"/>
  <c r="AR65" i="1"/>
  <c r="AS94" i="1"/>
  <c r="AS21" i="1"/>
  <c r="AR55" i="1"/>
  <c r="AS93" i="1"/>
  <c r="AS95" i="1"/>
  <c r="AS97" i="1"/>
  <c r="AZ99" i="1"/>
  <c r="AY14" i="1"/>
  <c r="AS42" i="1"/>
  <c r="AJ17" i="1"/>
  <c r="AS45" i="1"/>
  <c r="AS14" i="1"/>
  <c r="AS16" i="1"/>
  <c r="AZ20" i="1"/>
  <c r="AZ51" i="1"/>
  <c r="AR92" i="1"/>
  <c r="AJ22" i="1"/>
  <c r="AS38" i="1"/>
  <c r="AR51" i="1"/>
  <c r="AZ61" i="1"/>
  <c r="AR15" i="1"/>
  <c r="AR17" i="1"/>
  <c r="AS43" i="1"/>
  <c r="AS44" i="1"/>
  <c r="AR63" i="1"/>
  <c r="AY18" i="1"/>
  <c r="AR19" i="1"/>
  <c r="AR21" i="1"/>
  <c r="AS52" i="1"/>
  <c r="AR93" i="1"/>
  <c r="AR99" i="1"/>
  <c r="AJ14" i="1"/>
  <c r="AS17" i="1"/>
  <c r="AZ24" i="1"/>
  <c r="AU272" i="1"/>
  <c r="AV272" i="1" s="1"/>
  <c r="AW272" i="1" s="1"/>
  <c r="AJ284" i="1"/>
  <c r="AR275" i="1"/>
  <c r="AY267" i="1"/>
  <c r="AF272" i="1"/>
  <c r="AS272" i="1" s="1"/>
  <c r="AG272" i="1"/>
  <c r="AS265" i="1"/>
  <c r="AF281" i="1"/>
  <c r="AS281" i="1" s="1"/>
  <c r="AG281" i="1"/>
  <c r="AZ281" i="1" s="1"/>
  <c r="AR279" i="1"/>
  <c r="AS269" i="1"/>
  <c r="AS267" i="1"/>
  <c r="AY269" i="1"/>
  <c r="AJ273" i="1"/>
  <c r="AS271" i="1"/>
  <c r="AH271" i="1"/>
  <c r="AQ271" i="1" s="1"/>
  <c r="AR271" i="1" s="1"/>
  <c r="AQ286" i="1"/>
  <c r="AR286" i="1" s="1"/>
  <c r="AS286" i="1"/>
  <c r="AJ265" i="1"/>
  <c r="AI265" i="1"/>
  <c r="AX265" i="1" s="1"/>
  <c r="AY265" i="1" s="1"/>
  <c r="AZ275" i="1"/>
  <c r="AJ275" i="1"/>
  <c r="AI275" i="1"/>
  <c r="AX275" i="1" s="1"/>
  <c r="AY275" i="1" s="1"/>
  <c r="AZ283" i="1"/>
  <c r="AX286" i="1"/>
  <c r="AY286" i="1" s="1"/>
  <c r="AJ271" i="1"/>
  <c r="AS284" i="1"/>
  <c r="AH284" i="1"/>
  <c r="AQ284" i="1" s="1"/>
  <c r="AR284" i="1" s="1"/>
  <c r="AS273" i="1"/>
  <c r="AH273" i="1"/>
  <c r="AQ273" i="1" s="1"/>
  <c r="AR273" i="1" s="1"/>
  <c r="AZ278" i="1"/>
  <c r="AZ276" i="1"/>
  <c r="AI271" i="1"/>
  <c r="AX271" i="1" s="1"/>
  <c r="AY271" i="1" s="1"/>
  <c r="AI273" i="1"/>
  <c r="AX273" i="1" s="1"/>
  <c r="AI279" i="1"/>
  <c r="AX279" i="1" s="1"/>
  <c r="AY279" i="1" s="1"/>
  <c r="AI284" i="1"/>
  <c r="AX284" i="1" s="1"/>
  <c r="AJ267" i="1"/>
  <c r="AS275" i="1"/>
  <c r="AS279" i="1"/>
  <c r="AH267" i="1"/>
  <c r="AQ267" i="1" s="1"/>
  <c r="AR267" i="1" s="1"/>
  <c r="AZ270" i="1"/>
  <c r="AJ6" i="1"/>
  <c r="AI6" i="1"/>
  <c r="AX6" i="1" s="1"/>
  <c r="AY6" i="1" s="1"/>
  <c r="AZ6" i="1"/>
  <c r="AJ10" i="1"/>
  <c r="AI10" i="1"/>
  <c r="AX10" i="1" s="1"/>
  <c r="AY10" i="1" s="1"/>
  <c r="AZ10" i="1"/>
  <c r="AZ23" i="1"/>
  <c r="AJ23" i="1"/>
  <c r="AI23" i="1"/>
  <c r="AX23" i="1" s="1"/>
  <c r="AY23" i="1" s="1"/>
  <c r="AI25" i="1"/>
  <c r="AX25" i="1" s="1"/>
  <c r="AY25" i="1" s="1"/>
  <c r="AZ25" i="1"/>
  <c r="AJ25" i="1"/>
  <c r="AI27" i="1"/>
  <c r="AX27" i="1" s="1"/>
  <c r="AY27" i="1" s="1"/>
  <c r="AZ27" i="1"/>
  <c r="AJ27" i="1"/>
  <c r="AZ5" i="1"/>
  <c r="AJ5" i="1"/>
  <c r="AI5" i="1"/>
  <c r="AX5" i="1" s="1"/>
  <c r="AY5" i="1" s="1"/>
  <c r="AS10" i="1"/>
  <c r="AZ15" i="1"/>
  <c r="AI15" i="1"/>
  <c r="AX15" i="1" s="1"/>
  <c r="AY15" i="1" s="1"/>
  <c r="AJ15" i="1"/>
  <c r="AS5" i="1"/>
  <c r="AJ9" i="1"/>
  <c r="AZ9" i="1"/>
  <c r="AI9" i="1"/>
  <c r="AX9" i="1" s="1"/>
  <c r="AY9" i="1" s="1"/>
  <c r="AZ13" i="1"/>
  <c r="AJ13" i="1"/>
  <c r="AI13" i="1"/>
  <c r="AX13" i="1" s="1"/>
  <c r="AY13" i="1" s="1"/>
  <c r="AI29" i="1"/>
  <c r="AX29" i="1" s="1"/>
  <c r="AY29" i="1" s="1"/>
  <c r="AZ29" i="1"/>
  <c r="AJ29" i="1"/>
  <c r="AJ4" i="1"/>
  <c r="AI4" i="1"/>
  <c r="AX4" i="1" s="1"/>
  <c r="AY4" i="1" s="1"/>
  <c r="AZ4" i="1"/>
  <c r="AR13" i="1"/>
  <c r="AS4" i="1"/>
  <c r="AJ8" i="1"/>
  <c r="AI8" i="1"/>
  <c r="AX8" i="1" s="1"/>
  <c r="AY8" i="1" s="1"/>
  <c r="AZ8" i="1"/>
  <c r="AJ12" i="1"/>
  <c r="AI12" i="1"/>
  <c r="AX12" i="1" s="1"/>
  <c r="AY12" i="1" s="1"/>
  <c r="AZ12" i="1"/>
  <c r="AS8" i="1"/>
  <c r="AZ19" i="1"/>
  <c r="AJ19" i="1"/>
  <c r="AI19" i="1"/>
  <c r="AX19" i="1" s="1"/>
  <c r="AY19" i="1" s="1"/>
  <c r="AZ7" i="1"/>
  <c r="AI7" i="1"/>
  <c r="AX7" i="1" s="1"/>
  <c r="AY7" i="1" s="1"/>
  <c r="AJ7" i="1"/>
  <c r="AZ11" i="1"/>
  <c r="AI11" i="1"/>
  <c r="AX11" i="1" s="1"/>
  <c r="AY11" i="1" s="1"/>
  <c r="AJ11" i="1"/>
  <c r="AR7" i="1"/>
  <c r="AR11" i="1"/>
  <c r="AS7" i="1"/>
  <c r="AS9" i="1"/>
  <c r="AS11" i="1"/>
  <c r="AS13" i="1"/>
  <c r="AR14" i="1"/>
  <c r="AJ16" i="1"/>
  <c r="AR22" i="1"/>
  <c r="AJ24" i="1"/>
  <c r="AZ26" i="1"/>
  <c r="AS26" i="1"/>
  <c r="AJ31" i="1"/>
  <c r="AI31" i="1"/>
  <c r="AX31" i="1" s="1"/>
  <c r="AY31" i="1" s="1"/>
  <c r="AZ31" i="1"/>
  <c r="AS39" i="1"/>
  <c r="AH39" i="1"/>
  <c r="AQ39" i="1" s="1"/>
  <c r="AR39" i="1" s="1"/>
  <c r="AJ40" i="1"/>
  <c r="AI40" i="1"/>
  <c r="AX40" i="1" s="1"/>
  <c r="AY40" i="1" s="1"/>
  <c r="AZ40" i="1"/>
  <c r="AJ53" i="1"/>
  <c r="AI53" i="1"/>
  <c r="AX53" i="1" s="1"/>
  <c r="AY53" i="1" s="1"/>
  <c r="AZ53" i="1"/>
  <c r="AS29" i="1"/>
  <c r="AH29" i="1"/>
  <c r="AQ29" i="1" s="1"/>
  <c r="AR29" i="1" s="1"/>
  <c r="AR20" i="1"/>
  <c r="AI21" i="1"/>
  <c r="AX21" i="1" s="1"/>
  <c r="AY21" i="1" s="1"/>
  <c r="AI26" i="1"/>
  <c r="AX26" i="1" s="1"/>
  <c r="AY26" i="1" s="1"/>
  <c r="AI32" i="1"/>
  <c r="AX32" i="1" s="1"/>
  <c r="AY32" i="1" s="1"/>
  <c r="AZ32" i="1"/>
  <c r="AZ35" i="1"/>
  <c r="AJ35" i="1"/>
  <c r="AI35" i="1"/>
  <c r="AX35" i="1" s="1"/>
  <c r="AY35" i="1" s="1"/>
  <c r="AZ41" i="1"/>
  <c r="AJ44" i="1"/>
  <c r="AI44" i="1"/>
  <c r="AX44" i="1" s="1"/>
  <c r="AY44" i="1" s="1"/>
  <c r="AZ44" i="1"/>
  <c r="AS35" i="1"/>
  <c r="AH35" i="1"/>
  <c r="AQ35" i="1" s="1"/>
  <c r="AR35" i="1" s="1"/>
  <c r="AH4" i="1"/>
  <c r="AQ4" i="1" s="1"/>
  <c r="AR4" i="1" s="1"/>
  <c r="AH6" i="1"/>
  <c r="AQ6" i="1" s="1"/>
  <c r="AR6" i="1" s="1"/>
  <c r="AH8" i="1"/>
  <c r="AQ8" i="1" s="1"/>
  <c r="AR8" i="1" s="1"/>
  <c r="AH10" i="1"/>
  <c r="AQ10" i="1" s="1"/>
  <c r="AR10" i="1" s="1"/>
  <c r="AH12" i="1"/>
  <c r="AQ12" i="1" s="1"/>
  <c r="AR12" i="1" s="1"/>
  <c r="AZ18" i="1"/>
  <c r="AI20" i="1"/>
  <c r="AX20" i="1" s="1"/>
  <c r="AY20" i="1" s="1"/>
  <c r="AJ21" i="1"/>
  <c r="AS25" i="1"/>
  <c r="AH25" i="1"/>
  <c r="AQ25" i="1" s="1"/>
  <c r="AR25" i="1" s="1"/>
  <c r="AJ26" i="1"/>
  <c r="AZ28" i="1"/>
  <c r="AS32" i="1"/>
  <c r="AI36" i="1"/>
  <c r="AX36" i="1" s="1"/>
  <c r="AY36" i="1" s="1"/>
  <c r="AZ36" i="1"/>
  <c r="AZ43" i="1"/>
  <c r="AJ46" i="1"/>
  <c r="AI46" i="1"/>
  <c r="AX46" i="1" s="1"/>
  <c r="AY46" i="1" s="1"/>
  <c r="AZ46" i="1"/>
  <c r="AZ57" i="1"/>
  <c r="AZ65" i="1"/>
  <c r="AJ42" i="1"/>
  <c r="AI42" i="1"/>
  <c r="AX42" i="1" s="1"/>
  <c r="AY42" i="1" s="1"/>
  <c r="AZ42" i="1"/>
  <c r="AR18" i="1"/>
  <c r="AJ20" i="1"/>
  <c r="AR28" i="1"/>
  <c r="AJ32" i="1"/>
  <c r="AS33" i="1"/>
  <c r="AH33" i="1"/>
  <c r="AQ33" i="1" s="1"/>
  <c r="AR33" i="1" s="1"/>
  <c r="AZ45" i="1"/>
  <c r="AJ48" i="1"/>
  <c r="AI48" i="1"/>
  <c r="AX48" i="1" s="1"/>
  <c r="AY48" i="1" s="1"/>
  <c r="AZ48" i="1"/>
  <c r="AI30" i="1"/>
  <c r="AX30" i="1" s="1"/>
  <c r="AY30" i="1" s="1"/>
  <c r="AZ30" i="1"/>
  <c r="AJ33" i="1"/>
  <c r="AI33" i="1"/>
  <c r="AX33" i="1" s="1"/>
  <c r="AY33" i="1" s="1"/>
  <c r="AZ33" i="1"/>
  <c r="AS37" i="1"/>
  <c r="AH37" i="1"/>
  <c r="AQ37" i="1" s="1"/>
  <c r="AR37" i="1" s="1"/>
  <c r="AJ50" i="1"/>
  <c r="AI50" i="1"/>
  <c r="AX50" i="1" s="1"/>
  <c r="AY50" i="1" s="1"/>
  <c r="AZ50" i="1"/>
  <c r="AJ55" i="1"/>
  <c r="AI55" i="1"/>
  <c r="AX55" i="1" s="1"/>
  <c r="AY55" i="1" s="1"/>
  <c r="AZ55" i="1"/>
  <c r="AZ63" i="1"/>
  <c r="AR16" i="1"/>
  <c r="AI17" i="1"/>
  <c r="AX17" i="1" s="1"/>
  <c r="AY17" i="1" s="1"/>
  <c r="AJ18" i="1"/>
  <c r="AR24" i="1"/>
  <c r="AS27" i="1"/>
  <c r="AH27" i="1"/>
  <c r="AQ27" i="1" s="1"/>
  <c r="AR27" i="1" s="1"/>
  <c r="AJ28" i="1"/>
  <c r="AS30" i="1"/>
  <c r="AZ37" i="1"/>
  <c r="AI38" i="1"/>
  <c r="AX38" i="1" s="1"/>
  <c r="AY38" i="1" s="1"/>
  <c r="AZ38" i="1"/>
  <c r="AZ49" i="1"/>
  <c r="AZ14" i="1"/>
  <c r="AI16" i="1"/>
  <c r="AX16" i="1" s="1"/>
  <c r="AY16" i="1" s="1"/>
  <c r="AZ22" i="1"/>
  <c r="AI24" i="1"/>
  <c r="AX24" i="1" s="1"/>
  <c r="AY24" i="1" s="1"/>
  <c r="AJ30" i="1"/>
  <c r="AS31" i="1"/>
  <c r="AH31" i="1"/>
  <c r="AQ31" i="1" s="1"/>
  <c r="AR31" i="1" s="1"/>
  <c r="AI34" i="1"/>
  <c r="AX34" i="1" s="1"/>
  <c r="AY34" i="1" s="1"/>
  <c r="AZ34" i="1"/>
  <c r="AH41" i="1"/>
  <c r="AQ41" i="1" s="1"/>
  <c r="AR41" i="1" s="1"/>
  <c r="AH43" i="1"/>
  <c r="AQ43" i="1" s="1"/>
  <c r="AR43" i="1" s="1"/>
  <c r="AH45" i="1"/>
  <c r="AQ45" i="1" s="1"/>
  <c r="AR45" i="1" s="1"/>
  <c r="AH47" i="1"/>
  <c r="AQ47" i="1" s="1"/>
  <c r="AR47" i="1" s="1"/>
  <c r="AH49" i="1"/>
  <c r="AQ49" i="1" s="1"/>
  <c r="AR49" i="1" s="1"/>
  <c r="AZ52" i="1"/>
  <c r="AS54" i="1"/>
  <c r="AJ75" i="1"/>
  <c r="AJ78" i="1"/>
  <c r="AI78" i="1"/>
  <c r="AX78" i="1" s="1"/>
  <c r="AY78" i="1" s="1"/>
  <c r="AS79" i="1"/>
  <c r="AH79" i="1"/>
  <c r="AQ79" i="1" s="1"/>
  <c r="AR79" i="1" s="1"/>
  <c r="AJ80" i="1"/>
  <c r="AI80" i="1"/>
  <c r="AX80" i="1" s="1"/>
  <c r="AY80" i="1" s="1"/>
  <c r="AS81" i="1"/>
  <c r="AH81" i="1"/>
  <c r="AQ81" i="1" s="1"/>
  <c r="AR81" i="1" s="1"/>
  <c r="AJ82" i="1"/>
  <c r="AI82" i="1"/>
  <c r="AX82" i="1" s="1"/>
  <c r="AY82" i="1" s="1"/>
  <c r="AS83" i="1"/>
  <c r="AH83" i="1"/>
  <c r="AQ83" i="1" s="1"/>
  <c r="AR83" i="1" s="1"/>
  <c r="AJ84" i="1"/>
  <c r="AI84" i="1"/>
  <c r="AX84" i="1" s="1"/>
  <c r="AY84" i="1" s="1"/>
  <c r="AS85" i="1"/>
  <c r="AH85" i="1"/>
  <c r="AQ85" i="1" s="1"/>
  <c r="AR85" i="1" s="1"/>
  <c r="AJ86" i="1"/>
  <c r="AI86" i="1"/>
  <c r="AX86" i="1" s="1"/>
  <c r="AY86" i="1" s="1"/>
  <c r="AS87" i="1"/>
  <c r="AH87" i="1"/>
  <c r="AQ87" i="1" s="1"/>
  <c r="AR87" i="1" s="1"/>
  <c r="AJ88" i="1"/>
  <c r="AI88" i="1"/>
  <c r="AX88" i="1" s="1"/>
  <c r="AY88" i="1" s="1"/>
  <c r="AS89" i="1"/>
  <c r="AH89" i="1"/>
  <c r="AQ89" i="1" s="1"/>
  <c r="AR89" i="1" s="1"/>
  <c r="AJ90" i="1"/>
  <c r="AI37" i="1"/>
  <c r="AX37" i="1" s="1"/>
  <c r="AY37" i="1" s="1"/>
  <c r="AI39" i="1"/>
  <c r="AX39" i="1" s="1"/>
  <c r="AY39" i="1" s="1"/>
  <c r="AI41" i="1"/>
  <c r="AX41" i="1" s="1"/>
  <c r="AY41" i="1" s="1"/>
  <c r="AI43" i="1"/>
  <c r="AX43" i="1" s="1"/>
  <c r="AY43" i="1" s="1"/>
  <c r="AI45" i="1"/>
  <c r="AX45" i="1" s="1"/>
  <c r="AY45" i="1" s="1"/>
  <c r="AI47" i="1"/>
  <c r="AX47" i="1" s="1"/>
  <c r="AY47" i="1" s="1"/>
  <c r="AI49" i="1"/>
  <c r="AX49" i="1" s="1"/>
  <c r="AY49" i="1" s="1"/>
  <c r="AS53" i="1"/>
  <c r="AJ54" i="1"/>
  <c r="AS56" i="1"/>
  <c r="AS58" i="1"/>
  <c r="AS60" i="1"/>
  <c r="AS62" i="1"/>
  <c r="AS64" i="1"/>
  <c r="AS66" i="1"/>
  <c r="AJ68" i="1"/>
  <c r="AI68" i="1"/>
  <c r="AX68" i="1" s="1"/>
  <c r="AY68" i="1" s="1"/>
  <c r="AJ77" i="1"/>
  <c r="AJ79" i="1"/>
  <c r="AI79" i="1"/>
  <c r="AX79" i="1" s="1"/>
  <c r="AY79" i="1" s="1"/>
  <c r="AZ79" i="1"/>
  <c r="AJ81" i="1"/>
  <c r="AI81" i="1"/>
  <c r="AX81" i="1" s="1"/>
  <c r="AY81" i="1" s="1"/>
  <c r="AZ81" i="1"/>
  <c r="AJ83" i="1"/>
  <c r="AI83" i="1"/>
  <c r="AX83" i="1" s="1"/>
  <c r="AY83" i="1" s="1"/>
  <c r="AZ83" i="1"/>
  <c r="AJ85" i="1"/>
  <c r="AI85" i="1"/>
  <c r="AX85" i="1" s="1"/>
  <c r="AY85" i="1" s="1"/>
  <c r="AZ85" i="1"/>
  <c r="AJ87" i="1"/>
  <c r="AI87" i="1"/>
  <c r="AX87" i="1" s="1"/>
  <c r="AY87" i="1" s="1"/>
  <c r="AZ87" i="1"/>
  <c r="AJ89" i="1"/>
  <c r="AI89" i="1"/>
  <c r="AX89" i="1" s="1"/>
  <c r="AY89" i="1" s="1"/>
  <c r="AZ89" i="1"/>
  <c r="AJ37" i="1"/>
  <c r="AJ39" i="1"/>
  <c r="AJ41" i="1"/>
  <c r="AJ43" i="1"/>
  <c r="AJ45" i="1"/>
  <c r="AJ47" i="1"/>
  <c r="AJ49" i="1"/>
  <c r="AH68" i="1"/>
  <c r="AQ68" i="1" s="1"/>
  <c r="AR68" i="1" s="1"/>
  <c r="AS70" i="1"/>
  <c r="AH70" i="1"/>
  <c r="AQ70" i="1" s="1"/>
  <c r="AR70" i="1" s="1"/>
  <c r="AI54" i="1"/>
  <c r="AX54" i="1" s="1"/>
  <c r="AY54" i="1" s="1"/>
  <c r="AJ56" i="1"/>
  <c r="AI56" i="1"/>
  <c r="AX56" i="1" s="1"/>
  <c r="AY56" i="1" s="1"/>
  <c r="AJ58" i="1"/>
  <c r="AI58" i="1"/>
  <c r="AX58" i="1" s="1"/>
  <c r="AY58" i="1" s="1"/>
  <c r="AJ60" i="1"/>
  <c r="AI60" i="1"/>
  <c r="AX60" i="1" s="1"/>
  <c r="AY60" i="1" s="1"/>
  <c r="AJ62" i="1"/>
  <c r="AI62" i="1"/>
  <c r="AX62" i="1" s="1"/>
  <c r="AY62" i="1" s="1"/>
  <c r="AJ64" i="1"/>
  <c r="AI64" i="1"/>
  <c r="AX64" i="1" s="1"/>
  <c r="AY64" i="1" s="1"/>
  <c r="AJ66" i="1"/>
  <c r="AI66" i="1"/>
  <c r="AX66" i="1" s="1"/>
  <c r="AY66" i="1" s="1"/>
  <c r="AS69" i="1"/>
  <c r="AH69" i="1"/>
  <c r="AQ69" i="1" s="1"/>
  <c r="AR69" i="1" s="1"/>
  <c r="AS72" i="1"/>
  <c r="AH72" i="1"/>
  <c r="AQ72" i="1" s="1"/>
  <c r="AR72" i="1" s="1"/>
  <c r="AH30" i="1"/>
  <c r="AQ30" i="1" s="1"/>
  <c r="AR30" i="1" s="1"/>
  <c r="AH32" i="1"/>
  <c r="AQ32" i="1" s="1"/>
  <c r="AR32" i="1" s="1"/>
  <c r="AH34" i="1"/>
  <c r="AQ34" i="1" s="1"/>
  <c r="AR34" i="1" s="1"/>
  <c r="AH36" i="1"/>
  <c r="AQ36" i="1" s="1"/>
  <c r="AR36" i="1" s="1"/>
  <c r="AH38" i="1"/>
  <c r="AQ38" i="1" s="1"/>
  <c r="AR38" i="1" s="1"/>
  <c r="AH40" i="1"/>
  <c r="AQ40" i="1" s="1"/>
  <c r="AR40" i="1" s="1"/>
  <c r="AH42" i="1"/>
  <c r="AQ42" i="1" s="1"/>
  <c r="AR42" i="1" s="1"/>
  <c r="AH44" i="1"/>
  <c r="AQ44" i="1" s="1"/>
  <c r="AR44" i="1" s="1"/>
  <c r="AH46" i="1"/>
  <c r="AQ46" i="1" s="1"/>
  <c r="AR46" i="1" s="1"/>
  <c r="AH48" i="1"/>
  <c r="AQ48" i="1" s="1"/>
  <c r="AR48" i="1" s="1"/>
  <c r="AH50" i="1"/>
  <c r="AQ50" i="1" s="1"/>
  <c r="AR50" i="1" s="1"/>
  <c r="AH53" i="1"/>
  <c r="AQ53" i="1" s="1"/>
  <c r="AR53" i="1" s="1"/>
  <c r="AZ54" i="1"/>
  <c r="AH56" i="1"/>
  <c r="AQ56" i="1" s="1"/>
  <c r="AR56" i="1" s="1"/>
  <c r="AZ56" i="1"/>
  <c r="AH58" i="1"/>
  <c r="AQ58" i="1" s="1"/>
  <c r="AR58" i="1" s="1"/>
  <c r="AZ58" i="1"/>
  <c r="AH60" i="1"/>
  <c r="AQ60" i="1" s="1"/>
  <c r="AR60" i="1" s="1"/>
  <c r="AZ60" i="1"/>
  <c r="AH62" i="1"/>
  <c r="AQ62" i="1" s="1"/>
  <c r="AR62" i="1" s="1"/>
  <c r="AZ62" i="1"/>
  <c r="AH64" i="1"/>
  <c r="AQ64" i="1" s="1"/>
  <c r="AR64" i="1" s="1"/>
  <c r="AZ64" i="1"/>
  <c r="AH66" i="1"/>
  <c r="AQ66" i="1" s="1"/>
  <c r="AR66" i="1" s="1"/>
  <c r="AZ66" i="1"/>
  <c r="AJ70" i="1"/>
  <c r="AI70" i="1"/>
  <c r="AX70" i="1" s="1"/>
  <c r="AY70" i="1" s="1"/>
  <c r="AS71" i="1"/>
  <c r="AH71" i="1"/>
  <c r="AQ71" i="1" s="1"/>
  <c r="AR71" i="1" s="1"/>
  <c r="AS74" i="1"/>
  <c r="AH74" i="1"/>
  <c r="AQ74" i="1" s="1"/>
  <c r="AR74" i="1" s="1"/>
  <c r="AS55" i="1"/>
  <c r="AS57" i="1"/>
  <c r="AS59" i="1"/>
  <c r="AS61" i="1"/>
  <c r="AS63" i="1"/>
  <c r="AS65" i="1"/>
  <c r="AS67" i="1"/>
  <c r="AJ69" i="1"/>
  <c r="AJ72" i="1"/>
  <c r="AI72" i="1"/>
  <c r="AX72" i="1" s="1"/>
  <c r="AY72" i="1" s="1"/>
  <c r="AS73" i="1"/>
  <c r="AH73" i="1"/>
  <c r="AQ73" i="1" s="1"/>
  <c r="AR73" i="1" s="1"/>
  <c r="AS76" i="1"/>
  <c r="AH76" i="1"/>
  <c r="AQ76" i="1" s="1"/>
  <c r="AR76" i="1" s="1"/>
  <c r="AJ74" i="1"/>
  <c r="AI74" i="1"/>
  <c r="AX74" i="1" s="1"/>
  <c r="AY74" i="1" s="1"/>
  <c r="AS75" i="1"/>
  <c r="AH75" i="1"/>
  <c r="AQ75" i="1" s="1"/>
  <c r="AR75" i="1" s="1"/>
  <c r="AS78" i="1"/>
  <c r="AH78" i="1"/>
  <c r="AQ78" i="1" s="1"/>
  <c r="AR78" i="1" s="1"/>
  <c r="AS80" i="1"/>
  <c r="AH80" i="1"/>
  <c r="AQ80" i="1" s="1"/>
  <c r="AR80" i="1" s="1"/>
  <c r="AS82" i="1"/>
  <c r="AH82" i="1"/>
  <c r="AQ82" i="1" s="1"/>
  <c r="AR82" i="1" s="1"/>
  <c r="AS84" i="1"/>
  <c r="AH84" i="1"/>
  <c r="AQ84" i="1" s="1"/>
  <c r="AR84" i="1" s="1"/>
  <c r="AS86" i="1"/>
  <c r="AH86" i="1"/>
  <c r="AQ86" i="1" s="1"/>
  <c r="AR86" i="1" s="1"/>
  <c r="AS88" i="1"/>
  <c r="AH88" i="1"/>
  <c r="AQ88" i="1" s="1"/>
  <c r="AR88" i="1" s="1"/>
  <c r="AS90" i="1"/>
  <c r="AH90" i="1"/>
  <c r="AQ90" i="1" s="1"/>
  <c r="AR90" i="1" s="1"/>
  <c r="AS91" i="1"/>
  <c r="AH91" i="1"/>
  <c r="AQ91" i="1" s="1"/>
  <c r="AR91" i="1" s="1"/>
  <c r="AJ57" i="1"/>
  <c r="AI57" i="1"/>
  <c r="AX57" i="1" s="1"/>
  <c r="AY57" i="1" s="1"/>
  <c r="AJ59" i="1"/>
  <c r="AI59" i="1"/>
  <c r="AX59" i="1" s="1"/>
  <c r="AY59" i="1" s="1"/>
  <c r="AJ61" i="1"/>
  <c r="AI61" i="1"/>
  <c r="AX61" i="1" s="1"/>
  <c r="AY61" i="1" s="1"/>
  <c r="AJ63" i="1"/>
  <c r="AI63" i="1"/>
  <c r="AX63" i="1" s="1"/>
  <c r="AY63" i="1" s="1"/>
  <c r="AJ65" i="1"/>
  <c r="AI65" i="1"/>
  <c r="AX65" i="1" s="1"/>
  <c r="AY65" i="1" s="1"/>
  <c r="AJ67" i="1"/>
  <c r="AI67" i="1"/>
  <c r="AX67" i="1" s="1"/>
  <c r="AY67" i="1" s="1"/>
  <c r="AZ67" i="1"/>
  <c r="AJ76" i="1"/>
  <c r="AI76" i="1"/>
  <c r="AX76" i="1" s="1"/>
  <c r="AY76" i="1" s="1"/>
  <c r="AS77" i="1"/>
  <c r="AH77" i="1"/>
  <c r="AQ77" i="1" s="1"/>
  <c r="AR77" i="1" s="1"/>
  <c r="AJ91" i="1"/>
  <c r="AI91" i="1"/>
  <c r="AX91" i="1" s="1"/>
  <c r="AY91" i="1" s="1"/>
  <c r="AZ91" i="1"/>
  <c r="AZ90" i="1"/>
  <c r="AJ100" i="1"/>
  <c r="AI100" i="1"/>
  <c r="AX100" i="1" s="1"/>
  <c r="AY100" i="1" s="1"/>
  <c r="AZ100" i="1"/>
  <c r="AJ102" i="1"/>
  <c r="AI102" i="1"/>
  <c r="AX102" i="1" s="1"/>
  <c r="AY102" i="1" s="1"/>
  <c r="AZ102" i="1"/>
  <c r="AJ103" i="1"/>
  <c r="AI103" i="1"/>
  <c r="AX103" i="1" s="1"/>
  <c r="AY103" i="1" s="1"/>
  <c r="AJ110" i="1"/>
  <c r="AI110" i="1"/>
  <c r="AX110" i="1" s="1"/>
  <c r="AY110" i="1" s="1"/>
  <c r="AZ110" i="1"/>
  <c r="AJ111" i="1"/>
  <c r="AI111" i="1"/>
  <c r="AX111" i="1" s="1"/>
  <c r="AY111" i="1" s="1"/>
  <c r="AS112" i="1"/>
  <c r="AH112" i="1"/>
  <c r="AQ112" i="1" s="1"/>
  <c r="AR112" i="1" s="1"/>
  <c r="AS115" i="1"/>
  <c r="AH115" i="1"/>
  <c r="AQ115" i="1" s="1"/>
  <c r="AR115" i="1" s="1"/>
  <c r="AJ126" i="1"/>
  <c r="AI126" i="1"/>
  <c r="AX126" i="1" s="1"/>
  <c r="AY126" i="1" s="1"/>
  <c r="AZ126" i="1"/>
  <c r="AJ127" i="1"/>
  <c r="AI127" i="1"/>
  <c r="AX127" i="1" s="1"/>
  <c r="AY127" i="1" s="1"/>
  <c r="AS128" i="1"/>
  <c r="AH128" i="1"/>
  <c r="AQ128" i="1" s="1"/>
  <c r="AR128" i="1" s="1"/>
  <c r="AS131" i="1"/>
  <c r="AH131" i="1"/>
  <c r="AQ131" i="1" s="1"/>
  <c r="AR131" i="1" s="1"/>
  <c r="AJ144" i="1"/>
  <c r="AI144" i="1"/>
  <c r="AX144" i="1" s="1"/>
  <c r="AY144" i="1" s="1"/>
  <c r="AZ144" i="1"/>
  <c r="AR97" i="1"/>
  <c r="AJ101" i="1"/>
  <c r="AI101" i="1"/>
  <c r="AX101" i="1" s="1"/>
  <c r="AY101" i="1" s="1"/>
  <c r="AJ112" i="1"/>
  <c r="AI112" i="1"/>
  <c r="AX112" i="1" s="1"/>
  <c r="AY112" i="1" s="1"/>
  <c r="AZ112" i="1"/>
  <c r="AJ113" i="1"/>
  <c r="AI113" i="1"/>
  <c r="AX113" i="1" s="1"/>
  <c r="AY113" i="1" s="1"/>
  <c r="AS114" i="1"/>
  <c r="AH114" i="1"/>
  <c r="AQ114" i="1" s="1"/>
  <c r="AR114" i="1" s="1"/>
  <c r="AS117" i="1"/>
  <c r="AH117" i="1"/>
  <c r="AQ117" i="1" s="1"/>
  <c r="AR117" i="1" s="1"/>
  <c r="AJ128" i="1"/>
  <c r="AI128" i="1"/>
  <c r="AX128" i="1" s="1"/>
  <c r="AY128" i="1" s="1"/>
  <c r="AZ128" i="1"/>
  <c r="AJ129" i="1"/>
  <c r="AI129" i="1"/>
  <c r="AX129" i="1" s="1"/>
  <c r="AY129" i="1" s="1"/>
  <c r="AS130" i="1"/>
  <c r="AH130" i="1"/>
  <c r="AQ130" i="1" s="1"/>
  <c r="AR130" i="1" s="1"/>
  <c r="AS133" i="1"/>
  <c r="AH133" i="1"/>
  <c r="AQ133" i="1" s="1"/>
  <c r="AR133" i="1" s="1"/>
  <c r="AR142" i="1"/>
  <c r="AJ146" i="1"/>
  <c r="AI146" i="1"/>
  <c r="AX146" i="1" s="1"/>
  <c r="AY146" i="1" s="1"/>
  <c r="AI90" i="1"/>
  <c r="AX90" i="1" s="1"/>
  <c r="AY90" i="1" s="1"/>
  <c r="AI95" i="1"/>
  <c r="AX95" i="1" s="1"/>
  <c r="AY95" i="1" s="1"/>
  <c r="AZ95" i="1"/>
  <c r="AJ114" i="1"/>
  <c r="AI114" i="1"/>
  <c r="AX114" i="1" s="1"/>
  <c r="AY114" i="1" s="1"/>
  <c r="AZ114" i="1"/>
  <c r="AJ115" i="1"/>
  <c r="AI115" i="1"/>
  <c r="AX115" i="1" s="1"/>
  <c r="AY115" i="1" s="1"/>
  <c r="AS116" i="1"/>
  <c r="AH116" i="1"/>
  <c r="AQ116" i="1" s="1"/>
  <c r="AR116" i="1" s="1"/>
  <c r="AS119" i="1"/>
  <c r="AH119" i="1"/>
  <c r="AQ119" i="1" s="1"/>
  <c r="AR119" i="1" s="1"/>
  <c r="AJ130" i="1"/>
  <c r="AI130" i="1"/>
  <c r="AX130" i="1" s="1"/>
  <c r="AY130" i="1" s="1"/>
  <c r="AZ130" i="1"/>
  <c r="AJ131" i="1"/>
  <c r="AI131" i="1"/>
  <c r="AX131" i="1" s="1"/>
  <c r="AY131" i="1" s="1"/>
  <c r="AS132" i="1"/>
  <c r="AH132" i="1"/>
  <c r="AQ132" i="1" s="1"/>
  <c r="AR132" i="1" s="1"/>
  <c r="AS135" i="1"/>
  <c r="AH135" i="1"/>
  <c r="AQ135" i="1" s="1"/>
  <c r="AR135" i="1" s="1"/>
  <c r="AR138" i="1"/>
  <c r="AJ140" i="1"/>
  <c r="AI140" i="1"/>
  <c r="AX140" i="1" s="1"/>
  <c r="AY140" i="1" s="1"/>
  <c r="AZ140" i="1"/>
  <c r="AJ93" i="1"/>
  <c r="AS96" i="1"/>
  <c r="AH96" i="1"/>
  <c r="AQ96" i="1" s="1"/>
  <c r="AR96" i="1" s="1"/>
  <c r="AJ116" i="1"/>
  <c r="AI116" i="1"/>
  <c r="AX116" i="1" s="1"/>
  <c r="AY116" i="1" s="1"/>
  <c r="AZ116" i="1"/>
  <c r="AJ117" i="1"/>
  <c r="AI117" i="1"/>
  <c r="AX117" i="1" s="1"/>
  <c r="AY117" i="1" s="1"/>
  <c r="AS118" i="1"/>
  <c r="AH118" i="1"/>
  <c r="AQ118" i="1" s="1"/>
  <c r="AR118" i="1" s="1"/>
  <c r="AS121" i="1"/>
  <c r="AH121" i="1"/>
  <c r="AQ121" i="1" s="1"/>
  <c r="AR121" i="1" s="1"/>
  <c r="AJ132" i="1"/>
  <c r="AI132" i="1"/>
  <c r="AX132" i="1" s="1"/>
  <c r="AY132" i="1" s="1"/>
  <c r="AZ132" i="1"/>
  <c r="AJ133" i="1"/>
  <c r="AI133" i="1"/>
  <c r="AX133" i="1" s="1"/>
  <c r="AY133" i="1" s="1"/>
  <c r="AS134" i="1"/>
  <c r="AH134" i="1"/>
  <c r="AQ134" i="1" s="1"/>
  <c r="AR134" i="1" s="1"/>
  <c r="AZ69" i="1"/>
  <c r="AZ71" i="1"/>
  <c r="AZ73" i="1"/>
  <c r="AZ75" i="1"/>
  <c r="AZ77" i="1"/>
  <c r="AJ96" i="1"/>
  <c r="AI96" i="1"/>
  <c r="AX96" i="1" s="1"/>
  <c r="AY96" i="1" s="1"/>
  <c r="AZ96" i="1"/>
  <c r="AZ97" i="1"/>
  <c r="AS99" i="1"/>
  <c r="AS107" i="1"/>
  <c r="AH107" i="1"/>
  <c r="AQ107" i="1" s="1"/>
  <c r="AR107" i="1" s="1"/>
  <c r="AJ118" i="1"/>
  <c r="AI118" i="1"/>
  <c r="AX118" i="1" s="1"/>
  <c r="AY118" i="1" s="1"/>
  <c r="AZ118" i="1"/>
  <c r="AJ119" i="1"/>
  <c r="AI119" i="1"/>
  <c r="AX119" i="1" s="1"/>
  <c r="AY119" i="1" s="1"/>
  <c r="AS120" i="1"/>
  <c r="AH120" i="1"/>
  <c r="AQ120" i="1" s="1"/>
  <c r="AR120" i="1" s="1"/>
  <c r="AS123" i="1"/>
  <c r="AH123" i="1"/>
  <c r="AQ123" i="1" s="1"/>
  <c r="AR123" i="1" s="1"/>
  <c r="AJ134" i="1"/>
  <c r="AI134" i="1"/>
  <c r="AX134" i="1" s="1"/>
  <c r="AY134" i="1" s="1"/>
  <c r="AZ134" i="1"/>
  <c r="AJ135" i="1"/>
  <c r="AI135" i="1"/>
  <c r="AX135" i="1" s="1"/>
  <c r="AY135" i="1" s="1"/>
  <c r="AS136" i="1"/>
  <c r="AH136" i="1"/>
  <c r="AQ136" i="1" s="1"/>
  <c r="AR136" i="1" s="1"/>
  <c r="AR149" i="1"/>
  <c r="AJ150" i="1"/>
  <c r="AI150" i="1"/>
  <c r="AX150" i="1" s="1"/>
  <c r="AY150" i="1" s="1"/>
  <c r="AZ150" i="1"/>
  <c r="AJ92" i="1"/>
  <c r="AZ92" i="1"/>
  <c r="AS98" i="1"/>
  <c r="AH98" i="1"/>
  <c r="AQ98" i="1" s="1"/>
  <c r="AR98" i="1" s="1"/>
  <c r="AZ103" i="1"/>
  <c r="AS105" i="1"/>
  <c r="AH105" i="1"/>
  <c r="AQ105" i="1" s="1"/>
  <c r="AR105" i="1" s="1"/>
  <c r="AS106" i="1"/>
  <c r="AH106" i="1"/>
  <c r="AQ106" i="1" s="1"/>
  <c r="AR106" i="1" s="1"/>
  <c r="AS109" i="1"/>
  <c r="AH109" i="1"/>
  <c r="AQ109" i="1" s="1"/>
  <c r="AR109" i="1" s="1"/>
  <c r="AJ120" i="1"/>
  <c r="AI120" i="1"/>
  <c r="AX120" i="1" s="1"/>
  <c r="AY120" i="1" s="1"/>
  <c r="AZ120" i="1"/>
  <c r="AJ121" i="1"/>
  <c r="AI121" i="1"/>
  <c r="AX121" i="1" s="1"/>
  <c r="AY121" i="1" s="1"/>
  <c r="AS122" i="1"/>
  <c r="AH122" i="1"/>
  <c r="AQ122" i="1" s="1"/>
  <c r="AR122" i="1" s="1"/>
  <c r="AS125" i="1"/>
  <c r="AH125" i="1"/>
  <c r="AQ125" i="1" s="1"/>
  <c r="AR125" i="1" s="1"/>
  <c r="AJ136" i="1"/>
  <c r="AI136" i="1"/>
  <c r="AX136" i="1" s="1"/>
  <c r="AY136" i="1" s="1"/>
  <c r="AZ136" i="1"/>
  <c r="AR146" i="1"/>
  <c r="AS152" i="1"/>
  <c r="AH152" i="1"/>
  <c r="AQ152" i="1" s="1"/>
  <c r="AR152" i="1" s="1"/>
  <c r="AI69" i="1"/>
  <c r="AX69" i="1" s="1"/>
  <c r="AY69" i="1" s="1"/>
  <c r="AI71" i="1"/>
  <c r="AX71" i="1" s="1"/>
  <c r="AY71" i="1" s="1"/>
  <c r="AI73" i="1"/>
  <c r="AX73" i="1" s="1"/>
  <c r="AY73" i="1" s="1"/>
  <c r="AI75" i="1"/>
  <c r="AX75" i="1" s="1"/>
  <c r="AY75" i="1" s="1"/>
  <c r="AI77" i="1"/>
  <c r="AX77" i="1" s="1"/>
  <c r="AY77" i="1" s="1"/>
  <c r="AJ94" i="1"/>
  <c r="AI94" i="1"/>
  <c r="AX94" i="1" s="1"/>
  <c r="AY94" i="1" s="1"/>
  <c r="AZ94" i="1"/>
  <c r="AI97" i="1"/>
  <c r="AX97" i="1" s="1"/>
  <c r="AY97" i="1" s="1"/>
  <c r="AJ98" i="1"/>
  <c r="AI98" i="1"/>
  <c r="AX98" i="1" s="1"/>
  <c r="AY98" i="1" s="1"/>
  <c r="AZ98" i="1"/>
  <c r="AZ101" i="1"/>
  <c r="AS103" i="1"/>
  <c r="AH103" i="1"/>
  <c r="AQ103" i="1" s="1"/>
  <c r="AR103" i="1" s="1"/>
  <c r="AS104" i="1"/>
  <c r="AH104" i="1"/>
  <c r="AQ104" i="1" s="1"/>
  <c r="AR104" i="1" s="1"/>
  <c r="AJ106" i="1"/>
  <c r="AI106" i="1"/>
  <c r="AX106" i="1" s="1"/>
  <c r="AY106" i="1" s="1"/>
  <c r="AZ106" i="1"/>
  <c r="AJ107" i="1"/>
  <c r="AI107" i="1"/>
  <c r="AX107" i="1" s="1"/>
  <c r="AY107" i="1" s="1"/>
  <c r="AS108" i="1"/>
  <c r="AH108" i="1"/>
  <c r="AQ108" i="1" s="1"/>
  <c r="AR108" i="1" s="1"/>
  <c r="AS111" i="1"/>
  <c r="AH111" i="1"/>
  <c r="AQ111" i="1" s="1"/>
  <c r="AR111" i="1" s="1"/>
  <c r="AJ122" i="1"/>
  <c r="AI122" i="1"/>
  <c r="AX122" i="1" s="1"/>
  <c r="AY122" i="1" s="1"/>
  <c r="AZ122" i="1"/>
  <c r="AJ123" i="1"/>
  <c r="AI123" i="1"/>
  <c r="AX123" i="1" s="1"/>
  <c r="AY123" i="1" s="1"/>
  <c r="AS124" i="1"/>
  <c r="AH124" i="1"/>
  <c r="AQ124" i="1" s="1"/>
  <c r="AR124" i="1" s="1"/>
  <c r="AS127" i="1"/>
  <c r="AH127" i="1"/>
  <c r="AQ127" i="1" s="1"/>
  <c r="AR127" i="1" s="1"/>
  <c r="AJ148" i="1"/>
  <c r="AI148" i="1"/>
  <c r="AX148" i="1" s="1"/>
  <c r="AY148" i="1" s="1"/>
  <c r="AZ148" i="1"/>
  <c r="AJ154" i="1"/>
  <c r="AI154" i="1"/>
  <c r="AX154" i="1" s="1"/>
  <c r="AY154" i="1" s="1"/>
  <c r="AZ154" i="1"/>
  <c r="AJ156" i="1"/>
  <c r="AI156" i="1"/>
  <c r="AX156" i="1" s="1"/>
  <c r="AY156" i="1" s="1"/>
  <c r="AZ156" i="1"/>
  <c r="AI92" i="1"/>
  <c r="AX92" i="1" s="1"/>
  <c r="AY92" i="1" s="1"/>
  <c r="AH94" i="1"/>
  <c r="AQ94" i="1" s="1"/>
  <c r="AR94" i="1" s="1"/>
  <c r="AJ99" i="1"/>
  <c r="AS100" i="1"/>
  <c r="AH100" i="1"/>
  <c r="AQ100" i="1" s="1"/>
  <c r="AR100" i="1" s="1"/>
  <c r="AS101" i="1"/>
  <c r="AH101" i="1"/>
  <c r="AQ101" i="1" s="1"/>
  <c r="AR101" i="1" s="1"/>
  <c r="AS102" i="1"/>
  <c r="AH102" i="1"/>
  <c r="AQ102" i="1" s="1"/>
  <c r="AR102" i="1" s="1"/>
  <c r="AJ104" i="1"/>
  <c r="AI104" i="1"/>
  <c r="AX104" i="1" s="1"/>
  <c r="AY104" i="1" s="1"/>
  <c r="AZ104" i="1"/>
  <c r="AJ105" i="1"/>
  <c r="AI105" i="1"/>
  <c r="AX105" i="1" s="1"/>
  <c r="AY105" i="1" s="1"/>
  <c r="AJ108" i="1"/>
  <c r="AI108" i="1"/>
  <c r="AX108" i="1" s="1"/>
  <c r="AY108" i="1" s="1"/>
  <c r="AZ108" i="1"/>
  <c r="AJ109" i="1"/>
  <c r="AI109" i="1"/>
  <c r="AX109" i="1" s="1"/>
  <c r="AY109" i="1" s="1"/>
  <c r="AS110" i="1"/>
  <c r="AH110" i="1"/>
  <c r="AQ110" i="1" s="1"/>
  <c r="AR110" i="1" s="1"/>
  <c r="AZ111" i="1"/>
  <c r="AS113" i="1"/>
  <c r="AH113" i="1"/>
  <c r="AQ113" i="1" s="1"/>
  <c r="AR113" i="1" s="1"/>
  <c r="AJ124" i="1"/>
  <c r="AI124" i="1"/>
  <c r="AX124" i="1" s="1"/>
  <c r="AY124" i="1" s="1"/>
  <c r="AZ124" i="1"/>
  <c r="AJ125" i="1"/>
  <c r="AI125" i="1"/>
  <c r="AX125" i="1" s="1"/>
  <c r="AY125" i="1" s="1"/>
  <c r="AS126" i="1"/>
  <c r="AH126" i="1"/>
  <c r="AQ126" i="1" s="1"/>
  <c r="AR126" i="1" s="1"/>
  <c r="AZ127" i="1"/>
  <c r="AS129" i="1"/>
  <c r="AH129" i="1"/>
  <c r="AQ129" i="1" s="1"/>
  <c r="AR129" i="1" s="1"/>
  <c r="AY141" i="1"/>
  <c r="AY145" i="1"/>
  <c r="AS154" i="1"/>
  <c r="AH154" i="1"/>
  <c r="AQ154" i="1" s="1"/>
  <c r="AR154" i="1" s="1"/>
  <c r="AJ157" i="1"/>
  <c r="AI157" i="1"/>
  <c r="AX157" i="1" s="1"/>
  <c r="AY157" i="1" s="1"/>
  <c r="AZ157" i="1"/>
  <c r="AS163" i="1"/>
  <c r="AH163" i="1"/>
  <c r="AQ163" i="1" s="1"/>
  <c r="AR163" i="1" s="1"/>
  <c r="AI164" i="1"/>
  <c r="AX164" i="1" s="1"/>
  <c r="AY164" i="1" s="1"/>
  <c r="AZ164" i="1"/>
  <c r="AJ164" i="1"/>
  <c r="AS167" i="1"/>
  <c r="AH167" i="1"/>
  <c r="AQ167" i="1" s="1"/>
  <c r="AR167" i="1" s="1"/>
  <c r="AI168" i="1"/>
  <c r="AX168" i="1" s="1"/>
  <c r="AY168" i="1" s="1"/>
  <c r="AZ168" i="1"/>
  <c r="AJ168" i="1"/>
  <c r="AS171" i="1"/>
  <c r="AH171" i="1"/>
  <c r="AQ171" i="1" s="1"/>
  <c r="AR171" i="1" s="1"/>
  <c r="AI172" i="1"/>
  <c r="AX172" i="1" s="1"/>
  <c r="AY172" i="1" s="1"/>
  <c r="AZ172" i="1"/>
  <c r="AJ172" i="1"/>
  <c r="AS175" i="1"/>
  <c r="AJ175" i="1"/>
  <c r="AS177" i="1"/>
  <c r="AJ177" i="1"/>
  <c r="AH177" i="1"/>
  <c r="AQ177" i="1" s="1"/>
  <c r="AR177" i="1" s="1"/>
  <c r="AZ137" i="1"/>
  <c r="AJ152" i="1"/>
  <c r="AI152" i="1"/>
  <c r="AX152" i="1" s="1"/>
  <c r="AY152" i="1" s="1"/>
  <c r="AS158" i="1"/>
  <c r="AH158" i="1"/>
  <c r="AQ158" i="1" s="1"/>
  <c r="AR158" i="1" s="1"/>
  <c r="AS176" i="1"/>
  <c r="AH176" i="1"/>
  <c r="AQ176" i="1" s="1"/>
  <c r="AR176" i="1" s="1"/>
  <c r="AS179" i="1"/>
  <c r="AJ179" i="1"/>
  <c r="AH179" i="1"/>
  <c r="AQ179" i="1" s="1"/>
  <c r="AR179" i="1" s="1"/>
  <c r="AS138" i="1"/>
  <c r="AJ139" i="1"/>
  <c r="AS142" i="1"/>
  <c r="AJ143" i="1"/>
  <c r="AS146" i="1"/>
  <c r="AJ147" i="1"/>
  <c r="AS149" i="1"/>
  <c r="AZ152" i="1"/>
  <c r="AS155" i="1"/>
  <c r="AS162" i="1"/>
  <c r="AH162" i="1"/>
  <c r="AQ162" i="1" s="1"/>
  <c r="AR162" i="1" s="1"/>
  <c r="AI163" i="1"/>
  <c r="AX163" i="1" s="1"/>
  <c r="AY163" i="1" s="1"/>
  <c r="AZ163" i="1"/>
  <c r="AJ163" i="1"/>
  <c r="AS166" i="1"/>
  <c r="AH166" i="1"/>
  <c r="AQ166" i="1" s="1"/>
  <c r="AR166" i="1" s="1"/>
  <c r="AI167" i="1"/>
  <c r="AX167" i="1" s="1"/>
  <c r="AY167" i="1" s="1"/>
  <c r="AZ167" i="1"/>
  <c r="AJ167" i="1"/>
  <c r="AS170" i="1"/>
  <c r="AH170" i="1"/>
  <c r="AQ170" i="1" s="1"/>
  <c r="AR170" i="1" s="1"/>
  <c r="AI171" i="1"/>
  <c r="AX171" i="1" s="1"/>
  <c r="AY171" i="1" s="1"/>
  <c r="AZ171" i="1"/>
  <c r="AJ171" i="1"/>
  <c r="AS174" i="1"/>
  <c r="AH174" i="1"/>
  <c r="AQ174" i="1" s="1"/>
  <c r="AR174" i="1" s="1"/>
  <c r="AJ149" i="1"/>
  <c r="AJ158" i="1"/>
  <c r="AJ159" i="1"/>
  <c r="AI159" i="1"/>
  <c r="AX159" i="1" s="1"/>
  <c r="AY159" i="1" s="1"/>
  <c r="AZ159" i="1"/>
  <c r="AS191" i="1"/>
  <c r="AH191" i="1"/>
  <c r="AQ191" i="1" s="1"/>
  <c r="AR191" i="1" s="1"/>
  <c r="AJ138" i="1"/>
  <c r="AI138" i="1"/>
  <c r="AX138" i="1" s="1"/>
  <c r="AY138" i="1" s="1"/>
  <c r="AJ142" i="1"/>
  <c r="AI142" i="1"/>
  <c r="AX142" i="1" s="1"/>
  <c r="AY142" i="1" s="1"/>
  <c r="AY143" i="1"/>
  <c r="AY147" i="1"/>
  <c r="AS153" i="1"/>
  <c r="AJ155" i="1"/>
  <c r="AI155" i="1"/>
  <c r="AX155" i="1" s="1"/>
  <c r="AY155" i="1" s="1"/>
  <c r="AZ155" i="1"/>
  <c r="AH159" i="1"/>
  <c r="AQ159" i="1" s="1"/>
  <c r="AR159" i="1" s="1"/>
  <c r="AS160" i="1"/>
  <c r="AH160" i="1"/>
  <c r="AQ160" i="1" s="1"/>
  <c r="AR160" i="1" s="1"/>
  <c r="AS161" i="1"/>
  <c r="AH161" i="1"/>
  <c r="AQ161" i="1" s="1"/>
  <c r="AR161" i="1" s="1"/>
  <c r="AI162" i="1"/>
  <c r="AX162" i="1" s="1"/>
  <c r="AY162" i="1" s="1"/>
  <c r="AZ162" i="1"/>
  <c r="AJ162" i="1"/>
  <c r="AS165" i="1"/>
  <c r="AH165" i="1"/>
  <c r="AQ165" i="1" s="1"/>
  <c r="AR165" i="1" s="1"/>
  <c r="AI166" i="1"/>
  <c r="AX166" i="1" s="1"/>
  <c r="AY166" i="1" s="1"/>
  <c r="AZ166" i="1"/>
  <c r="AJ166" i="1"/>
  <c r="AS169" i="1"/>
  <c r="AH169" i="1"/>
  <c r="AQ169" i="1" s="1"/>
  <c r="AR169" i="1" s="1"/>
  <c r="AI170" i="1"/>
  <c r="AX170" i="1" s="1"/>
  <c r="AY170" i="1" s="1"/>
  <c r="AZ170" i="1"/>
  <c r="AJ170" i="1"/>
  <c r="AS173" i="1"/>
  <c r="AH173" i="1"/>
  <c r="AQ173" i="1" s="1"/>
  <c r="AR173" i="1" s="1"/>
  <c r="AI174" i="1"/>
  <c r="AX174" i="1" s="1"/>
  <c r="AY174" i="1" s="1"/>
  <c r="AZ174" i="1"/>
  <c r="AJ174" i="1"/>
  <c r="AS148" i="1"/>
  <c r="AH148" i="1"/>
  <c r="AQ148" i="1" s="1"/>
  <c r="AR148" i="1" s="1"/>
  <c r="AI149" i="1"/>
  <c r="AX149" i="1" s="1"/>
  <c r="AY149" i="1" s="1"/>
  <c r="AZ149" i="1"/>
  <c r="AJ153" i="1"/>
  <c r="AS156" i="1"/>
  <c r="AH156" i="1"/>
  <c r="AQ156" i="1" s="1"/>
  <c r="AR156" i="1" s="1"/>
  <c r="AI202" i="1"/>
  <c r="AX202" i="1" s="1"/>
  <c r="AY202" i="1" s="1"/>
  <c r="AJ202" i="1"/>
  <c r="AZ202" i="1"/>
  <c r="AI137" i="1"/>
  <c r="AX137" i="1" s="1"/>
  <c r="AY137" i="1" s="1"/>
  <c r="AS140" i="1"/>
  <c r="AJ141" i="1"/>
  <c r="AS144" i="1"/>
  <c r="AJ145" i="1"/>
  <c r="AS150" i="1"/>
  <c r="AH150" i="1"/>
  <c r="AQ150" i="1" s="1"/>
  <c r="AR150" i="1" s="1"/>
  <c r="AI151" i="1"/>
  <c r="AX151" i="1" s="1"/>
  <c r="AY151" i="1" s="1"/>
  <c r="AZ151" i="1"/>
  <c r="AS157" i="1"/>
  <c r="AJ160" i="1"/>
  <c r="AI161" i="1"/>
  <c r="AX161" i="1" s="1"/>
  <c r="AY161" i="1" s="1"/>
  <c r="AZ161" i="1"/>
  <c r="AJ161" i="1"/>
  <c r="AS164" i="1"/>
  <c r="AH164" i="1"/>
  <c r="AQ164" i="1" s="1"/>
  <c r="AR164" i="1" s="1"/>
  <c r="AI165" i="1"/>
  <c r="AX165" i="1" s="1"/>
  <c r="AY165" i="1" s="1"/>
  <c r="AZ165" i="1"/>
  <c r="AJ165" i="1"/>
  <c r="AS168" i="1"/>
  <c r="AH168" i="1"/>
  <c r="AQ168" i="1" s="1"/>
  <c r="AR168" i="1" s="1"/>
  <c r="AI169" i="1"/>
  <c r="AX169" i="1" s="1"/>
  <c r="AY169" i="1" s="1"/>
  <c r="AZ169" i="1"/>
  <c r="AJ169" i="1"/>
  <c r="AS172" i="1"/>
  <c r="AH172" i="1"/>
  <c r="AQ172" i="1" s="1"/>
  <c r="AR172" i="1" s="1"/>
  <c r="AI173" i="1"/>
  <c r="AX173" i="1" s="1"/>
  <c r="AY173" i="1" s="1"/>
  <c r="AZ173" i="1"/>
  <c r="AJ173" i="1"/>
  <c r="AS180" i="1"/>
  <c r="AJ180" i="1"/>
  <c r="AZ180" i="1"/>
  <c r="AY180" i="1"/>
  <c r="AS182" i="1"/>
  <c r="AH182" i="1"/>
  <c r="AQ182" i="1" s="1"/>
  <c r="AR182" i="1" s="1"/>
  <c r="AY185" i="1"/>
  <c r="AS186" i="1"/>
  <c r="AH186" i="1"/>
  <c r="AQ186" i="1" s="1"/>
  <c r="AR186" i="1" s="1"/>
  <c r="AY190" i="1"/>
  <c r="AY198" i="1"/>
  <c r="AJ228" i="1"/>
  <c r="AI228" i="1"/>
  <c r="AX228" i="1" s="1"/>
  <c r="AY228" i="1" s="1"/>
  <c r="AZ228" i="1"/>
  <c r="AS285" i="1"/>
  <c r="AH285" i="1"/>
  <c r="AQ285" i="1" s="1"/>
  <c r="AR285" i="1" s="1"/>
  <c r="AJ182" i="1"/>
  <c r="AI182" i="1"/>
  <c r="AX182" i="1" s="1"/>
  <c r="AY182" i="1" s="1"/>
  <c r="AZ182" i="1"/>
  <c r="AJ186" i="1"/>
  <c r="AI186" i="1"/>
  <c r="AX186" i="1" s="1"/>
  <c r="AY186" i="1" s="1"/>
  <c r="AS187" i="1"/>
  <c r="AH187" i="1"/>
  <c r="AQ187" i="1" s="1"/>
  <c r="AR187" i="1" s="1"/>
  <c r="AI191" i="1"/>
  <c r="AX191" i="1" s="1"/>
  <c r="AY191" i="1" s="1"/>
  <c r="AZ191" i="1"/>
  <c r="AJ191" i="1"/>
  <c r="AS192" i="1"/>
  <c r="AH192" i="1"/>
  <c r="AQ192" i="1" s="1"/>
  <c r="AR192" i="1" s="1"/>
  <c r="AS193" i="1"/>
  <c r="AH193" i="1"/>
  <c r="AQ193" i="1" s="1"/>
  <c r="AR193" i="1" s="1"/>
  <c r="AH178" i="1"/>
  <c r="AQ178" i="1" s="1"/>
  <c r="AR178" i="1" s="1"/>
  <c r="AS183" i="1"/>
  <c r="AJ192" i="1"/>
  <c r="AI193" i="1"/>
  <c r="AX193" i="1" s="1"/>
  <c r="AY193" i="1" s="1"/>
  <c r="AJ193" i="1"/>
  <c r="AZ193" i="1"/>
  <c r="AZ196" i="1"/>
  <c r="AS211" i="1"/>
  <c r="AH211" i="1"/>
  <c r="AQ211" i="1" s="1"/>
  <c r="AR211" i="1" s="1"/>
  <c r="AJ219" i="1"/>
  <c r="AS219" i="1"/>
  <c r="AH232" i="1"/>
  <c r="AQ232" i="1" s="1"/>
  <c r="AR232" i="1" s="1"/>
  <c r="AS232" i="1"/>
  <c r="AS242" i="1"/>
  <c r="AH242" i="1"/>
  <c r="AQ242" i="1" s="1"/>
  <c r="AR242" i="1" s="1"/>
  <c r="AZ158" i="1"/>
  <c r="AZ160" i="1"/>
  <c r="AJ178" i="1"/>
  <c r="AY187" i="1"/>
  <c r="AS188" i="1"/>
  <c r="AH188" i="1"/>
  <c r="AQ188" i="1" s="1"/>
  <c r="AR188" i="1" s="1"/>
  <c r="AS189" i="1"/>
  <c r="AH189" i="1"/>
  <c r="AQ189" i="1" s="1"/>
  <c r="AR189" i="1" s="1"/>
  <c r="AY196" i="1"/>
  <c r="AI204" i="1"/>
  <c r="AX204" i="1" s="1"/>
  <c r="AY204" i="1" s="1"/>
  <c r="AJ204" i="1"/>
  <c r="AZ204" i="1"/>
  <c r="AS206" i="1"/>
  <c r="AH206" i="1"/>
  <c r="AQ206" i="1" s="1"/>
  <c r="AR206" i="1" s="1"/>
  <c r="AS208" i="1"/>
  <c r="AH208" i="1"/>
  <c r="AQ208" i="1" s="1"/>
  <c r="AR208" i="1" s="1"/>
  <c r="AZ218" i="1"/>
  <c r="AJ218" i="1"/>
  <c r="AZ232" i="1"/>
  <c r="AJ232" i="1"/>
  <c r="AI232" i="1"/>
  <c r="AX232" i="1" s="1"/>
  <c r="AY232" i="1" s="1"/>
  <c r="AS252" i="1"/>
  <c r="AH252" i="1"/>
  <c r="AQ252" i="1" s="1"/>
  <c r="AR252" i="1" s="1"/>
  <c r="AZ178" i="1"/>
  <c r="AS181" i="1"/>
  <c r="AY183" i="1"/>
  <c r="AJ187" i="1"/>
  <c r="AJ188" i="1"/>
  <c r="AI188" i="1"/>
  <c r="AX188" i="1" s="1"/>
  <c r="AY188" i="1" s="1"/>
  <c r="AI189" i="1"/>
  <c r="AX189" i="1" s="1"/>
  <c r="AY189" i="1" s="1"/>
  <c r="AJ189" i="1"/>
  <c r="AZ189" i="1"/>
  <c r="AI218" i="1"/>
  <c r="AX218" i="1" s="1"/>
  <c r="AY218" i="1" s="1"/>
  <c r="AY231" i="1"/>
  <c r="AS241" i="1"/>
  <c r="AH241" i="1"/>
  <c r="AQ241" i="1" s="1"/>
  <c r="AR241" i="1" s="1"/>
  <c r="AJ241" i="1"/>
  <c r="AI158" i="1"/>
  <c r="AX158" i="1" s="1"/>
  <c r="AY158" i="1" s="1"/>
  <c r="AI160" i="1"/>
  <c r="AX160" i="1" s="1"/>
  <c r="AY160" i="1" s="1"/>
  <c r="AH183" i="1"/>
  <c r="AQ183" i="1" s="1"/>
  <c r="AR183" i="1" s="1"/>
  <c r="AS184" i="1"/>
  <c r="AH184" i="1"/>
  <c r="AQ184" i="1" s="1"/>
  <c r="AR184" i="1" s="1"/>
  <c r="AZ194" i="1"/>
  <c r="AS201" i="1"/>
  <c r="AH201" i="1"/>
  <c r="AQ201" i="1" s="1"/>
  <c r="AR201" i="1" s="1"/>
  <c r="AR216" i="1"/>
  <c r="AR220" i="1"/>
  <c r="AJ176" i="1"/>
  <c r="AH181" i="1"/>
  <c r="AQ181" i="1" s="1"/>
  <c r="AR181" i="1" s="1"/>
  <c r="AJ183" i="1"/>
  <c r="AJ184" i="1"/>
  <c r="AI184" i="1"/>
  <c r="AX184" i="1" s="1"/>
  <c r="AY184" i="1" s="1"/>
  <c r="AS185" i="1"/>
  <c r="AH185" i="1"/>
  <c r="AQ185" i="1" s="1"/>
  <c r="AR185" i="1" s="1"/>
  <c r="AY194" i="1"/>
  <c r="AZ197" i="1"/>
  <c r="AS203" i="1"/>
  <c r="AH203" i="1"/>
  <c r="AQ203" i="1" s="1"/>
  <c r="AR203" i="1" s="1"/>
  <c r="AJ214" i="1"/>
  <c r="AI214" i="1"/>
  <c r="AX214" i="1" s="1"/>
  <c r="AY214" i="1" s="1"/>
  <c r="AS221" i="1"/>
  <c r="AH221" i="1"/>
  <c r="AQ221" i="1" s="1"/>
  <c r="AR221" i="1" s="1"/>
  <c r="AZ222" i="1"/>
  <c r="AJ222" i="1"/>
  <c r="AI222" i="1"/>
  <c r="AX222" i="1" s="1"/>
  <c r="AY222" i="1" s="1"/>
  <c r="AS200" i="1"/>
  <c r="AJ201" i="1"/>
  <c r="AI201" i="1"/>
  <c r="AX201" i="1" s="1"/>
  <c r="AY201" i="1" s="1"/>
  <c r="AY206" i="1"/>
  <c r="AJ208" i="1"/>
  <c r="AI208" i="1"/>
  <c r="AX208" i="1" s="1"/>
  <c r="AY208" i="1" s="1"/>
  <c r="AZ208" i="1"/>
  <c r="AJ211" i="1"/>
  <c r="AI211" i="1"/>
  <c r="AX211" i="1" s="1"/>
  <c r="AY211" i="1" s="1"/>
  <c r="AS212" i="1"/>
  <c r="AS215" i="1"/>
  <c r="AH215" i="1"/>
  <c r="AQ215" i="1" s="1"/>
  <c r="AR215" i="1" s="1"/>
  <c r="AS216" i="1"/>
  <c r="AH222" i="1"/>
  <c r="AQ222" i="1" s="1"/>
  <c r="AR222" i="1" s="1"/>
  <c r="AS222" i="1"/>
  <c r="AZ223" i="1"/>
  <c r="AJ223" i="1"/>
  <c r="AI223" i="1"/>
  <c r="AX223" i="1" s="1"/>
  <c r="AY223" i="1" s="1"/>
  <c r="AH224" i="1"/>
  <c r="AQ224" i="1" s="1"/>
  <c r="AR224" i="1" s="1"/>
  <c r="AS224" i="1"/>
  <c r="AH236" i="1"/>
  <c r="AQ236" i="1" s="1"/>
  <c r="AR236" i="1" s="1"/>
  <c r="AJ236" i="1"/>
  <c r="AZ206" i="1"/>
  <c r="AS209" i="1"/>
  <c r="AH209" i="1"/>
  <c r="AQ209" i="1" s="1"/>
  <c r="AR209" i="1" s="1"/>
  <c r="AS220" i="1"/>
  <c r="AJ224" i="1"/>
  <c r="AI224" i="1"/>
  <c r="AX224" i="1" s="1"/>
  <c r="AY224" i="1" s="1"/>
  <c r="AJ260" i="1"/>
  <c r="AI260" i="1"/>
  <c r="AX260" i="1" s="1"/>
  <c r="AY260" i="1" s="1"/>
  <c r="AZ260" i="1"/>
  <c r="AI192" i="1"/>
  <c r="AX192" i="1" s="1"/>
  <c r="AY192" i="1" s="1"/>
  <c r="AY200" i="1"/>
  <c r="AJ206" i="1"/>
  <c r="AJ212" i="1"/>
  <c r="AI212" i="1"/>
  <c r="AX212" i="1" s="1"/>
  <c r="AY212" i="1" s="1"/>
  <c r="AJ215" i="1"/>
  <c r="AJ216" i="1"/>
  <c r="AI216" i="1"/>
  <c r="AX216" i="1" s="1"/>
  <c r="AY216" i="1" s="1"/>
  <c r="AS218" i="1"/>
  <c r="AR223" i="1"/>
  <c r="AH226" i="1"/>
  <c r="AQ226" i="1" s="1"/>
  <c r="AR226" i="1" s="1"/>
  <c r="AS226" i="1"/>
  <c r="AH230" i="1"/>
  <c r="AQ230" i="1" s="1"/>
  <c r="AR230" i="1" s="1"/>
  <c r="AS230" i="1"/>
  <c r="AS262" i="1"/>
  <c r="AH262" i="1"/>
  <c r="AQ262" i="1" s="1"/>
  <c r="AR262" i="1" s="1"/>
  <c r="AZ175" i="1"/>
  <c r="AZ177" i="1"/>
  <c r="AZ179" i="1"/>
  <c r="AZ181" i="1"/>
  <c r="AZ183" i="1"/>
  <c r="AZ185" i="1"/>
  <c r="AZ187" i="1"/>
  <c r="AS195" i="1"/>
  <c r="AS197" i="1"/>
  <c r="AS199" i="1"/>
  <c r="AH200" i="1"/>
  <c r="AQ200" i="1" s="1"/>
  <c r="AR200" i="1" s="1"/>
  <c r="AZ201" i="1"/>
  <c r="AJ203" i="1"/>
  <c r="AI203" i="1"/>
  <c r="AX203" i="1" s="1"/>
  <c r="AY203" i="1" s="1"/>
  <c r="AS205" i="1"/>
  <c r="AH205" i="1"/>
  <c r="AQ205" i="1" s="1"/>
  <c r="AR205" i="1" s="1"/>
  <c r="AJ209" i="1"/>
  <c r="AI209" i="1"/>
  <c r="AX209" i="1" s="1"/>
  <c r="AY209" i="1" s="1"/>
  <c r="AS210" i="1"/>
  <c r="AH212" i="1"/>
  <c r="AQ212" i="1" s="1"/>
  <c r="AR212" i="1" s="1"/>
  <c r="AZ212" i="1"/>
  <c r="AR225" i="1"/>
  <c r="AI230" i="1"/>
  <c r="AX230" i="1" s="1"/>
  <c r="AY230" i="1" s="1"/>
  <c r="AZ230" i="1"/>
  <c r="AI239" i="1"/>
  <c r="AX239" i="1" s="1"/>
  <c r="AY239" i="1" s="1"/>
  <c r="AZ239" i="1"/>
  <c r="AJ239" i="1"/>
  <c r="AJ258" i="1"/>
  <c r="AI258" i="1"/>
  <c r="AX258" i="1" s="1"/>
  <c r="AY258" i="1" s="1"/>
  <c r="AZ258" i="1"/>
  <c r="AS259" i="1"/>
  <c r="AR259" i="1"/>
  <c r="AJ195" i="1"/>
  <c r="AI195" i="1"/>
  <c r="AX195" i="1" s="1"/>
  <c r="AY195" i="1" s="1"/>
  <c r="AJ197" i="1"/>
  <c r="AI197" i="1"/>
  <c r="AX197" i="1" s="1"/>
  <c r="AY197" i="1" s="1"/>
  <c r="AJ199" i="1"/>
  <c r="AI199" i="1"/>
  <c r="AX199" i="1" s="1"/>
  <c r="AY199" i="1" s="1"/>
  <c r="AJ205" i="1"/>
  <c r="AI205" i="1"/>
  <c r="AX205" i="1" s="1"/>
  <c r="AY205" i="1" s="1"/>
  <c r="AS207" i="1"/>
  <c r="AH207" i="1"/>
  <c r="AQ207" i="1" s="1"/>
  <c r="AR207" i="1" s="1"/>
  <c r="AS213" i="1"/>
  <c r="AH213" i="1"/>
  <c r="AQ213" i="1" s="1"/>
  <c r="AR213" i="1" s="1"/>
  <c r="AS217" i="1"/>
  <c r="AH217" i="1"/>
  <c r="AQ217" i="1" s="1"/>
  <c r="AR217" i="1" s="1"/>
  <c r="AZ220" i="1"/>
  <c r="AJ220" i="1"/>
  <c r="AI220" i="1"/>
  <c r="AX220" i="1" s="1"/>
  <c r="AY220" i="1" s="1"/>
  <c r="AS237" i="1"/>
  <c r="AJ237" i="1"/>
  <c r="AS238" i="1"/>
  <c r="AH238" i="1"/>
  <c r="AQ238" i="1" s="1"/>
  <c r="AR238" i="1" s="1"/>
  <c r="AS239" i="1"/>
  <c r="AH239" i="1"/>
  <c r="AQ239" i="1" s="1"/>
  <c r="AR239" i="1" s="1"/>
  <c r="AH190" i="1"/>
  <c r="AQ190" i="1" s="1"/>
  <c r="AR190" i="1" s="1"/>
  <c r="AH195" i="1"/>
  <c r="AQ195" i="1" s="1"/>
  <c r="AR195" i="1" s="1"/>
  <c r="AH197" i="1"/>
  <c r="AQ197" i="1" s="1"/>
  <c r="AR197" i="1" s="1"/>
  <c r="AH199" i="1"/>
  <c r="AQ199" i="1" s="1"/>
  <c r="AR199" i="1" s="1"/>
  <c r="AS204" i="1"/>
  <c r="AZ205" i="1"/>
  <c r="AJ207" i="1"/>
  <c r="AI207" i="1"/>
  <c r="AX207" i="1" s="1"/>
  <c r="AY207" i="1" s="1"/>
  <c r="AZ207" i="1"/>
  <c r="AJ210" i="1"/>
  <c r="AI210" i="1"/>
  <c r="AX210" i="1" s="1"/>
  <c r="AY210" i="1" s="1"/>
  <c r="AZ210" i="1"/>
  <c r="AZ221" i="1"/>
  <c r="AJ221" i="1"/>
  <c r="AI221" i="1"/>
  <c r="AX221" i="1" s="1"/>
  <c r="AY221" i="1" s="1"/>
  <c r="AH237" i="1"/>
  <c r="AQ237" i="1" s="1"/>
  <c r="AR237" i="1" s="1"/>
  <c r="AJ266" i="1"/>
  <c r="AI266" i="1"/>
  <c r="AX266" i="1" s="1"/>
  <c r="AY266" i="1" s="1"/>
  <c r="AZ266" i="1"/>
  <c r="AS268" i="1"/>
  <c r="AH268" i="1"/>
  <c r="AQ268" i="1" s="1"/>
  <c r="AR268" i="1" s="1"/>
  <c r="AI235" i="1"/>
  <c r="AX235" i="1" s="1"/>
  <c r="AY235" i="1" s="1"/>
  <c r="AZ235" i="1"/>
  <c r="AS256" i="1"/>
  <c r="AH256" i="1"/>
  <c r="AQ256" i="1" s="1"/>
  <c r="AR256" i="1" s="1"/>
  <c r="AJ262" i="1"/>
  <c r="AI262" i="1"/>
  <c r="AX262" i="1" s="1"/>
  <c r="AY262" i="1" s="1"/>
  <c r="AZ262" i="1"/>
  <c r="AJ269" i="1"/>
  <c r="AH269" i="1"/>
  <c r="AQ269" i="1" s="1"/>
  <c r="AR269" i="1" s="1"/>
  <c r="AJ285" i="1"/>
  <c r="AI285" i="1"/>
  <c r="AX285" i="1" s="1"/>
  <c r="AY285" i="1" s="1"/>
  <c r="AZ285" i="1"/>
  <c r="AZ227" i="1"/>
  <c r="AS235" i="1"/>
  <c r="AS248" i="1"/>
  <c r="AH248" i="1"/>
  <c r="AQ248" i="1" s="1"/>
  <c r="AR248" i="1" s="1"/>
  <c r="AS264" i="1"/>
  <c r="AH264" i="1"/>
  <c r="AQ264" i="1" s="1"/>
  <c r="AR264" i="1" s="1"/>
  <c r="AZ279" i="1"/>
  <c r="AZ213" i="1"/>
  <c r="AZ215" i="1"/>
  <c r="AZ217" i="1"/>
  <c r="AZ229" i="1"/>
  <c r="AS234" i="1"/>
  <c r="AS240" i="1"/>
  <c r="AH240" i="1"/>
  <c r="AQ240" i="1" s="1"/>
  <c r="AR240" i="1" s="1"/>
  <c r="AH243" i="1"/>
  <c r="AQ243" i="1" s="1"/>
  <c r="AR243" i="1" s="1"/>
  <c r="AS243" i="1"/>
  <c r="AS244" i="1"/>
  <c r="AH244" i="1"/>
  <c r="AQ244" i="1" s="1"/>
  <c r="AR244" i="1" s="1"/>
  <c r="AJ248" i="1"/>
  <c r="AI248" i="1"/>
  <c r="AX248" i="1" s="1"/>
  <c r="AY248" i="1" s="1"/>
  <c r="AZ248" i="1"/>
  <c r="AS250" i="1"/>
  <c r="AH250" i="1"/>
  <c r="AQ250" i="1" s="1"/>
  <c r="AR250" i="1" s="1"/>
  <c r="AY261" i="1"/>
  <c r="AJ264" i="1"/>
  <c r="AI264" i="1"/>
  <c r="AX264" i="1" s="1"/>
  <c r="AY264" i="1" s="1"/>
  <c r="AZ264" i="1"/>
  <c r="AS270" i="1"/>
  <c r="AH270" i="1"/>
  <c r="AQ270" i="1" s="1"/>
  <c r="AR270" i="1" s="1"/>
  <c r="AI225" i="1"/>
  <c r="AX225" i="1" s="1"/>
  <c r="AY225" i="1" s="1"/>
  <c r="AI226" i="1"/>
  <c r="AX226" i="1" s="1"/>
  <c r="AY226" i="1" s="1"/>
  <c r="AH227" i="1"/>
  <c r="AQ227" i="1" s="1"/>
  <c r="AR227" i="1" s="1"/>
  <c r="AS228" i="1"/>
  <c r="AZ231" i="1"/>
  <c r="AI233" i="1"/>
  <c r="AX233" i="1" s="1"/>
  <c r="AY233" i="1" s="1"/>
  <c r="AZ233" i="1"/>
  <c r="AJ235" i="1"/>
  <c r="AZ240" i="1"/>
  <c r="AJ244" i="1"/>
  <c r="AI244" i="1"/>
  <c r="AX244" i="1" s="1"/>
  <c r="AY244" i="1" s="1"/>
  <c r="AZ244" i="1"/>
  <c r="AS254" i="1"/>
  <c r="AH254" i="1"/>
  <c r="AQ254" i="1" s="1"/>
  <c r="AR254" i="1" s="1"/>
  <c r="AR265" i="1"/>
  <c r="AS276" i="1"/>
  <c r="AH276" i="1"/>
  <c r="AQ276" i="1" s="1"/>
  <c r="AR276" i="1" s="1"/>
  <c r="AI213" i="1"/>
  <c r="AX213" i="1" s="1"/>
  <c r="AY213" i="1" s="1"/>
  <c r="AI215" i="1"/>
  <c r="AX215" i="1" s="1"/>
  <c r="AY215" i="1" s="1"/>
  <c r="AI217" i="1"/>
  <c r="AX217" i="1" s="1"/>
  <c r="AY217" i="1" s="1"/>
  <c r="AJ225" i="1"/>
  <c r="AI227" i="1"/>
  <c r="AX227" i="1" s="1"/>
  <c r="AY227" i="1" s="1"/>
  <c r="AS233" i="1"/>
  <c r="AZ238" i="1"/>
  <c r="AJ240" i="1"/>
  <c r="AS246" i="1"/>
  <c r="AH246" i="1"/>
  <c r="AQ246" i="1" s="1"/>
  <c r="AR246" i="1" s="1"/>
  <c r="AJ251" i="1"/>
  <c r="AH251" i="1"/>
  <c r="AQ251" i="1" s="1"/>
  <c r="AR251" i="1" s="1"/>
  <c r="AJ254" i="1"/>
  <c r="AI254" i="1"/>
  <c r="AX254" i="1" s="1"/>
  <c r="AY254" i="1" s="1"/>
  <c r="AZ254" i="1"/>
  <c r="AS274" i="1"/>
  <c r="AH274" i="1"/>
  <c r="AQ274" i="1" s="1"/>
  <c r="AR274" i="1" s="1"/>
  <c r="AS278" i="1"/>
  <c r="AH278" i="1"/>
  <c r="AQ278" i="1" s="1"/>
  <c r="AR278" i="1" s="1"/>
  <c r="AZ219" i="1"/>
  <c r="AJ227" i="1"/>
  <c r="AI229" i="1"/>
  <c r="AX229" i="1" s="1"/>
  <c r="AY229" i="1" s="1"/>
  <c r="AH231" i="1"/>
  <c r="AQ231" i="1" s="1"/>
  <c r="AR231" i="1" s="1"/>
  <c r="AH233" i="1"/>
  <c r="AQ233" i="1" s="1"/>
  <c r="AR233" i="1" s="1"/>
  <c r="AI237" i="1"/>
  <c r="AX237" i="1" s="1"/>
  <c r="AY237" i="1" s="1"/>
  <c r="AZ237" i="1"/>
  <c r="AJ238" i="1"/>
  <c r="AI241" i="1"/>
  <c r="AX241" i="1" s="1"/>
  <c r="AY241" i="1" s="1"/>
  <c r="AZ241" i="1"/>
  <c r="AY243" i="1"/>
  <c r="AZ245" i="1"/>
  <c r="AJ246" i="1"/>
  <c r="AI246" i="1"/>
  <c r="AX246" i="1" s="1"/>
  <c r="AY246" i="1" s="1"/>
  <c r="AZ246" i="1"/>
  <c r="AY249" i="1"/>
  <c r="AS258" i="1"/>
  <c r="AH258" i="1"/>
  <c r="AQ258" i="1" s="1"/>
  <c r="AR258" i="1" s="1"/>
  <c r="AS266" i="1"/>
  <c r="AH266" i="1"/>
  <c r="AQ266" i="1" s="1"/>
  <c r="AR266" i="1" s="1"/>
  <c r="AJ274" i="1"/>
  <c r="AI274" i="1"/>
  <c r="AX274" i="1" s="1"/>
  <c r="AY274" i="1" s="1"/>
  <c r="AZ274" i="1"/>
  <c r="AZ251" i="1"/>
  <c r="AZ259" i="1"/>
  <c r="AZ269" i="1"/>
  <c r="AZ273" i="1"/>
  <c r="AJ276" i="1"/>
  <c r="AI276" i="1"/>
  <c r="AX276" i="1" s="1"/>
  <c r="AY276" i="1" s="1"/>
  <c r="AZ284" i="1"/>
  <c r="AY245" i="1"/>
  <c r="AJ278" i="1"/>
  <c r="AI278" i="1"/>
  <c r="AX278" i="1" s="1"/>
  <c r="AY278" i="1" s="1"/>
  <c r="AZ247" i="1"/>
  <c r="AJ250" i="1"/>
  <c r="AI250" i="1"/>
  <c r="AX250" i="1" s="1"/>
  <c r="AY250" i="1" s="1"/>
  <c r="AZ265" i="1"/>
  <c r="AJ268" i="1"/>
  <c r="AI268" i="1"/>
  <c r="AX268" i="1" s="1"/>
  <c r="AY268" i="1" s="1"/>
  <c r="AY273" i="1"/>
  <c r="AS283" i="1"/>
  <c r="AH283" i="1"/>
  <c r="AQ283" i="1" s="1"/>
  <c r="AR283" i="1" s="1"/>
  <c r="AY284" i="1"/>
  <c r="AZ253" i="1"/>
  <c r="AZ257" i="1"/>
  <c r="AS261" i="1"/>
  <c r="AJ283" i="1"/>
  <c r="AI283" i="1"/>
  <c r="AX283" i="1" s="1"/>
  <c r="AY283" i="1" s="1"/>
  <c r="AZ243" i="1"/>
  <c r="AY247" i="1"/>
  <c r="AZ261" i="1"/>
  <c r="AZ271" i="1"/>
  <c r="AZ286" i="1"/>
  <c r="AJ242" i="1"/>
  <c r="AZ249" i="1"/>
  <c r="AZ250" i="1"/>
  <c r="AJ252" i="1"/>
  <c r="AI252" i="1"/>
  <c r="AX252" i="1" s="1"/>
  <c r="AY252" i="1" s="1"/>
  <c r="AY253" i="1"/>
  <c r="AJ256" i="1"/>
  <c r="AI256" i="1"/>
  <c r="AX256" i="1" s="1"/>
  <c r="AY256" i="1" s="1"/>
  <c r="AY257" i="1"/>
  <c r="AS260" i="1"/>
  <c r="AH260" i="1"/>
  <c r="AQ260" i="1" s="1"/>
  <c r="AR260" i="1" s="1"/>
  <c r="AZ267" i="1"/>
  <c r="AZ268" i="1"/>
  <c r="AJ270" i="1"/>
  <c r="AI270" i="1"/>
  <c r="AX270" i="1" s="1"/>
  <c r="AY270" i="1" s="1"/>
  <c r="AQ3" i="1"/>
  <c r="AR3" i="1" s="1"/>
  <c r="AS3" i="1"/>
  <c r="AZ3" i="1"/>
  <c r="AJ3" i="1"/>
  <c r="AI3" i="1"/>
  <c r="AX3" i="1" s="1"/>
  <c r="AY3" i="1" s="1"/>
  <c r="AI288" i="1" l="1"/>
  <c r="AX288" i="1" s="1"/>
  <c r="AY288" i="1" s="1"/>
  <c r="AI281" i="1"/>
  <c r="AX281" i="1" s="1"/>
  <c r="AY281" i="1" s="1"/>
  <c r="AJ281" i="1"/>
  <c r="AH281" i="1"/>
  <c r="AQ281" i="1" s="1"/>
  <c r="AR281" i="1" s="1"/>
  <c r="AJ272" i="1"/>
  <c r="AH272" i="1"/>
  <c r="AQ272" i="1" s="1"/>
  <c r="AR272" i="1" s="1"/>
  <c r="AI272" i="1"/>
  <c r="AX272" i="1" s="1"/>
  <c r="AY272" i="1" s="1"/>
  <c r="AZ2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Micromass UK Ltd</author>
    <author>andersm</author>
    <author>Kristine Dyrnum</author>
  </authors>
  <commentList>
    <comment ref="Q1" authorId="0" shapeId="0" xr:uid="{D89EDC10-2177-449C-97B2-41D7EBD1756E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  <comment ref="AR1" authorId="1" shapeId="0" xr:uid="{8892D25E-0CD7-4B85-BFC2-D5AB5DFF243D}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AS1" authorId="2" shapeId="0" xr:uid="{CB65C2E8-AEB2-4687-860E-369148A4E1B0}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AY1" authorId="2" shapeId="0" xr:uid="{3039936D-2AC1-4233-989F-3CD40D1A0381}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AZ1" authorId="2" shapeId="0" xr:uid="{7D56872D-DF4E-48EA-BFCF-37FA74C26EE8}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Q2" authorId="0" shapeId="0" xr:uid="{77654189-E4B5-4641-B760-2EE0D40030B3}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Klaus Steenberg Larsen</author>
  </authors>
  <commentList>
    <comment ref="E32" authorId="0" shapeId="0" xr:uid="{4ECF3898-BEEC-4CDC-9229-B4B66E31FA34}">
      <text>
        <r>
          <rPr>
            <sz val="8"/>
            <color indexed="81"/>
            <rFont val="Tahoma"/>
            <family val="2"/>
          </rPr>
          <t>Here you insert the calculated atm% from your natural abundance samples.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andersm</author>
    <author>Kristine Dyrnum</author>
  </authors>
  <commentList>
    <comment ref="T1" authorId="0" shapeId="0" xr:uid="{3AC3432B-8C7E-4256-BC32-FC4ABCC9FD24}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U1" authorId="1" shapeId="0" xr:uid="{337C44CD-BE2A-42BB-AA14-54DE5F3EDB53}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AA1" authorId="1" shapeId="0" xr:uid="{B5A1E1F9-FD62-4499-A601-CA8DD6A81BD5}">
      <text>
        <r>
          <rPr>
            <b/>
            <sz val="9"/>
            <color indexed="81"/>
            <rFont val="Tahoma"/>
            <family val="2"/>
          </rPr>
          <t>excess</t>
        </r>
      </text>
    </comment>
    <comment ref="AB1" authorId="1" shapeId="0" xr:uid="{0ABC041D-D2EA-445B-8A1A-7A80B4047EBF}">
      <text>
        <r>
          <rPr>
            <b/>
            <sz val="9"/>
            <color indexed="81"/>
            <rFont val="Tahoma"/>
            <family val="2"/>
          </rPr>
          <t>excess</t>
        </r>
      </text>
    </comment>
  </commentList>
</comments>
</file>

<file path=xl/sharedStrings.xml><?xml version="1.0" encoding="utf-8"?>
<sst xmlns="http://schemas.openxmlformats.org/spreadsheetml/2006/main" count="2501" uniqueCount="472">
  <si>
    <t>Sample Number</t>
  </si>
  <si>
    <t>Name</t>
  </si>
  <si>
    <t>Height (nA)</t>
  </si>
  <si>
    <t>N15</t>
  </si>
  <si>
    <t>13C</t>
  </si>
  <si>
    <t>PEAnA</t>
  </si>
  <si>
    <t>PEA15N</t>
  </si>
  <si>
    <t>PEA13C</t>
  </si>
  <si>
    <t>gnsnSTD N weight</t>
  </si>
  <si>
    <t>gnsnSTD C weight</t>
  </si>
  <si>
    <t>1nA to x mgN STD</t>
  </si>
  <si>
    <t>1nA to x mgC STD</t>
  </si>
  <si>
    <t>mg N in sample</t>
  </si>
  <si>
    <t>mg C in sample</t>
  </si>
  <si>
    <t>%N</t>
  </si>
  <si>
    <t>%C</t>
  </si>
  <si>
    <t>C/N</t>
  </si>
  <si>
    <t>d15Nkorr</t>
  </si>
  <si>
    <t>d13Ckorr</t>
  </si>
  <si>
    <t>Weight</t>
  </si>
  <si>
    <t>nr</t>
  </si>
  <si>
    <t>run</t>
  </si>
  <si>
    <t>treatment</t>
  </si>
  <si>
    <t>tray</t>
  </si>
  <si>
    <t>BCD</t>
  </si>
  <si>
    <t>A1</t>
  </si>
  <si>
    <t>A2</t>
  </si>
  <si>
    <t>A3</t>
  </si>
  <si>
    <t>BCW</t>
  </si>
  <si>
    <t>A4</t>
  </si>
  <si>
    <t>A5</t>
  </si>
  <si>
    <t>A6</t>
  </si>
  <si>
    <t>BUD</t>
  </si>
  <si>
    <t>A7</t>
  </si>
  <si>
    <t>A8</t>
  </si>
  <si>
    <t>A9</t>
  </si>
  <si>
    <t>BUW</t>
  </si>
  <si>
    <t>A10</t>
  </si>
  <si>
    <t>A11</t>
  </si>
  <si>
    <t>A12</t>
  </si>
  <si>
    <t>SCD</t>
  </si>
  <si>
    <t>B1</t>
  </si>
  <si>
    <t>B2</t>
  </si>
  <si>
    <t>B3</t>
  </si>
  <si>
    <t>SCW</t>
  </si>
  <si>
    <t>B4</t>
  </si>
  <si>
    <t>B5</t>
  </si>
  <si>
    <t>B6</t>
  </si>
  <si>
    <t>SUD</t>
  </si>
  <si>
    <t>B7</t>
  </si>
  <si>
    <t>B8</t>
  </si>
  <si>
    <t>B9</t>
  </si>
  <si>
    <t>SUW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</si>
  <si>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</si>
  <si>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</si>
  <si>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</si>
  <si>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</si>
  <si>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</si>
  <si>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</si>
  <si>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</si>
  <si>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</si>
  <si>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</si>
  <si>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</si>
  <si>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</si>
  <si>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</si>
  <si>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</si>
  <si>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</si>
  <si>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</si>
  <si>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</si>
  <si>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</si>
  <si>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</si>
  <si>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</si>
  <si>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</si>
  <si>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</si>
  <si>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</si>
  <si>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</si>
  <si>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</si>
  <si>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</si>
  <si>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</si>
  <si>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</si>
  <si>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</si>
  <si>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</si>
  <si>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</si>
  <si>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</si>
  <si>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</si>
  <si>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</si>
  <si>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</si>
  <si>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</si>
  <si>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</si>
  <si>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</si>
  <si>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</si>
  <si>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</si>
  <si>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</si>
  <si>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</si>
  <si>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</si>
  <si>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</si>
  <si>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</si>
  <si>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</si>
  <si>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</si>
  <si>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</si>
  <si>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</si>
  <si>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</si>
  <si>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</si>
  <si>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</si>
  <si>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</si>
  <si>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</si>
  <si>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</si>
  <si>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</si>
  <si>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</si>
  <si>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</si>
  <si>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</si>
  <si>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</si>
  <si>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</si>
  <si>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H10</t>
  </si>
  <si>
    <t>H11</t>
  </si>
  <si>
    <t>H12</t>
  </si>
  <si>
    <t>D1</t>
  </si>
  <si>
    <t>D2</t>
  </si>
  <si>
    <t>D3</t>
  </si>
  <si>
    <t>comment</t>
  </si>
  <si>
    <t>E7</t>
  </si>
  <si>
    <t>E8</t>
  </si>
  <si>
    <t>E9</t>
  </si>
  <si>
    <t>G1</t>
  </si>
  <si>
    <t>G2</t>
  </si>
  <si>
    <t>G3</t>
  </si>
  <si>
    <t>H7</t>
  </si>
  <si>
    <t>H8</t>
  </si>
  <si>
    <t>H9</t>
  </si>
  <si>
    <r>
      <t>Nat abun (</t>
    </r>
    <r>
      <rPr>
        <vertAlign val="super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N)</t>
    </r>
  </si>
  <si>
    <r>
      <t>δ15N</t>
    </r>
    <r>
      <rPr>
        <b/>
        <vertAlign val="subscript"/>
        <sz val="12"/>
        <rFont val="Arial"/>
        <family val="2"/>
      </rPr>
      <t>korr</t>
    </r>
  </si>
  <si>
    <r>
      <t>atom% (</t>
    </r>
    <r>
      <rPr>
        <vertAlign val="superscript"/>
        <sz val="12"/>
        <color theme="1"/>
        <rFont val="Arial"/>
        <family val="2"/>
      </rPr>
      <t>15</t>
    </r>
    <r>
      <rPr>
        <sz val="12"/>
        <color theme="1"/>
        <rFont val="Arial"/>
        <family val="2"/>
      </rPr>
      <t>N)</t>
    </r>
  </si>
  <si>
    <t>APE%</t>
  </si>
  <si>
    <t>N pr DW</t>
  </si>
  <si>
    <t>15N pr DW</t>
  </si>
  <si>
    <r>
      <rPr>
        <b/>
        <vertAlign val="superscript"/>
        <sz val="12"/>
        <color theme="0"/>
        <rFont val="Arial"/>
        <family val="2"/>
      </rPr>
      <t>15</t>
    </r>
    <r>
      <rPr>
        <b/>
        <sz val="12"/>
        <color theme="0"/>
        <rFont val="Arial"/>
        <family val="2"/>
      </rPr>
      <t xml:space="preserve">N pr N </t>
    </r>
  </si>
  <si>
    <r>
      <t>Nat abun (</t>
    </r>
    <r>
      <rPr>
        <b/>
        <vertAlign val="superscript"/>
        <sz val="12"/>
        <rFont val="Arial"/>
        <family val="2"/>
      </rPr>
      <t>13</t>
    </r>
    <r>
      <rPr>
        <b/>
        <sz val="12"/>
        <rFont val="Arial"/>
        <family val="2"/>
      </rPr>
      <t>C)</t>
    </r>
  </si>
  <si>
    <r>
      <t>δ13C</t>
    </r>
    <r>
      <rPr>
        <b/>
        <vertAlign val="subscript"/>
        <sz val="12"/>
        <rFont val="Arial"/>
        <family val="2"/>
      </rPr>
      <t>korr</t>
    </r>
  </si>
  <si>
    <r>
      <t>atom% (</t>
    </r>
    <r>
      <rPr>
        <b/>
        <vertAlign val="superscript"/>
        <sz val="12"/>
        <rFont val="Arial"/>
        <family val="2"/>
      </rPr>
      <t>13</t>
    </r>
    <r>
      <rPr>
        <b/>
        <sz val="12"/>
        <rFont val="Arial"/>
        <family val="2"/>
      </rPr>
      <t>C)</t>
    </r>
  </si>
  <si>
    <t>C pr DW</t>
  </si>
  <si>
    <r>
      <rPr>
        <b/>
        <vertAlign val="superscript"/>
        <sz val="12"/>
        <rFont val="Arial"/>
        <family val="2"/>
      </rPr>
      <t>13</t>
    </r>
    <r>
      <rPr>
        <b/>
        <sz val="12"/>
        <rFont val="Arial"/>
        <family val="2"/>
      </rPr>
      <t xml:space="preserve">C pr DW  </t>
    </r>
  </si>
  <si>
    <r>
      <rPr>
        <b/>
        <vertAlign val="superscript"/>
        <sz val="12"/>
        <rFont val="Arial"/>
        <family val="2"/>
      </rPr>
      <t>13</t>
    </r>
    <r>
      <rPr>
        <b/>
        <sz val="12"/>
        <rFont val="Arial"/>
        <family val="2"/>
      </rPr>
      <t xml:space="preserve">C pr C </t>
    </r>
  </si>
  <si>
    <t>(ATM%)</t>
  </si>
  <si>
    <t>(δ)</t>
  </si>
  <si>
    <t>(% of N)</t>
  </si>
  <si>
    <t>(% excess)</t>
  </si>
  <si>
    <t>(mgN/g DW)</t>
  </si>
  <si>
    <t>(μg/g DW)</t>
  </si>
  <si>
    <t>(μg/g N)</t>
  </si>
  <si>
    <t>(% of C)</t>
  </si>
  <si>
    <t>(mg/g DW)</t>
  </si>
  <si>
    <t>(μg/g C)</t>
  </si>
  <si>
    <t>PEACH</t>
  </si>
  <si>
    <t>Calculations</t>
  </si>
  <si>
    <t>delta=1/((100/at%-1)*Rst-1))*1000</t>
  </si>
  <si>
    <t>at%=100*Rst*(d15Nsa/1000+1)/(1+Rst*(d15Nsa/1000+1))</t>
  </si>
  <si>
    <t>Nair Rst =</t>
  </si>
  <si>
    <t>PDB Rst =</t>
  </si>
  <si>
    <t>From atm% to delta</t>
  </si>
  <si>
    <t>From delta to atm%</t>
  </si>
  <si>
    <t>15N</t>
  </si>
  <si>
    <t>ATM%</t>
  </si>
  <si>
    <t>Delta</t>
  </si>
  <si>
    <t>and</t>
  </si>
  <si>
    <t>bet</t>
  </si>
  <si>
    <t>Calculation of 15N excess in plant matter</t>
  </si>
  <si>
    <t>example:</t>
  </si>
  <si>
    <t>if plant has 1% N = 10 mg N/g</t>
  </si>
  <si>
    <t>and enrichment is 100 delta units</t>
  </si>
  <si>
    <t>(15N is 15 g/mol)</t>
  </si>
  <si>
    <t>delta 15N</t>
  </si>
  <si>
    <t>atm%</t>
  </si>
  <si>
    <t>nat ab</t>
  </si>
  <si>
    <t>enrich in atom%</t>
  </si>
  <si>
    <t>enrich in mass%</t>
  </si>
  <si>
    <t>mgN/g</t>
  </si>
  <si>
    <t>mg15N/g DW</t>
  </si>
  <si>
    <t>ug 15N / g DW</t>
  </si>
  <si>
    <t>umol 15N / g DW</t>
  </si>
  <si>
    <t>Average ROOT nat abun</t>
  </si>
  <si>
    <t>Av</t>
  </si>
  <si>
    <t>Nat abund</t>
  </si>
  <si>
    <t>Nat abun (15N)</t>
  </si>
  <si>
    <t>δ15Nkorr</t>
  </si>
  <si>
    <t>atom% (15N)</t>
  </si>
  <si>
    <t xml:space="preserve">15N pr N </t>
  </si>
  <si>
    <t>Nat abun (13C)</t>
  </si>
  <si>
    <t>δ13Ckorr</t>
  </si>
  <si>
    <t>atom% (13C)</t>
  </si>
  <si>
    <t xml:space="preserve">13C pr DW  </t>
  </si>
  <si>
    <t xml:space="preserve">13C pr C </t>
  </si>
  <si>
    <t>Elise</t>
  </si>
  <si>
    <t>EliseLabAboveTray1_1.raw</t>
  </si>
  <si>
    <t>EliseLabAboveTray1_2.raw</t>
  </si>
  <si>
    <t>EliseLabAboveTray1_3.raw</t>
  </si>
  <si>
    <t>EliseLabAboveTray1_4.raw</t>
  </si>
  <si>
    <t>EliseLabAboveTray1_5.raw</t>
  </si>
  <si>
    <t>EliseLabAboveTray1_6.raw</t>
  </si>
  <si>
    <t>EliseLabAboveTray1_7.raw</t>
  </si>
  <si>
    <t>EliseLabAboveTray1_8.raw</t>
  </si>
  <si>
    <t>EliseLabAboveTray1_9.raw</t>
  </si>
  <si>
    <t>EliseLabAboveTray1_10.raw</t>
  </si>
  <si>
    <t>EliseLabAboveTray1_11.raw</t>
  </si>
  <si>
    <t>EliseLabAboveTray1_12.raw</t>
  </si>
  <si>
    <t>peach 2299u.raw</t>
  </si>
  <si>
    <t>EliseLabAboveTray1_13.raw</t>
  </si>
  <si>
    <t>EliseLabAboveTray1_14.raw</t>
  </si>
  <si>
    <t>EliseLabAboveTray1_15.raw</t>
  </si>
  <si>
    <t>EliseLabAboveTray1_16.raw</t>
  </si>
  <si>
    <t>EliseLabAboveTray1_17.raw</t>
  </si>
  <si>
    <t>EliseLabAboveTray1_18.raw</t>
  </si>
  <si>
    <t>EliseLabAboveTray1_19.raw</t>
  </si>
  <si>
    <t>EliseLabAboveTray1_20.raw</t>
  </si>
  <si>
    <t>EliseLabAboveTray1_21.raw</t>
  </si>
  <si>
    <t>EliseLabAboveTray1_22.raw</t>
  </si>
  <si>
    <t>EliseLabAboveTray1_23.raw</t>
  </si>
  <si>
    <t>EliseLabAboveTray1_24.raw</t>
  </si>
  <si>
    <t>peach 2631u.raw</t>
  </si>
  <si>
    <t>EliseLabAboveTray1_25.raw</t>
  </si>
  <si>
    <t>EliseLabAboveTray1_26.raw</t>
  </si>
  <si>
    <t>EliseLabAboveTray1_27.raw</t>
  </si>
  <si>
    <t>EliseLabAboveTray1_28.raw</t>
  </si>
  <si>
    <t>EliseLabAboveTray1_29.raw</t>
  </si>
  <si>
    <t>EliseLabAboveTray1_30.raw</t>
  </si>
  <si>
    <t>EliseLabAboveTray1_31.raw</t>
  </si>
  <si>
    <t>EliseLabAboveTray1_32.raw</t>
  </si>
  <si>
    <t>EliseLabAboveTray1_33.raw</t>
  </si>
  <si>
    <t>EliseLabAboveTray1_34.raw</t>
  </si>
  <si>
    <t>EliseLabAboveTray1_35.raw</t>
  </si>
  <si>
    <t>EliseLabAboveTray1_36.raw</t>
  </si>
  <si>
    <t>peach 3554u.raw</t>
  </si>
  <si>
    <t>EliseLabAboveTray1_37.raw</t>
  </si>
  <si>
    <t>EliseLabAboveTray1_38.raw</t>
  </si>
  <si>
    <t>EliseLabAboveTray1_39.raw</t>
  </si>
  <si>
    <t>EliseLabAboveTray1_40.raw</t>
  </si>
  <si>
    <t>EliseLabAboveTray1_41.raw</t>
  </si>
  <si>
    <t>EliseLabAboveTray1_42.raw</t>
  </si>
  <si>
    <t>EliseLabAboveTray1_43.raw</t>
  </si>
  <si>
    <t>EliseLabAboveTray1_44.raw</t>
  </si>
  <si>
    <t>EliseLabAboveTray1_45.raw</t>
  </si>
  <si>
    <t>EliseLabAboveTray1_46.raw</t>
  </si>
  <si>
    <t>EliseLabAboveTray1_47.raw</t>
  </si>
  <si>
    <t>EliseLabAboveTray1_48.raw</t>
  </si>
  <si>
    <t>peach 2937u.raw</t>
  </si>
  <si>
    <t>EliseLabAboveTray1_49.raw</t>
  </si>
  <si>
    <t>EliseLabAboveTray1_50.raw</t>
  </si>
  <si>
    <t>EliseLabAboveTray1_51.raw</t>
  </si>
  <si>
    <t>EliseLabAboveTray1_52.raw</t>
  </si>
  <si>
    <t>EliseLabAboveTray1_53.raw</t>
  </si>
  <si>
    <t>EliseLabAboveTray1_54.raw</t>
  </si>
  <si>
    <t>EliseLabAboveTray1_55.raw</t>
  </si>
  <si>
    <t>EliseLabAboveTray1_56.raw</t>
  </si>
  <si>
    <t>EliseLabAboveTray1_57.raw</t>
  </si>
  <si>
    <t>EliseLabAboveTray1_58.raw</t>
  </si>
  <si>
    <t>EliseLabAboveTray1_59.raw</t>
  </si>
  <si>
    <t>EliseLabAboveTray1_60.raw</t>
  </si>
  <si>
    <t>peach 2508u.raw</t>
  </si>
  <si>
    <t>EliseLabAboveTray1_61.raw</t>
  </si>
  <si>
    <t>EliseLabAboveTray1_62.raw</t>
  </si>
  <si>
    <t>EliseLabAboveTray1_63.raw</t>
  </si>
  <si>
    <t>EliseLabAboveTray1_64.raw</t>
  </si>
  <si>
    <t>EliseLabAboveTray1_65.raw</t>
  </si>
  <si>
    <t>EliseLabAboveTray1_66.raw</t>
  </si>
  <si>
    <t>EliseLabAboveTray1_67.raw</t>
  </si>
  <si>
    <t>EliseLabAboveTray1_68.raw</t>
  </si>
  <si>
    <t>EliseLabAboveTray1_69.raw</t>
  </si>
  <si>
    <t>EliseLabAboveTray1_70.raw</t>
  </si>
  <si>
    <t>EliseLabAboveTray1_71.raw</t>
  </si>
  <si>
    <t>EliseLabAboveTray1_72.raw</t>
  </si>
  <si>
    <t>peach 2531u.raw</t>
  </si>
  <si>
    <t>EliseLabAboveTray1_73.raw</t>
  </si>
  <si>
    <t>EliseLabAboveTray1_74.raw</t>
  </si>
  <si>
    <t>EliseLabAboveTray1_75.raw</t>
  </si>
  <si>
    <t>EliseLabAboveTray1_76.raw</t>
  </si>
  <si>
    <t>EliseLabAboveTray1_77.raw</t>
  </si>
  <si>
    <t>EliseLabAboveTray1_78.raw</t>
  </si>
  <si>
    <t>EliseLabAboveTray1_79.raw</t>
  </si>
  <si>
    <t>EliseLabAboveTray1_80.raw</t>
  </si>
  <si>
    <t>EliseLabAboveTray1_81.raw</t>
  </si>
  <si>
    <t>EliseLabAboveTray1_82.raw</t>
  </si>
  <si>
    <t>EliseLabAboveTray1_83.raw</t>
  </si>
  <si>
    <t>EliseLabAboveTray1_84.raw</t>
  </si>
  <si>
    <t>peach 2539u.raw</t>
  </si>
  <si>
    <t>EliseLabAboveTray1_85.raw</t>
  </si>
  <si>
    <t>EliseLabAboveTray1_86.raw</t>
  </si>
  <si>
    <t>EliseLabAboveTray1_87.raw</t>
  </si>
  <si>
    <t>EliseLabAboveTray1_88.raw</t>
  </si>
  <si>
    <t>EliseLabAboveTray1_89.raw</t>
  </si>
  <si>
    <t>EliseLabAboveTray1_90.raw</t>
  </si>
  <si>
    <t>EliseLabAboveTray1_91.raw</t>
  </si>
  <si>
    <t>EliseLabAboveTray1_92.raw</t>
  </si>
  <si>
    <t>EliseLabAboveTray1_93.raw</t>
  </si>
  <si>
    <t>EliseLabAboveTray1_94.raw</t>
  </si>
  <si>
    <t>EliseLabAboveTray1_95.raw</t>
  </si>
  <si>
    <t>EliseLabAboveTray1_96.raw</t>
  </si>
  <si>
    <t>peach 3212u.raw</t>
  </si>
  <si>
    <t>EliseLabAboveTray2_1.raw</t>
  </si>
  <si>
    <t>EliseLabAboveTray2_2.raw</t>
  </si>
  <si>
    <t>EliseLabAboveTray2_3.raw</t>
  </si>
  <si>
    <t>EliseLabAboveTray2_4.raw</t>
  </si>
  <si>
    <t>EliseLabAboveTray2_5.raw</t>
  </si>
  <si>
    <t>EliseLabAboveTray2_6.raw</t>
  </si>
  <si>
    <t>EliseLabAboveTray2_7.raw</t>
  </si>
  <si>
    <t>EliseLabAboveTray2_8.raw</t>
  </si>
  <si>
    <t>EliseLabAboveTray2_9.raw</t>
  </si>
  <si>
    <t>EliseLabAboveTray2_10.raw</t>
  </si>
  <si>
    <t>EliseLabAboveTray2_11.raw</t>
  </si>
  <si>
    <t>EliseLabAboveTray2_12.raw</t>
  </si>
  <si>
    <t>peach 2551u.raw</t>
  </si>
  <si>
    <t>EliseLabAboveTray2_13.raw</t>
  </si>
  <si>
    <t>EliseLabAboveTray2_14.raw</t>
  </si>
  <si>
    <t>EliseLabAboveTray2_15.raw</t>
  </si>
  <si>
    <t>EliseLabAboveTray2_16.raw</t>
  </si>
  <si>
    <t>EliseLabAboveTray2_17.raw</t>
  </si>
  <si>
    <t>EliseLabAboveTray2_18.raw</t>
  </si>
  <si>
    <t>EliseLabAboveTray2_19.raw</t>
  </si>
  <si>
    <t>EliseLabAboveTray2_20.raw</t>
  </si>
  <si>
    <t>EliseLabAboveTray2_21.raw</t>
  </si>
  <si>
    <t>EliseLabAboveTray2_22.raw</t>
  </si>
  <si>
    <t>EliseLabAboveTray2_23.raw</t>
  </si>
  <si>
    <t>EliseLabAboveTray2_24.raw</t>
  </si>
  <si>
    <t>peach 2256u.raw</t>
  </si>
  <si>
    <t>EliseLabAboveTray2_25.raw</t>
  </si>
  <si>
    <t>EliseLabAboveTray2_26.raw</t>
  </si>
  <si>
    <t>EliseLabAboveTray2_27.raw</t>
  </si>
  <si>
    <t>EliseLabAboveTray2_28.raw</t>
  </si>
  <si>
    <t>EliseLabAboveTray2_29.raw</t>
  </si>
  <si>
    <t>EliseLabAboveTray2_30.raw</t>
  </si>
  <si>
    <t>EliseLabAboveTray2_31.raw</t>
  </si>
  <si>
    <t>EliseLabAboveTray2_32.raw</t>
  </si>
  <si>
    <t>EliseLabAboveTray2_33.raw</t>
  </si>
  <si>
    <t>EliseLabAboveTray2_34.raw</t>
  </si>
  <si>
    <t>EliseLabAboveTray2_35.raw</t>
  </si>
  <si>
    <t>EliseLabAboveTray2_36.raw</t>
  </si>
  <si>
    <t>peach 2475u.raw</t>
  </si>
  <si>
    <t>EliseLabAboveTray2_37.raw</t>
  </si>
  <si>
    <t>EliseLabAboveTray2_38.raw</t>
  </si>
  <si>
    <t>EliseLabAboveTray2_39.raw</t>
  </si>
  <si>
    <t>EliseLabAboveTray2_40.raw</t>
  </si>
  <si>
    <t>EliseLabAboveTray2_41.raw</t>
  </si>
  <si>
    <t>EliseLabAboveTray2_42.raw</t>
  </si>
  <si>
    <t>EliseLabAboveTray2_43.raw</t>
  </si>
  <si>
    <t>EliseLabAboveTray2_44.raw</t>
  </si>
  <si>
    <t>EliseLabAboveTray2_45.raw</t>
  </si>
  <si>
    <t>EliseLabAboveTray2_46.raw</t>
  </si>
  <si>
    <t>EliseLabAboveTray2_47.raw</t>
  </si>
  <si>
    <t>EliseLabAboveTray2_48.raw</t>
  </si>
  <si>
    <t>peach 2368uuu.raw</t>
  </si>
  <si>
    <t>EliseLabAboveTray2_49.raw</t>
  </si>
  <si>
    <t>EliseLabAboveTray2_50.raw</t>
  </si>
  <si>
    <t>EliseLabAboveTray2_51.raw</t>
  </si>
  <si>
    <t>EliseLabAboveTray2_52.raw</t>
  </si>
  <si>
    <t>EliseLabAboveTray2_53.raw</t>
  </si>
  <si>
    <t>EliseLabAboveTray2_54.raw</t>
  </si>
  <si>
    <t>peach 2733 EFTER ash RED.raw</t>
  </si>
  <si>
    <t>EliseLabAboveTray2_55.raw</t>
  </si>
  <si>
    <t>EliseLabAboveTray2_56.raw</t>
  </si>
  <si>
    <t>EliseLabAboveTray2_57.raw</t>
  </si>
  <si>
    <t>EliseLabAboveTray2_58.raw</t>
  </si>
  <si>
    <t>EliseLabAboveTray2_59.raw</t>
  </si>
  <si>
    <t>EliseLabAboveTray2_60.raw</t>
  </si>
  <si>
    <t>peach 2808u.raw</t>
  </si>
  <si>
    <t>EliseLabAboveTray2_61.raw</t>
  </si>
  <si>
    <t>EliseLabAboveTray2_62.raw</t>
  </si>
  <si>
    <t>EliseLabAboveTray2_63.raw</t>
  </si>
  <si>
    <t>EliseLabAboveTray2_64.raw</t>
  </si>
  <si>
    <t>EliseLabAboveTray2_65.raw</t>
  </si>
  <si>
    <t>EliseLabAboveTray2_66.raw</t>
  </si>
  <si>
    <t>EliseLabAboveTray2_67.raw</t>
  </si>
  <si>
    <t>EliseLabAboveTray2_68.raw</t>
  </si>
  <si>
    <t>EliseLabAboveTray2_69.raw</t>
  </si>
  <si>
    <t>EliseLabAboveTray2_70.raw</t>
  </si>
  <si>
    <t>EliseLabAboveTray2_71.raw</t>
  </si>
  <si>
    <t>EliseLabAboveTray2_72.raw</t>
  </si>
  <si>
    <t>peach 2881u.raw</t>
  </si>
  <si>
    <t>EliseLabAboveTray2_73.raw</t>
  </si>
  <si>
    <t>EliseLabAboveTray2_74.raw</t>
  </si>
  <si>
    <t>EliseLabAboveTray2_75.raw</t>
  </si>
  <si>
    <t>EliseLabAboveTray2_76.raw</t>
  </si>
  <si>
    <t>EliseLabAboveTray2_77.raw</t>
  </si>
  <si>
    <t>EliseLabAboveTray2_78.raw</t>
  </si>
  <si>
    <t>EliseLabAboveTray2_79.raw</t>
  </si>
  <si>
    <t>EliseLabAboveTray2_80.raw</t>
  </si>
  <si>
    <t>EliseLabAboveTray2_81.raw</t>
  </si>
  <si>
    <t>EliseLabAboveTray2_82.raw</t>
  </si>
  <si>
    <t>EliseLabAboveTray2_83.raw</t>
  </si>
  <si>
    <t>EliseLabAboveTray2_84.raw</t>
  </si>
  <si>
    <t>peach 2421u.raw</t>
  </si>
  <si>
    <t>EliseLabAboveTray2_85.raw</t>
  </si>
  <si>
    <t>EliseLabAboveTray2_86.raw</t>
  </si>
  <si>
    <t>EliseLabAboveTray2_87.raw</t>
  </si>
  <si>
    <t>EliseLabAboveTray2_88.raw</t>
  </si>
  <si>
    <t>EliseLabAboveTray2_89.raw</t>
  </si>
  <si>
    <t>EliseLabAboveTray2_90.raw</t>
  </si>
  <si>
    <t>EliseLabAboveTray2_91.raw</t>
  </si>
  <si>
    <t>EliseLabAboveTray2_92.raw</t>
  </si>
  <si>
    <t>EliseLabAboveTray2_93.raw</t>
  </si>
  <si>
    <t>EliseLabAboveTray2_94.raw</t>
  </si>
  <si>
    <t>EliseLabAboveTray2_95.raw</t>
  </si>
  <si>
    <t>EliseLabAboveTray2_96.raw</t>
  </si>
  <si>
    <t>peach 2418u.raw</t>
  </si>
  <si>
    <t>EliseLabAboveTray3_1.raw</t>
  </si>
  <si>
    <t>EliseLabAboveTray3_2.raw</t>
  </si>
  <si>
    <t>EliseLabAboveTray3_3.raw</t>
  </si>
  <si>
    <t>EliseLabAboveTray3_4.raw</t>
  </si>
  <si>
    <t>EliseLabAboveTray3_5.raw</t>
  </si>
  <si>
    <t>EliseLabAboveTray3_6.raw</t>
  </si>
  <si>
    <t>EliseLabAboveTray3_7.raw</t>
  </si>
  <si>
    <t>EliseLabAboveTray3_8.raw</t>
  </si>
  <si>
    <t>EliseLabAboveTray3_9.raw</t>
  </si>
  <si>
    <t>EliseLabAboveTray3_10.raw</t>
  </si>
  <si>
    <t>EliseLabAboveTray3_11.raw</t>
  </si>
  <si>
    <t>EliseLabAboveTray3_12.raw</t>
  </si>
  <si>
    <t>peach 3101u.raw</t>
  </si>
  <si>
    <t>EliseLabAboveTray3_13.raw</t>
  </si>
  <si>
    <t>EliseLabAboveTray3_14.raw</t>
  </si>
  <si>
    <t>EliseLabAboveTray3_15.raw</t>
  </si>
  <si>
    <t>EliseLabAboveTray3_16.raw</t>
  </si>
  <si>
    <t>EliseLabAboveTray3_17.raw</t>
  </si>
  <si>
    <t>EliseLabAboveTray3_18.raw</t>
  </si>
  <si>
    <t>EliseLabAboveTray3_19.raw</t>
  </si>
  <si>
    <t>EliseLabAboveTray3_20.raw</t>
  </si>
  <si>
    <t>EliseLabAboveTray3_21.raw</t>
  </si>
  <si>
    <t>EliseLabAboveTray3_22.raw</t>
  </si>
  <si>
    <t>EliseLabAboveTray3_23.raw</t>
  </si>
  <si>
    <t>EliseLabAboveTray3_24.raw</t>
  </si>
  <si>
    <t>peach 2038u.raw</t>
  </si>
  <si>
    <t>EliseLabAboveTray3_25.raw</t>
  </si>
  <si>
    <t>EliseLabAboveTray3_26.raw</t>
  </si>
  <si>
    <t>EliseLabAboveTray3_27.raw</t>
  </si>
  <si>
    <t>EliseLabAboveTray3_28.raw</t>
  </si>
  <si>
    <t>EliseLabAboveTray3_29.raw</t>
  </si>
  <si>
    <t>EliseLabAboveTray3_30.raw</t>
  </si>
  <si>
    <t>EliseLabAboveTray3_31.raw</t>
  </si>
  <si>
    <t>EliseLabAboveTray3_32.raw</t>
  </si>
  <si>
    <t>EliseLabAboveTray3_33.raw</t>
  </si>
  <si>
    <t>EliseLabAboveTray3_34.raw</t>
  </si>
  <si>
    <t>EliseLabAboveTray3_35.raw</t>
  </si>
  <si>
    <t>EliseLabAboveTray3_36.raw</t>
  </si>
  <si>
    <t>peach 2587u.raw</t>
  </si>
  <si>
    <t>EliseLabAboveTray3_37.raw</t>
  </si>
  <si>
    <t>EliseLabAboveTray3_38.raw</t>
  </si>
  <si>
    <t>EliseLabAboveTray3_39.raw</t>
  </si>
  <si>
    <t>EliseLabAboveTray3_40.raw</t>
  </si>
  <si>
    <t>EliseLabAboveTray3_41.raw</t>
  </si>
  <si>
    <t>EliseLabAboveTray3_42.raw</t>
  </si>
  <si>
    <t>EliseLabAboveTray3_43.raw</t>
  </si>
  <si>
    <t>EliseLabAboveTray3_44.raw</t>
  </si>
  <si>
    <t>EliseLabAboveTray3_45.raw</t>
  </si>
  <si>
    <t>EliseLabAboveTray3_46.raw</t>
  </si>
  <si>
    <t>EliseLabAboveTray3_47.raw</t>
  </si>
  <si>
    <t>peach 2318u.raw</t>
  </si>
  <si>
    <t>tt</t>
  </si>
  <si>
    <t>aboveground</t>
  </si>
  <si>
    <t>placement</t>
  </si>
  <si>
    <t>3-4 mg</t>
  </si>
  <si>
    <t>A</t>
  </si>
  <si>
    <t>equisetum</t>
  </si>
  <si>
    <t>B</t>
  </si>
  <si>
    <t>C</t>
  </si>
  <si>
    <t>D</t>
  </si>
  <si>
    <t>E</t>
  </si>
  <si>
    <t>F</t>
  </si>
  <si>
    <t>G</t>
  </si>
  <si>
    <t>H</t>
  </si>
  <si>
    <t>bryophyte</t>
  </si>
  <si>
    <t>lichen</t>
  </si>
  <si>
    <t>graminoid</t>
  </si>
  <si>
    <t>salix_stem</t>
  </si>
  <si>
    <t>det var alt der var</t>
  </si>
  <si>
    <t>salix_leaf</t>
  </si>
  <si>
    <t>too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</si>
</sst>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"/>
    <numFmt numFmtId="167" formatCode="0.000000"/>
    <numFmt numFmtId="168" formatCode="0.000000000000"/>
    <numFmt numFmtId="174" formatCode="0.00000000000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color theme="0" tint="-0.34998626667073579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 tint="-0.34998626667073579"/>
      <name val="Arial"/>
      <family val="2"/>
    </font>
    <font>
      <b/>
      <sz val="14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2"/>
      <color theme="0" tint="-0.34998626667073579"/>
      <name val="Calibri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vertAlign val="subscript"/>
      <sz val="12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vertAlign val="superscript"/>
      <sz val="12"/>
      <color theme="0"/>
      <name val="Arial"/>
      <family val="2"/>
    </font>
    <font>
      <b/>
      <vertAlign val="superscript"/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6" tint="-0.499984740745262"/>
      <name val="Calibri"/>
      <family val="2"/>
      <scheme val="minor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b/>
      <sz val="9"/>
      <color indexed="81"/>
      <name val="Tahoma"/>
      <family val="2"/>
    </font>
    <font>
      <sz val="8"/>
      <color theme="0" tint="-0.34998626667073579"/>
      <name val="Arial"/>
      <family val="2"/>
    </font>
    <font>
      <sz val="18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6" tint="-0.499984740745262"/>
      <name val="Arial"/>
      <family val="2"/>
    </font>
    <font>
      <b/>
      <sz val="10"/>
      <color rgb="FF7030A0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1"/>
      <color theme="6" tint="-0.499984740745262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1"/>
      <color rgb="FF7030A0"/>
      <name val="Arial"/>
      <family val="2"/>
    </font>
    <font>
      <b/>
      <sz val="12"/>
      <color rgb="FF7030A0"/>
      <name val="Arial"/>
      <family val="2"/>
    </font>
    <font>
      <sz val="8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3" borderId="0" applyNumberFormat="0" applyBorder="0" applyAlignment="0" applyProtection="0"/>
    <xf numFmtId="0" fontId="1" fillId="0" borderId="0"/>
    <xf numFmtId="0" fontId="2" fillId="2" borderId="0" applyNumberFormat="0" applyBorder="0" applyAlignment="0" applyProtection="0"/>
    <xf numFmtId="0" fontId="7" fillId="0" borderId="0"/>
    <xf numFmtId="0" fontId="7" fillId="0" borderId="0"/>
    <xf numFmtId="0" fontId="21" fillId="16" borderId="0" applyNumberFormat="0" applyBorder="0" applyAlignment="0" applyProtection="0"/>
    <xf numFmtId="0" fontId="23" fillId="17" borderId="0" applyNumberFormat="0" applyBorder="0" applyAlignment="0" applyProtection="0"/>
  </cellStyleXfs>
  <cellXfs count="206">
    <xf numFmtId="0" fontId="0" fillId="0" borderId="0" xfId="0"/>
    <xf numFmtId="2" fontId="5" fillId="5" borderId="1" xfId="0" applyNumberFormat="1" applyFont="1" applyFill="1" applyBorder="1" applyAlignment="1">
      <alignment wrapText="1"/>
    </xf>
    <xf numFmtId="164" fontId="6" fillId="5" borderId="0" xfId="0" applyNumberFormat="1" applyFont="1" applyFill="1" applyAlignment="1">
      <alignment wrapText="1"/>
    </xf>
    <xf numFmtId="165" fontId="10" fillId="5" borderId="1" xfId="3" applyNumberFormat="1" applyFont="1" applyFill="1" applyBorder="1"/>
    <xf numFmtId="2" fontId="10" fillId="5" borderId="1" xfId="3" applyNumberFormat="1" applyFont="1" applyFill="1" applyBorder="1"/>
    <xf numFmtId="2" fontId="11" fillId="5" borderId="1" xfId="0" applyNumberFormat="1" applyFont="1" applyFill="1" applyBorder="1" applyAlignment="1">
      <alignment wrapText="1"/>
    </xf>
    <xf numFmtId="165" fontId="12" fillId="5" borderId="1" xfId="0" applyNumberFormat="1" applyFont="1" applyFill="1" applyBorder="1" applyAlignment="1">
      <alignment wrapText="1"/>
    </xf>
    <xf numFmtId="2" fontId="12" fillId="5" borderId="1" xfId="0" applyNumberFormat="1" applyFont="1" applyFill="1" applyBorder="1" applyAlignment="1">
      <alignment wrapText="1"/>
    </xf>
    <xf numFmtId="2" fontId="16" fillId="5" borderId="1" xfId="0" applyNumberFormat="1" applyFont="1" applyFill="1" applyBorder="1" applyAlignment="1">
      <alignment wrapText="1"/>
    </xf>
    <xf numFmtId="165" fontId="18" fillId="5" borderId="1" xfId="3" applyNumberFormat="1" applyFont="1" applyFill="1" applyBorder="1"/>
    <xf numFmtId="2" fontId="18" fillId="5" borderId="1" xfId="3" applyNumberFormat="1" applyFont="1" applyFill="1" applyBorder="1"/>
    <xf numFmtId="2" fontId="17" fillId="10" borderId="0" xfId="0" applyNumberFormat="1" applyFont="1" applyFill="1"/>
    <xf numFmtId="2" fontId="0" fillId="0" borderId="0" xfId="0" applyNumberFormat="1"/>
    <xf numFmtId="0" fontId="0" fillId="13" borderId="0" xfId="0" applyFill="1"/>
    <xf numFmtId="2" fontId="17" fillId="13" borderId="0" xfId="0" applyNumberFormat="1" applyFont="1" applyFill="1"/>
    <xf numFmtId="0" fontId="17" fillId="14" borderId="0" xfId="0" applyFont="1" applyFill="1"/>
    <xf numFmtId="2" fontId="17" fillId="14" borderId="0" xfId="0" applyNumberFormat="1" applyFont="1" applyFill="1"/>
    <xf numFmtId="2" fontId="17" fillId="15" borderId="0" xfId="0" applyNumberFormat="1" applyFont="1" applyFill="1"/>
    <xf numFmtId="0" fontId="17" fillId="0" borderId="0" xfId="0" applyFont="1"/>
    <xf numFmtId="0" fontId="35" fillId="21" borderId="0" xfId="2" applyFont="1" applyFill="1"/>
    <xf numFmtId="2" fontId="36" fillId="0" borderId="0" xfId="0" applyNumberFormat="1" applyFont="1" applyAlignment="1">
      <alignment horizontal="center" wrapText="1"/>
    </xf>
    <xf numFmtId="165" fontId="37" fillId="0" borderId="0" xfId="0" applyNumberFormat="1" applyFont="1" applyAlignment="1">
      <alignment horizontal="center" wrapText="1"/>
    </xf>
    <xf numFmtId="165" fontId="19" fillId="0" borderId="0" xfId="0" applyNumberFormat="1" applyFont="1" applyAlignment="1">
      <alignment horizontal="center" wrapText="1"/>
    </xf>
    <xf numFmtId="166" fontId="19" fillId="0" borderId="0" xfId="0" applyNumberFormat="1" applyFont="1" applyAlignment="1">
      <alignment horizontal="center" wrapText="1"/>
    </xf>
    <xf numFmtId="165" fontId="36" fillId="0" borderId="0" xfId="0" applyNumberFormat="1" applyFont="1" applyAlignment="1">
      <alignment horizontal="center" wrapText="1"/>
    </xf>
    <xf numFmtId="165" fontId="32" fillId="0" borderId="0" xfId="0" applyNumberFormat="1" applyFont="1" applyAlignment="1">
      <alignment horizontal="center" wrapText="1"/>
    </xf>
    <xf numFmtId="1" fontId="32" fillId="0" borderId="0" xfId="0" applyNumberFormat="1" applyFont="1" applyAlignment="1">
      <alignment horizontal="center" wrapText="1"/>
    </xf>
    <xf numFmtId="2" fontId="32" fillId="0" borderId="0" xfId="0" applyNumberFormat="1" applyFont="1" applyAlignment="1">
      <alignment horizontal="center" wrapText="1"/>
    </xf>
    <xf numFmtId="0" fontId="22" fillId="22" borderId="0" xfId="0" applyFont="1" applyFill="1"/>
    <xf numFmtId="0" fontId="39" fillId="0" borderId="2" xfId="4" applyFont="1" applyBorder="1" applyAlignment="1">
      <alignment horizontal="center" vertical="top"/>
    </xf>
    <xf numFmtId="2" fontId="39" fillId="0" borderId="2" xfId="4" applyNumberFormat="1" applyFont="1" applyBorder="1" applyAlignment="1">
      <alignment horizontal="center" vertical="top"/>
    </xf>
    <xf numFmtId="0" fontId="39" fillId="6" borderId="2" xfId="4" applyFont="1" applyFill="1" applyBorder="1" applyAlignment="1">
      <alignment horizontal="center" vertical="top"/>
    </xf>
    <xf numFmtId="2" fontId="39" fillId="6" borderId="2" xfId="4" applyNumberFormat="1" applyFont="1" applyFill="1" applyBorder="1" applyAlignment="1">
      <alignment horizontal="center" vertical="top"/>
    </xf>
    <xf numFmtId="0" fontId="39" fillId="6" borderId="3" xfId="4" applyFont="1" applyFill="1" applyBorder="1" applyAlignment="1">
      <alignment horizontal="center" vertical="top"/>
    </xf>
    <xf numFmtId="2" fontId="39" fillId="6" borderId="3" xfId="4" applyNumberFormat="1" applyFont="1" applyFill="1" applyBorder="1" applyAlignment="1">
      <alignment horizontal="center" vertical="top"/>
    </xf>
    <xf numFmtId="0" fontId="17" fillId="13" borderId="0" xfId="0" applyFont="1" applyFill="1"/>
    <xf numFmtId="0" fontId="17" fillId="15" borderId="0" xfId="0" applyFont="1" applyFill="1"/>
    <xf numFmtId="0" fontId="40" fillId="22" borderId="0" xfId="0" applyFont="1" applyFill="1"/>
    <xf numFmtId="0" fontId="41" fillId="22" borderId="0" xfId="0" applyFont="1" applyFill="1"/>
    <xf numFmtId="0" fontId="0" fillId="22" borderId="0" xfId="0" applyFill="1"/>
    <xf numFmtId="0" fontId="32" fillId="22" borderId="0" xfId="0" applyFont="1" applyFill="1"/>
    <xf numFmtId="0" fontId="42" fillId="22" borderId="0" xfId="6" applyFont="1" applyFill="1"/>
    <xf numFmtId="0" fontId="22" fillId="22" borderId="0" xfId="6" applyFont="1" applyFill="1"/>
    <xf numFmtId="0" fontId="43" fillId="18" borderId="0" xfId="0" applyFont="1" applyFill="1" applyAlignment="1">
      <alignment horizontal="right"/>
    </xf>
    <xf numFmtId="0" fontId="41" fillId="18" borderId="0" xfId="0" applyFont="1" applyFill="1" applyAlignment="1">
      <alignment horizontal="right"/>
    </xf>
    <xf numFmtId="0" fontId="42" fillId="18" borderId="0" xfId="6" applyFont="1" applyFill="1" applyAlignment="1">
      <alignment horizontal="right"/>
    </xf>
    <xf numFmtId="0" fontId="43" fillId="11" borderId="0" xfId="0" applyFont="1" applyFill="1" applyAlignment="1">
      <alignment horizontal="right"/>
    </xf>
    <xf numFmtId="0" fontId="42" fillId="7" borderId="0" xfId="6" applyFont="1" applyFill="1" applyAlignment="1">
      <alignment horizontal="right"/>
    </xf>
    <xf numFmtId="0" fontId="0" fillId="11" borderId="0" xfId="0" applyFill="1"/>
    <xf numFmtId="1" fontId="0" fillId="11" borderId="0" xfId="0" applyNumberFormat="1" applyFill="1"/>
    <xf numFmtId="0" fontId="35" fillId="7" borderId="0" xfId="6" applyFont="1" applyFill="1"/>
    <xf numFmtId="2" fontId="14" fillId="0" borderId="0" xfId="2" applyNumberFormat="1" applyFont="1"/>
    <xf numFmtId="1" fontId="44" fillId="7" borderId="0" xfId="0" applyNumberFormat="1" applyFont="1" applyFill="1" applyAlignment="1">
      <alignment horizontal="right"/>
    </xf>
    <xf numFmtId="0" fontId="35" fillId="12" borderId="0" xfId="6" applyFont="1" applyFill="1"/>
    <xf numFmtId="0" fontId="0" fillId="0" borderId="4" xfId="0" applyBorder="1"/>
    <xf numFmtId="0" fontId="0" fillId="0" borderId="6" xfId="0" applyBorder="1"/>
    <xf numFmtId="0" fontId="35" fillId="12" borderId="6" xfId="6" applyFont="1" applyFill="1" applyBorder="1"/>
    <xf numFmtId="2" fontId="0" fillId="0" borderId="6" xfId="0" applyNumberFormat="1" applyBorder="1"/>
    <xf numFmtId="2" fontId="0" fillId="0" borderId="7" xfId="0" applyNumberFormat="1" applyBorder="1"/>
    <xf numFmtId="0" fontId="1" fillId="13" borderId="0" xfId="2" applyFill="1"/>
    <xf numFmtId="0" fontId="35" fillId="21" borderId="0" xfId="6" applyFont="1" applyFill="1"/>
    <xf numFmtId="0" fontId="0" fillId="0" borderId="2" xfId="0" applyBorder="1"/>
    <xf numFmtId="2" fontId="0" fillId="0" borderId="8" xfId="0" applyNumberFormat="1" applyBorder="1"/>
    <xf numFmtId="2" fontId="0" fillId="13" borderId="0" xfId="0" applyNumberFormat="1" applyFill="1"/>
    <xf numFmtId="0" fontId="35" fillId="23" borderId="0" xfId="2" applyFont="1" applyFill="1"/>
    <xf numFmtId="0" fontId="35" fillId="23" borderId="0" xfId="6" applyFont="1" applyFill="1"/>
    <xf numFmtId="0" fontId="0" fillId="13" borderId="2" xfId="0" applyFill="1" applyBorder="1"/>
    <xf numFmtId="0" fontId="7" fillId="13" borderId="0" xfId="0" applyFont="1" applyFill="1" applyAlignment="1">
      <alignment horizontal="center"/>
    </xf>
    <xf numFmtId="2" fontId="0" fillId="13" borderId="8" xfId="0" applyNumberFormat="1" applyFill="1" applyBorder="1"/>
    <xf numFmtId="0" fontId="35" fillId="24" borderId="0" xfId="6" applyFont="1" applyFill="1"/>
    <xf numFmtId="0" fontId="35" fillId="24" borderId="0" xfId="6" applyFont="1" applyFill="1" applyBorder="1"/>
    <xf numFmtId="0" fontId="35" fillId="25" borderId="0" xfId="6" applyFont="1" applyFill="1"/>
    <xf numFmtId="0" fontId="35" fillId="25" borderId="0" xfId="6" applyFont="1" applyFill="1" applyBorder="1"/>
    <xf numFmtId="0" fontId="35" fillId="26" borderId="0" xfId="6" applyFont="1" applyFill="1"/>
    <xf numFmtId="0" fontId="0" fillId="13" borderId="3" xfId="0" applyFill="1" applyBorder="1"/>
    <xf numFmtId="0" fontId="0" fillId="13" borderId="9" xfId="0" applyFill="1" applyBorder="1"/>
    <xf numFmtId="0" fontId="35" fillId="26" borderId="9" xfId="6" applyFont="1" applyFill="1" applyBorder="1"/>
    <xf numFmtId="2" fontId="0" fillId="13" borderId="9" xfId="0" applyNumberFormat="1" applyFill="1" applyBorder="1"/>
    <xf numFmtId="2" fontId="0" fillId="13" borderId="10" xfId="0" applyNumberFormat="1" applyFill="1" applyBorder="1"/>
    <xf numFmtId="0" fontId="32" fillId="0" borderId="0" xfId="0" applyFont="1"/>
    <xf numFmtId="2" fontId="45" fillId="0" borderId="0" xfId="0" applyNumberFormat="1" applyFont="1"/>
    <xf numFmtId="0" fontId="37" fillId="0" borderId="0" xfId="0" applyFont="1"/>
    <xf numFmtId="0" fontId="32" fillId="13" borderId="0" xfId="0" applyFont="1" applyFill="1"/>
    <xf numFmtId="0" fontId="46" fillId="25" borderId="0" xfId="0" applyFont="1" applyFill="1"/>
    <xf numFmtId="0" fontId="0" fillId="25" borderId="0" xfId="0" applyFill="1"/>
    <xf numFmtId="0" fontId="47" fillId="25" borderId="0" xfId="0" applyFont="1" applyFill="1"/>
    <xf numFmtId="0" fontId="32" fillId="25" borderId="0" xfId="0" applyFont="1" applyFill="1"/>
    <xf numFmtId="0" fontId="32" fillId="25" borderId="0" xfId="0" applyFont="1" applyFill="1" applyAlignment="1">
      <alignment horizontal="right"/>
    </xf>
    <xf numFmtId="0" fontId="32" fillId="25" borderId="0" xfId="0" applyFont="1" applyFill="1" applyAlignment="1">
      <alignment horizontal="left"/>
    </xf>
    <xf numFmtId="0" fontId="0" fillId="25" borderId="0" xfId="0" applyFill="1" applyAlignment="1">
      <alignment horizontal="right"/>
    </xf>
    <xf numFmtId="167" fontId="0" fillId="25" borderId="0" xfId="0" applyNumberFormat="1" applyFill="1" applyAlignment="1">
      <alignment horizontal="right"/>
    </xf>
    <xf numFmtId="167" fontId="32" fillId="25" borderId="0" xfId="0" applyNumberFormat="1" applyFont="1" applyFill="1" applyAlignment="1">
      <alignment horizontal="right"/>
    </xf>
    <xf numFmtId="0" fontId="48" fillId="7" borderId="0" xfId="6" applyFont="1" applyFill="1"/>
    <xf numFmtId="0" fontId="49" fillId="13" borderId="0" xfId="0" applyFont="1" applyFill="1"/>
    <xf numFmtId="0" fontId="50" fillId="0" borderId="0" xfId="0" applyFont="1"/>
    <xf numFmtId="2" fontId="51" fillId="5" borderId="1" xfId="0" applyNumberFormat="1" applyFont="1" applyFill="1" applyBorder="1" applyAlignment="1">
      <alignment wrapText="1"/>
    </xf>
    <xf numFmtId="2" fontId="49" fillId="5" borderId="1" xfId="0" applyNumberFormat="1" applyFont="1" applyFill="1" applyBorder="1" applyAlignment="1">
      <alignment wrapText="1"/>
    </xf>
    <xf numFmtId="0" fontId="53" fillId="27" borderId="0" xfId="0" applyFont="1" applyFill="1"/>
    <xf numFmtId="2" fontId="53" fillId="27" borderId="0" xfId="0" applyNumberFormat="1" applyFont="1" applyFill="1"/>
    <xf numFmtId="2" fontId="14" fillId="27" borderId="0" xfId="0" applyNumberFormat="1" applyFont="1" applyFill="1"/>
    <xf numFmtId="0" fontId="14" fillId="28" borderId="0" xfId="0" applyFont="1" applyFill="1"/>
    <xf numFmtId="0" fontId="52" fillId="28" borderId="0" xfId="0" applyFont="1" applyFill="1"/>
    <xf numFmtId="2" fontId="58" fillId="5" borderId="1" xfId="0" applyNumberFormat="1" applyFont="1" applyFill="1" applyBorder="1" applyAlignment="1">
      <alignment wrapText="1"/>
    </xf>
    <xf numFmtId="166" fontId="59" fillId="0" borderId="0" xfId="0" applyNumberFormat="1" applyFont="1" applyAlignment="1">
      <alignment horizontal="center" wrapText="1"/>
    </xf>
    <xf numFmtId="0" fontId="14" fillId="0" borderId="0" xfId="0" applyFont="1"/>
    <xf numFmtId="0" fontId="22" fillId="18" borderId="0" xfId="0" applyFont="1" applyFill="1"/>
    <xf numFmtId="0" fontId="17" fillId="22" borderId="0" xfId="0" applyFont="1" applyFill="1"/>
    <xf numFmtId="0" fontId="17" fillId="21" borderId="0" xfId="2" applyFont="1" applyFill="1"/>
    <xf numFmtId="2" fontId="15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165" fontId="12" fillId="0" borderId="0" xfId="0" applyNumberFormat="1" applyFont="1" applyAlignment="1">
      <alignment horizontal="center" wrapText="1"/>
    </xf>
    <xf numFmtId="166" fontId="12" fillId="0" borderId="0" xfId="0" applyNumberFormat="1" applyFont="1" applyAlignment="1">
      <alignment horizontal="center" wrapText="1"/>
    </xf>
    <xf numFmtId="165" fontId="15" fillId="0" borderId="0" xfId="0" applyNumberFormat="1" applyFont="1" applyAlignment="1">
      <alignment horizontal="center" wrapText="1"/>
    </xf>
    <xf numFmtId="1" fontId="15" fillId="0" borderId="0" xfId="0" applyNumberFormat="1" applyFont="1" applyAlignment="1">
      <alignment horizontal="center" wrapText="1"/>
    </xf>
    <xf numFmtId="2" fontId="39" fillId="18" borderId="2" xfId="4" applyNumberFormat="1" applyFont="1" applyFill="1" applyBorder="1" applyAlignment="1">
      <alignment horizontal="center" vertical="top"/>
    </xf>
    <xf numFmtId="0" fontId="39" fillId="0" borderId="3" xfId="4" applyFont="1" applyBorder="1" applyAlignment="1">
      <alignment horizontal="center" vertical="top"/>
    </xf>
    <xf numFmtId="2" fontId="39" fillId="0" borderId="3" xfId="4" applyNumberFormat="1" applyFont="1" applyBorder="1" applyAlignment="1">
      <alignment horizontal="center" vertical="top"/>
    </xf>
    <xf numFmtId="168" fontId="7" fillId="8" borderId="5" xfId="4" applyNumberFormat="1" applyFill="1" applyBorder="1" applyAlignment="1">
      <alignment horizontal="center" wrapText="1"/>
    </xf>
    <xf numFmtId="168" fontId="7" fillId="8" borderId="6" xfId="4" applyNumberFormat="1" applyFill="1" applyBorder="1" applyAlignment="1">
      <alignment horizontal="center" wrapText="1"/>
    </xf>
    <xf numFmtId="168" fontId="7" fillId="8" borderId="4" xfId="4" applyNumberFormat="1" applyFill="1" applyBorder="1" applyAlignment="1">
      <alignment horizontal="center" wrapText="1"/>
    </xf>
    <xf numFmtId="168" fontId="14" fillId="11" borderId="0" xfId="0" applyNumberFormat="1" applyFont="1" applyFill="1"/>
    <xf numFmtId="168" fontId="15" fillId="9" borderId="0" xfId="0" applyNumberFormat="1" applyFont="1" applyFill="1" applyAlignment="1">
      <alignment horizontal="center" vertical="top" wrapText="1"/>
    </xf>
    <xf numFmtId="168" fontId="12" fillId="7" borderId="1" xfId="0" applyNumberFormat="1" applyFont="1" applyFill="1" applyBorder="1" applyAlignment="1">
      <alignment horizontal="center" vertical="top" wrapText="1"/>
    </xf>
    <xf numFmtId="168" fontId="8" fillId="4" borderId="1" xfId="1" applyNumberFormat="1" applyFont="1" applyFill="1" applyBorder="1" applyAlignment="1">
      <alignment horizontal="center" vertical="top" wrapText="1"/>
    </xf>
    <xf numFmtId="168" fontId="9" fillId="4" borderId="1" xfId="1" applyNumberFormat="1" applyFont="1" applyFill="1" applyBorder="1" applyAlignment="1">
      <alignment horizontal="center" vertical="top" wrapText="1"/>
    </xf>
    <xf numFmtId="168" fontId="3" fillId="4" borderId="1" xfId="1" applyNumberFormat="1" applyFont="1" applyFill="1" applyBorder="1" applyAlignment="1">
      <alignment vertical="top" wrapText="1"/>
    </xf>
    <xf numFmtId="168" fontId="4" fillId="4" borderId="1" xfId="1" applyNumberFormat="1" applyFont="1" applyFill="1" applyBorder="1" applyAlignment="1">
      <alignment horizontal="center" vertical="top" wrapText="1"/>
    </xf>
    <xf numFmtId="168" fontId="24" fillId="10" borderId="0" xfId="1" applyNumberFormat="1" applyFont="1" applyFill="1" applyBorder="1" applyAlignment="1">
      <alignment horizontal="center" vertical="center" wrapText="1"/>
    </xf>
    <xf numFmtId="168" fontId="19" fillId="10" borderId="0" xfId="1" applyNumberFormat="1" applyFont="1" applyFill="1" applyBorder="1" applyAlignment="1">
      <alignment horizontal="center" vertical="center" wrapText="1"/>
    </xf>
    <xf numFmtId="168" fontId="27" fillId="19" borderId="0" xfId="7" applyNumberFormat="1" applyFont="1" applyFill="1" applyBorder="1" applyAlignment="1">
      <alignment horizontal="center" vertical="center" wrapText="1"/>
    </xf>
    <xf numFmtId="168" fontId="28" fillId="19" borderId="0" xfId="7" applyNumberFormat="1" applyFont="1" applyFill="1" applyBorder="1" applyAlignment="1">
      <alignment horizontal="center" vertical="center" wrapText="1"/>
    </xf>
    <xf numFmtId="168" fontId="19" fillId="14" borderId="0" xfId="0" applyNumberFormat="1" applyFont="1" applyFill="1" applyAlignment="1">
      <alignment horizontal="center" vertical="center" wrapText="1"/>
    </xf>
    <xf numFmtId="168" fontId="19" fillId="3" borderId="0" xfId="1" applyNumberFormat="1" applyFont="1" applyBorder="1" applyAlignment="1">
      <alignment horizontal="center" vertical="center" wrapText="1"/>
    </xf>
    <xf numFmtId="168" fontId="19" fillId="20" borderId="0" xfId="7" applyNumberFormat="1" applyFont="1" applyFill="1" applyBorder="1" applyAlignment="1">
      <alignment horizontal="center" vertical="center" wrapText="1"/>
    </xf>
    <xf numFmtId="168" fontId="31" fillId="10" borderId="0" xfId="1" applyNumberFormat="1" applyFont="1" applyFill="1" applyBorder="1" applyAlignment="1">
      <alignment horizontal="center" vertical="center" wrapText="1"/>
    </xf>
    <xf numFmtId="168" fontId="32" fillId="10" borderId="0" xfId="1" applyNumberFormat="1" applyFont="1" applyFill="1" applyBorder="1" applyAlignment="1">
      <alignment horizontal="center" vertical="center" wrapText="1"/>
    </xf>
    <xf numFmtId="168" fontId="33" fillId="19" borderId="0" xfId="7" applyNumberFormat="1" applyFont="1" applyFill="1" applyBorder="1" applyAlignment="1">
      <alignment horizontal="center" vertical="center" wrapText="1"/>
    </xf>
    <xf numFmtId="168" fontId="34" fillId="19" borderId="0" xfId="7" applyNumberFormat="1" applyFont="1" applyFill="1" applyBorder="1" applyAlignment="1">
      <alignment horizontal="center" vertical="center" wrapText="1"/>
    </xf>
    <xf numFmtId="168" fontId="32" fillId="14" borderId="0" xfId="0" applyNumberFormat="1" applyFont="1" applyFill="1" applyAlignment="1">
      <alignment horizontal="center" vertical="center" wrapText="1"/>
    </xf>
    <xf numFmtId="168" fontId="32" fillId="3" borderId="0" xfId="1" applyNumberFormat="1" applyFont="1" applyBorder="1" applyAlignment="1">
      <alignment horizontal="center" vertical="center" wrapText="1"/>
    </xf>
    <xf numFmtId="168" fontId="32" fillId="20" borderId="0" xfId="7" applyNumberFormat="1" applyFont="1" applyFill="1" applyBorder="1" applyAlignment="1">
      <alignment horizontal="center" vertical="center" wrapText="1"/>
    </xf>
    <xf numFmtId="168" fontId="13" fillId="0" borderId="2" xfId="4" applyNumberFormat="1" applyFont="1" applyBorder="1" applyAlignment="1">
      <alignment horizontal="center" vertical="top"/>
    </xf>
    <xf numFmtId="168" fontId="0" fillId="0" borderId="0" xfId="0" applyNumberFormat="1"/>
    <xf numFmtId="168" fontId="17" fillId="13" borderId="0" xfId="0" applyNumberFormat="1" applyFont="1" applyFill="1"/>
    <xf numFmtId="168" fontId="6" fillId="5" borderId="0" xfId="0" applyNumberFormat="1" applyFont="1" applyFill="1" applyAlignment="1">
      <alignment wrapText="1"/>
    </xf>
    <xf numFmtId="168" fontId="12" fillId="5" borderId="1" xfId="0" applyNumberFormat="1" applyFont="1" applyFill="1" applyBorder="1" applyAlignment="1">
      <alignment wrapText="1"/>
    </xf>
    <xf numFmtId="168" fontId="10" fillId="5" borderId="1" xfId="3" applyNumberFormat="1" applyFont="1" applyFill="1" applyBorder="1"/>
    <xf numFmtId="168" fontId="11" fillId="5" borderId="1" xfId="0" applyNumberFormat="1" applyFont="1" applyFill="1" applyBorder="1" applyAlignment="1">
      <alignment wrapText="1"/>
    </xf>
    <xf numFmtId="168" fontId="5" fillId="5" borderId="1" xfId="0" applyNumberFormat="1" applyFont="1" applyFill="1" applyBorder="1" applyAlignment="1">
      <alignment wrapText="1"/>
    </xf>
    <xf numFmtId="168" fontId="35" fillId="21" borderId="0" xfId="2" applyNumberFormat="1" applyFont="1" applyFill="1"/>
    <xf numFmtId="168" fontId="36" fillId="0" borderId="0" xfId="0" applyNumberFormat="1" applyFont="1" applyAlignment="1">
      <alignment horizontal="center" wrapText="1"/>
    </xf>
    <xf numFmtId="168" fontId="37" fillId="0" borderId="0" xfId="0" applyNumberFormat="1" applyFont="1" applyAlignment="1">
      <alignment horizontal="center" wrapText="1"/>
    </xf>
    <xf numFmtId="168" fontId="19" fillId="0" borderId="0" xfId="0" applyNumberFormat="1" applyFont="1" applyAlignment="1">
      <alignment horizontal="center" wrapText="1"/>
    </xf>
    <xf numFmtId="168" fontId="59" fillId="0" borderId="0" xfId="0" applyNumberFormat="1" applyFont="1" applyAlignment="1">
      <alignment horizontal="center" wrapText="1"/>
    </xf>
    <xf numFmtId="168" fontId="32" fillId="0" borderId="0" xfId="0" applyNumberFormat="1" applyFont="1" applyAlignment="1">
      <alignment horizontal="center" wrapText="1"/>
    </xf>
    <xf numFmtId="168" fontId="13" fillId="6" borderId="2" xfId="4" applyNumberFormat="1" applyFont="1" applyFill="1" applyBorder="1" applyAlignment="1">
      <alignment horizontal="center" vertical="top"/>
    </xf>
    <xf numFmtId="168" fontId="13" fillId="6" borderId="3" xfId="4" applyNumberFormat="1" applyFont="1" applyFill="1" applyBorder="1" applyAlignment="1">
      <alignment horizontal="center" vertical="top"/>
    </xf>
    <xf numFmtId="168" fontId="13" fillId="18" borderId="2" xfId="4" applyNumberFormat="1" applyFont="1" applyFill="1" applyBorder="1" applyAlignment="1">
      <alignment horizontal="center" vertical="top"/>
    </xf>
    <xf numFmtId="168" fontId="17" fillId="15" borderId="0" xfId="0" applyNumberFormat="1" applyFont="1" applyFill="1"/>
    <xf numFmtId="168" fontId="13" fillId="0" borderId="3" xfId="4" applyNumberFormat="1" applyFont="1" applyBorder="1" applyAlignment="1">
      <alignment horizontal="center" vertical="top"/>
    </xf>
    <xf numFmtId="168" fontId="17" fillId="14" borderId="0" xfId="0" applyNumberFormat="1" applyFont="1" applyFill="1"/>
    <xf numFmtId="168" fontId="60" fillId="18" borderId="2" xfId="4" applyNumberFormat="1" applyFont="1" applyFill="1" applyBorder="1" applyAlignment="1">
      <alignment horizontal="center" vertical="top"/>
    </xf>
    <xf numFmtId="168" fontId="22" fillId="18" borderId="0" xfId="0" applyNumberFormat="1" applyFont="1" applyFill="1"/>
    <xf numFmtId="168" fontId="41" fillId="18" borderId="0" xfId="0" applyNumberFormat="1" applyFont="1" applyFill="1" applyAlignment="1">
      <alignment wrapText="1"/>
    </xf>
    <xf numFmtId="168" fontId="61" fillId="18" borderId="1" xfId="0" applyNumberFormat="1" applyFont="1" applyFill="1" applyBorder="1" applyAlignment="1">
      <alignment wrapText="1"/>
    </xf>
    <xf numFmtId="168" fontId="62" fillId="18" borderId="1" xfId="3" applyNumberFormat="1" applyFont="1" applyFill="1" applyBorder="1"/>
    <xf numFmtId="168" fontId="63" fillId="18" borderId="1" xfId="0" applyNumberFormat="1" applyFont="1" applyFill="1" applyBorder="1" applyAlignment="1">
      <alignment wrapText="1"/>
    </xf>
    <xf numFmtId="168" fontId="22" fillId="18" borderId="0" xfId="2" applyNumberFormat="1" applyFont="1" applyFill="1"/>
    <xf numFmtId="168" fontId="43" fillId="18" borderId="0" xfId="0" applyNumberFormat="1" applyFont="1" applyFill="1" applyAlignment="1">
      <alignment horizontal="center" wrapText="1"/>
    </xf>
    <xf numFmtId="168" fontId="41" fillId="18" borderId="0" xfId="0" applyNumberFormat="1" applyFont="1" applyFill="1" applyAlignment="1">
      <alignment horizontal="center" wrapText="1"/>
    </xf>
    <xf numFmtId="168" fontId="61" fillId="18" borderId="0" xfId="0" applyNumberFormat="1" applyFont="1" applyFill="1" applyAlignment="1">
      <alignment horizontal="center" wrapText="1"/>
    </xf>
    <xf numFmtId="174" fontId="0" fillId="0" borderId="0" xfId="0" applyNumberFormat="1"/>
    <xf numFmtId="174" fontId="8" fillId="4" borderId="1" xfId="1" applyNumberFormat="1" applyFont="1" applyFill="1" applyBorder="1" applyAlignment="1">
      <alignment horizontal="center" vertical="top" wrapText="1"/>
    </xf>
    <xf numFmtId="174" fontId="9" fillId="4" borderId="1" xfId="1" applyNumberFormat="1" applyFont="1" applyFill="1" applyBorder="1" applyAlignment="1">
      <alignment horizontal="center" vertical="top" wrapText="1"/>
    </xf>
    <xf numFmtId="174" fontId="3" fillId="4" borderId="1" xfId="1" applyNumberFormat="1" applyFont="1" applyFill="1" applyBorder="1" applyAlignment="1">
      <alignment vertical="top" wrapText="1"/>
    </xf>
    <xf numFmtId="174" fontId="4" fillId="4" borderId="1" xfId="1" applyNumberFormat="1" applyFont="1" applyFill="1" applyBorder="1" applyAlignment="1">
      <alignment horizontal="center" vertical="top" wrapText="1"/>
    </xf>
    <xf numFmtId="174" fontId="54" fillId="10" borderId="0" xfId="1" applyNumberFormat="1" applyFont="1" applyFill="1" applyBorder="1" applyAlignment="1">
      <alignment horizontal="center" vertical="center" wrapText="1"/>
    </xf>
    <xf numFmtId="174" fontId="55" fillId="10" borderId="0" xfId="1" applyNumberFormat="1" applyFont="1" applyFill="1" applyBorder="1" applyAlignment="1">
      <alignment horizontal="center" vertical="center" wrapText="1"/>
    </xf>
    <xf numFmtId="174" fontId="56" fillId="19" borderId="0" xfId="7" applyNumberFormat="1" applyFont="1" applyFill="1" applyBorder="1" applyAlignment="1">
      <alignment horizontal="center" vertical="center" wrapText="1"/>
    </xf>
    <xf numFmtId="174" fontId="57" fillId="19" borderId="0" xfId="7" applyNumberFormat="1" applyFont="1" applyFill="1" applyBorder="1" applyAlignment="1">
      <alignment horizontal="center" vertical="center" wrapText="1"/>
    </xf>
    <xf numFmtId="174" fontId="55" fillId="14" borderId="0" xfId="0" applyNumberFormat="1" applyFont="1" applyFill="1" applyAlignment="1">
      <alignment horizontal="center" vertical="center" wrapText="1"/>
    </xf>
    <xf numFmtId="174" fontId="55" fillId="3" borderId="0" xfId="1" applyNumberFormat="1" applyFont="1" applyBorder="1" applyAlignment="1">
      <alignment horizontal="center" vertical="center" wrapText="1"/>
    </xf>
    <xf numFmtId="174" fontId="55" fillId="20" borderId="0" xfId="7" applyNumberFormat="1" applyFont="1" applyFill="1" applyBorder="1" applyAlignment="1">
      <alignment horizontal="center" vertical="center" wrapText="1"/>
    </xf>
    <xf numFmtId="174" fontId="65" fillId="10" borderId="0" xfId="1" applyNumberFormat="1" applyFont="1" applyFill="1" applyBorder="1" applyAlignment="1">
      <alignment horizontal="center" vertical="center" wrapText="1"/>
    </xf>
    <xf numFmtId="174" fontId="49" fillId="10" borderId="0" xfId="1" applyNumberFormat="1" applyFont="1" applyFill="1" applyBorder="1" applyAlignment="1">
      <alignment horizontal="center" vertical="center" wrapText="1"/>
    </xf>
    <xf numFmtId="174" fontId="66" fillId="19" borderId="0" xfId="7" applyNumberFormat="1" applyFont="1" applyFill="1" applyBorder="1" applyAlignment="1">
      <alignment horizontal="center" vertical="center" wrapText="1"/>
    </xf>
    <xf numFmtId="174" fontId="67" fillId="19" borderId="0" xfId="7" applyNumberFormat="1" applyFont="1" applyFill="1" applyBorder="1" applyAlignment="1">
      <alignment horizontal="center" vertical="center" wrapText="1"/>
    </xf>
    <xf numFmtId="174" fontId="49" fillId="14" borderId="0" xfId="0" applyNumberFormat="1" applyFont="1" applyFill="1" applyAlignment="1">
      <alignment horizontal="center" vertical="center" wrapText="1"/>
    </xf>
    <xf numFmtId="174" fontId="49" fillId="3" borderId="0" xfId="1" applyNumberFormat="1" applyFont="1" applyBorder="1" applyAlignment="1">
      <alignment horizontal="center" vertical="center" wrapText="1"/>
    </xf>
    <xf numFmtId="174" fontId="49" fillId="20" borderId="0" xfId="7" applyNumberFormat="1" applyFont="1" applyFill="1" applyBorder="1" applyAlignment="1">
      <alignment horizontal="center" vertical="center" wrapText="1"/>
    </xf>
    <xf numFmtId="174" fontId="14" fillId="0" borderId="0" xfId="0" applyNumberFormat="1" applyFont="1"/>
    <xf numFmtId="174" fontId="64" fillId="5" borderId="1" xfId="3" applyNumberFormat="1" applyFont="1" applyFill="1" applyBorder="1"/>
    <xf numFmtId="174" fontId="64" fillId="5" borderId="1" xfId="0" applyNumberFormat="1" applyFont="1" applyFill="1" applyBorder="1" applyAlignment="1">
      <alignment wrapText="1"/>
    </xf>
    <xf numFmtId="174" fontId="44" fillId="21" borderId="0" xfId="2" applyNumberFormat="1" applyFont="1" applyFill="1"/>
    <xf numFmtId="174" fontId="36" fillId="0" borderId="0" xfId="0" applyNumberFormat="1" applyFont="1" applyAlignment="1">
      <alignment horizontal="center" wrapText="1"/>
    </xf>
    <xf numFmtId="174" fontId="37" fillId="0" borderId="0" xfId="0" applyNumberFormat="1" applyFont="1" applyAlignment="1">
      <alignment horizontal="center" wrapText="1"/>
    </xf>
    <xf numFmtId="174" fontId="32" fillId="0" borderId="0" xfId="0" applyNumberFormat="1" applyFont="1" applyAlignment="1">
      <alignment horizontal="center" wrapText="1"/>
    </xf>
    <xf numFmtId="174" fontId="45" fillId="0" borderId="0" xfId="0" applyNumberFormat="1" applyFont="1" applyAlignment="1">
      <alignment horizontal="center" wrapText="1"/>
    </xf>
    <xf numFmtId="174" fontId="17" fillId="22" borderId="0" xfId="0" applyNumberFormat="1" applyFont="1" applyFill="1"/>
    <xf numFmtId="174" fontId="22" fillId="18" borderId="0" xfId="0" applyNumberFormat="1" applyFont="1" applyFill="1"/>
    <xf numFmtId="174" fontId="43" fillId="18" borderId="1" xfId="3" applyNumberFormat="1" applyFont="1" applyFill="1" applyBorder="1"/>
    <xf numFmtId="174" fontId="43" fillId="18" borderId="1" xfId="0" applyNumberFormat="1" applyFont="1" applyFill="1" applyBorder="1" applyAlignment="1">
      <alignment wrapText="1"/>
    </xf>
    <xf numFmtId="174" fontId="41" fillId="18" borderId="0" xfId="2" applyNumberFormat="1" applyFont="1" applyFill="1"/>
    <xf numFmtId="174" fontId="43" fillId="18" borderId="0" xfId="0" applyNumberFormat="1" applyFont="1" applyFill="1" applyAlignment="1">
      <alignment horizontal="center" wrapText="1"/>
    </xf>
    <xf numFmtId="174" fontId="41" fillId="18" borderId="0" xfId="0" applyNumberFormat="1" applyFont="1" applyFill="1" applyAlignment="1">
      <alignment horizontal="center" wrapText="1"/>
    </xf>
    <xf numFmtId="174" fontId="0" fillId="0" borderId="0" xfId="0" applyNumberFormat="1" applyAlignment="1">
      <alignment horizontal="right"/>
    </xf>
  </cellXfs>
  <cellStyles count="8">
    <cellStyle name="20% - Accent6" xfId="1" builtinId="50"/>
    <cellStyle name="Accent3" xfId="7" builtinId="37"/>
    <cellStyle name="Bad 2" xfId="3" xr:uid="{00000000-0005-0000-0000-000001000000}"/>
    <cellStyle name="Good" xfId="6" builtinId="26"/>
    <cellStyle name="Normal" xfId="0" builtinId="0"/>
    <cellStyle name="Normal 2" xfId="4" xr:uid="{00000000-0005-0000-0000-000003000000}"/>
    <cellStyle name="Normal 2 2" xfId="2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88"/>
  <sheetViews>
    <sheetView zoomScaleNormal="100" workbookViewId="0">
      <pane xSplit="8" ySplit="2" topLeftCell="AD3" activePane="bottomRight" state="frozen"/>
      <selection pane="topRight" activeCell="I1" sqref="I1"/>
      <selection pane="bottomLeft" activeCell="A3" sqref="A3"/>
      <selection pane="bottomRight" activeCell="AH4" sqref="AH4"/>
    </sheetView>
  </sheetViews>
  <sheetFormatPr defaultRowHeight="15" x14ac:dyDescent="0.25"/>
  <cols>
    <col min="1" max="1" width="7" bestFit="1" customWidth="1"/>
    <col min="2" max="2" width="4.5703125" bestFit="1" customWidth="1"/>
    <col min="3" max="3" width="3.140625" bestFit="1" customWidth="1"/>
    <col min="4" max="4" width="11.42578125" bestFit="1" customWidth="1"/>
    <col min="5" max="5" width="14.140625" bestFit="1" customWidth="1"/>
    <col min="6" max="6" width="5.5703125" bestFit="1" customWidth="1"/>
    <col min="7" max="7" width="11.7109375" bestFit="1" customWidth="1"/>
    <col min="8" max="8" width="7.85546875" bestFit="1" customWidth="1"/>
    <col min="9" max="9" width="18.5703125" bestFit="1" customWidth="1"/>
    <col min="10" max="10" width="5.7109375" customWidth="1"/>
    <col min="11" max="11" width="5.85546875" customWidth="1"/>
    <col min="12" max="12" width="5.140625" customWidth="1"/>
    <col min="13" max="13" width="10" bestFit="1" customWidth="1"/>
    <col min="14" max="14" width="5.5703125" customWidth="1"/>
    <col min="15" max="15" width="3.5703125" customWidth="1"/>
    <col min="16" max="16" width="4.85546875" customWidth="1"/>
    <col min="17" max="17" width="14.42578125" bestFit="1" customWidth="1"/>
    <col min="18" max="18" width="27" bestFit="1" customWidth="1"/>
    <col min="19" max="19" width="13.5703125" bestFit="1" customWidth="1"/>
    <col min="20" max="20" width="14.42578125" bestFit="1" customWidth="1"/>
    <col min="21" max="21" width="12.5703125" bestFit="1" customWidth="1"/>
    <col min="22" max="22" width="14.140625" bestFit="1" customWidth="1"/>
    <col min="23" max="24" width="15.28515625" bestFit="1" customWidth="1"/>
    <col min="25" max="25" width="15" bestFit="1" customWidth="1"/>
    <col min="26" max="26" width="15.28515625" bestFit="1" customWidth="1"/>
    <col min="27" max="27" width="17.7109375" bestFit="1" customWidth="1"/>
    <col min="28" max="31" width="15" bestFit="1" customWidth="1"/>
    <col min="32" max="32" width="24" bestFit="1" customWidth="1"/>
    <col min="33" max="33" width="19.5703125" bestFit="1" customWidth="1"/>
    <col min="34" max="34" width="24" bestFit="1" customWidth="1"/>
    <col min="35" max="36" width="25.7109375" bestFit="1" customWidth="1"/>
    <col min="37" max="37" width="27.85546875" bestFit="1" customWidth="1"/>
    <col min="38" max="38" width="27.28515625" bestFit="1" customWidth="1"/>
    <col min="39" max="39" width="15.28515625" bestFit="1" customWidth="1"/>
    <col min="40" max="40" width="18.85546875" bestFit="1" customWidth="1"/>
    <col min="41" max="41" width="15" bestFit="1" customWidth="1"/>
    <col min="42" max="42" width="25.140625" bestFit="1" customWidth="1"/>
    <col min="43" max="43" width="25.7109375" bestFit="1" customWidth="1"/>
    <col min="44" max="44" width="25.140625" bestFit="1" customWidth="1"/>
    <col min="45" max="45" width="28.42578125" bestFit="1" customWidth="1"/>
    <col min="46" max="46" width="15" bestFit="1" customWidth="1"/>
    <col min="47" max="47" width="18.5703125" bestFit="1" customWidth="1"/>
    <col min="48" max="48" width="16.5703125" bestFit="1" customWidth="1"/>
    <col min="49" max="49" width="17.42578125" bestFit="1" customWidth="1"/>
    <col min="50" max="50" width="18.85546875" bestFit="1" customWidth="1"/>
    <col min="51" max="51" width="18.5703125" bestFit="1" customWidth="1"/>
    <col min="52" max="52" width="19.7109375" bestFit="1" customWidth="1"/>
  </cols>
  <sheetData>
    <row r="1" spans="1:52" ht="34.5" x14ac:dyDescent="0.25">
      <c r="A1" t="s">
        <v>20</v>
      </c>
      <c r="B1" t="s">
        <v>21</v>
      </c>
      <c r="C1" t="s">
        <v>452</v>
      </c>
      <c r="D1" t="s">
        <v>22</v>
      </c>
      <c r="E1" t="s">
        <v>453</v>
      </c>
      <c r="F1" t="s">
        <v>23</v>
      </c>
      <c r="G1" t="s">
        <v>454</v>
      </c>
      <c r="H1" t="s">
        <v>455</v>
      </c>
      <c r="I1" t="s">
        <v>119</v>
      </c>
      <c r="Q1" s="117" t="s">
        <v>0</v>
      </c>
      <c r="R1" s="118" t="s">
        <v>1</v>
      </c>
      <c r="S1" s="117" t="s">
        <v>2</v>
      </c>
      <c r="T1" s="119" t="s">
        <v>3</v>
      </c>
      <c r="U1" s="117" t="s">
        <v>2</v>
      </c>
      <c r="V1" s="119" t="s">
        <v>4</v>
      </c>
      <c r="W1" s="120" t="s">
        <v>19</v>
      </c>
      <c r="X1" s="121" t="s">
        <v>5</v>
      </c>
      <c r="Y1" s="121" t="s">
        <v>6</v>
      </c>
      <c r="Z1" s="121" t="s">
        <v>5</v>
      </c>
      <c r="AA1" s="121" t="s">
        <v>7</v>
      </c>
      <c r="AB1" s="121" t="s">
        <v>8</v>
      </c>
      <c r="AC1" s="121" t="s">
        <v>9</v>
      </c>
      <c r="AD1" s="121" t="s">
        <v>10</v>
      </c>
      <c r="AE1" s="121" t="s">
        <v>11</v>
      </c>
      <c r="AF1" s="122" t="s">
        <v>12</v>
      </c>
      <c r="AG1" s="122" t="s">
        <v>13</v>
      </c>
      <c r="AH1" s="123" t="s">
        <v>14</v>
      </c>
      <c r="AI1" s="124" t="s">
        <v>15</v>
      </c>
      <c r="AJ1" s="124" t="s">
        <v>16</v>
      </c>
      <c r="AK1" s="125" t="s">
        <v>17</v>
      </c>
      <c r="AL1" s="126" t="s">
        <v>18</v>
      </c>
      <c r="AM1" s="127" t="s">
        <v>129</v>
      </c>
      <c r="AN1" s="128" t="s">
        <v>130</v>
      </c>
      <c r="AO1" s="127" t="s">
        <v>131</v>
      </c>
      <c r="AP1" s="129" t="s">
        <v>132</v>
      </c>
      <c r="AQ1" s="129" t="s">
        <v>133</v>
      </c>
      <c r="AR1" s="130" t="s">
        <v>134</v>
      </c>
      <c r="AS1" s="130" t="s">
        <v>135</v>
      </c>
      <c r="AT1" s="131" t="s">
        <v>136</v>
      </c>
      <c r="AU1" s="132" t="s">
        <v>137</v>
      </c>
      <c r="AV1" s="131" t="s">
        <v>138</v>
      </c>
      <c r="AW1" s="133" t="s">
        <v>132</v>
      </c>
      <c r="AX1" s="133" t="s">
        <v>139</v>
      </c>
      <c r="AY1" s="133" t="s">
        <v>140</v>
      </c>
      <c r="AZ1" s="133" t="s">
        <v>141</v>
      </c>
    </row>
    <row r="2" spans="1:52" ht="15.75" x14ac:dyDescent="0.25">
      <c r="A2" t="s">
        <v>20</v>
      </c>
      <c r="B2" t="s">
        <v>21</v>
      </c>
      <c r="C2" t="s">
        <v>452</v>
      </c>
      <c r="D2" t="s">
        <v>22</v>
      </c>
      <c r="E2" t="s">
        <v>453</v>
      </c>
      <c r="F2" t="s">
        <v>23</v>
      </c>
      <c r="G2" t="s">
        <v>454</v>
      </c>
      <c r="H2" t="s">
        <v>455</v>
      </c>
      <c r="I2" t="s">
        <v>119</v>
      </c>
      <c r="Q2" s="117" t="s">
        <v>0</v>
      </c>
      <c r="R2" s="118" t="s">
        <v>1</v>
      </c>
      <c r="S2" s="117" t="s">
        <v>2</v>
      </c>
      <c r="T2" s="119" t="s">
        <v>3</v>
      </c>
      <c r="U2" s="117" t="s">
        <v>2</v>
      </c>
      <c r="V2" s="119" t="s">
        <v>4</v>
      </c>
      <c r="W2" s="120"/>
      <c r="X2" s="121"/>
      <c r="Y2" s="121"/>
      <c r="Z2" s="121"/>
      <c r="AA2" s="121"/>
      <c r="AB2" s="121"/>
      <c r="AC2" s="121"/>
      <c r="AD2" s="121"/>
      <c r="AE2" s="121"/>
      <c r="AF2" s="122"/>
      <c r="AG2" s="122"/>
      <c r="AH2" s="123"/>
      <c r="AI2" s="124"/>
      <c r="AJ2" s="124"/>
      <c r="AK2" s="125"/>
      <c r="AL2" s="126"/>
      <c r="AM2" s="134" t="s">
        <v>142</v>
      </c>
      <c r="AN2" s="135" t="s">
        <v>143</v>
      </c>
      <c r="AO2" s="134" t="s">
        <v>144</v>
      </c>
      <c r="AP2" s="136" t="s">
        <v>145</v>
      </c>
      <c r="AQ2" s="137" t="s">
        <v>146</v>
      </c>
      <c r="AR2" s="137" t="s">
        <v>147</v>
      </c>
      <c r="AS2" s="137" t="s">
        <v>148</v>
      </c>
      <c r="AT2" s="138" t="s">
        <v>142</v>
      </c>
      <c r="AU2" s="139" t="s">
        <v>143</v>
      </c>
      <c r="AV2" s="138" t="s">
        <v>149</v>
      </c>
      <c r="AW2" s="140" t="s">
        <v>145</v>
      </c>
      <c r="AX2" s="140" t="s">
        <v>150</v>
      </c>
      <c r="AY2" s="140" t="s">
        <v>147</v>
      </c>
      <c r="AZ2" s="140" t="s">
        <v>151</v>
      </c>
    </row>
    <row r="3" spans="1:52" ht="18" x14ac:dyDescent="0.25">
      <c r="A3" s="104">
        <v>1</v>
      </c>
      <c r="B3">
        <v>1</v>
      </c>
      <c r="C3" t="s">
        <v>456</v>
      </c>
      <c r="D3" t="s">
        <v>44</v>
      </c>
      <c r="E3" t="s">
        <v>457</v>
      </c>
      <c r="F3">
        <v>1</v>
      </c>
      <c r="G3" t="s">
        <v>25</v>
      </c>
      <c r="H3">
        <v>3.968</v>
      </c>
      <c r="Q3" s="141">
        <v>379</v>
      </c>
      <c r="R3" s="141" t="s">
        <v>192</v>
      </c>
      <c r="S3" s="141">
        <v>9.8215509999999995</v>
      </c>
      <c r="T3" s="141">
        <v>-2.3974322510829178</v>
      </c>
      <c r="U3" s="141">
        <v>5.6851200000000004</v>
      </c>
      <c r="V3" s="141">
        <v>-27.64499579900421</v>
      </c>
      <c r="W3" s="142">
        <v>3.968</v>
      </c>
      <c r="X3" s="143">
        <v>7.0035672500000006</v>
      </c>
      <c r="Y3" s="143">
        <v>1.9166458325792195</v>
      </c>
      <c r="Z3" s="143">
        <v>4.5470909062499993</v>
      </c>
      <c r="AA3" s="143">
        <v>-25.930204084925705</v>
      </c>
      <c r="AB3" s="143">
        <v>2.7513749999999999</v>
      </c>
      <c r="AC3" s="143">
        <v>2.7513749999999999</v>
      </c>
      <c r="AD3" s="144">
        <f t="shared" ref="AD3" si="0">((2.82/100)*AB3)/X3</f>
        <v>1.1078465049364664E-2</v>
      </c>
      <c r="AE3" s="144">
        <f t="shared" ref="AE3" si="1">((46.01/100)*AC3)/Z3</f>
        <v>0.27839945661961657</v>
      </c>
      <c r="AF3" s="145">
        <f t="shared" ref="AF3" si="2">S3*AD3</f>
        <v>0.10880770948405256</v>
      </c>
      <c r="AG3" s="145">
        <f t="shared" ref="AG3" si="3">U3*AE3</f>
        <v>1.5827343188173146</v>
      </c>
      <c r="AH3" s="146">
        <f>100*AF3/W3</f>
        <v>2.7421297753037441</v>
      </c>
      <c r="AI3" s="146">
        <f t="shared" ref="AI3" si="4">100*AG3/W3</f>
        <v>39.887457631484743</v>
      </c>
      <c r="AJ3" s="147">
        <f t="shared" ref="AJ3" si="5">AG3/AF3</f>
        <v>14.546159700653275</v>
      </c>
      <c r="AK3" s="148">
        <f>T3+(1.98-Y3)</f>
        <v>-2.3340780836621375</v>
      </c>
      <c r="AL3" s="148">
        <f>V3+(-26.03-AA3)</f>
        <v>-27.744791714078506</v>
      </c>
      <c r="AM3" s="149">
        <v>0.36599999999999999</v>
      </c>
      <c r="AN3" s="150">
        <f t="shared" ref="AN3" si="6">T3+(1.98-Y3)</f>
        <v>-2.3340780836621375</v>
      </c>
      <c r="AO3" s="151">
        <f t="shared" ref="AO3" si="7">100*0.003676*(AN3/1000+1)/(1+0.003676*(AN3/1000+1))</f>
        <v>0.36540191064725636</v>
      </c>
      <c r="AP3" s="152">
        <f t="shared" ref="AP3" si="8">AO3-AM3</f>
        <v>-5.9808935274363595E-4</v>
      </c>
      <c r="AQ3" s="152">
        <f t="shared" ref="AQ3" si="9">(AH3%*W3)/W3*1000</f>
        <v>27.421297753037443</v>
      </c>
      <c r="AR3" s="153">
        <f t="shared" ref="AR3" si="10">(AQ3*AP3%)*1000</f>
        <v>-0.16400386224504684</v>
      </c>
      <c r="AS3" s="153">
        <f t="shared" ref="AS3" si="11">(((AF3*AP3%)/AF3)*1000)*1000</f>
        <v>-5.9808935274363595</v>
      </c>
      <c r="AT3" s="149">
        <v>1.077</v>
      </c>
      <c r="AU3" s="150">
        <f t="shared" ref="AU3" si="12">V3+(-26.03-AA3)</f>
        <v>-27.744791714078506</v>
      </c>
      <c r="AV3" s="150">
        <f t="shared" ref="AV3:AV67" si="13">100*0.011237*(AU3/1000+1)/(1+0.011237*(AU3/1000+1))</f>
        <v>1.0807161036351511</v>
      </c>
      <c r="AW3" s="154">
        <f t="shared" ref="AW3" si="14">AV3-AT3</f>
        <v>3.71610363515118E-3</v>
      </c>
      <c r="AX3" s="154">
        <f t="shared" ref="AX3" si="15">(AI3%*W3)/W3*1000</f>
        <v>398.87457631484739</v>
      </c>
      <c r="AY3" s="154">
        <f t="shared" ref="AY3" si="16">(AX3*AW3%)*1000</f>
        <v>14.822592630129911</v>
      </c>
      <c r="AZ3" s="154">
        <f t="shared" ref="AZ3" si="17">(((AG3*AW3%)/AG3)*1000)*1000</f>
        <v>37.161036351511797</v>
      </c>
    </row>
    <row r="4" spans="1:52" ht="18" x14ac:dyDescent="0.25">
      <c r="A4" s="104">
        <v>2</v>
      </c>
      <c r="B4">
        <v>1</v>
      </c>
      <c r="C4" t="s">
        <v>458</v>
      </c>
      <c r="D4" t="s">
        <v>36</v>
      </c>
      <c r="E4" t="s">
        <v>457</v>
      </c>
      <c r="F4">
        <v>1</v>
      </c>
      <c r="G4" t="s">
        <v>26</v>
      </c>
      <c r="H4">
        <v>3.6469999999999998</v>
      </c>
      <c r="Q4" s="155">
        <v>380</v>
      </c>
      <c r="R4" s="155" t="s">
        <v>193</v>
      </c>
      <c r="S4" s="155">
        <v>7.3362790000000002</v>
      </c>
      <c r="T4" s="155">
        <v>-1.8581914280498464</v>
      </c>
      <c r="U4" s="155">
        <v>5.1396110000000004</v>
      </c>
      <c r="V4" s="155">
        <v>-27.24294191670965</v>
      </c>
      <c r="W4" s="142">
        <v>3.6469999999999998</v>
      </c>
      <c r="X4" s="143">
        <v>7.0035672500000006</v>
      </c>
      <c r="Y4" s="143">
        <v>1.9166458325792195</v>
      </c>
      <c r="Z4" s="143">
        <v>4.5470909062499993</v>
      </c>
      <c r="AA4" s="143">
        <v>-25.930204084925705</v>
      </c>
      <c r="AB4" s="143">
        <v>2.7513749999999999</v>
      </c>
      <c r="AC4" s="143">
        <v>2.7513749999999999</v>
      </c>
      <c r="AD4" s="144">
        <f t="shared" ref="AD4:AD67" si="18">((2.82/100)*AB4)/X4</f>
        <v>1.1078465049364664E-2</v>
      </c>
      <c r="AE4" s="144">
        <f t="shared" ref="AE4:AE67" si="19">((46.01/100)*AC4)/Z4</f>
        <v>0.27839945661961657</v>
      </c>
      <c r="AF4" s="145">
        <f t="shared" ref="AF4:AF67" si="20">S4*AD4</f>
        <v>8.1274710493887958E-2</v>
      </c>
      <c r="AG4" s="145">
        <f t="shared" ref="AG4:AG67" si="21">U4*AE4</f>
        <v>1.4308649096362043</v>
      </c>
      <c r="AH4" s="146">
        <f t="shared" ref="AH4:AH67" si="22">100*AF4/W4</f>
        <v>2.2285360705754855</v>
      </c>
      <c r="AI4" s="146">
        <f t="shared" ref="AI4:AI67" si="23">100*AG4/W4</f>
        <v>39.234025490436096</v>
      </c>
      <c r="AJ4" s="147">
        <f t="shared" ref="AJ4:AJ67" si="24">AG4/AF4</f>
        <v>17.605290759464577</v>
      </c>
      <c r="AK4" s="148">
        <f t="shared" ref="AK4:AK66" si="25">T4+(1.98-Y4)</f>
        <v>-1.7948372606290659</v>
      </c>
      <c r="AL4" s="148">
        <f t="shared" ref="AL4:AL67" si="26">V4+(-26.03-AA4)</f>
        <v>-27.342737831783946</v>
      </c>
      <c r="AM4" s="149">
        <v>0.36599999999999999</v>
      </c>
      <c r="AN4" s="150">
        <f t="shared" ref="AN4:AN67" si="27">T4+(1.98-Y4)</f>
        <v>-1.7948372606290659</v>
      </c>
      <c r="AO4" s="151">
        <f t="shared" ref="AO4:AO67" si="28">100*0.003676*(AN4/1000+1)/(1+0.003676*(AN4/1000+1))</f>
        <v>0.36559868919649707</v>
      </c>
      <c r="AP4" s="152">
        <f t="shared" ref="AP4:AP67" si="29">AO4-AM4</f>
        <v>-4.0131080350291892E-4</v>
      </c>
      <c r="AQ4" s="152">
        <f t="shared" ref="AQ4:AQ67" si="30">(AH4%*W4)/W4*1000</f>
        <v>22.285360705754854</v>
      </c>
      <c r="AR4" s="153">
        <f t="shared" ref="AR4:AR67" si="31">(AQ4*AP4%)*1000</f>
        <v>-8.943356011178856E-2</v>
      </c>
      <c r="AS4" s="153">
        <f t="shared" ref="AS4:AS67" si="32">(((AF4*AP4%)/AF4)*1000)*1000</f>
        <v>-4.0131080350291892</v>
      </c>
      <c r="AT4" s="149">
        <v>1.077</v>
      </c>
      <c r="AU4" s="150">
        <f t="shared" ref="AU4:AU67" si="33">V4+(-26.03-AA4)</f>
        <v>-27.342737831783946</v>
      </c>
      <c r="AV4" s="150">
        <f t="shared" si="13"/>
        <v>1.081158177283279</v>
      </c>
      <c r="AW4" s="154">
        <f t="shared" ref="AW4:AW67" si="34">AV4-AT4</f>
        <v>4.158177283279052E-3</v>
      </c>
      <c r="AX4" s="154">
        <f t="shared" ref="AX4:AX67" si="35">(AI4%*W4)/W4*1000</f>
        <v>392.34025490436102</v>
      </c>
      <c r="AY4" s="154">
        <f t="shared" ref="AY4:AY67" si="36">(AX4*AW4%)*1000</f>
        <v>16.314203352592266</v>
      </c>
      <c r="AZ4" s="154">
        <f t="shared" ref="AZ4:AZ67" si="37">(((AG4*AW4%)/AG4)*1000)*1000</f>
        <v>41.58177283279052</v>
      </c>
    </row>
    <row r="5" spans="1:52" ht="18" x14ac:dyDescent="0.25">
      <c r="A5" s="104">
        <v>3</v>
      </c>
      <c r="B5">
        <v>1</v>
      </c>
      <c r="C5" t="s">
        <v>459</v>
      </c>
      <c r="D5" t="s">
        <v>28</v>
      </c>
      <c r="E5" t="s">
        <v>457</v>
      </c>
      <c r="F5">
        <v>1</v>
      </c>
      <c r="G5" t="s">
        <v>27</v>
      </c>
      <c r="H5">
        <v>3.4809999999999999</v>
      </c>
      <c r="Q5" s="141">
        <v>381</v>
      </c>
      <c r="R5" s="141" t="s">
        <v>194</v>
      </c>
      <c r="S5" s="141">
        <v>8.6612639999999992</v>
      </c>
      <c r="T5" s="141">
        <v>4.4369519278886244E-2</v>
      </c>
      <c r="U5" s="141">
        <v>4.8464274999999999</v>
      </c>
      <c r="V5" s="141">
        <v>-26.473115127521609</v>
      </c>
      <c r="W5" s="142">
        <v>3.4809999999999999</v>
      </c>
      <c r="X5" s="143">
        <v>7.0035672500000006</v>
      </c>
      <c r="Y5" s="143">
        <v>1.9166458325792195</v>
      </c>
      <c r="Z5" s="143">
        <v>4.5470909062499993</v>
      </c>
      <c r="AA5" s="143">
        <v>-25.930204084925705</v>
      </c>
      <c r="AB5" s="143">
        <v>2.7513749999999999</v>
      </c>
      <c r="AC5" s="143">
        <v>2.7513749999999999</v>
      </c>
      <c r="AD5" s="144">
        <f t="shared" si="18"/>
        <v>1.1078465049364664E-2</v>
      </c>
      <c r="AE5" s="144">
        <f t="shared" si="19"/>
        <v>0.27839945661961657</v>
      </c>
      <c r="AF5" s="145">
        <f t="shared" si="20"/>
        <v>9.5953510507320386E-2</v>
      </c>
      <c r="AG5" s="145">
        <f t="shared" si="21"/>
        <v>1.3492427825463666</v>
      </c>
      <c r="AH5" s="146">
        <f t="shared" si="22"/>
        <v>2.7564926890928003</v>
      </c>
      <c r="AI5" s="146">
        <f t="shared" si="23"/>
        <v>38.760206335718664</v>
      </c>
      <c r="AJ5" s="147">
        <f t="shared" si="24"/>
        <v>14.061421780325917</v>
      </c>
      <c r="AK5" s="148">
        <f t="shared" si="25"/>
        <v>0.10772368669966673</v>
      </c>
      <c r="AL5" s="148">
        <f t="shared" si="26"/>
        <v>-26.572911042595905</v>
      </c>
      <c r="AM5" s="149">
        <v>0.36599999999999999</v>
      </c>
      <c r="AN5" s="150">
        <f t="shared" si="27"/>
        <v>0.10772368669966673</v>
      </c>
      <c r="AO5" s="151">
        <f t="shared" si="28"/>
        <v>0.36629296125248462</v>
      </c>
      <c r="AP5" s="152">
        <f t="shared" si="29"/>
        <v>2.9296125248462479E-4</v>
      </c>
      <c r="AQ5" s="152">
        <f t="shared" si="30"/>
        <v>27.564926890928003</v>
      </c>
      <c r="AR5" s="153">
        <f t="shared" si="31"/>
        <v>8.0754555066133826E-2</v>
      </c>
      <c r="AS5" s="153">
        <f t="shared" si="32"/>
        <v>2.9296125248462479</v>
      </c>
      <c r="AT5" s="149">
        <v>1.077</v>
      </c>
      <c r="AU5" s="150">
        <f t="shared" si="33"/>
        <v>-26.572911042595905</v>
      </c>
      <c r="AV5" s="150">
        <f t="shared" si="13"/>
        <v>1.0820046203077591</v>
      </c>
      <c r="AW5" s="154">
        <f t="shared" si="34"/>
        <v>5.0046203077591667E-3</v>
      </c>
      <c r="AX5" s="154">
        <f t="shared" si="35"/>
        <v>387.60206335718669</v>
      </c>
      <c r="AY5" s="154">
        <f t="shared" si="36"/>
        <v>19.398011576067315</v>
      </c>
      <c r="AZ5" s="154">
        <f t="shared" si="37"/>
        <v>50.046203077591663</v>
      </c>
    </row>
    <row r="6" spans="1:52" ht="18" x14ac:dyDescent="0.25">
      <c r="A6" s="104">
        <v>4</v>
      </c>
      <c r="B6">
        <v>1</v>
      </c>
      <c r="C6" t="s">
        <v>460</v>
      </c>
      <c r="D6" t="s">
        <v>24</v>
      </c>
      <c r="E6" t="s">
        <v>457</v>
      </c>
      <c r="F6">
        <v>1</v>
      </c>
      <c r="G6" t="s">
        <v>29</v>
      </c>
      <c r="H6">
        <v>3.7749999999999999</v>
      </c>
      <c r="Q6" s="155">
        <v>382</v>
      </c>
      <c r="R6" s="155" t="s">
        <v>195</v>
      </c>
      <c r="S6" s="155">
        <v>6.0335979999999996</v>
      </c>
      <c r="T6" s="155">
        <v>9.2358432712136285E-2</v>
      </c>
      <c r="U6" s="155">
        <v>4.69679</v>
      </c>
      <c r="V6" s="155">
        <v>-26.761433501566209</v>
      </c>
      <c r="W6" s="142">
        <v>3.7749999999999999</v>
      </c>
      <c r="X6" s="143">
        <v>7.0035672500000006</v>
      </c>
      <c r="Y6" s="143">
        <v>1.9166458325792195</v>
      </c>
      <c r="Z6" s="143">
        <v>4.5470909062499993</v>
      </c>
      <c r="AA6" s="143">
        <v>-25.930204084925705</v>
      </c>
      <c r="AB6" s="143">
        <v>2.7513749999999999</v>
      </c>
      <c r="AC6" s="143">
        <v>2.7513749999999999</v>
      </c>
      <c r="AD6" s="144">
        <f t="shared" si="18"/>
        <v>1.1078465049364664E-2</v>
      </c>
      <c r="AE6" s="144">
        <f t="shared" si="19"/>
        <v>0.27839945661961657</v>
      </c>
      <c r="AF6" s="145">
        <f t="shared" si="20"/>
        <v>6.6843004564916542E-2</v>
      </c>
      <c r="AG6" s="145">
        <f t="shared" si="21"/>
        <v>1.307583783856449</v>
      </c>
      <c r="AH6" s="146">
        <f t="shared" si="22"/>
        <v>1.7706756176136831</v>
      </c>
      <c r="AI6" s="146">
        <f t="shared" si="23"/>
        <v>34.637981029309906</v>
      </c>
      <c r="AJ6" s="147">
        <f t="shared" si="24"/>
        <v>19.562013891618992</v>
      </c>
      <c r="AK6" s="148">
        <f t="shared" si="25"/>
        <v>0.15571260013291677</v>
      </c>
      <c r="AL6" s="148">
        <f t="shared" si="26"/>
        <v>-26.861229416640505</v>
      </c>
      <c r="AM6" s="149">
        <v>0.36599999999999999</v>
      </c>
      <c r="AN6" s="150">
        <f t="shared" si="27"/>
        <v>0.15571260013291677</v>
      </c>
      <c r="AO6" s="151">
        <f t="shared" si="28"/>
        <v>0.36631047297720642</v>
      </c>
      <c r="AP6" s="152">
        <f t="shared" si="29"/>
        <v>3.1047297720643297E-4</v>
      </c>
      <c r="AQ6" s="152">
        <f t="shared" si="30"/>
        <v>17.706756176136832</v>
      </c>
      <c r="AR6" s="153">
        <f t="shared" si="31"/>
        <v>5.4974693066735969E-2</v>
      </c>
      <c r="AS6" s="153">
        <f t="shared" si="32"/>
        <v>3.1047297720643297</v>
      </c>
      <c r="AT6" s="149">
        <v>1.077</v>
      </c>
      <c r="AU6" s="150">
        <f t="shared" si="33"/>
        <v>-26.861229416640505</v>
      </c>
      <c r="AV6" s="150">
        <f t="shared" si="13"/>
        <v>1.0816876090348428</v>
      </c>
      <c r="AW6" s="154">
        <f t="shared" si="34"/>
        <v>4.6876090348428878E-3</v>
      </c>
      <c r="AX6" s="154">
        <f t="shared" si="35"/>
        <v>346.37981029309907</v>
      </c>
      <c r="AY6" s="154">
        <f t="shared" si="36"/>
        <v>16.236931282170968</v>
      </c>
      <c r="AZ6" s="154">
        <f t="shared" si="37"/>
        <v>46.876090348428875</v>
      </c>
    </row>
    <row r="7" spans="1:52" ht="18" x14ac:dyDescent="0.25">
      <c r="A7" s="104">
        <v>5</v>
      </c>
      <c r="B7">
        <v>1</v>
      </c>
      <c r="C7" t="s">
        <v>461</v>
      </c>
      <c r="D7" t="s">
        <v>52</v>
      </c>
      <c r="E7" t="s">
        <v>457</v>
      </c>
      <c r="F7">
        <v>1</v>
      </c>
      <c r="G7" t="s">
        <v>30</v>
      </c>
      <c r="H7">
        <v>3.5760000000000001</v>
      </c>
      <c r="Q7" s="141">
        <v>383</v>
      </c>
      <c r="R7" s="141" t="s">
        <v>196</v>
      </c>
      <c r="S7" s="141">
        <v>7.8959935000000003</v>
      </c>
      <c r="T7" s="141">
        <v>2.9075695597264026</v>
      </c>
      <c r="U7" s="141">
        <v>4.7773795000000003</v>
      </c>
      <c r="V7" s="141">
        <v>-27.851906047712809</v>
      </c>
      <c r="W7" s="142">
        <v>3.5760000000000001</v>
      </c>
      <c r="X7" s="143">
        <v>7.0035672500000006</v>
      </c>
      <c r="Y7" s="143">
        <v>1.9166458325792195</v>
      </c>
      <c r="Z7" s="143">
        <v>4.5470909062499993</v>
      </c>
      <c r="AA7" s="143">
        <v>-25.930204084925705</v>
      </c>
      <c r="AB7" s="143">
        <v>2.7513749999999999</v>
      </c>
      <c r="AC7" s="143">
        <v>2.7513749999999999</v>
      </c>
      <c r="AD7" s="144">
        <f t="shared" si="18"/>
        <v>1.1078465049364664E-2</v>
      </c>
      <c r="AE7" s="144">
        <f t="shared" si="19"/>
        <v>0.27839945661961657</v>
      </c>
      <c r="AF7" s="145">
        <f t="shared" si="20"/>
        <v>8.7475488019760572E-2</v>
      </c>
      <c r="AG7" s="145">
        <f t="shared" si="21"/>
        <v>1.3300198568656956</v>
      </c>
      <c r="AH7" s="146">
        <f t="shared" si="22"/>
        <v>2.4461825508881589</v>
      </c>
      <c r="AI7" s="146">
        <f t="shared" si="23"/>
        <v>37.192949017497078</v>
      </c>
      <c r="AJ7" s="147">
        <f t="shared" si="24"/>
        <v>15.204486273517517</v>
      </c>
      <c r="AK7" s="148">
        <f t="shared" si="25"/>
        <v>2.9709237271471833</v>
      </c>
      <c r="AL7" s="148">
        <f t="shared" si="26"/>
        <v>-27.951701962787105</v>
      </c>
      <c r="AM7" s="149">
        <v>0.36599999999999999</v>
      </c>
      <c r="AN7" s="150">
        <f t="shared" si="27"/>
        <v>2.9709237271471833</v>
      </c>
      <c r="AO7" s="151">
        <f t="shared" si="28"/>
        <v>0.36733776619534858</v>
      </c>
      <c r="AP7" s="152">
        <f t="shared" si="29"/>
        <v>1.3377661953485886E-3</v>
      </c>
      <c r="AQ7" s="152">
        <f t="shared" si="30"/>
        <v>24.461825508881585</v>
      </c>
      <c r="AR7" s="153">
        <f t="shared" si="31"/>
        <v>0.32724203242297573</v>
      </c>
      <c r="AS7" s="153">
        <f t="shared" si="32"/>
        <v>13.377661953485887</v>
      </c>
      <c r="AT7" s="149">
        <v>1.077</v>
      </c>
      <c r="AU7" s="150">
        <f t="shared" si="33"/>
        <v>-27.951701962787105</v>
      </c>
      <c r="AV7" s="150">
        <f t="shared" si="13"/>
        <v>1.0804885963490221</v>
      </c>
      <c r="AW7" s="154">
        <f t="shared" si="34"/>
        <v>3.4885963490220995E-3</v>
      </c>
      <c r="AX7" s="154">
        <f t="shared" si="35"/>
        <v>371.92949017497079</v>
      </c>
      <c r="AY7" s="154">
        <f t="shared" si="36"/>
        <v>12.97511861518054</v>
      </c>
      <c r="AZ7" s="154">
        <f t="shared" si="37"/>
        <v>34.885963490220995</v>
      </c>
    </row>
    <row r="8" spans="1:52" ht="18" x14ac:dyDescent="0.25">
      <c r="A8" s="104">
        <v>6</v>
      </c>
      <c r="B8">
        <v>1</v>
      </c>
      <c r="C8" t="s">
        <v>462</v>
      </c>
      <c r="D8" t="s">
        <v>40</v>
      </c>
      <c r="E8" t="s">
        <v>457</v>
      </c>
      <c r="F8">
        <v>1</v>
      </c>
      <c r="G8" t="s">
        <v>31</v>
      </c>
      <c r="H8">
        <v>3.5270000000000001</v>
      </c>
      <c r="Q8" s="155">
        <v>384</v>
      </c>
      <c r="R8" s="155" t="s">
        <v>197</v>
      </c>
      <c r="S8" s="155">
        <v>7.2399364999999998</v>
      </c>
      <c r="T8" s="155">
        <v>0.99221271465122218</v>
      </c>
      <c r="U8" s="155">
        <v>4.3038055000000002</v>
      </c>
      <c r="V8" s="155">
        <v>-27.674157210609565</v>
      </c>
      <c r="W8" s="142">
        <v>3.5270000000000001</v>
      </c>
      <c r="X8" s="143">
        <v>7.0035672500000006</v>
      </c>
      <c r="Y8" s="143">
        <v>1.9166458325792195</v>
      </c>
      <c r="Z8" s="143">
        <v>4.5470909062499993</v>
      </c>
      <c r="AA8" s="143">
        <v>-25.930204084925705</v>
      </c>
      <c r="AB8" s="143">
        <v>2.7513749999999999</v>
      </c>
      <c r="AC8" s="143">
        <v>2.7513749999999999</v>
      </c>
      <c r="AD8" s="144">
        <f t="shared" si="18"/>
        <v>1.1078465049364664E-2</v>
      </c>
      <c r="AE8" s="144">
        <f t="shared" si="19"/>
        <v>0.27839945661961657</v>
      </c>
      <c r="AF8" s="145">
        <f t="shared" si="20"/>
        <v>8.0207383474869526E-2</v>
      </c>
      <c r="AG8" s="145">
        <f t="shared" si="21"/>
        <v>1.1981771125965173</v>
      </c>
      <c r="AH8" s="146">
        <f t="shared" si="22"/>
        <v>2.2740964977280842</v>
      </c>
      <c r="AI8" s="146">
        <f t="shared" si="23"/>
        <v>33.971565426609509</v>
      </c>
      <c r="AJ8" s="147">
        <f t="shared" si="24"/>
        <v>14.938488960582147</v>
      </c>
      <c r="AK8" s="148">
        <f t="shared" si="25"/>
        <v>1.0555668820720028</v>
      </c>
      <c r="AL8" s="148">
        <f t="shared" si="26"/>
        <v>-27.77395312568386</v>
      </c>
      <c r="AM8" s="149">
        <v>0.36599999999999999</v>
      </c>
      <c r="AN8" s="150">
        <f t="shared" si="27"/>
        <v>1.0555668820720028</v>
      </c>
      <c r="AO8" s="151">
        <f t="shared" si="28"/>
        <v>0.36663883935693609</v>
      </c>
      <c r="AP8" s="152">
        <f t="shared" si="29"/>
        <v>6.3883935693609395E-4</v>
      </c>
      <c r="AQ8" s="152">
        <f t="shared" si="30"/>
        <v>22.740964977280846</v>
      </c>
      <c r="AR8" s="153">
        <f t="shared" si="31"/>
        <v>0.14527823442192331</v>
      </c>
      <c r="AS8" s="153">
        <f t="shared" si="32"/>
        <v>6.3883935693609395</v>
      </c>
      <c r="AT8" s="149">
        <v>1.077</v>
      </c>
      <c r="AU8" s="150">
        <f t="shared" si="33"/>
        <v>-27.77395312568386</v>
      </c>
      <c r="AV8" s="150">
        <f t="shared" si="13"/>
        <v>1.0806840393920929</v>
      </c>
      <c r="AW8" s="154">
        <f t="shared" si="34"/>
        <v>3.6840393920929415E-3</v>
      </c>
      <c r="AX8" s="154">
        <f t="shared" si="35"/>
        <v>339.71565426609504</v>
      </c>
      <c r="AY8" s="154">
        <f t="shared" si="36"/>
        <v>12.515258524269207</v>
      </c>
      <c r="AZ8" s="154">
        <f t="shared" si="37"/>
        <v>36.840393920929415</v>
      </c>
    </row>
    <row r="9" spans="1:52" ht="18" x14ac:dyDescent="0.25">
      <c r="A9" s="104">
        <v>7</v>
      </c>
      <c r="B9">
        <v>1</v>
      </c>
      <c r="C9" t="s">
        <v>463</v>
      </c>
      <c r="D9" t="s">
        <v>48</v>
      </c>
      <c r="E9" t="s">
        <v>457</v>
      </c>
      <c r="F9">
        <v>1</v>
      </c>
      <c r="G9" t="s">
        <v>33</v>
      </c>
      <c r="H9">
        <v>3.8319999999999999</v>
      </c>
      <c r="Q9" s="141">
        <v>385</v>
      </c>
      <c r="R9" s="141" t="s">
        <v>198</v>
      </c>
      <c r="S9" s="141">
        <v>7.4036355</v>
      </c>
      <c r="T9" s="141">
        <v>-2.2375876973815267E-2</v>
      </c>
      <c r="U9" s="141">
        <v>4.6113464999999998</v>
      </c>
      <c r="V9" s="141">
        <v>-28.165833271803084</v>
      </c>
      <c r="W9" s="142">
        <v>3.8319999999999999</v>
      </c>
      <c r="X9" s="143">
        <v>7.0035672500000006</v>
      </c>
      <c r="Y9" s="143">
        <v>1.9166458325792195</v>
      </c>
      <c r="Z9" s="143">
        <v>4.5470909062499993</v>
      </c>
      <c r="AA9" s="143">
        <v>-25.930204084925705</v>
      </c>
      <c r="AB9" s="143">
        <v>2.7513749999999999</v>
      </c>
      <c r="AC9" s="143">
        <v>2.7513749999999999</v>
      </c>
      <c r="AD9" s="144">
        <f t="shared" si="18"/>
        <v>1.1078465049364664E-2</v>
      </c>
      <c r="AE9" s="144">
        <f t="shared" si="19"/>
        <v>0.27839945661961657</v>
      </c>
      <c r="AF9" s="145">
        <f t="shared" si="20"/>
        <v>8.2020917124985479E-2</v>
      </c>
      <c r="AG9" s="145">
        <f t="shared" si="21"/>
        <v>1.2837963598847706</v>
      </c>
      <c r="AH9" s="146">
        <f t="shared" si="22"/>
        <v>2.1404205930319802</v>
      </c>
      <c r="AI9" s="146">
        <f t="shared" si="23"/>
        <v>33.501992690103613</v>
      </c>
      <c r="AJ9" s="147">
        <f t="shared" si="24"/>
        <v>15.652060533881745</v>
      </c>
      <c r="AK9" s="148">
        <f t="shared" si="25"/>
        <v>4.0978290446965215E-2</v>
      </c>
      <c r="AL9" s="148">
        <f t="shared" si="26"/>
        <v>-28.26562918687738</v>
      </c>
      <c r="AM9" s="149">
        <v>0.36599999999999999</v>
      </c>
      <c r="AN9" s="150">
        <f t="shared" si="27"/>
        <v>4.0978290446965215E-2</v>
      </c>
      <c r="AO9" s="151">
        <f t="shared" si="28"/>
        <v>0.36626860505408015</v>
      </c>
      <c r="AP9" s="152">
        <f t="shared" si="29"/>
        <v>2.6860505408016211E-4</v>
      </c>
      <c r="AQ9" s="152">
        <f t="shared" si="30"/>
        <v>21.404205930319804</v>
      </c>
      <c r="AR9" s="153">
        <f t="shared" si="31"/>
        <v>5.7492778914564779E-2</v>
      </c>
      <c r="AS9" s="153">
        <f t="shared" si="32"/>
        <v>2.6860505408016211</v>
      </c>
      <c r="AT9" s="149">
        <v>1.077</v>
      </c>
      <c r="AU9" s="150">
        <f t="shared" si="33"/>
        <v>-28.26562918687738</v>
      </c>
      <c r="AV9" s="150">
        <f t="shared" si="13"/>
        <v>1.0801434170032613</v>
      </c>
      <c r="AW9" s="154">
        <f t="shared" si="34"/>
        <v>3.1434170032613729E-3</v>
      </c>
      <c r="AX9" s="154">
        <f t="shared" si="35"/>
        <v>335.01992690103611</v>
      </c>
      <c r="AY9" s="154">
        <f t="shared" si="36"/>
        <v>10.531073346520991</v>
      </c>
      <c r="AZ9" s="154">
        <f t="shared" si="37"/>
        <v>31.434170032613729</v>
      </c>
    </row>
    <row r="10" spans="1:52" ht="18" x14ac:dyDescent="0.25">
      <c r="A10" s="104">
        <v>8</v>
      </c>
      <c r="B10">
        <v>1</v>
      </c>
      <c r="C10" t="s">
        <v>464</v>
      </c>
      <c r="D10" t="s">
        <v>32</v>
      </c>
      <c r="E10" t="s">
        <v>457</v>
      </c>
      <c r="F10">
        <v>1</v>
      </c>
      <c r="G10" t="s">
        <v>34</v>
      </c>
      <c r="H10">
        <v>3.8050000000000002</v>
      </c>
      <c r="Q10" s="155">
        <v>386</v>
      </c>
      <c r="R10" s="155" t="s">
        <v>199</v>
      </c>
      <c r="S10" s="155">
        <v>7.9378475000000002</v>
      </c>
      <c r="T10" s="155">
        <v>3.0483132990875266</v>
      </c>
      <c r="U10" s="155">
        <v>4.8350445000000004</v>
      </c>
      <c r="V10" s="155">
        <v>-27.202987443472022</v>
      </c>
      <c r="W10" s="142">
        <v>3.8050000000000002</v>
      </c>
      <c r="X10" s="143">
        <v>7.0035672500000006</v>
      </c>
      <c r="Y10" s="143">
        <v>1.9166458325792195</v>
      </c>
      <c r="Z10" s="143">
        <v>4.5470909062499993</v>
      </c>
      <c r="AA10" s="143">
        <v>-25.930204084925705</v>
      </c>
      <c r="AB10" s="143">
        <v>2.7513749999999999</v>
      </c>
      <c r="AC10" s="143">
        <v>2.7513749999999999</v>
      </c>
      <c r="AD10" s="144">
        <f t="shared" si="18"/>
        <v>1.1078465049364664E-2</v>
      </c>
      <c r="AE10" s="144">
        <f t="shared" si="19"/>
        <v>0.27839945661961657</v>
      </c>
      <c r="AF10" s="145">
        <f t="shared" si="20"/>
        <v>8.7939166095936674E-2</v>
      </c>
      <c r="AG10" s="145">
        <f t="shared" si="21"/>
        <v>1.3460737615316658</v>
      </c>
      <c r="AH10" s="146">
        <f t="shared" si="22"/>
        <v>2.3111475977907139</v>
      </c>
      <c r="AI10" s="146">
        <f t="shared" si="23"/>
        <v>35.37644576955757</v>
      </c>
      <c r="AJ10" s="147">
        <f t="shared" si="24"/>
        <v>15.306874300617944</v>
      </c>
      <c r="AK10" s="148">
        <f t="shared" si="25"/>
        <v>3.1116674665083073</v>
      </c>
      <c r="AL10" s="148">
        <f t="shared" si="26"/>
        <v>-27.302783358546318</v>
      </c>
      <c r="AM10" s="149">
        <v>0.36599999999999999</v>
      </c>
      <c r="AN10" s="150">
        <f t="shared" si="27"/>
        <v>3.1116674665083073</v>
      </c>
      <c r="AO10" s="151">
        <f t="shared" si="28"/>
        <v>0.36738912416358471</v>
      </c>
      <c r="AP10" s="152">
        <f t="shared" si="29"/>
        <v>1.3891241635847207E-3</v>
      </c>
      <c r="AQ10" s="152">
        <f t="shared" si="30"/>
        <v>23.111475977907141</v>
      </c>
      <c r="AR10" s="153">
        <f t="shared" si="31"/>
        <v>0.32104709737018622</v>
      </c>
      <c r="AS10" s="153">
        <f t="shared" si="32"/>
        <v>13.891241635847207</v>
      </c>
      <c r="AT10" s="149">
        <v>1.077</v>
      </c>
      <c r="AU10" s="150">
        <f t="shared" si="33"/>
        <v>-27.302783358546318</v>
      </c>
      <c r="AV10" s="150">
        <f t="shared" si="13"/>
        <v>1.081202108541603</v>
      </c>
      <c r="AW10" s="154">
        <f t="shared" si="34"/>
        <v>4.2021085416030779E-3</v>
      </c>
      <c r="AX10" s="154">
        <f t="shared" si="35"/>
        <v>353.76445769557569</v>
      </c>
      <c r="AY10" s="154">
        <f t="shared" si="36"/>
        <v>14.865566493981593</v>
      </c>
      <c r="AZ10" s="154">
        <f t="shared" si="37"/>
        <v>42.021085416030779</v>
      </c>
    </row>
    <row r="11" spans="1:52" ht="18" x14ac:dyDescent="0.25">
      <c r="A11" s="104">
        <v>9</v>
      </c>
      <c r="B11">
        <v>1</v>
      </c>
      <c r="C11" t="s">
        <v>456</v>
      </c>
      <c r="D11" t="s">
        <v>44</v>
      </c>
      <c r="E11" t="s">
        <v>465</v>
      </c>
      <c r="F11">
        <v>1</v>
      </c>
      <c r="G11" t="s">
        <v>35</v>
      </c>
      <c r="H11">
        <v>3.2309999999999999</v>
      </c>
      <c r="Q11" s="141">
        <v>387</v>
      </c>
      <c r="R11" s="141" t="s">
        <v>200</v>
      </c>
      <c r="S11" s="141">
        <v>2.3814442499999999</v>
      </c>
      <c r="T11" s="141">
        <v>-1.5285940979495343</v>
      </c>
      <c r="U11" s="141">
        <v>4.3878525000000002</v>
      </c>
      <c r="V11" s="141">
        <v>-28.752698916398359</v>
      </c>
      <c r="W11" s="142">
        <v>3.2309999999999999</v>
      </c>
      <c r="X11" s="143">
        <v>7.0035672500000006</v>
      </c>
      <c r="Y11" s="143">
        <v>1.9166458325792195</v>
      </c>
      <c r="Z11" s="143">
        <v>4.5470909062499993</v>
      </c>
      <c r="AA11" s="143">
        <v>-25.930204084925705</v>
      </c>
      <c r="AB11" s="143">
        <v>2.7513749999999999</v>
      </c>
      <c r="AC11" s="143">
        <v>2.7513749999999999</v>
      </c>
      <c r="AD11" s="144">
        <f t="shared" si="18"/>
        <v>1.1078465049364664E-2</v>
      </c>
      <c r="AE11" s="144">
        <f t="shared" si="19"/>
        <v>0.27839945661961657</v>
      </c>
      <c r="AF11" s="145">
        <f t="shared" si="20"/>
        <v>2.6382746890635446E-2</v>
      </c>
      <c r="AG11" s="145">
        <f t="shared" si="21"/>
        <v>1.2215757517270263</v>
      </c>
      <c r="AH11" s="146">
        <f t="shared" si="22"/>
        <v>0.8165505072929572</v>
      </c>
      <c r="AI11" s="146">
        <f t="shared" si="23"/>
        <v>37.807977459827491</v>
      </c>
      <c r="AJ11" s="147">
        <f t="shared" si="24"/>
        <v>46.302068423384092</v>
      </c>
      <c r="AK11" s="148">
        <f t="shared" si="25"/>
        <v>-1.4652399305287538</v>
      </c>
      <c r="AL11" s="148">
        <f t="shared" si="26"/>
        <v>-28.852494831472654</v>
      </c>
      <c r="AM11" s="149">
        <v>0.36599999999999999</v>
      </c>
      <c r="AN11" s="150">
        <f t="shared" si="27"/>
        <v>-1.4652399305287538</v>
      </c>
      <c r="AO11" s="151">
        <f t="shared" si="28"/>
        <v>0.36571896473071558</v>
      </c>
      <c r="AP11" s="152">
        <f t="shared" si="29"/>
        <v>-2.8103526928441314E-4</v>
      </c>
      <c r="AQ11" s="152">
        <f t="shared" si="30"/>
        <v>8.1655050729295713</v>
      </c>
      <c r="AR11" s="153">
        <f t="shared" si="31"/>
        <v>-2.2947949170140033E-2</v>
      </c>
      <c r="AS11" s="153">
        <f t="shared" si="32"/>
        <v>-2.8103526928441309</v>
      </c>
      <c r="AT11" s="149">
        <v>1.077</v>
      </c>
      <c r="AU11" s="150">
        <f t="shared" si="33"/>
        <v>-28.852494831472654</v>
      </c>
      <c r="AV11" s="150">
        <f t="shared" si="13"/>
        <v>1.0794981211765031</v>
      </c>
      <c r="AW11" s="154">
        <f t="shared" si="34"/>
        <v>2.4981211765031652E-3</v>
      </c>
      <c r="AX11" s="154">
        <f t="shared" si="35"/>
        <v>378.07977459827492</v>
      </c>
      <c r="AY11" s="154">
        <f t="shared" si="36"/>
        <v>9.444890913314941</v>
      </c>
      <c r="AZ11" s="154">
        <f t="shared" si="37"/>
        <v>24.981211765031652</v>
      </c>
    </row>
    <row r="12" spans="1:52" ht="18" x14ac:dyDescent="0.25">
      <c r="A12" s="104">
        <v>10</v>
      </c>
      <c r="B12">
        <v>1</v>
      </c>
      <c r="C12" t="s">
        <v>458</v>
      </c>
      <c r="D12" t="s">
        <v>36</v>
      </c>
      <c r="E12" t="s">
        <v>465</v>
      </c>
      <c r="F12">
        <v>1</v>
      </c>
      <c r="G12" t="s">
        <v>37</v>
      </c>
      <c r="H12">
        <v>3.4369999999999998</v>
      </c>
      <c r="Q12" s="155">
        <v>388</v>
      </c>
      <c r="R12" s="155" t="s">
        <v>201</v>
      </c>
      <c r="S12" s="155">
        <v>3.79880475</v>
      </c>
      <c r="T12" s="155">
        <v>-0.31722057839242701</v>
      </c>
      <c r="U12" s="155">
        <v>4.0506729999999997</v>
      </c>
      <c r="V12" s="155">
        <v>-28.152347516784463</v>
      </c>
      <c r="W12" s="142">
        <v>3.4369999999999998</v>
      </c>
      <c r="X12" s="143">
        <v>7.0035672500000006</v>
      </c>
      <c r="Y12" s="143">
        <v>1.9166458325792195</v>
      </c>
      <c r="Z12" s="143">
        <v>4.5470909062499993</v>
      </c>
      <c r="AA12" s="143">
        <v>-25.930204084925705</v>
      </c>
      <c r="AB12" s="143">
        <v>2.7513749999999999</v>
      </c>
      <c r="AC12" s="143">
        <v>2.7513749999999999</v>
      </c>
      <c r="AD12" s="144">
        <f t="shared" si="18"/>
        <v>1.1078465049364664E-2</v>
      </c>
      <c r="AE12" s="144">
        <f t="shared" si="19"/>
        <v>0.27839945661961657</v>
      </c>
      <c r="AF12" s="145">
        <f t="shared" si="20"/>
        <v>4.2084925652235469E-2</v>
      </c>
      <c r="AG12" s="145">
        <f t="shared" si="21"/>
        <v>1.1277051621437519</v>
      </c>
      <c r="AH12" s="146">
        <f t="shared" si="22"/>
        <v>1.2244668505160159</v>
      </c>
      <c r="AI12" s="146">
        <f t="shared" si="23"/>
        <v>32.810740824665466</v>
      </c>
      <c r="AJ12" s="147">
        <f t="shared" si="24"/>
        <v>26.795940462445618</v>
      </c>
      <c r="AK12" s="148">
        <f t="shared" si="25"/>
        <v>-0.25386641097164653</v>
      </c>
      <c r="AL12" s="148">
        <f t="shared" si="26"/>
        <v>-28.252143431858759</v>
      </c>
      <c r="AM12" s="149">
        <v>0.36599999999999999</v>
      </c>
      <c r="AN12" s="150">
        <f t="shared" si="27"/>
        <v>-0.25386641097164653</v>
      </c>
      <c r="AO12" s="151">
        <f t="shared" si="28"/>
        <v>0.36616101253145134</v>
      </c>
      <c r="AP12" s="152">
        <f t="shared" si="29"/>
        <v>1.6101253145134331E-4</v>
      </c>
      <c r="AQ12" s="152">
        <f t="shared" si="30"/>
        <v>12.244668505160158</v>
      </c>
      <c r="AR12" s="153">
        <f t="shared" si="31"/>
        <v>1.9715450727983728E-2</v>
      </c>
      <c r="AS12" s="153">
        <f t="shared" si="32"/>
        <v>1.6101253145134331</v>
      </c>
      <c r="AT12" s="149">
        <v>1.077</v>
      </c>
      <c r="AU12" s="150">
        <f t="shared" si="33"/>
        <v>-28.252143431858759</v>
      </c>
      <c r="AV12" s="150">
        <f t="shared" si="13"/>
        <v>1.0801582453433447</v>
      </c>
      <c r="AW12" s="154">
        <f t="shared" si="34"/>
        <v>3.1582453433447455E-3</v>
      </c>
      <c r="AX12" s="154">
        <f t="shared" si="35"/>
        <v>328.10740824665464</v>
      </c>
      <c r="AY12" s="154">
        <f t="shared" si="36"/>
        <v>10.362436942119103</v>
      </c>
      <c r="AZ12" s="154">
        <f t="shared" si="37"/>
        <v>31.582453433447455</v>
      </c>
    </row>
    <row r="13" spans="1:52" ht="18" x14ac:dyDescent="0.25">
      <c r="A13" s="104">
        <v>11</v>
      </c>
      <c r="B13">
        <v>1</v>
      </c>
      <c r="C13" t="s">
        <v>459</v>
      </c>
      <c r="D13" t="s">
        <v>28</v>
      </c>
      <c r="E13" t="s">
        <v>465</v>
      </c>
      <c r="F13">
        <v>1</v>
      </c>
      <c r="G13" t="s">
        <v>38</v>
      </c>
      <c r="H13">
        <v>3.294</v>
      </c>
      <c r="Q13" s="141">
        <v>389</v>
      </c>
      <c r="R13" s="141" t="s">
        <v>202</v>
      </c>
      <c r="S13" s="141">
        <v>3.8073287499999999</v>
      </c>
      <c r="T13" s="141">
        <v>-0.17613611499262549</v>
      </c>
      <c r="U13" s="141">
        <v>4.5067874999999997</v>
      </c>
      <c r="V13" s="141">
        <v>-28.664240727275086</v>
      </c>
      <c r="W13" s="142">
        <v>3.294</v>
      </c>
      <c r="X13" s="143">
        <v>7.0035672500000006</v>
      </c>
      <c r="Y13" s="143">
        <v>1.9166458325792195</v>
      </c>
      <c r="Z13" s="143">
        <v>4.5470909062499993</v>
      </c>
      <c r="AA13" s="143">
        <v>-25.930204084925705</v>
      </c>
      <c r="AB13" s="143">
        <v>2.7513749999999999</v>
      </c>
      <c r="AC13" s="143">
        <v>2.7513749999999999</v>
      </c>
      <c r="AD13" s="144">
        <f t="shared" si="18"/>
        <v>1.1078465049364664E-2</v>
      </c>
      <c r="AE13" s="144">
        <f t="shared" si="19"/>
        <v>0.27839945661961657</v>
      </c>
      <c r="AF13" s="145">
        <f t="shared" si="20"/>
        <v>4.2179358488316256E-2</v>
      </c>
      <c r="AG13" s="145">
        <f t="shared" si="21"/>
        <v>1.2546871911000801</v>
      </c>
      <c r="AH13" s="146">
        <f t="shared" si="22"/>
        <v>1.2804905430575668</v>
      </c>
      <c r="AI13" s="146">
        <f t="shared" si="23"/>
        <v>38.090078661204615</v>
      </c>
      <c r="AJ13" s="147">
        <f t="shared" si="24"/>
        <v>29.746474011633683</v>
      </c>
      <c r="AK13" s="148">
        <f t="shared" si="25"/>
        <v>-0.11278194757184501</v>
      </c>
      <c r="AL13" s="148">
        <f t="shared" si="26"/>
        <v>-28.764036642349382</v>
      </c>
      <c r="AM13" s="149">
        <v>0.36599999999999999</v>
      </c>
      <c r="AN13" s="150">
        <f t="shared" si="27"/>
        <v>-0.11278194757184501</v>
      </c>
      <c r="AO13" s="151">
        <f t="shared" si="28"/>
        <v>0.3662124960473373</v>
      </c>
      <c r="AP13" s="152">
        <f t="shared" si="29"/>
        <v>2.124960473373072E-4</v>
      </c>
      <c r="AQ13" s="152">
        <f t="shared" si="30"/>
        <v>12.804905430575669</v>
      </c>
      <c r="AR13" s="153">
        <f t="shared" si="31"/>
        <v>2.7209917905253494E-2</v>
      </c>
      <c r="AS13" s="153">
        <f t="shared" si="32"/>
        <v>2.124960473373072</v>
      </c>
      <c r="AT13" s="149">
        <v>1.077</v>
      </c>
      <c r="AU13" s="150">
        <f t="shared" si="33"/>
        <v>-28.764036642349382</v>
      </c>
      <c r="AV13" s="150">
        <f t="shared" si="13"/>
        <v>1.0795953870789292</v>
      </c>
      <c r="AW13" s="154">
        <f t="shared" si="34"/>
        <v>2.5953870789292566E-3</v>
      </c>
      <c r="AX13" s="154">
        <f t="shared" si="35"/>
        <v>380.90078661204615</v>
      </c>
      <c r="AY13" s="154">
        <f t="shared" si="36"/>
        <v>9.8858497992689447</v>
      </c>
      <c r="AZ13" s="154">
        <f t="shared" si="37"/>
        <v>25.953870789292566</v>
      </c>
    </row>
    <row r="14" spans="1:52" ht="18" x14ac:dyDescent="0.25">
      <c r="A14" s="104">
        <v>12</v>
      </c>
      <c r="B14">
        <v>1</v>
      </c>
      <c r="C14" t="s">
        <v>460</v>
      </c>
      <c r="D14" t="s">
        <v>24</v>
      </c>
      <c r="E14" t="s">
        <v>465</v>
      </c>
      <c r="F14">
        <v>1</v>
      </c>
      <c r="G14" t="s">
        <v>39</v>
      </c>
      <c r="H14">
        <v>3.24</v>
      </c>
      <c r="Q14" s="155">
        <v>390</v>
      </c>
      <c r="R14" s="155" t="s">
        <v>203</v>
      </c>
      <c r="S14" s="155">
        <v>3.9039217499999999</v>
      </c>
      <c r="T14" s="155">
        <v>0.38291753448261023</v>
      </c>
      <c r="U14" s="155">
        <v>3.9689657500000002</v>
      </c>
      <c r="V14" s="155">
        <v>-29.223422715465102</v>
      </c>
      <c r="W14" s="142">
        <v>3.24</v>
      </c>
      <c r="X14" s="143">
        <v>7.0035672500000006</v>
      </c>
      <c r="Y14" s="143">
        <v>1.9166458325792195</v>
      </c>
      <c r="Z14" s="143">
        <v>4.5470909062499993</v>
      </c>
      <c r="AA14" s="143">
        <v>-25.930204084925705</v>
      </c>
      <c r="AB14" s="143">
        <v>2.7513749999999999</v>
      </c>
      <c r="AC14" s="143">
        <v>2.7513749999999999</v>
      </c>
      <c r="AD14" s="144">
        <f t="shared" si="18"/>
        <v>1.1078465049364664E-2</v>
      </c>
      <c r="AE14" s="144">
        <f t="shared" si="19"/>
        <v>0.27839945661961657</v>
      </c>
      <c r="AF14" s="145">
        <f t="shared" si="20"/>
        <v>4.3249460662829538E-2</v>
      </c>
      <c r="AG14" s="145">
        <f t="shared" si="21"/>
        <v>1.104957908141869</v>
      </c>
      <c r="AH14" s="146">
        <f t="shared" si="22"/>
        <v>1.3348598970009116</v>
      </c>
      <c r="AI14" s="146">
        <f t="shared" si="23"/>
        <v>34.103639140181144</v>
      </c>
      <c r="AJ14" s="147">
        <f t="shared" si="24"/>
        <v>25.548478321060724</v>
      </c>
      <c r="AK14" s="148">
        <f t="shared" si="25"/>
        <v>0.44627170190339072</v>
      </c>
      <c r="AL14" s="148">
        <f t="shared" si="26"/>
        <v>-29.323218630539397</v>
      </c>
      <c r="AM14" s="149">
        <v>0.36599999999999999</v>
      </c>
      <c r="AN14" s="150">
        <f t="shared" si="27"/>
        <v>0.44627170190339072</v>
      </c>
      <c r="AO14" s="151">
        <f t="shared" si="28"/>
        <v>0.36641650131443143</v>
      </c>
      <c r="AP14" s="152">
        <f t="shared" si="29"/>
        <v>4.165013144314389E-4</v>
      </c>
      <c r="AQ14" s="152">
        <f t="shared" si="30"/>
        <v>13.348598970009116</v>
      </c>
      <c r="AR14" s="153">
        <f t="shared" si="31"/>
        <v>5.5597090168269483E-2</v>
      </c>
      <c r="AS14" s="153">
        <f t="shared" si="32"/>
        <v>4.165013144314389</v>
      </c>
      <c r="AT14" s="149">
        <v>1.077</v>
      </c>
      <c r="AU14" s="150">
        <f t="shared" si="33"/>
        <v>-29.323218630539397</v>
      </c>
      <c r="AV14" s="150">
        <f t="shared" si="13"/>
        <v>1.0789805245565289</v>
      </c>
      <c r="AW14" s="154">
        <f t="shared" si="34"/>
        <v>1.9805245565289731E-3</v>
      </c>
      <c r="AX14" s="154">
        <f t="shared" si="35"/>
        <v>341.03639140181144</v>
      </c>
      <c r="AY14" s="154">
        <f t="shared" si="36"/>
        <v>6.7543094784131394</v>
      </c>
      <c r="AZ14" s="154">
        <f t="shared" si="37"/>
        <v>19.805245565289731</v>
      </c>
    </row>
    <row r="15" spans="1:52" ht="18" x14ac:dyDescent="0.25">
      <c r="I15" t="s">
        <v>152</v>
      </c>
      <c r="Q15" s="141">
        <v>391</v>
      </c>
      <c r="R15" s="141" t="s">
        <v>204</v>
      </c>
      <c r="S15" s="141">
        <v>5.7610869999999998</v>
      </c>
      <c r="T15" s="141">
        <v>2.0285208058244657</v>
      </c>
      <c r="U15" s="141">
        <v>3.9532482500000001</v>
      </c>
      <c r="V15" s="141">
        <v>-25.935249495513101</v>
      </c>
      <c r="W15" s="141">
        <v>2.2989999999999999</v>
      </c>
      <c r="X15" s="143">
        <v>7.0035672500000006</v>
      </c>
      <c r="Y15" s="143">
        <v>1.9166458325792195</v>
      </c>
      <c r="Z15" s="143">
        <v>4.5470909062499993</v>
      </c>
      <c r="AA15" s="143">
        <v>-25.930204084925705</v>
      </c>
      <c r="AB15" s="143">
        <v>2.7513749999999999</v>
      </c>
      <c r="AC15" s="143">
        <v>2.7513749999999999</v>
      </c>
      <c r="AD15" s="144">
        <f t="shared" si="18"/>
        <v>1.1078465049364664E-2</v>
      </c>
      <c r="AE15" s="144">
        <f t="shared" si="19"/>
        <v>0.27839945661961657</v>
      </c>
      <c r="AF15" s="145">
        <f t="shared" si="20"/>
        <v>6.3824000975849129E-2</v>
      </c>
      <c r="AG15" s="145">
        <f t="shared" si="21"/>
        <v>1.1005821646824501</v>
      </c>
      <c r="AH15" s="146">
        <f t="shared" si="22"/>
        <v>2.7761635918159691</v>
      </c>
      <c r="AI15" s="146">
        <f t="shared" si="23"/>
        <v>47.87221246987604</v>
      </c>
      <c r="AJ15" s="147">
        <f t="shared" si="24"/>
        <v>17.244017107277685</v>
      </c>
      <c r="AK15" s="148">
        <f t="shared" si="25"/>
        <v>2.091874973245246</v>
      </c>
      <c r="AL15" s="148">
        <f t="shared" si="26"/>
        <v>-26.035045410587397</v>
      </c>
      <c r="AM15" s="149">
        <v>0.36599999999999999</v>
      </c>
      <c r="AN15" s="150">
        <f t="shared" si="27"/>
        <v>2.091874973245246</v>
      </c>
      <c r="AO15" s="151">
        <f t="shared" si="28"/>
        <v>0.3670169964985463</v>
      </c>
      <c r="AP15" s="152">
        <f t="shared" si="29"/>
        <v>1.0169964985463076E-3</v>
      </c>
      <c r="AQ15" s="152">
        <f t="shared" si="30"/>
        <v>27.761635918159691</v>
      </c>
      <c r="AR15" s="153">
        <f t="shared" si="31"/>
        <v>0.28233486522685813</v>
      </c>
      <c r="AS15" s="153">
        <f t="shared" si="32"/>
        <v>10.169964985463075</v>
      </c>
      <c r="AT15" s="149">
        <v>1.077</v>
      </c>
      <c r="AU15" s="150">
        <f t="shared" si="33"/>
        <v>-26.035045410587397</v>
      </c>
      <c r="AV15" s="150">
        <f t="shared" si="13"/>
        <v>1.0825960078784691</v>
      </c>
      <c r="AW15" s="154">
        <f t="shared" si="34"/>
        <v>5.5960078784691447E-3</v>
      </c>
      <c r="AX15" s="154">
        <f t="shared" si="35"/>
        <v>478.72212469876035</v>
      </c>
      <c r="AY15" s="154">
        <f t="shared" si="36"/>
        <v>26.78932781411751</v>
      </c>
      <c r="AZ15" s="154">
        <f t="shared" si="37"/>
        <v>55.960078784691447</v>
      </c>
    </row>
    <row r="16" spans="1:52" ht="18" x14ac:dyDescent="0.25">
      <c r="A16" s="104">
        <v>13</v>
      </c>
      <c r="B16">
        <v>1</v>
      </c>
      <c r="C16" t="s">
        <v>461</v>
      </c>
      <c r="D16" t="s">
        <v>52</v>
      </c>
      <c r="E16" t="s">
        <v>465</v>
      </c>
      <c r="F16">
        <v>1</v>
      </c>
      <c r="G16" t="s">
        <v>41</v>
      </c>
      <c r="H16">
        <v>3.492</v>
      </c>
      <c r="Q16" s="155">
        <v>392</v>
      </c>
      <c r="R16" s="155" t="s">
        <v>205</v>
      </c>
      <c r="S16" s="155">
        <v>3.57891425</v>
      </c>
      <c r="T16" s="155">
        <v>1.1977822782819059</v>
      </c>
      <c r="U16" s="155">
        <v>4.5285555000000004</v>
      </c>
      <c r="V16" s="155">
        <v>-29.025433163465863</v>
      </c>
      <c r="W16" s="142">
        <v>3.492</v>
      </c>
      <c r="X16" s="143">
        <v>7.0035672500000006</v>
      </c>
      <c r="Y16" s="143">
        <v>1.9166458325792195</v>
      </c>
      <c r="Z16" s="143">
        <v>4.5470909062499993</v>
      </c>
      <c r="AA16" s="143">
        <v>-25.930204084925705</v>
      </c>
      <c r="AB16" s="143">
        <v>2.7513749999999999</v>
      </c>
      <c r="AC16" s="143">
        <v>2.7513749999999999</v>
      </c>
      <c r="AD16" s="144">
        <f t="shared" si="18"/>
        <v>1.1078465049364664E-2</v>
      </c>
      <c r="AE16" s="144">
        <f t="shared" si="19"/>
        <v>0.27839945661961657</v>
      </c>
      <c r="AF16" s="145">
        <f t="shared" si="20"/>
        <v>3.9648876433298147E-2</v>
      </c>
      <c r="AG16" s="145">
        <f t="shared" si="21"/>
        <v>1.2607473904717761</v>
      </c>
      <c r="AH16" s="146">
        <f t="shared" si="22"/>
        <v>1.1354202873223982</v>
      </c>
      <c r="AI16" s="146">
        <f t="shared" si="23"/>
        <v>36.103877161276522</v>
      </c>
      <c r="AJ16" s="147">
        <f t="shared" si="24"/>
        <v>31.797808762443719</v>
      </c>
      <c r="AK16" s="148">
        <f t="shared" si="25"/>
        <v>1.2611364457026863</v>
      </c>
      <c r="AL16" s="148">
        <f t="shared" si="26"/>
        <v>-29.125229078540158</v>
      </c>
      <c r="AM16" s="149">
        <v>0.36599999999999999</v>
      </c>
      <c r="AN16" s="150">
        <f t="shared" si="27"/>
        <v>1.2611364457026863</v>
      </c>
      <c r="AO16" s="151">
        <f t="shared" si="28"/>
        <v>0.36671385356918712</v>
      </c>
      <c r="AP16" s="152">
        <f t="shared" si="29"/>
        <v>7.1385356918712839E-4</v>
      </c>
      <c r="AQ16" s="152">
        <f t="shared" si="30"/>
        <v>11.354202873223981</v>
      </c>
      <c r="AR16" s="153">
        <f t="shared" si="31"/>
        <v>8.105238246325687E-2</v>
      </c>
      <c r="AS16" s="153">
        <f t="shared" si="32"/>
        <v>7.1385356918712839</v>
      </c>
      <c r="AT16" s="149">
        <v>1.077</v>
      </c>
      <c r="AU16" s="150">
        <f t="shared" si="33"/>
        <v>-29.125229078540158</v>
      </c>
      <c r="AV16" s="150">
        <f t="shared" si="13"/>
        <v>1.079198229787891</v>
      </c>
      <c r="AW16" s="154">
        <f t="shared" si="34"/>
        <v>2.1982297878910817E-3</v>
      </c>
      <c r="AX16" s="154">
        <f t="shared" si="35"/>
        <v>361.03877161276523</v>
      </c>
      <c r="AY16" s="154">
        <f t="shared" si="36"/>
        <v>7.9364618234278561</v>
      </c>
      <c r="AZ16" s="154">
        <f t="shared" si="37"/>
        <v>21.982297878910817</v>
      </c>
    </row>
    <row r="17" spans="1:52" ht="18" x14ac:dyDescent="0.25">
      <c r="A17" s="104">
        <v>14</v>
      </c>
      <c r="B17">
        <v>1</v>
      </c>
      <c r="C17" t="s">
        <v>462</v>
      </c>
      <c r="D17" t="s">
        <v>40</v>
      </c>
      <c r="E17" t="s">
        <v>465</v>
      </c>
      <c r="F17">
        <v>1</v>
      </c>
      <c r="G17" t="s">
        <v>42</v>
      </c>
      <c r="H17">
        <v>3.6139999999999999</v>
      </c>
      <c r="Q17" s="141">
        <v>393</v>
      </c>
      <c r="R17" s="141" t="s">
        <v>206</v>
      </c>
      <c r="S17" s="141">
        <v>3.1468327500000002</v>
      </c>
      <c r="T17" s="141">
        <v>-1.9529889807547747</v>
      </c>
      <c r="U17" s="141">
        <v>4.6730770000000001</v>
      </c>
      <c r="V17" s="141">
        <v>-28.371105249359282</v>
      </c>
      <c r="W17" s="142">
        <v>3.6139999999999999</v>
      </c>
      <c r="X17" s="143">
        <v>7.0035672500000006</v>
      </c>
      <c r="Y17" s="143">
        <v>1.9166458325792195</v>
      </c>
      <c r="Z17" s="143">
        <v>4.5470909062499993</v>
      </c>
      <c r="AA17" s="143">
        <v>-25.930204084925705</v>
      </c>
      <c r="AB17" s="143">
        <v>2.7513749999999999</v>
      </c>
      <c r="AC17" s="143">
        <v>2.7513749999999999</v>
      </c>
      <c r="AD17" s="144">
        <f t="shared" si="18"/>
        <v>1.1078465049364664E-2</v>
      </c>
      <c r="AE17" s="144">
        <f t="shared" si="19"/>
        <v>0.27839945661961657</v>
      </c>
      <c r="AF17" s="145">
        <f t="shared" si="20"/>
        <v>3.4862076637071096E-2</v>
      </c>
      <c r="AG17" s="145">
        <f t="shared" si="21"/>
        <v>1.300982097541628</v>
      </c>
      <c r="AH17" s="146">
        <f t="shared" si="22"/>
        <v>0.96463964131353341</v>
      </c>
      <c r="AI17" s="146">
        <f t="shared" si="23"/>
        <v>35.998397829043391</v>
      </c>
      <c r="AJ17" s="147">
        <f t="shared" si="24"/>
        <v>37.317974803549419</v>
      </c>
      <c r="AK17" s="148">
        <f t="shared" si="25"/>
        <v>-1.8896348133339942</v>
      </c>
      <c r="AL17" s="148">
        <f t="shared" si="26"/>
        <v>-28.470901164433577</v>
      </c>
      <c r="AM17" s="149">
        <v>0.36599999999999999</v>
      </c>
      <c r="AN17" s="150">
        <f t="shared" si="27"/>
        <v>-1.8896348133339942</v>
      </c>
      <c r="AO17" s="151">
        <f t="shared" si="28"/>
        <v>0.36556409594292488</v>
      </c>
      <c r="AP17" s="152">
        <f t="shared" si="29"/>
        <v>-4.3590405707510937E-4</v>
      </c>
      <c r="AQ17" s="152">
        <f t="shared" si="30"/>
        <v>9.646396413135335</v>
      </c>
      <c r="AR17" s="153">
        <f t="shared" si="31"/>
        <v>-4.204903332640475E-2</v>
      </c>
      <c r="AS17" s="153">
        <f t="shared" si="32"/>
        <v>-4.3590405707510937</v>
      </c>
      <c r="AT17" s="149">
        <v>1.077</v>
      </c>
      <c r="AU17" s="150">
        <f t="shared" si="33"/>
        <v>-28.470901164433577</v>
      </c>
      <c r="AV17" s="150">
        <f t="shared" si="13"/>
        <v>1.0799177084619078</v>
      </c>
      <c r="AW17" s="154">
        <f t="shared" si="34"/>
        <v>2.9177084619078641E-3</v>
      </c>
      <c r="AX17" s="154">
        <f t="shared" si="35"/>
        <v>359.98397829043392</v>
      </c>
      <c r="AY17" s="154">
        <f t="shared" si="36"/>
        <v>10.50328299609256</v>
      </c>
      <c r="AZ17" s="154">
        <f t="shared" si="37"/>
        <v>29.177084619078645</v>
      </c>
    </row>
    <row r="18" spans="1:52" ht="18" x14ac:dyDescent="0.25">
      <c r="A18" s="104">
        <v>15</v>
      </c>
      <c r="B18">
        <v>1</v>
      </c>
      <c r="C18" t="s">
        <v>463</v>
      </c>
      <c r="D18" t="s">
        <v>48</v>
      </c>
      <c r="E18" t="s">
        <v>465</v>
      </c>
      <c r="F18">
        <v>1</v>
      </c>
      <c r="G18" t="s">
        <v>43</v>
      </c>
      <c r="H18">
        <v>3.3250000000000002</v>
      </c>
      <c r="Q18" s="155">
        <v>394</v>
      </c>
      <c r="R18" s="155" t="s">
        <v>207</v>
      </c>
      <c r="S18" s="155">
        <v>3.2114702500000001</v>
      </c>
      <c r="T18" s="155">
        <v>-1.9826050500222707</v>
      </c>
      <c r="U18" s="155">
        <v>4.3097099999999999</v>
      </c>
      <c r="V18" s="155">
        <v>-28.476593404400912</v>
      </c>
      <c r="W18" s="142">
        <v>3.3250000000000002</v>
      </c>
      <c r="X18" s="143">
        <v>7.0035672500000006</v>
      </c>
      <c r="Y18" s="143">
        <v>1.9166458325792195</v>
      </c>
      <c r="Z18" s="143">
        <v>4.5470909062499993</v>
      </c>
      <c r="AA18" s="143">
        <v>-25.930204084925705</v>
      </c>
      <c r="AB18" s="143">
        <v>2.7513749999999999</v>
      </c>
      <c r="AC18" s="143">
        <v>2.7513749999999999</v>
      </c>
      <c r="AD18" s="144">
        <f t="shared" si="18"/>
        <v>1.1078465049364664E-2</v>
      </c>
      <c r="AE18" s="144">
        <f t="shared" si="19"/>
        <v>0.27839945661961657</v>
      </c>
      <c r="AF18" s="145">
        <f t="shared" si="20"/>
        <v>3.5578160921699402E-2</v>
      </c>
      <c r="AG18" s="145">
        <f t="shared" si="21"/>
        <v>1.1998209221881277</v>
      </c>
      <c r="AH18" s="146">
        <f t="shared" si="22"/>
        <v>1.0700198773443428</v>
      </c>
      <c r="AI18" s="146">
        <f t="shared" si="23"/>
        <v>36.084839765056472</v>
      </c>
      <c r="AJ18" s="147">
        <f t="shared" si="24"/>
        <v>33.723522832692218</v>
      </c>
      <c r="AK18" s="148">
        <f t="shared" si="25"/>
        <v>-1.9192508826014902</v>
      </c>
      <c r="AL18" s="148">
        <f t="shared" si="26"/>
        <v>-28.576389319475208</v>
      </c>
      <c r="AM18" s="149">
        <v>0.36599999999999999</v>
      </c>
      <c r="AN18" s="150">
        <f t="shared" si="27"/>
        <v>-1.9192508826014902</v>
      </c>
      <c r="AO18" s="151">
        <f t="shared" si="28"/>
        <v>0.36555328852615532</v>
      </c>
      <c r="AP18" s="152">
        <f t="shared" si="29"/>
        <v>-4.4671147384467425E-4</v>
      </c>
      <c r="AQ18" s="152">
        <f t="shared" si="30"/>
        <v>10.700198773443429</v>
      </c>
      <c r="AR18" s="153">
        <f t="shared" si="31"/>
        <v>-4.7799015645158906E-2</v>
      </c>
      <c r="AS18" s="153">
        <f t="shared" si="32"/>
        <v>-4.4671147384467425</v>
      </c>
      <c r="AT18" s="149">
        <v>1.077</v>
      </c>
      <c r="AU18" s="150">
        <f t="shared" si="33"/>
        <v>-28.576389319475208</v>
      </c>
      <c r="AV18" s="150">
        <f t="shared" si="13"/>
        <v>1.079801717666995</v>
      </c>
      <c r="AW18" s="154">
        <f t="shared" si="34"/>
        <v>2.8017176669949961E-3</v>
      </c>
      <c r="AX18" s="154">
        <f t="shared" si="35"/>
        <v>360.84839765056472</v>
      </c>
      <c r="AY18" s="154">
        <f t="shared" si="36"/>
        <v>10.109953308044229</v>
      </c>
      <c r="AZ18" s="154">
        <f t="shared" si="37"/>
        <v>28.017176669949961</v>
      </c>
    </row>
    <row r="19" spans="1:52" ht="18" x14ac:dyDescent="0.25">
      <c r="A19" s="104">
        <v>16</v>
      </c>
      <c r="B19">
        <v>1</v>
      </c>
      <c r="C19" t="s">
        <v>464</v>
      </c>
      <c r="D19" t="s">
        <v>32</v>
      </c>
      <c r="E19" t="s">
        <v>465</v>
      </c>
      <c r="F19">
        <v>1</v>
      </c>
      <c r="G19" t="s">
        <v>45</v>
      </c>
      <c r="H19">
        <v>4.069</v>
      </c>
      <c r="Q19" s="141">
        <v>395</v>
      </c>
      <c r="R19" s="141" t="s">
        <v>208</v>
      </c>
      <c r="S19" s="141">
        <v>4.6504845000000001</v>
      </c>
      <c r="T19" s="141">
        <v>-9.2464999512828494E-2</v>
      </c>
      <c r="U19" s="141">
        <v>5.0026365000000004</v>
      </c>
      <c r="V19" s="141">
        <v>-28.839168650690649</v>
      </c>
      <c r="W19" s="142">
        <v>4.069</v>
      </c>
      <c r="X19" s="143">
        <v>7.0035672500000006</v>
      </c>
      <c r="Y19" s="143">
        <v>1.9166458325792195</v>
      </c>
      <c r="Z19" s="143">
        <v>4.5470909062499993</v>
      </c>
      <c r="AA19" s="143">
        <v>-25.930204084925705</v>
      </c>
      <c r="AB19" s="143">
        <v>2.7513749999999999</v>
      </c>
      <c r="AC19" s="143">
        <v>2.7513749999999999</v>
      </c>
      <c r="AD19" s="144">
        <f t="shared" si="18"/>
        <v>1.1078465049364664E-2</v>
      </c>
      <c r="AE19" s="144">
        <f t="shared" si="19"/>
        <v>0.27839945661961657</v>
      </c>
      <c r="AF19" s="145">
        <f t="shared" si="20"/>
        <v>5.1520229995862109E-2</v>
      </c>
      <c r="AG19" s="145">
        <f t="shared" si="21"/>
        <v>1.3927312832654606</v>
      </c>
      <c r="AH19" s="146">
        <f t="shared" si="22"/>
        <v>1.2661644137592063</v>
      </c>
      <c r="AI19" s="146">
        <f t="shared" si="23"/>
        <v>34.227851640832164</v>
      </c>
      <c r="AJ19" s="147">
        <f t="shared" si="24"/>
        <v>27.03270702357732</v>
      </c>
      <c r="AK19" s="148">
        <f t="shared" si="25"/>
        <v>-2.9110832092048011E-2</v>
      </c>
      <c r="AL19" s="148">
        <f t="shared" si="26"/>
        <v>-28.938964565764945</v>
      </c>
      <c r="AM19" s="149">
        <v>0.36599999999999999</v>
      </c>
      <c r="AN19" s="150">
        <f t="shared" si="27"/>
        <v>-2.9110832092048011E-2</v>
      </c>
      <c r="AO19" s="151">
        <f t="shared" si="28"/>
        <v>0.36624302867689285</v>
      </c>
      <c r="AP19" s="152">
        <f t="shared" si="29"/>
        <v>2.4302867689285357E-4</v>
      </c>
      <c r="AQ19" s="152">
        <f t="shared" si="30"/>
        <v>12.661644137592063</v>
      </c>
      <c r="AR19" s="153">
        <f t="shared" si="31"/>
        <v>3.0771426220471555E-2</v>
      </c>
      <c r="AS19" s="153">
        <f t="shared" si="32"/>
        <v>2.4302867689285357</v>
      </c>
      <c r="AT19" s="149">
        <v>1.077</v>
      </c>
      <c r="AU19" s="150">
        <f t="shared" si="33"/>
        <v>-28.938964565764945</v>
      </c>
      <c r="AV19" s="150">
        <f t="shared" si="13"/>
        <v>1.0794030415329365</v>
      </c>
      <c r="AW19" s="154">
        <f t="shared" si="34"/>
        <v>2.4030415329365784E-3</v>
      </c>
      <c r="AX19" s="154">
        <f t="shared" si="35"/>
        <v>342.27851640832165</v>
      </c>
      <c r="AY19" s="154">
        <f t="shared" si="36"/>
        <v>8.2250949076111102</v>
      </c>
      <c r="AZ19" s="154">
        <f t="shared" si="37"/>
        <v>24.030415329365784</v>
      </c>
    </row>
    <row r="20" spans="1:52" ht="18" x14ac:dyDescent="0.25">
      <c r="A20" s="104">
        <v>17</v>
      </c>
      <c r="B20">
        <v>1</v>
      </c>
      <c r="C20" t="s">
        <v>456</v>
      </c>
      <c r="D20" t="s">
        <v>44</v>
      </c>
      <c r="E20" t="s">
        <v>466</v>
      </c>
      <c r="F20">
        <v>1</v>
      </c>
      <c r="G20" t="s">
        <v>46</v>
      </c>
      <c r="H20">
        <v>3.59</v>
      </c>
      <c r="Q20" s="155">
        <v>396</v>
      </c>
      <c r="R20" s="155" t="s">
        <v>209</v>
      </c>
      <c r="S20" s="155">
        <v>12.711607000000001</v>
      </c>
      <c r="T20" s="155">
        <v>-1.2505555797070078</v>
      </c>
      <c r="U20" s="155">
        <v>4.8265779999999996</v>
      </c>
      <c r="V20" s="155">
        <v>-23.107340938460698</v>
      </c>
      <c r="W20" s="142">
        <v>3.59</v>
      </c>
      <c r="X20" s="143">
        <v>7.0035672500000006</v>
      </c>
      <c r="Y20" s="143">
        <v>1.9166458325792195</v>
      </c>
      <c r="Z20" s="143">
        <v>4.5470909062499993</v>
      </c>
      <c r="AA20" s="143">
        <v>-25.930204084925705</v>
      </c>
      <c r="AB20" s="143">
        <v>2.7513749999999999</v>
      </c>
      <c r="AC20" s="143">
        <v>2.7513749999999999</v>
      </c>
      <c r="AD20" s="144">
        <f t="shared" si="18"/>
        <v>1.1078465049364664E-2</v>
      </c>
      <c r="AE20" s="144">
        <f t="shared" si="19"/>
        <v>0.27839945661961657</v>
      </c>
      <c r="AF20" s="145">
        <f t="shared" si="20"/>
        <v>0.14082509387075923</v>
      </c>
      <c r="AG20" s="145">
        <f t="shared" si="21"/>
        <v>1.3437166925321955</v>
      </c>
      <c r="AH20" s="146">
        <f t="shared" si="22"/>
        <v>3.922704564645104</v>
      </c>
      <c r="AI20" s="146">
        <f t="shared" si="23"/>
        <v>37.429434332373134</v>
      </c>
      <c r="AJ20" s="147">
        <f t="shared" si="24"/>
        <v>9.5417418557901161</v>
      </c>
      <c r="AK20" s="148">
        <f t="shared" si="25"/>
        <v>-1.1872014122862273</v>
      </c>
      <c r="AL20" s="148">
        <f t="shared" si="26"/>
        <v>-23.207136853534994</v>
      </c>
      <c r="AM20" s="149">
        <v>0.36599999999999999</v>
      </c>
      <c r="AN20" s="150">
        <f t="shared" si="27"/>
        <v>-1.1872014122862273</v>
      </c>
      <c r="AO20" s="151">
        <f t="shared" si="28"/>
        <v>0.36582042537325571</v>
      </c>
      <c r="AP20" s="152">
        <f t="shared" si="29"/>
        <v>-1.7957462674428326E-4</v>
      </c>
      <c r="AQ20" s="152">
        <f t="shared" si="30"/>
        <v>39.227045646451039</v>
      </c>
      <c r="AR20" s="153">
        <f t="shared" si="31"/>
        <v>-7.0441820802424074E-2</v>
      </c>
      <c r="AS20" s="153">
        <f t="shared" si="32"/>
        <v>-1.7957462674428326</v>
      </c>
      <c r="AT20" s="149">
        <v>1.077</v>
      </c>
      <c r="AU20" s="150">
        <f t="shared" si="33"/>
        <v>-23.207136853534994</v>
      </c>
      <c r="AV20" s="150">
        <f t="shared" si="13"/>
        <v>1.0857051996675515</v>
      </c>
      <c r="AW20" s="154">
        <f t="shared" si="34"/>
        <v>8.7051996675515664E-3</v>
      </c>
      <c r="AX20" s="154">
        <f t="shared" si="35"/>
        <v>374.29434332373137</v>
      </c>
      <c r="AY20" s="154">
        <f t="shared" si="36"/>
        <v>32.583069930681781</v>
      </c>
      <c r="AZ20" s="154">
        <f t="shared" si="37"/>
        <v>87.051996675515667</v>
      </c>
    </row>
    <row r="21" spans="1:52" ht="18" x14ac:dyDescent="0.25">
      <c r="A21" s="104">
        <v>18</v>
      </c>
      <c r="B21">
        <v>1</v>
      </c>
      <c r="C21" t="s">
        <v>461</v>
      </c>
      <c r="D21" t="s">
        <v>52</v>
      </c>
      <c r="E21" t="s">
        <v>466</v>
      </c>
      <c r="F21">
        <v>1</v>
      </c>
      <c r="G21" t="s">
        <v>47</v>
      </c>
      <c r="H21">
        <v>3.286</v>
      </c>
      <c r="Q21" s="141">
        <v>397</v>
      </c>
      <c r="R21" s="141" t="s">
        <v>210</v>
      </c>
      <c r="S21" s="141">
        <v>11.430543</v>
      </c>
      <c r="T21" s="141">
        <v>-0.18464537731087971</v>
      </c>
      <c r="U21" s="141">
        <v>4.662102</v>
      </c>
      <c r="V21" s="141">
        <v>-24.776167822747418</v>
      </c>
      <c r="W21" s="142">
        <v>3.286</v>
      </c>
      <c r="X21" s="143">
        <v>7.0035672500000006</v>
      </c>
      <c r="Y21" s="143">
        <v>1.9166458325792195</v>
      </c>
      <c r="Z21" s="143">
        <v>4.5470909062499993</v>
      </c>
      <c r="AA21" s="143">
        <v>-25.930204084925705</v>
      </c>
      <c r="AB21" s="143">
        <v>2.7513749999999999</v>
      </c>
      <c r="AC21" s="143">
        <v>2.7513749999999999</v>
      </c>
      <c r="AD21" s="144">
        <f t="shared" si="18"/>
        <v>1.1078465049364664E-2</v>
      </c>
      <c r="AE21" s="144">
        <f t="shared" si="19"/>
        <v>0.27839945661961657</v>
      </c>
      <c r="AF21" s="145">
        <f t="shared" si="20"/>
        <v>0.12663287112075991</v>
      </c>
      <c r="AG21" s="145">
        <f t="shared" si="21"/>
        <v>1.2979266635052276</v>
      </c>
      <c r="AH21" s="146">
        <f t="shared" si="22"/>
        <v>3.8537087985623835</v>
      </c>
      <c r="AI21" s="146">
        <f t="shared" si="23"/>
        <v>39.498681177882759</v>
      </c>
      <c r="AJ21" s="147">
        <f t="shared" si="24"/>
        <v>10.249524092899197</v>
      </c>
      <c r="AK21" s="148">
        <f t="shared" si="25"/>
        <v>-0.12129120989009923</v>
      </c>
      <c r="AL21" s="148">
        <f t="shared" si="26"/>
        <v>-24.875963737821714</v>
      </c>
      <c r="AM21" s="149">
        <v>0.36599999999999999</v>
      </c>
      <c r="AN21" s="150">
        <f t="shared" si="27"/>
        <v>-0.12129120989009923</v>
      </c>
      <c r="AO21" s="151">
        <f t="shared" si="28"/>
        <v>0.36620939091075128</v>
      </c>
      <c r="AP21" s="152">
        <f t="shared" si="29"/>
        <v>2.0939091075128369E-4</v>
      </c>
      <c r="AQ21" s="152">
        <f t="shared" si="30"/>
        <v>38.537087985623835</v>
      </c>
      <c r="AR21" s="153">
        <f t="shared" si="31"/>
        <v>8.0693159510121279E-2</v>
      </c>
      <c r="AS21" s="153">
        <f t="shared" si="32"/>
        <v>2.0939091075128369</v>
      </c>
      <c r="AT21" s="149">
        <v>1.077</v>
      </c>
      <c r="AU21" s="150">
        <f t="shared" si="33"/>
        <v>-24.875963737821714</v>
      </c>
      <c r="AV21" s="150">
        <f t="shared" si="13"/>
        <v>1.0838704034239497</v>
      </c>
      <c r="AW21" s="154">
        <f t="shared" si="34"/>
        <v>6.8704034239497336E-3</v>
      </c>
      <c r="AX21" s="154">
        <f t="shared" si="35"/>
        <v>394.98681177882759</v>
      </c>
      <c r="AY21" s="154">
        <f t="shared" si="36"/>
        <v>27.137187440602457</v>
      </c>
      <c r="AZ21" s="154">
        <f t="shared" si="37"/>
        <v>68.704034239497332</v>
      </c>
    </row>
    <row r="22" spans="1:52" ht="18" x14ac:dyDescent="0.25">
      <c r="A22" s="104">
        <v>19</v>
      </c>
      <c r="B22">
        <v>1</v>
      </c>
      <c r="C22" t="s">
        <v>462</v>
      </c>
      <c r="D22" t="s">
        <v>40</v>
      </c>
      <c r="E22" t="s">
        <v>466</v>
      </c>
      <c r="F22">
        <v>1</v>
      </c>
      <c r="G22" t="s">
        <v>49</v>
      </c>
      <c r="H22">
        <v>3.7509999999999999</v>
      </c>
      <c r="Q22" s="155">
        <v>398</v>
      </c>
      <c r="R22" s="155" t="s">
        <v>211</v>
      </c>
      <c r="S22" s="155">
        <v>11.291364</v>
      </c>
      <c r="T22" s="155">
        <v>-0.61847846575548704</v>
      </c>
      <c r="U22" s="155">
        <v>5.2669255000000001</v>
      </c>
      <c r="V22" s="155">
        <v>-24.035243773732233</v>
      </c>
      <c r="W22" s="142">
        <v>3.7509999999999999</v>
      </c>
      <c r="X22" s="143">
        <v>7.0035672500000006</v>
      </c>
      <c r="Y22" s="143">
        <v>1.9166458325792195</v>
      </c>
      <c r="Z22" s="143">
        <v>4.5470909062499993</v>
      </c>
      <c r="AA22" s="143">
        <v>-25.930204084925705</v>
      </c>
      <c r="AB22" s="143">
        <v>2.7513749999999999</v>
      </c>
      <c r="AC22" s="143">
        <v>2.7513749999999999</v>
      </c>
      <c r="AD22" s="144">
        <f t="shared" si="18"/>
        <v>1.1078465049364664E-2</v>
      </c>
      <c r="AE22" s="144">
        <f t="shared" si="19"/>
        <v>0.27839945661961657</v>
      </c>
      <c r="AF22" s="145">
        <f t="shared" si="20"/>
        <v>0.12509098143365438</v>
      </c>
      <c r="AG22" s="145">
        <f t="shared" si="21"/>
        <v>1.4663091972560023</v>
      </c>
      <c r="AH22" s="146">
        <f t="shared" si="22"/>
        <v>3.3348702061758035</v>
      </c>
      <c r="AI22" s="146">
        <f t="shared" si="23"/>
        <v>39.091154285683878</v>
      </c>
      <c r="AJ22" s="147">
        <f t="shared" si="24"/>
        <v>11.72194174552625</v>
      </c>
      <c r="AK22" s="148">
        <f t="shared" si="25"/>
        <v>-0.55512429833470656</v>
      </c>
      <c r="AL22" s="148">
        <f t="shared" si="26"/>
        <v>-24.135039688806529</v>
      </c>
      <c r="AM22" s="149">
        <v>0.36599999999999999</v>
      </c>
      <c r="AN22" s="150">
        <f t="shared" si="27"/>
        <v>-0.55512429833470656</v>
      </c>
      <c r="AO22" s="151">
        <f t="shared" si="28"/>
        <v>0.36605107951697552</v>
      </c>
      <c r="AP22" s="152">
        <f t="shared" si="29"/>
        <v>5.1079516975527373E-5</v>
      </c>
      <c r="AQ22" s="152">
        <f t="shared" si="30"/>
        <v>33.348702061758033</v>
      </c>
      <c r="AR22" s="153">
        <f t="shared" si="31"/>
        <v>1.7034355930753742E-2</v>
      </c>
      <c r="AS22" s="153">
        <f t="shared" si="32"/>
        <v>0.51079516975527373</v>
      </c>
      <c r="AT22" s="149">
        <v>1.077</v>
      </c>
      <c r="AU22" s="150">
        <f t="shared" si="33"/>
        <v>-24.135039688806529</v>
      </c>
      <c r="AV22" s="150">
        <f t="shared" si="13"/>
        <v>1.0846850227806333</v>
      </c>
      <c r="AW22" s="154">
        <f t="shared" si="34"/>
        <v>7.6850227806333216E-3</v>
      </c>
      <c r="AX22" s="154">
        <f t="shared" si="35"/>
        <v>390.91154285683882</v>
      </c>
      <c r="AY22" s="154">
        <f t="shared" si="36"/>
        <v>30.041641120673255</v>
      </c>
      <c r="AZ22" s="154">
        <f t="shared" si="37"/>
        <v>76.850227806333208</v>
      </c>
    </row>
    <row r="23" spans="1:52" ht="18" x14ac:dyDescent="0.25">
      <c r="A23" s="104">
        <v>20</v>
      </c>
      <c r="B23">
        <v>1</v>
      </c>
      <c r="C23" t="s">
        <v>463</v>
      </c>
      <c r="D23" t="s">
        <v>48</v>
      </c>
      <c r="E23" t="s">
        <v>466</v>
      </c>
      <c r="F23">
        <v>1</v>
      </c>
      <c r="G23" t="s">
        <v>50</v>
      </c>
      <c r="H23">
        <v>3.5920000000000001</v>
      </c>
      <c r="Q23" s="141">
        <v>399</v>
      </c>
      <c r="R23" s="141" t="s">
        <v>212</v>
      </c>
      <c r="S23" s="141">
        <v>9.7972909999999995</v>
      </c>
      <c r="T23" s="141">
        <v>-0.73810354326747929</v>
      </c>
      <c r="U23" s="141">
        <v>5.0038200000000002</v>
      </c>
      <c r="V23" s="141">
        <v>-27.027840124136137</v>
      </c>
      <c r="W23" s="142">
        <v>3.5920000000000001</v>
      </c>
      <c r="X23" s="143">
        <v>7.0035672500000006</v>
      </c>
      <c r="Y23" s="143">
        <v>1.9166458325792195</v>
      </c>
      <c r="Z23" s="143">
        <v>4.5470909062499993</v>
      </c>
      <c r="AA23" s="143">
        <v>-25.930204084925705</v>
      </c>
      <c r="AB23" s="143">
        <v>2.7513749999999999</v>
      </c>
      <c r="AC23" s="143">
        <v>2.7513749999999999</v>
      </c>
      <c r="AD23" s="144">
        <f t="shared" si="18"/>
        <v>1.1078465049364664E-2</v>
      </c>
      <c r="AE23" s="144">
        <f t="shared" si="19"/>
        <v>0.27839945661961657</v>
      </c>
      <c r="AF23" s="145">
        <f t="shared" si="20"/>
        <v>0.10853894592195498</v>
      </c>
      <c r="AG23" s="145">
        <f t="shared" si="21"/>
        <v>1.3930607690223697</v>
      </c>
      <c r="AH23" s="146">
        <f t="shared" si="22"/>
        <v>3.0216855768918425</v>
      </c>
      <c r="AI23" s="146">
        <f t="shared" si="23"/>
        <v>38.782315395945709</v>
      </c>
      <c r="AJ23" s="147">
        <f t="shared" si="24"/>
        <v>12.834662776475195</v>
      </c>
      <c r="AK23" s="148">
        <f t="shared" si="25"/>
        <v>-0.67474937584669881</v>
      </c>
      <c r="AL23" s="148">
        <f t="shared" si="26"/>
        <v>-27.127636039210433</v>
      </c>
      <c r="AM23" s="149">
        <v>0.36599999999999999</v>
      </c>
      <c r="AN23" s="150">
        <f t="shared" si="27"/>
        <v>-0.67474937584669881</v>
      </c>
      <c r="AO23" s="151">
        <f t="shared" si="28"/>
        <v>0.36600742666604158</v>
      </c>
      <c r="AP23" s="152">
        <f t="shared" si="29"/>
        <v>7.426666041587815E-6</v>
      </c>
      <c r="AQ23" s="152">
        <f t="shared" si="30"/>
        <v>30.216855768918428</v>
      </c>
      <c r="AR23" s="153">
        <f t="shared" si="31"/>
        <v>2.2441049662258335E-3</v>
      </c>
      <c r="AS23" s="153">
        <f t="shared" si="32"/>
        <v>7.426666041587815E-2</v>
      </c>
      <c r="AT23" s="149">
        <v>1.077</v>
      </c>
      <c r="AU23" s="150">
        <f t="shared" si="33"/>
        <v>-27.127636039210433</v>
      </c>
      <c r="AV23" s="150">
        <f t="shared" si="13"/>
        <v>1.0813946883232861</v>
      </c>
      <c r="AW23" s="154">
        <f t="shared" si="34"/>
        <v>4.3946883232861556E-3</v>
      </c>
      <c r="AX23" s="154">
        <f t="shared" si="35"/>
        <v>387.8231539594571</v>
      </c>
      <c r="AY23" s="154">
        <f t="shared" si="36"/>
        <v>17.043618862056348</v>
      </c>
      <c r="AZ23" s="154">
        <f t="shared" si="37"/>
        <v>43.946883232861552</v>
      </c>
    </row>
    <row r="24" spans="1:52" ht="18" x14ac:dyDescent="0.25">
      <c r="A24" s="104">
        <v>21</v>
      </c>
      <c r="B24">
        <v>1</v>
      </c>
      <c r="C24" t="s">
        <v>456</v>
      </c>
      <c r="D24" t="s">
        <v>44</v>
      </c>
      <c r="E24" t="s">
        <v>467</v>
      </c>
      <c r="F24">
        <v>1</v>
      </c>
      <c r="G24" t="s">
        <v>51</v>
      </c>
      <c r="H24">
        <v>3.3820000000000001</v>
      </c>
      <c r="Q24" s="155">
        <v>400</v>
      </c>
      <c r="R24" s="155" t="s">
        <v>213</v>
      </c>
      <c r="S24" s="155">
        <v>3.9152372500000001</v>
      </c>
      <c r="T24" s="155">
        <v>0.46263166888269591</v>
      </c>
      <c r="U24" s="155">
        <v>4.6835069999999996</v>
      </c>
      <c r="V24" s="155">
        <v>-28.176012011152228</v>
      </c>
      <c r="W24" s="142">
        <v>3.3820000000000001</v>
      </c>
      <c r="X24" s="143">
        <v>7.0035672500000006</v>
      </c>
      <c r="Y24" s="143">
        <v>1.9166458325792195</v>
      </c>
      <c r="Z24" s="143">
        <v>4.5470909062499993</v>
      </c>
      <c r="AA24" s="143">
        <v>-25.930204084925705</v>
      </c>
      <c r="AB24" s="143">
        <v>2.7513749999999999</v>
      </c>
      <c r="AC24" s="143">
        <v>2.7513749999999999</v>
      </c>
      <c r="AD24" s="144">
        <f t="shared" si="18"/>
        <v>1.1078465049364664E-2</v>
      </c>
      <c r="AE24" s="144">
        <f t="shared" si="19"/>
        <v>0.27839945661961657</v>
      </c>
      <c r="AF24" s="145">
        <f t="shared" si="20"/>
        <v>4.3374819034095624E-2</v>
      </c>
      <c r="AG24" s="145">
        <f t="shared" si="21"/>
        <v>1.3038858038741705</v>
      </c>
      <c r="AH24" s="146">
        <f t="shared" si="22"/>
        <v>1.2825197822027092</v>
      </c>
      <c r="AI24" s="146">
        <f t="shared" si="23"/>
        <v>38.55369023873952</v>
      </c>
      <c r="AJ24" s="147">
        <f t="shared" si="24"/>
        <v>30.060893230453033</v>
      </c>
      <c r="AK24" s="148">
        <f t="shared" si="25"/>
        <v>0.5259858363034764</v>
      </c>
      <c r="AL24" s="148">
        <f t="shared" si="26"/>
        <v>-28.275807926226523</v>
      </c>
      <c r="AM24" s="149">
        <v>0.36599999999999999</v>
      </c>
      <c r="AN24" s="150">
        <f t="shared" si="27"/>
        <v>0.5259858363034764</v>
      </c>
      <c r="AO24" s="151">
        <f t="shared" si="28"/>
        <v>0.3664455898737306</v>
      </c>
      <c r="AP24" s="152">
        <f t="shared" si="29"/>
        <v>4.4558987373061187E-4</v>
      </c>
      <c r="AQ24" s="152">
        <f t="shared" si="30"/>
        <v>12.825197822027091</v>
      </c>
      <c r="AR24" s="153">
        <f t="shared" si="31"/>
        <v>5.7147782780871695E-2</v>
      </c>
      <c r="AS24" s="153">
        <f t="shared" si="32"/>
        <v>4.4558987373061187</v>
      </c>
      <c r="AT24" s="149">
        <v>1.077</v>
      </c>
      <c r="AU24" s="150">
        <f t="shared" si="33"/>
        <v>-28.275807926226523</v>
      </c>
      <c r="AV24" s="150">
        <f t="shared" si="13"/>
        <v>1.0801322249084779</v>
      </c>
      <c r="AW24" s="154">
        <f t="shared" si="34"/>
        <v>3.1322249084779763E-3</v>
      </c>
      <c r="AX24" s="154">
        <f t="shared" si="35"/>
        <v>385.53690238739517</v>
      </c>
      <c r="AY24" s="154">
        <f t="shared" si="36"/>
        <v>12.075882887952412</v>
      </c>
      <c r="AZ24" s="154">
        <f t="shared" si="37"/>
        <v>31.322249084779763</v>
      </c>
    </row>
    <row r="25" spans="1:52" ht="18" x14ac:dyDescent="0.25">
      <c r="A25" s="104">
        <v>22</v>
      </c>
      <c r="B25">
        <v>1</v>
      </c>
      <c r="C25" t="s">
        <v>458</v>
      </c>
      <c r="D25" t="s">
        <v>36</v>
      </c>
      <c r="E25" t="s">
        <v>467</v>
      </c>
      <c r="F25">
        <v>1</v>
      </c>
      <c r="G25" t="s">
        <v>53</v>
      </c>
      <c r="H25">
        <v>3.3530000000000002</v>
      </c>
      <c r="Q25" s="141">
        <v>401</v>
      </c>
      <c r="R25" s="141" t="s">
        <v>214</v>
      </c>
      <c r="S25" s="141">
        <v>4.0374619999999997</v>
      </c>
      <c r="T25" s="141">
        <v>-0.19944403979066661</v>
      </c>
      <c r="U25" s="141">
        <v>4.6659404999999996</v>
      </c>
      <c r="V25" s="141">
        <v>-28.415339530544337</v>
      </c>
      <c r="W25" s="142">
        <v>3.3530000000000002</v>
      </c>
      <c r="X25" s="143">
        <v>7.0035672500000006</v>
      </c>
      <c r="Y25" s="143">
        <v>1.9166458325792195</v>
      </c>
      <c r="Z25" s="143">
        <v>4.5470909062499993</v>
      </c>
      <c r="AA25" s="143">
        <v>-25.930204084925705</v>
      </c>
      <c r="AB25" s="143">
        <v>2.7513749999999999</v>
      </c>
      <c r="AC25" s="143">
        <v>2.7513749999999999</v>
      </c>
      <c r="AD25" s="144">
        <f t="shared" si="18"/>
        <v>1.1078465049364664E-2</v>
      </c>
      <c r="AE25" s="144">
        <f t="shared" si="19"/>
        <v>0.27839945661961657</v>
      </c>
      <c r="AF25" s="145">
        <f t="shared" si="20"/>
        <v>4.4728881655137956E-2</v>
      </c>
      <c r="AG25" s="145">
        <f t="shared" si="21"/>
        <v>1.298995299819462</v>
      </c>
      <c r="AH25" s="146">
        <f t="shared" si="22"/>
        <v>1.333995873997553</v>
      </c>
      <c r="AI25" s="146">
        <f t="shared" si="23"/>
        <v>38.741285410660964</v>
      </c>
      <c r="AJ25" s="147">
        <f t="shared" si="24"/>
        <v>29.041533160493135</v>
      </c>
      <c r="AK25" s="148">
        <f t="shared" si="25"/>
        <v>-0.13608987236988612</v>
      </c>
      <c r="AL25" s="148">
        <f t="shared" si="26"/>
        <v>-28.515135445618633</v>
      </c>
      <c r="AM25" s="149">
        <v>0.36599999999999999</v>
      </c>
      <c r="AN25" s="150">
        <f t="shared" si="27"/>
        <v>-0.13608987236988612</v>
      </c>
      <c r="AO25" s="151">
        <f t="shared" si="28"/>
        <v>0.3662039906926719</v>
      </c>
      <c r="AP25" s="152">
        <f t="shared" si="29"/>
        <v>2.0399069267190706E-4</v>
      </c>
      <c r="AQ25" s="152">
        <f t="shared" si="30"/>
        <v>13.339958739975529</v>
      </c>
      <c r="AR25" s="153">
        <f t="shared" si="31"/>
        <v>2.7212274235822686E-2</v>
      </c>
      <c r="AS25" s="153">
        <f t="shared" si="32"/>
        <v>2.0399069267190706</v>
      </c>
      <c r="AT25" s="149">
        <v>1.077</v>
      </c>
      <c r="AU25" s="150">
        <f t="shared" si="33"/>
        <v>-28.515135445618633</v>
      </c>
      <c r="AV25" s="150">
        <f t="shared" si="13"/>
        <v>1.0798690701485198</v>
      </c>
      <c r="AW25" s="154">
        <f t="shared" si="34"/>
        <v>2.8690701485198922E-3</v>
      </c>
      <c r="AX25" s="154">
        <f t="shared" si="35"/>
        <v>387.41285410660964</v>
      </c>
      <c r="AY25" s="154">
        <f t="shared" si="36"/>
        <v>11.115146548701658</v>
      </c>
      <c r="AZ25" s="154">
        <f t="shared" si="37"/>
        <v>28.690701485198922</v>
      </c>
    </row>
    <row r="26" spans="1:52" ht="18" x14ac:dyDescent="0.25">
      <c r="A26" s="104">
        <v>23</v>
      </c>
      <c r="B26">
        <v>1</v>
      </c>
      <c r="C26" t="s">
        <v>459</v>
      </c>
      <c r="D26" t="s">
        <v>28</v>
      </c>
      <c r="E26" t="s">
        <v>467</v>
      </c>
      <c r="F26">
        <v>1</v>
      </c>
      <c r="G26" t="s">
        <v>54</v>
      </c>
      <c r="H26">
        <v>3.778</v>
      </c>
      <c r="Q26" s="155">
        <v>402</v>
      </c>
      <c r="R26" s="155" t="s">
        <v>215</v>
      </c>
      <c r="S26" s="155">
        <v>5.7767445000000004</v>
      </c>
      <c r="T26" s="155">
        <v>0.2153427458252366</v>
      </c>
      <c r="U26" s="155">
        <v>5.0716150000000004</v>
      </c>
      <c r="V26" s="155">
        <v>-29.050422239947551</v>
      </c>
      <c r="W26" s="142">
        <v>3.778</v>
      </c>
      <c r="X26" s="143">
        <v>7.0035672500000006</v>
      </c>
      <c r="Y26" s="143">
        <v>1.9166458325792195</v>
      </c>
      <c r="Z26" s="143">
        <v>4.5470909062499993</v>
      </c>
      <c r="AA26" s="143">
        <v>-25.930204084925705</v>
      </c>
      <c r="AB26" s="143">
        <v>2.7513749999999999</v>
      </c>
      <c r="AC26" s="143">
        <v>2.7513749999999999</v>
      </c>
      <c r="AD26" s="144">
        <f t="shared" si="18"/>
        <v>1.1078465049364664E-2</v>
      </c>
      <c r="AE26" s="144">
        <f t="shared" si="19"/>
        <v>0.27839945661961657</v>
      </c>
      <c r="AF26" s="145">
        <f t="shared" si="20"/>
        <v>6.3997462042359551E-2</v>
      </c>
      <c r="AG26" s="145">
        <f t="shared" si="21"/>
        <v>1.4119348601838968</v>
      </c>
      <c r="AH26" s="146">
        <f t="shared" si="22"/>
        <v>1.6939508216611845</v>
      </c>
      <c r="AI26" s="146">
        <f t="shared" si="23"/>
        <v>37.372547913814103</v>
      </c>
      <c r="AJ26" s="147">
        <f t="shared" si="24"/>
        <v>22.062357086119217</v>
      </c>
      <c r="AK26" s="148">
        <f t="shared" si="25"/>
        <v>0.27869691324601709</v>
      </c>
      <c r="AL26" s="148">
        <f t="shared" si="26"/>
        <v>-29.150218155021847</v>
      </c>
      <c r="AM26" s="149">
        <v>0.36599999999999999</v>
      </c>
      <c r="AN26" s="150">
        <f t="shared" si="27"/>
        <v>0.27869691324601709</v>
      </c>
      <c r="AO26" s="151">
        <f t="shared" si="28"/>
        <v>0.36635535138627312</v>
      </c>
      <c r="AP26" s="152">
        <f t="shared" si="29"/>
        <v>3.5535138627312834E-4</v>
      </c>
      <c r="AQ26" s="152">
        <f t="shared" si="30"/>
        <v>16.939508216611845</v>
      </c>
      <c r="AR26" s="153">
        <f t="shared" si="31"/>
        <v>6.0194777275580667E-2</v>
      </c>
      <c r="AS26" s="153">
        <f t="shared" si="32"/>
        <v>3.5535138627312834</v>
      </c>
      <c r="AT26" s="149">
        <v>1.077</v>
      </c>
      <c r="AU26" s="150">
        <f t="shared" si="33"/>
        <v>-29.150218155021847</v>
      </c>
      <c r="AV26" s="150">
        <f t="shared" si="13"/>
        <v>1.0791707523671876</v>
      </c>
      <c r="AW26" s="154">
        <f t="shared" si="34"/>
        <v>2.1707523671876672E-3</v>
      </c>
      <c r="AX26" s="154">
        <f t="shared" si="35"/>
        <v>373.72547913814105</v>
      </c>
      <c r="AY26" s="154">
        <f t="shared" si="36"/>
        <v>8.1126546851746486</v>
      </c>
      <c r="AZ26" s="154">
        <f t="shared" si="37"/>
        <v>21.707523671876675</v>
      </c>
    </row>
    <row r="27" spans="1:52" ht="18" x14ac:dyDescent="0.25">
      <c r="A27" s="104">
        <v>24</v>
      </c>
      <c r="B27">
        <v>1</v>
      </c>
      <c r="C27" t="s">
        <v>460</v>
      </c>
      <c r="D27" t="s">
        <v>24</v>
      </c>
      <c r="E27" t="s">
        <v>467</v>
      </c>
      <c r="F27">
        <v>1</v>
      </c>
      <c r="G27" t="s">
        <v>55</v>
      </c>
      <c r="H27">
        <v>3.1909999999999998</v>
      </c>
      <c r="Q27" s="141">
        <v>403</v>
      </c>
      <c r="R27" s="141" t="s">
        <v>216</v>
      </c>
      <c r="S27" s="141">
        <v>4.5948465000000001</v>
      </c>
      <c r="T27" s="141">
        <v>1.1453187793284885</v>
      </c>
      <c r="U27" s="141">
        <v>4.2639145000000003</v>
      </c>
      <c r="V27" s="141">
        <v>-27.854099850221491</v>
      </c>
      <c r="W27" s="142">
        <v>3.1909999999999998</v>
      </c>
      <c r="X27" s="143">
        <v>7.0035672500000006</v>
      </c>
      <c r="Y27" s="143">
        <v>1.9166458325792195</v>
      </c>
      <c r="Z27" s="143">
        <v>4.5470909062499993</v>
      </c>
      <c r="AA27" s="143">
        <v>-25.930204084925705</v>
      </c>
      <c r="AB27" s="143">
        <v>2.7513749999999999</v>
      </c>
      <c r="AC27" s="143">
        <v>2.7513749999999999</v>
      </c>
      <c r="AD27" s="144">
        <f t="shared" si="18"/>
        <v>1.1078465049364664E-2</v>
      </c>
      <c r="AE27" s="144">
        <f t="shared" si="19"/>
        <v>0.27839945661961657</v>
      </c>
      <c r="AF27" s="145">
        <f t="shared" si="20"/>
        <v>5.0903846357445555E-2</v>
      </c>
      <c r="AG27" s="145">
        <f t="shared" si="21"/>
        <v>1.1870714798725042</v>
      </c>
      <c r="AH27" s="146">
        <f t="shared" si="22"/>
        <v>1.5952317880741322</v>
      </c>
      <c r="AI27" s="146">
        <f t="shared" si="23"/>
        <v>37.200610462942784</v>
      </c>
      <c r="AJ27" s="147">
        <f t="shared" si="24"/>
        <v>23.319877864177837</v>
      </c>
      <c r="AK27" s="148">
        <f t="shared" si="25"/>
        <v>1.208672946749269</v>
      </c>
      <c r="AL27" s="148">
        <f t="shared" si="26"/>
        <v>-27.953895765295787</v>
      </c>
      <c r="AM27" s="149">
        <v>0.36599999999999999</v>
      </c>
      <c r="AN27" s="150">
        <f t="shared" si="27"/>
        <v>1.208672946749269</v>
      </c>
      <c r="AO27" s="151">
        <f t="shared" si="28"/>
        <v>0.36669470916974606</v>
      </c>
      <c r="AP27" s="152">
        <f t="shared" si="29"/>
        <v>6.9470916974606611E-4</v>
      </c>
      <c r="AQ27" s="152">
        <f t="shared" si="30"/>
        <v>15.952317880741321</v>
      </c>
      <c r="AR27" s="153">
        <f t="shared" si="31"/>
        <v>0.11082221510455129</v>
      </c>
      <c r="AS27" s="153">
        <f t="shared" si="32"/>
        <v>6.9470916974606611</v>
      </c>
      <c r="AT27" s="149">
        <v>1.077</v>
      </c>
      <c r="AU27" s="150">
        <f t="shared" si="33"/>
        <v>-27.953895765295787</v>
      </c>
      <c r="AV27" s="150">
        <f t="shared" si="13"/>
        <v>1.0804861841571742</v>
      </c>
      <c r="AW27" s="154">
        <f t="shared" si="34"/>
        <v>3.4861841571742769E-3</v>
      </c>
      <c r="AX27" s="154">
        <f t="shared" si="35"/>
        <v>372.00610462942785</v>
      </c>
      <c r="AY27" s="154">
        <f t="shared" si="36"/>
        <v>12.96881788331228</v>
      </c>
      <c r="AZ27" s="154">
        <f t="shared" si="37"/>
        <v>34.861841571742772</v>
      </c>
    </row>
    <row r="28" spans="1:52" ht="18" x14ac:dyDescent="0.25">
      <c r="I28" t="s">
        <v>152</v>
      </c>
      <c r="Q28" s="155">
        <v>404</v>
      </c>
      <c r="R28" s="155" t="s">
        <v>217</v>
      </c>
      <c r="S28" s="155">
        <v>6.5610024999999998</v>
      </c>
      <c r="T28" s="155">
        <v>1.9077591148391608</v>
      </c>
      <c r="U28" s="155">
        <v>4.3509405000000001</v>
      </c>
      <c r="V28" s="155">
        <v>-25.939051915755957</v>
      </c>
      <c r="W28" s="155">
        <v>2.6309999999999998</v>
      </c>
      <c r="X28" s="143">
        <v>7.0035672500000006</v>
      </c>
      <c r="Y28" s="143">
        <v>1.9166458325792195</v>
      </c>
      <c r="Z28" s="143">
        <v>4.5470909062499993</v>
      </c>
      <c r="AA28" s="143">
        <v>-25.930204084925705</v>
      </c>
      <c r="AB28" s="143">
        <v>2.7513749999999999</v>
      </c>
      <c r="AC28" s="143">
        <v>2.7513749999999999</v>
      </c>
      <c r="AD28" s="144">
        <f t="shared" si="18"/>
        <v>1.1078465049364664E-2</v>
      </c>
      <c r="AE28" s="144">
        <f t="shared" si="19"/>
        <v>0.27839945661961657</v>
      </c>
      <c r="AF28" s="145">
        <f t="shared" si="20"/>
        <v>7.268583688504418E-2</v>
      </c>
      <c r="AG28" s="145">
        <f t="shared" si="21"/>
        <v>1.2112994709842828</v>
      </c>
      <c r="AH28" s="146">
        <f t="shared" si="22"/>
        <v>2.7626695889412463</v>
      </c>
      <c r="AI28" s="146">
        <f t="shared" si="23"/>
        <v>46.039508589292396</v>
      </c>
      <c r="AJ28" s="147">
        <f t="shared" si="24"/>
        <v>16.664862411916722</v>
      </c>
      <c r="AK28" s="148">
        <f t="shared" si="25"/>
        <v>1.9711132822599413</v>
      </c>
      <c r="AL28" s="148">
        <f t="shared" si="26"/>
        <v>-26.038847830830253</v>
      </c>
      <c r="AM28" s="149">
        <v>0.36599999999999999</v>
      </c>
      <c r="AN28" s="150">
        <f t="shared" si="27"/>
        <v>1.9711132822599413</v>
      </c>
      <c r="AO28" s="151">
        <f t="shared" si="28"/>
        <v>0.36697292973583567</v>
      </c>
      <c r="AP28" s="152">
        <f t="shared" si="29"/>
        <v>9.7292973583568143E-4</v>
      </c>
      <c r="AQ28" s="152">
        <f t="shared" si="30"/>
        <v>27.62669588941246</v>
      </c>
      <c r="AR28" s="153">
        <f t="shared" si="31"/>
        <v>0.2687883393369877</v>
      </c>
      <c r="AS28" s="153">
        <f t="shared" si="32"/>
        <v>9.7292973583568134</v>
      </c>
      <c r="AT28" s="149">
        <v>1.077</v>
      </c>
      <c r="AU28" s="150">
        <f t="shared" si="33"/>
        <v>-26.038847830830253</v>
      </c>
      <c r="AV28" s="150">
        <f t="shared" si="13"/>
        <v>1.0825918271117732</v>
      </c>
      <c r="AW28" s="154">
        <f t="shared" si="34"/>
        <v>5.5918271117731955E-3</v>
      </c>
      <c r="AX28" s="154">
        <f t="shared" si="35"/>
        <v>460.39508589292393</v>
      </c>
      <c r="AY28" s="154">
        <f t="shared" si="36"/>
        <v>25.744497234232011</v>
      </c>
      <c r="AZ28" s="154">
        <f t="shared" si="37"/>
        <v>55.918271117731955</v>
      </c>
    </row>
    <row r="29" spans="1:52" ht="18" x14ac:dyDescent="0.25">
      <c r="A29" s="104">
        <v>25</v>
      </c>
      <c r="B29">
        <v>1</v>
      </c>
      <c r="C29" t="s">
        <v>461</v>
      </c>
      <c r="D29" t="s">
        <v>52</v>
      </c>
      <c r="E29" t="s">
        <v>467</v>
      </c>
      <c r="F29">
        <v>1</v>
      </c>
      <c r="G29" t="s">
        <v>56</v>
      </c>
      <c r="H29">
        <v>3.4830000000000001</v>
      </c>
      <c r="Q29" s="141">
        <v>405</v>
      </c>
      <c r="R29" s="141" t="s">
        <v>218</v>
      </c>
      <c r="S29" s="141">
        <v>3.5702672500000001</v>
      </c>
      <c r="T29" s="141">
        <v>0.31874134945200361</v>
      </c>
      <c r="U29" s="141">
        <v>4.6865765000000001</v>
      </c>
      <c r="V29" s="141">
        <v>-29.173508014205495</v>
      </c>
      <c r="W29" s="142">
        <v>3.4830000000000001</v>
      </c>
      <c r="X29" s="143">
        <v>7.0035672500000006</v>
      </c>
      <c r="Y29" s="143">
        <v>1.9166458325792195</v>
      </c>
      <c r="Z29" s="143">
        <v>4.5470909062499993</v>
      </c>
      <c r="AA29" s="143">
        <v>-25.930204084925705</v>
      </c>
      <c r="AB29" s="143">
        <v>2.7513749999999999</v>
      </c>
      <c r="AC29" s="143">
        <v>2.7513749999999999</v>
      </c>
      <c r="AD29" s="144">
        <f t="shared" si="18"/>
        <v>1.1078465049364664E-2</v>
      </c>
      <c r="AE29" s="144">
        <f t="shared" si="19"/>
        <v>0.27839945661961657</v>
      </c>
      <c r="AF29" s="145">
        <f t="shared" si="20"/>
        <v>3.9553080946016297E-2</v>
      </c>
      <c r="AG29" s="145">
        <f t="shared" si="21"/>
        <v>1.3047403510062645</v>
      </c>
      <c r="AH29" s="146">
        <f t="shared" si="22"/>
        <v>1.1356038169973097</v>
      </c>
      <c r="AI29" s="146">
        <f t="shared" si="23"/>
        <v>37.460245506926917</v>
      </c>
      <c r="AJ29" s="147">
        <f t="shared" si="24"/>
        <v>32.987072556674633</v>
      </c>
      <c r="AK29" s="148">
        <f t="shared" si="25"/>
        <v>0.38209551687278409</v>
      </c>
      <c r="AL29" s="148">
        <f t="shared" si="26"/>
        <v>-29.273303929279791</v>
      </c>
      <c r="AM29" s="149">
        <v>0.36599999999999999</v>
      </c>
      <c r="AN29" s="150">
        <f t="shared" si="27"/>
        <v>0.38209551687278409</v>
      </c>
      <c r="AO29" s="151">
        <f t="shared" si="28"/>
        <v>0.36639308271041965</v>
      </c>
      <c r="AP29" s="152">
        <f t="shared" si="29"/>
        <v>3.9308271041965659E-4</v>
      </c>
      <c r="AQ29" s="152">
        <f t="shared" si="30"/>
        <v>11.356038169973097</v>
      </c>
      <c r="AR29" s="153">
        <f t="shared" si="31"/>
        <v>4.4638622634821018E-2</v>
      </c>
      <c r="AS29" s="153">
        <f t="shared" si="32"/>
        <v>3.9308271041965659</v>
      </c>
      <c r="AT29" s="149">
        <v>1.077</v>
      </c>
      <c r="AU29" s="150">
        <f t="shared" si="33"/>
        <v>-29.273303929279791</v>
      </c>
      <c r="AV29" s="150">
        <f t="shared" si="13"/>
        <v>1.0790354098237691</v>
      </c>
      <c r="AW29" s="154">
        <f t="shared" si="34"/>
        <v>2.035409823769152E-3</v>
      </c>
      <c r="AX29" s="154">
        <f t="shared" si="35"/>
        <v>374.60245506926913</v>
      </c>
      <c r="AY29" s="154">
        <f t="shared" si="36"/>
        <v>7.6246951705603268</v>
      </c>
      <c r="AZ29" s="154">
        <f t="shared" si="37"/>
        <v>20.35409823769152</v>
      </c>
    </row>
    <row r="30" spans="1:52" ht="18" x14ac:dyDescent="0.25">
      <c r="A30" s="104">
        <v>26</v>
      </c>
      <c r="B30">
        <v>1</v>
      </c>
      <c r="C30" t="s">
        <v>462</v>
      </c>
      <c r="D30" t="s">
        <v>40</v>
      </c>
      <c r="E30" t="s">
        <v>467</v>
      </c>
      <c r="F30">
        <v>1</v>
      </c>
      <c r="G30" t="s">
        <v>57</v>
      </c>
      <c r="H30">
        <v>3.2490000000000001</v>
      </c>
      <c r="Q30" s="155">
        <v>406</v>
      </c>
      <c r="R30" s="155" t="s">
        <v>219</v>
      </c>
      <c r="S30" s="155">
        <v>2.8995912499999998</v>
      </c>
      <c r="T30" s="155">
        <v>-0.4638264292166655</v>
      </c>
      <c r="U30" s="155">
        <v>4.3593640000000002</v>
      </c>
      <c r="V30" s="155">
        <v>-28.571196704072484</v>
      </c>
      <c r="W30" s="142">
        <v>3.2490000000000001</v>
      </c>
      <c r="X30" s="143">
        <v>7.0035672500000006</v>
      </c>
      <c r="Y30" s="143">
        <v>1.9166458325792195</v>
      </c>
      <c r="Z30" s="143">
        <v>4.5470909062499993</v>
      </c>
      <c r="AA30" s="143">
        <v>-25.930204084925705</v>
      </c>
      <c r="AB30" s="143">
        <v>2.7513749999999999</v>
      </c>
      <c r="AC30" s="143">
        <v>2.7513749999999999</v>
      </c>
      <c r="AD30" s="144">
        <f t="shared" si="18"/>
        <v>1.1078465049364664E-2</v>
      </c>
      <c r="AE30" s="144">
        <f t="shared" si="19"/>
        <v>0.27839945661961657</v>
      </c>
      <c r="AF30" s="145">
        <f t="shared" si="20"/>
        <v>3.2123020320568595E-2</v>
      </c>
      <c r="AG30" s="145">
        <f t="shared" si="21"/>
        <v>1.2136445688071182</v>
      </c>
      <c r="AH30" s="146">
        <f t="shared" si="22"/>
        <v>0.98870484212276377</v>
      </c>
      <c r="AI30" s="146">
        <f t="shared" si="23"/>
        <v>37.354403472056582</v>
      </c>
      <c r="AJ30" s="147">
        <f t="shared" si="24"/>
        <v>37.781147497827689</v>
      </c>
      <c r="AK30" s="148">
        <f t="shared" si="25"/>
        <v>-0.40047226179588502</v>
      </c>
      <c r="AL30" s="148">
        <f t="shared" si="26"/>
        <v>-28.67099261914678</v>
      </c>
      <c r="AM30" s="149">
        <v>0.36599999999999999</v>
      </c>
      <c r="AN30" s="150">
        <f t="shared" si="27"/>
        <v>-0.40047226179588502</v>
      </c>
      <c r="AO30" s="151">
        <f t="shared" si="28"/>
        <v>0.3661075141346688</v>
      </c>
      <c r="AP30" s="152">
        <f t="shared" si="29"/>
        <v>1.0751413466880688E-4</v>
      </c>
      <c r="AQ30" s="152">
        <f t="shared" si="30"/>
        <v>9.8870484212276395</v>
      </c>
      <c r="AR30" s="153">
        <f t="shared" si="31"/>
        <v>1.0629974554368827E-2</v>
      </c>
      <c r="AS30" s="153">
        <f t="shared" si="32"/>
        <v>1.0751413466880688</v>
      </c>
      <c r="AT30" s="149">
        <v>1.077</v>
      </c>
      <c r="AU30" s="150">
        <f t="shared" si="33"/>
        <v>-28.67099261914678</v>
      </c>
      <c r="AV30" s="150">
        <f t="shared" si="13"/>
        <v>1.0796976952169692</v>
      </c>
      <c r="AW30" s="154">
        <f t="shared" si="34"/>
        <v>2.6976952169692758E-3</v>
      </c>
      <c r="AX30" s="154">
        <f t="shared" si="35"/>
        <v>373.54403472056578</v>
      </c>
      <c r="AY30" s="154">
        <f t="shared" si="36"/>
        <v>10.077079557930755</v>
      </c>
      <c r="AZ30" s="154">
        <f t="shared" si="37"/>
        <v>26.976952169692758</v>
      </c>
    </row>
    <row r="31" spans="1:52" ht="18" x14ac:dyDescent="0.25">
      <c r="A31" s="104">
        <v>27</v>
      </c>
      <c r="B31">
        <v>1</v>
      </c>
      <c r="C31" t="s">
        <v>463</v>
      </c>
      <c r="D31" t="s">
        <v>48</v>
      </c>
      <c r="E31" t="s">
        <v>467</v>
      </c>
      <c r="F31">
        <v>1</v>
      </c>
      <c r="G31" t="s">
        <v>58</v>
      </c>
      <c r="H31">
        <v>4.1230000000000002</v>
      </c>
      <c r="Q31" s="141">
        <v>407</v>
      </c>
      <c r="R31" s="141" t="s">
        <v>220</v>
      </c>
      <c r="S31" s="141">
        <v>3.8676685000000002</v>
      </c>
      <c r="T31" s="141">
        <v>-1.2741864262500568</v>
      </c>
      <c r="U31" s="141">
        <v>5.4113885000000002</v>
      </c>
      <c r="V31" s="141">
        <v>-29.531184089012992</v>
      </c>
      <c r="W31" s="142">
        <v>4.1230000000000002</v>
      </c>
      <c r="X31" s="143">
        <v>7.0035672500000006</v>
      </c>
      <c r="Y31" s="143">
        <v>1.9166458325792195</v>
      </c>
      <c r="Z31" s="143">
        <v>4.5470909062499993</v>
      </c>
      <c r="AA31" s="143">
        <v>-25.930204084925705</v>
      </c>
      <c r="AB31" s="143">
        <v>2.7513749999999999</v>
      </c>
      <c r="AC31" s="143">
        <v>2.7513749999999999</v>
      </c>
      <c r="AD31" s="144">
        <f t="shared" si="18"/>
        <v>1.1078465049364664E-2</v>
      </c>
      <c r="AE31" s="144">
        <f t="shared" si="19"/>
        <v>0.27839945661961657</v>
      </c>
      <c r="AF31" s="145">
        <f t="shared" si="20"/>
        <v>4.2847830299778657E-2</v>
      </c>
      <c r="AG31" s="145">
        <f t="shared" si="21"/>
        <v>1.5065276179576421</v>
      </c>
      <c r="AH31" s="146">
        <f t="shared" si="22"/>
        <v>1.0392391535236152</v>
      </c>
      <c r="AI31" s="146">
        <f t="shared" si="23"/>
        <v>36.539597816096098</v>
      </c>
      <c r="AJ31" s="147">
        <f t="shared" si="24"/>
        <v>35.159951097113648</v>
      </c>
      <c r="AK31" s="148">
        <f t="shared" si="25"/>
        <v>-1.2108322588292764</v>
      </c>
      <c r="AL31" s="148">
        <f t="shared" si="26"/>
        <v>-29.630980004087288</v>
      </c>
      <c r="AM31" s="149">
        <v>0.36599999999999999</v>
      </c>
      <c r="AN31" s="150">
        <f t="shared" si="27"/>
        <v>-1.2108322588292764</v>
      </c>
      <c r="AO31" s="151">
        <f t="shared" si="28"/>
        <v>0.36581180211251069</v>
      </c>
      <c r="AP31" s="152">
        <f t="shared" si="29"/>
        <v>-1.8819788748930533E-4</v>
      </c>
      <c r="AQ31" s="152">
        <f t="shared" si="30"/>
        <v>10.392391535236152</v>
      </c>
      <c r="AR31" s="153">
        <f t="shared" si="31"/>
        <v>-1.9558261328931823E-2</v>
      </c>
      <c r="AS31" s="153">
        <f t="shared" si="32"/>
        <v>-1.8819788748930533</v>
      </c>
      <c r="AT31" s="149">
        <v>1.077</v>
      </c>
      <c r="AU31" s="150">
        <f t="shared" si="33"/>
        <v>-29.630980004087288</v>
      </c>
      <c r="AV31" s="150">
        <f t="shared" si="13"/>
        <v>1.0786421145898146</v>
      </c>
      <c r="AW31" s="154">
        <f t="shared" si="34"/>
        <v>1.6421145898146694E-3</v>
      </c>
      <c r="AX31" s="154">
        <f t="shared" si="35"/>
        <v>365.39597816096096</v>
      </c>
      <c r="AY31" s="154">
        <f t="shared" si="36"/>
        <v>6.000220667977163</v>
      </c>
      <c r="AZ31" s="154">
        <f t="shared" si="37"/>
        <v>16.421145898146694</v>
      </c>
    </row>
    <row r="32" spans="1:52" ht="18" x14ac:dyDescent="0.25">
      <c r="A32" s="104">
        <v>28</v>
      </c>
      <c r="B32">
        <v>1</v>
      </c>
      <c r="C32" t="s">
        <v>464</v>
      </c>
      <c r="D32" t="s">
        <v>32</v>
      </c>
      <c r="E32" t="s">
        <v>467</v>
      </c>
      <c r="F32">
        <v>1</v>
      </c>
      <c r="G32" t="s">
        <v>59</v>
      </c>
      <c r="H32">
        <v>3.4049999999999998</v>
      </c>
      <c r="Q32" s="155">
        <v>408</v>
      </c>
      <c r="R32" s="155" t="s">
        <v>221</v>
      </c>
      <c r="S32" s="155">
        <v>4.5708450000000003</v>
      </c>
      <c r="T32" s="155">
        <v>-0.2081609299788123</v>
      </c>
      <c r="U32" s="155">
        <v>4.5895215</v>
      </c>
      <c r="V32" s="155">
        <v>-29.041152599969717</v>
      </c>
      <c r="W32" s="142">
        <v>3.4049999999999998</v>
      </c>
      <c r="X32" s="143">
        <v>7.0035672500000006</v>
      </c>
      <c r="Y32" s="143">
        <v>1.9166458325792195</v>
      </c>
      <c r="Z32" s="143">
        <v>4.5470909062499993</v>
      </c>
      <c r="AA32" s="143">
        <v>-25.930204084925705</v>
      </c>
      <c r="AB32" s="143">
        <v>2.7513749999999999</v>
      </c>
      <c r="AC32" s="143">
        <v>2.7513749999999999</v>
      </c>
      <c r="AD32" s="144">
        <f t="shared" si="18"/>
        <v>1.1078465049364664E-2</v>
      </c>
      <c r="AE32" s="144">
        <f t="shared" si="19"/>
        <v>0.27839945661961657</v>
      </c>
      <c r="AF32" s="145">
        <f t="shared" si="20"/>
        <v>5.0637946578563235E-2</v>
      </c>
      <c r="AG32" s="145">
        <f t="shared" si="21"/>
        <v>1.2777202917440476</v>
      </c>
      <c r="AH32" s="146">
        <f t="shared" si="22"/>
        <v>1.4871643635407708</v>
      </c>
      <c r="AI32" s="146">
        <f t="shared" si="23"/>
        <v>37.524825014509474</v>
      </c>
      <c r="AJ32" s="147">
        <f t="shared" si="24"/>
        <v>25.232466521163204</v>
      </c>
      <c r="AK32" s="148">
        <f t="shared" si="25"/>
        <v>-0.14480676255803182</v>
      </c>
      <c r="AL32" s="148">
        <f t="shared" si="26"/>
        <v>-29.140948515044013</v>
      </c>
      <c r="AM32" s="149">
        <v>0.36599999999999999</v>
      </c>
      <c r="AN32" s="150">
        <f t="shared" si="27"/>
        <v>-0.14480676255803182</v>
      </c>
      <c r="AO32" s="151">
        <f t="shared" si="28"/>
        <v>0.36620080978952563</v>
      </c>
      <c r="AP32" s="152">
        <f t="shared" si="29"/>
        <v>2.0080978952563555E-4</v>
      </c>
      <c r="AQ32" s="152">
        <f t="shared" si="30"/>
        <v>14.871643635407708</v>
      </c>
      <c r="AR32" s="153">
        <f t="shared" si="31"/>
        <v>2.9863716283264789E-2</v>
      </c>
      <c r="AS32" s="153">
        <f t="shared" si="32"/>
        <v>2.0080978952563555</v>
      </c>
      <c r="AT32" s="149">
        <v>1.077</v>
      </c>
      <c r="AU32" s="150">
        <f t="shared" si="33"/>
        <v>-29.140948515044013</v>
      </c>
      <c r="AV32" s="150">
        <f t="shared" si="13"/>
        <v>1.0791809450544658</v>
      </c>
      <c r="AW32" s="154">
        <f t="shared" si="34"/>
        <v>2.180945054465866E-3</v>
      </c>
      <c r="AX32" s="154">
        <f t="shared" si="35"/>
        <v>375.2482501450948</v>
      </c>
      <c r="AY32" s="154">
        <f t="shared" si="36"/>
        <v>8.1839581535091455</v>
      </c>
      <c r="AZ32" s="154">
        <f t="shared" si="37"/>
        <v>21.80945054465866</v>
      </c>
    </row>
    <row r="33" spans="1:52" ht="18" x14ac:dyDescent="0.25">
      <c r="A33" s="104">
        <v>29</v>
      </c>
      <c r="B33">
        <v>1</v>
      </c>
      <c r="C33" t="s">
        <v>456</v>
      </c>
      <c r="D33" t="s">
        <v>44</v>
      </c>
      <c r="E33" t="s">
        <v>468</v>
      </c>
      <c r="F33">
        <v>1</v>
      </c>
      <c r="G33" t="s">
        <v>60</v>
      </c>
      <c r="H33">
        <v>3.78</v>
      </c>
      <c r="Q33" s="141">
        <v>409</v>
      </c>
      <c r="R33" s="141" t="s">
        <v>222</v>
      </c>
      <c r="S33" s="141">
        <v>4.802549</v>
      </c>
      <c r="T33" s="141">
        <v>-4.7280819342373883</v>
      </c>
      <c r="U33" s="141">
        <v>5.8721490000000003</v>
      </c>
      <c r="V33" s="141">
        <v>-30.241628732146594</v>
      </c>
      <c r="W33" s="142">
        <v>3.78</v>
      </c>
      <c r="X33" s="143">
        <v>7.0035672500000006</v>
      </c>
      <c r="Y33" s="143">
        <v>1.9166458325792195</v>
      </c>
      <c r="Z33" s="143">
        <v>4.5470909062499993</v>
      </c>
      <c r="AA33" s="143">
        <v>-25.930204084925705</v>
      </c>
      <c r="AB33" s="143">
        <v>2.7513749999999999</v>
      </c>
      <c r="AC33" s="143">
        <v>2.7513749999999999</v>
      </c>
      <c r="AD33" s="144">
        <f t="shared" si="18"/>
        <v>1.1078465049364664E-2</v>
      </c>
      <c r="AE33" s="144">
        <f t="shared" si="19"/>
        <v>0.27839945661961657</v>
      </c>
      <c r="AF33" s="145">
        <f t="shared" si="20"/>
        <v>5.320487124436122E-2</v>
      </c>
      <c r="AG33" s="145">
        <f t="shared" si="21"/>
        <v>1.6348030907894249</v>
      </c>
      <c r="AH33" s="146">
        <f t="shared" si="22"/>
        <v>1.4075362763058523</v>
      </c>
      <c r="AI33" s="146">
        <f t="shared" si="23"/>
        <v>43.248759015593258</v>
      </c>
      <c r="AJ33" s="147">
        <f t="shared" si="24"/>
        <v>30.726567935500555</v>
      </c>
      <c r="AK33" s="148">
        <f t="shared" si="25"/>
        <v>-4.6647277668166076</v>
      </c>
      <c r="AL33" s="148">
        <f t="shared" si="26"/>
        <v>-30.34142464722089</v>
      </c>
      <c r="AM33" s="149">
        <v>0.36599999999999999</v>
      </c>
      <c r="AN33" s="150">
        <f t="shared" si="27"/>
        <v>-4.6647277668166076</v>
      </c>
      <c r="AO33" s="151">
        <f t="shared" si="28"/>
        <v>0.36455140626305033</v>
      </c>
      <c r="AP33" s="152">
        <f t="shared" si="29"/>
        <v>-1.448593736949666E-3</v>
      </c>
      <c r="AQ33" s="152">
        <f t="shared" si="30"/>
        <v>14.075362763058523</v>
      </c>
      <c r="AR33" s="153">
        <f t="shared" si="31"/>
        <v>-0.20389482343861123</v>
      </c>
      <c r="AS33" s="153">
        <f t="shared" si="32"/>
        <v>-14.485937369496661</v>
      </c>
      <c r="AT33" s="149">
        <v>1.077</v>
      </c>
      <c r="AU33" s="150">
        <f t="shared" si="33"/>
        <v>-30.34142464722089</v>
      </c>
      <c r="AV33" s="150">
        <f t="shared" si="13"/>
        <v>1.0778609110670445</v>
      </c>
      <c r="AW33" s="154">
        <f t="shared" si="34"/>
        <v>8.6091106704455633E-4</v>
      </c>
      <c r="AX33" s="154">
        <f t="shared" si="35"/>
        <v>432.48759015593259</v>
      </c>
      <c r="AY33" s="154">
        <f t="shared" si="36"/>
        <v>3.7233335272467274</v>
      </c>
      <c r="AZ33" s="154">
        <f t="shared" si="37"/>
        <v>8.6091106704455633</v>
      </c>
    </row>
    <row r="34" spans="1:52" ht="18" x14ac:dyDescent="0.25">
      <c r="A34" s="104">
        <v>30</v>
      </c>
      <c r="B34">
        <v>1</v>
      </c>
      <c r="C34" t="s">
        <v>458</v>
      </c>
      <c r="D34" t="s">
        <v>36</v>
      </c>
      <c r="E34" t="s">
        <v>468</v>
      </c>
      <c r="F34">
        <v>1</v>
      </c>
      <c r="G34" t="s">
        <v>61</v>
      </c>
      <c r="H34">
        <v>3.359</v>
      </c>
      <c r="Q34" s="155">
        <v>410</v>
      </c>
      <c r="R34" s="155" t="s">
        <v>223</v>
      </c>
      <c r="S34" s="155">
        <v>5.7840125000000002</v>
      </c>
      <c r="T34" s="155">
        <v>-1.9932664506621816</v>
      </c>
      <c r="U34" s="155">
        <v>5.2777884999999998</v>
      </c>
      <c r="V34" s="155">
        <v>-29.734163062178418</v>
      </c>
      <c r="W34" s="142">
        <v>3.359</v>
      </c>
      <c r="X34" s="143">
        <v>7.0035672500000006</v>
      </c>
      <c r="Y34" s="143">
        <v>1.9166458325792195</v>
      </c>
      <c r="Z34" s="143">
        <v>4.5470909062499993</v>
      </c>
      <c r="AA34" s="143">
        <v>-25.930204084925705</v>
      </c>
      <c r="AB34" s="143">
        <v>2.7513749999999999</v>
      </c>
      <c r="AC34" s="143">
        <v>2.7513749999999999</v>
      </c>
      <c r="AD34" s="144">
        <f t="shared" si="18"/>
        <v>1.1078465049364664E-2</v>
      </c>
      <c r="AE34" s="144">
        <f t="shared" si="19"/>
        <v>0.27839945661961657</v>
      </c>
      <c r="AF34" s="145">
        <f t="shared" si="20"/>
        <v>6.4077980326338338E-2</v>
      </c>
      <c r="AG34" s="145">
        <f t="shared" si="21"/>
        <v>1.4693334505532611</v>
      </c>
      <c r="AH34" s="146">
        <f t="shared" si="22"/>
        <v>1.9076505009329663</v>
      </c>
      <c r="AI34" s="146">
        <f t="shared" si="23"/>
        <v>43.743181022722872</v>
      </c>
      <c r="AJ34" s="147">
        <f t="shared" si="24"/>
        <v>22.930395793846714</v>
      </c>
      <c r="AK34" s="148">
        <f t="shared" si="25"/>
        <v>-1.9299122832414011</v>
      </c>
      <c r="AL34" s="148">
        <f t="shared" si="26"/>
        <v>-29.833958977252713</v>
      </c>
      <c r="AM34" s="149">
        <v>0.36599999999999999</v>
      </c>
      <c r="AN34" s="150">
        <f>T34+(1.98-Y34)</f>
        <v>-1.9299122832414011</v>
      </c>
      <c r="AO34" s="151">
        <f t="shared" si="28"/>
        <v>0.36554939799578073</v>
      </c>
      <c r="AP34" s="152">
        <f t="shared" si="29"/>
        <v>-4.5060200421925822E-4</v>
      </c>
      <c r="AQ34" s="152">
        <f t="shared" si="30"/>
        <v>19.076505009329662</v>
      </c>
      <c r="AR34" s="153">
        <f t="shared" si="31"/>
        <v>-8.5959113907026652E-2</v>
      </c>
      <c r="AS34" s="153">
        <f t="shared" si="32"/>
        <v>-4.5060200421925822</v>
      </c>
      <c r="AT34" s="149">
        <v>1.077</v>
      </c>
      <c r="AU34" s="150">
        <f t="shared" si="33"/>
        <v>-29.833958977252713</v>
      </c>
      <c r="AV34" s="150">
        <f t="shared" si="13"/>
        <v>1.0784189205718813</v>
      </c>
      <c r="AW34" s="154">
        <f t="shared" si="34"/>
        <v>1.4189205718813103E-3</v>
      </c>
      <c r="AX34" s="154">
        <f t="shared" si="35"/>
        <v>437.43181022722865</v>
      </c>
      <c r="AY34" s="154">
        <f t="shared" si="36"/>
        <v>6.2068099432669612</v>
      </c>
      <c r="AZ34" s="154">
        <f t="shared" si="37"/>
        <v>14.189205718813103</v>
      </c>
    </row>
    <row r="35" spans="1:52" ht="18" x14ac:dyDescent="0.25">
      <c r="A35" s="104">
        <v>31</v>
      </c>
      <c r="B35">
        <v>1</v>
      </c>
      <c r="C35" t="s">
        <v>459</v>
      </c>
      <c r="D35" t="s">
        <v>28</v>
      </c>
      <c r="E35" t="s">
        <v>468</v>
      </c>
      <c r="F35">
        <v>1</v>
      </c>
      <c r="G35" t="s">
        <v>62</v>
      </c>
      <c r="H35">
        <v>3.9990000000000001</v>
      </c>
      <c r="Q35" s="141">
        <v>411</v>
      </c>
      <c r="R35" s="141" t="s">
        <v>224</v>
      </c>
      <c r="S35" s="141">
        <v>6.4013885000000004</v>
      </c>
      <c r="T35" s="141">
        <v>-3.8017255511781229</v>
      </c>
      <c r="U35" s="141">
        <v>6.0390670000000002</v>
      </c>
      <c r="V35" s="141">
        <v>-30.289353713442353</v>
      </c>
      <c r="W35" s="142">
        <v>3.9990000000000001</v>
      </c>
      <c r="X35" s="143">
        <v>7.0035672500000006</v>
      </c>
      <c r="Y35" s="143">
        <v>1.9166458325792195</v>
      </c>
      <c r="Z35" s="143">
        <v>4.5470909062499993</v>
      </c>
      <c r="AA35" s="143">
        <v>-25.930204084925705</v>
      </c>
      <c r="AB35" s="143">
        <v>2.7513749999999999</v>
      </c>
      <c r="AC35" s="143">
        <v>2.7513749999999999</v>
      </c>
      <c r="AD35" s="144">
        <f t="shared" si="18"/>
        <v>1.1078465049364664E-2</v>
      </c>
      <c r="AE35" s="144">
        <f t="shared" si="19"/>
        <v>0.27839945661961657</v>
      </c>
      <c r="AF35" s="145">
        <f t="shared" si="20"/>
        <v>7.09175587646549E-2</v>
      </c>
      <c r="AG35" s="145">
        <f t="shared" si="21"/>
        <v>1.6812729712894581</v>
      </c>
      <c r="AH35" s="146">
        <f t="shared" si="22"/>
        <v>1.7733823146950463</v>
      </c>
      <c r="AI35" s="146">
        <f t="shared" si="23"/>
        <v>42.042334865952938</v>
      </c>
      <c r="AJ35" s="147">
        <f t="shared" si="24"/>
        <v>23.707428746509525</v>
      </c>
      <c r="AK35" s="148">
        <f t="shared" si="25"/>
        <v>-3.7383713837573422</v>
      </c>
      <c r="AL35" s="148">
        <f t="shared" si="26"/>
        <v>-30.389149628516648</v>
      </c>
      <c r="AM35" s="149">
        <v>0.36599999999999999</v>
      </c>
      <c r="AN35" s="150">
        <f t="shared" si="27"/>
        <v>-3.7383713837573422</v>
      </c>
      <c r="AO35" s="151">
        <f t="shared" si="28"/>
        <v>0.36488945544440637</v>
      </c>
      <c r="AP35" s="152">
        <f t="shared" si="29"/>
        <v>-1.1105445555936178E-3</v>
      </c>
      <c r="AQ35" s="152">
        <f t="shared" si="30"/>
        <v>17.73382314695046</v>
      </c>
      <c r="AR35" s="153">
        <f t="shared" si="31"/>
        <v>-0.19694200745705909</v>
      </c>
      <c r="AS35" s="153">
        <f t="shared" si="32"/>
        <v>-11.105445555936178</v>
      </c>
      <c r="AT35" s="149">
        <v>1.077</v>
      </c>
      <c r="AU35" s="150">
        <f t="shared" si="33"/>
        <v>-30.389149628516648</v>
      </c>
      <c r="AV35" s="150">
        <f t="shared" si="13"/>
        <v>1.0778084323298436</v>
      </c>
      <c r="AW35" s="154">
        <f t="shared" si="34"/>
        <v>8.0843232984362245E-4</v>
      </c>
      <c r="AX35" s="154">
        <f t="shared" si="35"/>
        <v>420.42334865952938</v>
      </c>
      <c r="AY35" s="154">
        <f t="shared" si="36"/>
        <v>3.398838272774809</v>
      </c>
      <c r="AZ35" s="154">
        <f t="shared" si="37"/>
        <v>8.0843232984362245</v>
      </c>
    </row>
    <row r="36" spans="1:52" ht="18" x14ac:dyDescent="0.25">
      <c r="A36" s="104">
        <v>32</v>
      </c>
      <c r="B36">
        <v>1</v>
      </c>
      <c r="C36" t="s">
        <v>460</v>
      </c>
      <c r="D36" t="s">
        <v>24</v>
      </c>
      <c r="E36" t="s">
        <v>468</v>
      </c>
      <c r="F36">
        <v>1</v>
      </c>
      <c r="G36" t="s">
        <v>63</v>
      </c>
      <c r="H36">
        <v>1.5720000000000001</v>
      </c>
      <c r="I36" t="s">
        <v>469</v>
      </c>
      <c r="Q36" s="155">
        <v>412</v>
      </c>
      <c r="R36" s="155" t="s">
        <v>225</v>
      </c>
      <c r="S36" s="155">
        <v>2.0467896250000002</v>
      </c>
      <c r="T36" s="155">
        <v>-4.3917625845023318</v>
      </c>
      <c r="U36" s="155">
        <v>2.7376394999999998</v>
      </c>
      <c r="V36" s="155">
        <v>-29.861216734738328</v>
      </c>
      <c r="W36" s="142">
        <v>1.5720000000000001</v>
      </c>
      <c r="X36" s="143">
        <v>7.0035672500000006</v>
      </c>
      <c r="Y36" s="143">
        <v>1.9166458325792195</v>
      </c>
      <c r="Z36" s="143">
        <v>4.5470909062499993</v>
      </c>
      <c r="AA36" s="143">
        <v>-25.930204084925705</v>
      </c>
      <c r="AB36" s="143">
        <v>2.7513749999999999</v>
      </c>
      <c r="AC36" s="143">
        <v>2.7513749999999999</v>
      </c>
      <c r="AD36" s="144">
        <f t="shared" si="18"/>
        <v>1.1078465049364664E-2</v>
      </c>
      <c r="AE36" s="144">
        <f t="shared" si="19"/>
        <v>0.27839945661961657</v>
      </c>
      <c r="AF36" s="145">
        <f t="shared" si="20"/>
        <v>2.2675287323964708E-2</v>
      </c>
      <c r="AG36" s="145">
        <f t="shared" si="21"/>
        <v>0.76215734922039868</v>
      </c>
      <c r="AH36" s="146">
        <f t="shared" si="22"/>
        <v>1.4424483030511901</v>
      </c>
      <c r="AI36" s="146">
        <f t="shared" si="23"/>
        <v>48.483291935139867</v>
      </c>
      <c r="AJ36" s="147">
        <f t="shared" si="24"/>
        <v>33.611805589554827</v>
      </c>
      <c r="AK36" s="148">
        <f t="shared" si="25"/>
        <v>-4.3284084170815511</v>
      </c>
      <c r="AL36" s="148">
        <f t="shared" si="26"/>
        <v>-29.961012649812623</v>
      </c>
      <c r="AM36" s="149">
        <v>0.36599999999999999</v>
      </c>
      <c r="AN36" s="150">
        <f t="shared" si="27"/>
        <v>-4.3284084170815511</v>
      </c>
      <c r="AO36" s="151">
        <f t="shared" si="28"/>
        <v>0.36467413735081339</v>
      </c>
      <c r="AP36" s="152">
        <f t="shared" si="29"/>
        <v>-1.3258626491866043E-3</v>
      </c>
      <c r="AQ36" s="152">
        <f t="shared" si="30"/>
        <v>14.424483030511901</v>
      </c>
      <c r="AR36" s="153">
        <f t="shared" si="31"/>
        <v>-0.19124883283981728</v>
      </c>
      <c r="AS36" s="153">
        <f t="shared" si="32"/>
        <v>-13.258626491866043</v>
      </c>
      <c r="AT36" s="149">
        <v>1.077</v>
      </c>
      <c r="AU36" s="150">
        <f t="shared" si="33"/>
        <v>-29.961012649812623</v>
      </c>
      <c r="AV36" s="150">
        <f t="shared" si="13"/>
        <v>1.0782792128806757</v>
      </c>
      <c r="AW36" s="154">
        <f t="shared" si="34"/>
        <v>1.2792128806757841E-3</v>
      </c>
      <c r="AX36" s="154">
        <f t="shared" si="35"/>
        <v>484.83291935139869</v>
      </c>
      <c r="AY36" s="154">
        <f t="shared" si="36"/>
        <v>6.2020451540995278</v>
      </c>
      <c r="AZ36" s="154">
        <f t="shared" si="37"/>
        <v>12.792128806757841</v>
      </c>
    </row>
    <row r="37" spans="1:52" ht="18" x14ac:dyDescent="0.25">
      <c r="A37" s="104">
        <v>33</v>
      </c>
      <c r="B37">
        <v>1</v>
      </c>
      <c r="C37" t="s">
        <v>461</v>
      </c>
      <c r="D37" t="s">
        <v>52</v>
      </c>
      <c r="E37" t="s">
        <v>468</v>
      </c>
      <c r="F37">
        <v>1</v>
      </c>
      <c r="G37" t="s">
        <v>64</v>
      </c>
      <c r="H37">
        <v>3.4079999999999999</v>
      </c>
      <c r="Q37" s="141">
        <v>413</v>
      </c>
      <c r="R37" s="141" t="s">
        <v>226</v>
      </c>
      <c r="S37" s="141">
        <v>4.8867585</v>
      </c>
      <c r="T37" s="141">
        <v>-3.4127086485989997</v>
      </c>
      <c r="U37" s="141">
        <v>5.3800914999999998</v>
      </c>
      <c r="V37" s="141">
        <v>-30.716347366900582</v>
      </c>
      <c r="W37" s="142">
        <v>3.4079999999999999</v>
      </c>
      <c r="X37" s="143">
        <v>7.0035672500000006</v>
      </c>
      <c r="Y37" s="143">
        <v>1.9166458325792195</v>
      </c>
      <c r="Z37" s="143">
        <v>4.5470909062499993</v>
      </c>
      <c r="AA37" s="143">
        <v>-25.930204084925705</v>
      </c>
      <c r="AB37" s="143">
        <v>2.7513749999999999</v>
      </c>
      <c r="AC37" s="143">
        <v>2.7513749999999999</v>
      </c>
      <c r="AD37" s="144">
        <f t="shared" si="18"/>
        <v>1.1078465049364664E-2</v>
      </c>
      <c r="AE37" s="144">
        <f t="shared" si="19"/>
        <v>0.27839945661961657</v>
      </c>
      <c r="AF37" s="145">
        <f t="shared" si="20"/>
        <v>5.4137783246935696E-2</v>
      </c>
      <c r="AG37" s="145">
        <f t="shared" si="21"/>
        <v>1.4978145501638178</v>
      </c>
      <c r="AH37" s="146">
        <f t="shared" si="22"/>
        <v>1.5885499779030428</v>
      </c>
      <c r="AI37" s="146">
        <f t="shared" si="23"/>
        <v>43.949957457858503</v>
      </c>
      <c r="AJ37" s="147">
        <f t="shared" si="24"/>
        <v>27.666713713265995</v>
      </c>
      <c r="AK37" s="148">
        <f t="shared" si="25"/>
        <v>-3.349354481178219</v>
      </c>
      <c r="AL37" s="148">
        <f t="shared" si="26"/>
        <v>-30.816143281974878</v>
      </c>
      <c r="AM37" s="149">
        <v>0.36599999999999999</v>
      </c>
      <c r="AN37" s="150">
        <f t="shared" si="27"/>
        <v>-3.349354481178219</v>
      </c>
      <c r="AO37" s="151">
        <f t="shared" si="28"/>
        <v>0.36503141615661161</v>
      </c>
      <c r="AP37" s="152">
        <f t="shared" si="29"/>
        <v>-9.6858384338838199E-4</v>
      </c>
      <c r="AQ37" s="152">
        <f t="shared" si="30"/>
        <v>15.885499779030427</v>
      </c>
      <c r="AR37" s="153">
        <f t="shared" si="31"/>
        <v>-0.15386438430118585</v>
      </c>
      <c r="AS37" s="153">
        <f t="shared" si="32"/>
        <v>-9.6858384338838199</v>
      </c>
      <c r="AT37" s="149">
        <v>1.077</v>
      </c>
      <c r="AU37" s="150">
        <f t="shared" si="33"/>
        <v>-30.816143281974878</v>
      </c>
      <c r="AV37" s="150">
        <f t="shared" si="13"/>
        <v>1.0773389045193755</v>
      </c>
      <c r="AW37" s="154">
        <f t="shared" si="34"/>
        <v>3.3890451937557131E-4</v>
      </c>
      <c r="AX37" s="154">
        <f t="shared" si="35"/>
        <v>439.49957457858494</v>
      </c>
      <c r="AY37" s="154">
        <f t="shared" si="36"/>
        <v>1.4894839208832338</v>
      </c>
      <c r="AZ37" s="154">
        <f t="shared" si="37"/>
        <v>3.3890451937557131</v>
      </c>
    </row>
    <row r="38" spans="1:52" ht="18" x14ac:dyDescent="0.25">
      <c r="A38" s="104">
        <v>34</v>
      </c>
      <c r="B38">
        <v>1</v>
      </c>
      <c r="C38" t="s">
        <v>462</v>
      </c>
      <c r="D38" t="s">
        <v>40</v>
      </c>
      <c r="E38" t="s">
        <v>468</v>
      </c>
      <c r="F38">
        <v>1</v>
      </c>
      <c r="G38" t="s">
        <v>65</v>
      </c>
      <c r="H38">
        <v>3.6509999999999998</v>
      </c>
      <c r="Q38" s="155">
        <v>414</v>
      </c>
      <c r="R38" s="155" t="s">
        <v>227</v>
      </c>
      <c r="S38" s="155">
        <v>3.7803192499999998</v>
      </c>
      <c r="T38" s="155">
        <v>-6.3158249233308155</v>
      </c>
      <c r="U38" s="155">
        <v>5.7163895</v>
      </c>
      <c r="V38" s="155">
        <v>-30.381755876725514</v>
      </c>
      <c r="W38" s="142">
        <v>3.6509999999999998</v>
      </c>
      <c r="X38" s="143">
        <v>7.0035672500000006</v>
      </c>
      <c r="Y38" s="143">
        <v>1.9166458325792195</v>
      </c>
      <c r="Z38" s="143">
        <v>4.5470909062499993</v>
      </c>
      <c r="AA38" s="143">
        <v>-25.930204084925705</v>
      </c>
      <c r="AB38" s="143">
        <v>2.7513749999999999</v>
      </c>
      <c r="AC38" s="143">
        <v>2.7513749999999999</v>
      </c>
      <c r="AD38" s="144">
        <f t="shared" si="18"/>
        <v>1.1078465049364664E-2</v>
      </c>
      <c r="AE38" s="144">
        <f t="shared" si="19"/>
        <v>0.27839945661961657</v>
      </c>
      <c r="AF38" s="145">
        <f t="shared" si="20"/>
        <v>4.1880134686565436E-2</v>
      </c>
      <c r="AG38" s="145">
        <f t="shared" si="21"/>
        <v>1.5914397306260817</v>
      </c>
      <c r="AH38" s="146">
        <f t="shared" si="22"/>
        <v>1.1470866799935755</v>
      </c>
      <c r="AI38" s="146">
        <f t="shared" si="23"/>
        <v>43.589146278446499</v>
      </c>
      <c r="AJ38" s="147">
        <f t="shared" si="24"/>
        <v>37.999871359931262</v>
      </c>
      <c r="AK38" s="148">
        <f t="shared" si="25"/>
        <v>-6.2524707559100348</v>
      </c>
      <c r="AL38" s="148">
        <f t="shared" si="26"/>
        <v>-30.481551791799809</v>
      </c>
      <c r="AM38" s="149">
        <v>0.36599999999999999</v>
      </c>
      <c r="AN38" s="150">
        <f t="shared" si="27"/>
        <v>-6.2524707559100348</v>
      </c>
      <c r="AO38" s="151">
        <f t="shared" si="28"/>
        <v>0.36397199625428583</v>
      </c>
      <c r="AP38" s="152">
        <f t="shared" si="29"/>
        <v>-2.0280037457141575E-3</v>
      </c>
      <c r="AQ38" s="152">
        <f t="shared" si="30"/>
        <v>11.470866799935754</v>
      </c>
      <c r="AR38" s="153">
        <f t="shared" si="31"/>
        <v>-0.23262960836857879</v>
      </c>
      <c r="AS38" s="153">
        <f t="shared" si="32"/>
        <v>-20.280037457141574</v>
      </c>
      <c r="AT38" s="149">
        <v>1.077</v>
      </c>
      <c r="AU38" s="150">
        <f t="shared" si="33"/>
        <v>-30.481551791799809</v>
      </c>
      <c r="AV38" s="150">
        <f t="shared" si="13"/>
        <v>1.0777068260795053</v>
      </c>
      <c r="AW38" s="154">
        <f t="shared" si="34"/>
        <v>7.0682607950534049E-4</v>
      </c>
      <c r="AX38" s="154">
        <f t="shared" si="35"/>
        <v>435.89146278446498</v>
      </c>
      <c r="AY38" s="154">
        <f t="shared" si="36"/>
        <v>3.0809945372979137</v>
      </c>
      <c r="AZ38" s="154">
        <f t="shared" si="37"/>
        <v>7.0682607950534049</v>
      </c>
    </row>
    <row r="39" spans="1:52" ht="18" x14ac:dyDescent="0.25">
      <c r="A39" s="104">
        <v>35</v>
      </c>
      <c r="B39">
        <v>1</v>
      </c>
      <c r="C39" t="s">
        <v>463</v>
      </c>
      <c r="D39" t="s">
        <v>48</v>
      </c>
      <c r="E39" t="s">
        <v>468</v>
      </c>
      <c r="F39">
        <v>1</v>
      </c>
      <c r="G39" t="s">
        <v>66</v>
      </c>
      <c r="H39">
        <v>3.8839999999999999</v>
      </c>
      <c r="Q39" s="141">
        <v>415</v>
      </c>
      <c r="R39" s="141" t="s">
        <v>228</v>
      </c>
      <c r="S39" s="141">
        <v>4.1238467500000002</v>
      </c>
      <c r="T39" s="141">
        <v>-5.0455748655777981</v>
      </c>
      <c r="U39" s="141">
        <v>5.9621219999999999</v>
      </c>
      <c r="V39" s="141">
        <v>-31.197233024389416</v>
      </c>
      <c r="W39" s="142">
        <v>3.8839999999999999</v>
      </c>
      <c r="X39" s="143">
        <v>7.0035672500000006</v>
      </c>
      <c r="Y39" s="143">
        <v>1.9166458325792195</v>
      </c>
      <c r="Z39" s="143">
        <v>4.5470909062499993</v>
      </c>
      <c r="AA39" s="143">
        <v>-25.930204084925705</v>
      </c>
      <c r="AB39" s="143">
        <v>2.7513749999999999</v>
      </c>
      <c r="AC39" s="143">
        <v>2.7513749999999999</v>
      </c>
      <c r="AD39" s="144">
        <f t="shared" si="18"/>
        <v>1.1078465049364664E-2</v>
      </c>
      <c r="AE39" s="144">
        <f t="shared" si="19"/>
        <v>0.27839945661961657</v>
      </c>
      <c r="AF39" s="145">
        <f t="shared" si="20"/>
        <v>4.5685892088811061E-2</v>
      </c>
      <c r="AG39" s="145">
        <f t="shared" si="21"/>
        <v>1.6598515250998616</v>
      </c>
      <c r="AH39" s="146">
        <f t="shared" si="22"/>
        <v>1.1762588076418914</v>
      </c>
      <c r="AI39" s="146">
        <f t="shared" si="23"/>
        <v>42.735621140573166</v>
      </c>
      <c r="AJ39" s="147">
        <f t="shared" si="24"/>
        <v>36.331818187400046</v>
      </c>
      <c r="AK39" s="148">
        <f t="shared" si="25"/>
        <v>-4.9822206981570174</v>
      </c>
      <c r="AL39" s="148">
        <f t="shared" si="26"/>
        <v>-31.297028939463711</v>
      </c>
      <c r="AM39" s="149">
        <v>0.36599999999999999</v>
      </c>
      <c r="AN39" s="150">
        <f t="shared" si="27"/>
        <v>-4.9822206981570174</v>
      </c>
      <c r="AO39" s="151">
        <f t="shared" si="28"/>
        <v>0.36443554511452614</v>
      </c>
      <c r="AP39" s="152">
        <f t="shared" si="29"/>
        <v>-1.5644548854738538E-3</v>
      </c>
      <c r="AQ39" s="152">
        <f t="shared" si="30"/>
        <v>11.762588076418913</v>
      </c>
      <c r="AR39" s="153">
        <f t="shared" si="31"/>
        <v>-0.18402038381970071</v>
      </c>
      <c r="AS39" s="153">
        <f t="shared" si="32"/>
        <v>-15.644548854738538</v>
      </c>
      <c r="AT39" s="149">
        <v>1.077</v>
      </c>
      <c r="AU39" s="150">
        <f t="shared" si="33"/>
        <v>-31.297028939463711</v>
      </c>
      <c r="AV39" s="150">
        <f t="shared" si="13"/>
        <v>1.076810111019334</v>
      </c>
      <c r="AW39" s="154">
        <f t="shared" si="34"/>
        <v>-1.8988898066596427E-4</v>
      </c>
      <c r="AX39" s="154">
        <f t="shared" si="35"/>
        <v>427.35621140573164</v>
      </c>
      <c r="AY39" s="154">
        <f t="shared" si="36"/>
        <v>-0.81150235365102708</v>
      </c>
      <c r="AZ39" s="154">
        <f t="shared" si="37"/>
        <v>-1.8988898066596427</v>
      </c>
    </row>
    <row r="40" spans="1:52" ht="18" x14ac:dyDescent="0.25">
      <c r="A40" s="104">
        <v>36</v>
      </c>
      <c r="B40">
        <v>1</v>
      </c>
      <c r="C40" t="s">
        <v>456</v>
      </c>
      <c r="D40" t="s">
        <v>44</v>
      </c>
      <c r="E40" t="s">
        <v>470</v>
      </c>
      <c r="F40">
        <v>1</v>
      </c>
      <c r="G40" t="s">
        <v>67</v>
      </c>
      <c r="H40">
        <v>3.1389999999999998</v>
      </c>
      <c r="Q40" s="155">
        <v>416</v>
      </c>
      <c r="R40" s="155" t="s">
        <v>229</v>
      </c>
      <c r="S40" s="155">
        <v>3.6846462500000001</v>
      </c>
      <c r="T40" s="155">
        <v>-4.7116393745622709</v>
      </c>
      <c r="U40" s="155">
        <v>4.9051004999999996</v>
      </c>
      <c r="V40" s="155">
        <v>-30.645264823636271</v>
      </c>
      <c r="W40" s="142">
        <v>3.1389999999999998</v>
      </c>
      <c r="X40" s="143">
        <v>7.0035672500000006</v>
      </c>
      <c r="Y40" s="143">
        <v>1.9166458325792195</v>
      </c>
      <c r="Z40" s="143">
        <v>4.5470909062499993</v>
      </c>
      <c r="AA40" s="143">
        <v>-25.930204084925705</v>
      </c>
      <c r="AB40" s="143">
        <v>2.7513749999999999</v>
      </c>
      <c r="AC40" s="143">
        <v>2.7513749999999999</v>
      </c>
      <c r="AD40" s="144">
        <f t="shared" si="18"/>
        <v>1.1078465049364664E-2</v>
      </c>
      <c r="AE40" s="144">
        <f t="shared" si="19"/>
        <v>0.27839945661961657</v>
      </c>
      <c r="AF40" s="145">
        <f t="shared" si="20"/>
        <v>4.082022469989758E-2</v>
      </c>
      <c r="AG40" s="145">
        <f t="shared" si="21"/>
        <v>1.3655773138646095</v>
      </c>
      <c r="AH40" s="146">
        <f t="shared" si="22"/>
        <v>1.300421302959464</v>
      </c>
      <c r="AI40" s="146">
        <f t="shared" si="23"/>
        <v>43.503578014164049</v>
      </c>
      <c r="AJ40" s="147">
        <f t="shared" si="24"/>
        <v>33.453449213081761</v>
      </c>
      <c r="AK40" s="148">
        <f t="shared" si="25"/>
        <v>-4.6482852071414902</v>
      </c>
      <c r="AL40" s="148">
        <f t="shared" si="26"/>
        <v>-30.745060738710567</v>
      </c>
      <c r="AM40" s="149">
        <v>0.36599999999999999</v>
      </c>
      <c r="AN40" s="150">
        <f t="shared" si="27"/>
        <v>-4.6482852071414902</v>
      </c>
      <c r="AO40" s="151">
        <f t="shared" si="28"/>
        <v>0.36455740655890134</v>
      </c>
      <c r="AP40" s="152">
        <f t="shared" si="29"/>
        <v>-1.4425934410986496E-3</v>
      </c>
      <c r="AQ40" s="152">
        <f t="shared" si="30"/>
        <v>13.00421302959464</v>
      </c>
      <c r="AR40" s="153">
        <f t="shared" si="31"/>
        <v>-0.18759792423142826</v>
      </c>
      <c r="AS40" s="153">
        <f t="shared" si="32"/>
        <v>-14.425934410986496</v>
      </c>
      <c r="AT40" s="149">
        <v>1.077</v>
      </c>
      <c r="AU40" s="150">
        <f t="shared" si="33"/>
        <v>-30.745060738710567</v>
      </c>
      <c r="AV40" s="150">
        <f t="shared" si="13"/>
        <v>1.0774170681236188</v>
      </c>
      <c r="AW40" s="154">
        <f t="shared" si="34"/>
        <v>4.1706812361885781E-4</v>
      </c>
      <c r="AX40" s="154">
        <f t="shared" si="35"/>
        <v>435.03578014164049</v>
      </c>
      <c r="AY40" s="154">
        <f t="shared" si="36"/>
        <v>1.8143955653073998</v>
      </c>
      <c r="AZ40" s="154">
        <f t="shared" si="37"/>
        <v>4.1706812361885781</v>
      </c>
    </row>
    <row r="41" spans="1:52" ht="18" x14ac:dyDescent="0.25">
      <c r="I41" t="s">
        <v>152</v>
      </c>
      <c r="Q41" s="141">
        <v>417</v>
      </c>
      <c r="R41" s="141" t="s">
        <v>230</v>
      </c>
      <c r="S41" s="141">
        <v>8.9709990000000008</v>
      </c>
      <c r="T41" s="141">
        <v>1.8659566249190296</v>
      </c>
      <c r="U41" s="141">
        <v>5.4869890000000003</v>
      </c>
      <c r="V41" s="141">
        <v>-26.043374947592572</v>
      </c>
      <c r="W41" s="141">
        <v>3.3540000000000001</v>
      </c>
      <c r="X41" s="143">
        <v>7.0035672500000006</v>
      </c>
      <c r="Y41" s="143">
        <v>1.9166458325792195</v>
      </c>
      <c r="Z41" s="143">
        <v>4.5470909062499993</v>
      </c>
      <c r="AA41" s="143">
        <v>-25.930204084925705</v>
      </c>
      <c r="AB41" s="143">
        <v>2.7513749999999999</v>
      </c>
      <c r="AC41" s="143">
        <v>2.7513749999999999</v>
      </c>
      <c r="AD41" s="144">
        <f t="shared" si="18"/>
        <v>1.1078465049364664E-2</v>
      </c>
      <c r="AE41" s="144">
        <f t="shared" si="19"/>
        <v>0.27839945661961657</v>
      </c>
      <c r="AF41" s="145">
        <f t="shared" si="20"/>
        <v>9.9384898879385369E-2</v>
      </c>
      <c r="AG41" s="145">
        <f t="shared" si="21"/>
        <v>1.5275747560778135</v>
      </c>
      <c r="AH41" s="146">
        <f t="shared" si="22"/>
        <v>2.9631752796477451</v>
      </c>
      <c r="AI41" s="146">
        <f t="shared" si="23"/>
        <v>45.544864522296166</v>
      </c>
      <c r="AJ41" s="147">
        <f t="shared" si="24"/>
        <v>15.37029038920385</v>
      </c>
      <c r="AK41" s="148">
        <f t="shared" si="25"/>
        <v>1.9293107923398101</v>
      </c>
      <c r="AL41" s="148">
        <f t="shared" si="26"/>
        <v>-26.143170862666867</v>
      </c>
      <c r="AM41" s="149">
        <v>0.36599999999999999</v>
      </c>
      <c r="AN41" s="150">
        <f t="shared" si="27"/>
        <v>1.9293107923398101</v>
      </c>
      <c r="AO41" s="151">
        <f t="shared" si="28"/>
        <v>0.36695767571375493</v>
      </c>
      <c r="AP41" s="152">
        <f t="shared" si="29"/>
        <v>9.5767571375493521E-4</v>
      </c>
      <c r="AQ41" s="152">
        <f t="shared" si="30"/>
        <v>29.63175279647745</v>
      </c>
      <c r="AR41" s="153">
        <f t="shared" si="31"/>
        <v>0.28377610009176341</v>
      </c>
      <c r="AS41" s="153">
        <f t="shared" si="32"/>
        <v>9.5767571375493521</v>
      </c>
      <c r="AT41" s="149">
        <v>1.077</v>
      </c>
      <c r="AU41" s="150">
        <f t="shared" si="33"/>
        <v>-26.143170862666867</v>
      </c>
      <c r="AV41" s="150">
        <f t="shared" si="13"/>
        <v>1.0824771236456996</v>
      </c>
      <c r="AW41" s="154">
        <f t="shared" si="34"/>
        <v>5.4771236456996331E-3</v>
      </c>
      <c r="AX41" s="154">
        <f t="shared" si="35"/>
        <v>455.44864522296166</v>
      </c>
      <c r="AY41" s="154">
        <f t="shared" si="36"/>
        <v>24.945485441525467</v>
      </c>
      <c r="AZ41" s="154">
        <f t="shared" si="37"/>
        <v>54.771236456996334</v>
      </c>
    </row>
    <row r="42" spans="1:52" ht="18" x14ac:dyDescent="0.25">
      <c r="A42" s="104">
        <v>37</v>
      </c>
      <c r="B42">
        <v>1</v>
      </c>
      <c r="C42" t="s">
        <v>458</v>
      </c>
      <c r="D42" t="s">
        <v>36</v>
      </c>
      <c r="E42" t="s">
        <v>470</v>
      </c>
      <c r="F42">
        <v>1</v>
      </c>
      <c r="G42" t="s">
        <v>116</v>
      </c>
      <c r="H42">
        <v>3.431</v>
      </c>
      <c r="Q42" s="155">
        <v>418</v>
      </c>
      <c r="R42" s="155" t="s">
        <v>231</v>
      </c>
      <c r="S42" s="155">
        <v>6.6247540000000003</v>
      </c>
      <c r="T42" s="155">
        <v>-1.1392764446425896</v>
      </c>
      <c r="U42" s="155">
        <v>5.2595464999999999</v>
      </c>
      <c r="V42" s="155">
        <v>-30.478731317883259</v>
      </c>
      <c r="W42" s="142">
        <v>3.431</v>
      </c>
      <c r="X42" s="143">
        <v>7.0035672500000006</v>
      </c>
      <c r="Y42" s="143">
        <v>1.9166458325792195</v>
      </c>
      <c r="Z42" s="143">
        <v>4.5470909062499993</v>
      </c>
      <c r="AA42" s="143">
        <v>-25.930204084925705</v>
      </c>
      <c r="AB42" s="143">
        <v>2.7513749999999999</v>
      </c>
      <c r="AC42" s="143">
        <v>2.7513749999999999</v>
      </c>
      <c r="AD42" s="144">
        <f t="shared" si="18"/>
        <v>1.1078465049364664E-2</v>
      </c>
      <c r="AE42" s="144">
        <f t="shared" si="19"/>
        <v>0.27839945661961657</v>
      </c>
      <c r="AF42" s="145">
        <f t="shared" si="20"/>
        <v>7.3392105649638759E-2</v>
      </c>
      <c r="AG42" s="145">
        <f t="shared" si="21"/>
        <v>1.4642548876656061</v>
      </c>
      <c r="AH42" s="146">
        <f t="shared" si="22"/>
        <v>2.1390878941894131</v>
      </c>
      <c r="AI42" s="146">
        <f t="shared" si="23"/>
        <v>42.677204537033113</v>
      </c>
      <c r="AJ42" s="147">
        <f t="shared" si="24"/>
        <v>19.951122463439134</v>
      </c>
      <c r="AK42" s="148">
        <f t="shared" si="25"/>
        <v>-1.0759222772218091</v>
      </c>
      <c r="AL42" s="148">
        <f t="shared" si="26"/>
        <v>-30.578527232957555</v>
      </c>
      <c r="AM42" s="149">
        <v>0.36599999999999999</v>
      </c>
      <c r="AN42" s="150">
        <f t="shared" si="27"/>
        <v>-1.0759222772218091</v>
      </c>
      <c r="AO42" s="151">
        <f t="shared" si="28"/>
        <v>0.36586103282763766</v>
      </c>
      <c r="AP42" s="152">
        <f t="shared" si="29"/>
        <v>-1.3896717236233647E-4</v>
      </c>
      <c r="AQ42" s="152">
        <f t="shared" si="30"/>
        <v>21.39087894189413</v>
      </c>
      <c r="AR42" s="153">
        <f t="shared" si="31"/>
        <v>-2.972629960900075E-2</v>
      </c>
      <c r="AS42" s="153">
        <f t="shared" si="32"/>
        <v>-1.3896717236233647</v>
      </c>
      <c r="AT42" s="149">
        <v>1.077</v>
      </c>
      <c r="AU42" s="150">
        <f t="shared" si="33"/>
        <v>-30.578527232957555</v>
      </c>
      <c r="AV42" s="150">
        <f t="shared" si="13"/>
        <v>1.0776001907871797</v>
      </c>
      <c r="AW42" s="154">
        <f t="shared" si="34"/>
        <v>6.0019078717976626E-4</v>
      </c>
      <c r="AX42" s="154">
        <f t="shared" si="35"/>
        <v>426.77204537033111</v>
      </c>
      <c r="AY42" s="154">
        <f t="shared" si="36"/>
        <v>2.5614464985713794</v>
      </c>
      <c r="AZ42" s="154">
        <f t="shared" si="37"/>
        <v>6.0019078717976626</v>
      </c>
    </row>
    <row r="43" spans="1:52" ht="18" x14ac:dyDescent="0.25">
      <c r="A43" s="104">
        <v>38</v>
      </c>
      <c r="B43">
        <v>1</v>
      </c>
      <c r="C43" t="s">
        <v>459</v>
      </c>
      <c r="D43" t="s">
        <v>28</v>
      </c>
      <c r="E43" t="s">
        <v>470</v>
      </c>
      <c r="F43">
        <v>1</v>
      </c>
      <c r="G43" t="s">
        <v>117</v>
      </c>
      <c r="H43">
        <v>3.9159999999999999</v>
      </c>
      <c r="Q43" s="141">
        <v>419</v>
      </c>
      <c r="R43" s="141" t="s">
        <v>232</v>
      </c>
      <c r="S43" s="141">
        <v>7.1008304999999998</v>
      </c>
      <c r="T43" s="141">
        <v>-3.285431406688724</v>
      </c>
      <c r="U43" s="141">
        <v>5.8714209999999998</v>
      </c>
      <c r="V43" s="141">
        <v>-30.705919126882211</v>
      </c>
      <c r="W43" s="142">
        <v>3.9159999999999999</v>
      </c>
      <c r="X43" s="143">
        <v>7.0035672500000006</v>
      </c>
      <c r="Y43" s="143">
        <v>1.9166458325792195</v>
      </c>
      <c r="Z43" s="143">
        <v>4.5470909062499993</v>
      </c>
      <c r="AA43" s="143">
        <v>-25.930204084925705</v>
      </c>
      <c r="AB43" s="143">
        <v>2.7513749999999999</v>
      </c>
      <c r="AC43" s="143">
        <v>2.7513749999999999</v>
      </c>
      <c r="AD43" s="144">
        <f t="shared" si="18"/>
        <v>1.1078465049364664E-2</v>
      </c>
      <c r="AE43" s="144">
        <f t="shared" si="19"/>
        <v>0.27839945661961657</v>
      </c>
      <c r="AF43" s="145">
        <f t="shared" si="20"/>
        <v>7.8666302515712605E-2</v>
      </c>
      <c r="AG43" s="145">
        <f t="shared" si="21"/>
        <v>1.6346004159850056</v>
      </c>
      <c r="AH43" s="146">
        <f t="shared" si="22"/>
        <v>2.0088432715963385</v>
      </c>
      <c r="AI43" s="146">
        <f t="shared" si="23"/>
        <v>41.741583656409745</v>
      </c>
      <c r="AJ43" s="147">
        <f t="shared" si="24"/>
        <v>20.778915033644992</v>
      </c>
      <c r="AK43" s="148">
        <f t="shared" si="25"/>
        <v>-3.2220772392679438</v>
      </c>
      <c r="AL43" s="148">
        <f t="shared" si="26"/>
        <v>-30.805715041956507</v>
      </c>
      <c r="AM43" s="149">
        <v>0.36599999999999999</v>
      </c>
      <c r="AN43" s="150">
        <f t="shared" si="27"/>
        <v>-3.2220772392679438</v>
      </c>
      <c r="AO43" s="151">
        <f t="shared" si="28"/>
        <v>0.36507786229718442</v>
      </c>
      <c r="AP43" s="152">
        <f t="shared" si="29"/>
        <v>-9.2213770281557306E-4</v>
      </c>
      <c r="AQ43" s="152">
        <f t="shared" si="30"/>
        <v>20.088432715963386</v>
      </c>
      <c r="AR43" s="153">
        <f t="shared" si="31"/>
        <v>-0.1852430119786368</v>
      </c>
      <c r="AS43" s="153">
        <f t="shared" si="32"/>
        <v>-9.2213770281557306</v>
      </c>
      <c r="AT43" s="149">
        <v>1.077</v>
      </c>
      <c r="AU43" s="150">
        <f t="shared" si="33"/>
        <v>-30.805715041956507</v>
      </c>
      <c r="AV43" s="150">
        <f t="shared" si="13"/>
        <v>1.0773503716016981</v>
      </c>
      <c r="AW43" s="154">
        <f t="shared" si="34"/>
        <v>3.5037160169815174E-4</v>
      </c>
      <c r="AX43" s="154">
        <f t="shared" si="35"/>
        <v>417.41583656409745</v>
      </c>
      <c r="AY43" s="154">
        <f t="shared" si="36"/>
        <v>1.4625065523113676</v>
      </c>
      <c r="AZ43" s="154">
        <f t="shared" si="37"/>
        <v>3.5037160169815174</v>
      </c>
    </row>
    <row r="44" spans="1:52" ht="18" x14ac:dyDescent="0.25">
      <c r="A44" s="104">
        <v>40</v>
      </c>
      <c r="B44">
        <v>1</v>
      </c>
      <c r="C44" t="s">
        <v>461</v>
      </c>
      <c r="D44" t="s">
        <v>52</v>
      </c>
      <c r="E44" t="s">
        <v>470</v>
      </c>
      <c r="F44">
        <v>1</v>
      </c>
      <c r="G44" t="s">
        <v>118</v>
      </c>
      <c r="H44">
        <v>3.3069999999999999</v>
      </c>
      <c r="Q44" s="155">
        <v>420</v>
      </c>
      <c r="R44" s="155" t="s">
        <v>233</v>
      </c>
      <c r="S44" s="155">
        <v>4.3875964999999999</v>
      </c>
      <c r="T44" s="155">
        <v>-3.8483263268498962</v>
      </c>
      <c r="U44" s="155">
        <v>5.2133399999999996</v>
      </c>
      <c r="V44" s="155">
        <v>-30.510916004926941</v>
      </c>
      <c r="W44" s="142">
        <v>3.3069999999999999</v>
      </c>
      <c r="X44" s="143">
        <v>7.0035672500000006</v>
      </c>
      <c r="Y44" s="143">
        <v>1.9166458325792195</v>
      </c>
      <c r="Z44" s="143">
        <v>4.5470909062499993</v>
      </c>
      <c r="AA44" s="143">
        <v>-25.930204084925705</v>
      </c>
      <c r="AB44" s="143">
        <v>2.7513749999999999</v>
      </c>
      <c r="AC44" s="143">
        <v>2.7513749999999999</v>
      </c>
      <c r="AD44" s="144">
        <f t="shared" si="18"/>
        <v>1.1078465049364664E-2</v>
      </c>
      <c r="AE44" s="144">
        <f t="shared" si="19"/>
        <v>0.27839945661961657</v>
      </c>
      <c r="AF44" s="145">
        <f t="shared" si="20"/>
        <v>4.8607834475964729E-2</v>
      </c>
      <c r="AG44" s="145">
        <f t="shared" si="21"/>
        <v>1.4513910231733118</v>
      </c>
      <c r="AH44" s="146">
        <f t="shared" si="22"/>
        <v>1.4698468241900433</v>
      </c>
      <c r="AI44" s="146">
        <f t="shared" si="23"/>
        <v>43.888449445821344</v>
      </c>
      <c r="AJ44" s="147">
        <f t="shared" si="24"/>
        <v>29.859199423726348</v>
      </c>
      <c r="AK44" s="148">
        <f t="shared" si="25"/>
        <v>-3.7849721594291159</v>
      </c>
      <c r="AL44" s="148">
        <f t="shared" si="26"/>
        <v>-30.610711920001236</v>
      </c>
      <c r="AM44" s="149">
        <v>0.36599999999999999</v>
      </c>
      <c r="AN44" s="150">
        <f t="shared" si="27"/>
        <v>-3.7849721594291159</v>
      </c>
      <c r="AO44" s="151">
        <f t="shared" si="28"/>
        <v>0.36487244978266065</v>
      </c>
      <c r="AP44" s="152">
        <f t="shared" si="29"/>
        <v>-1.1275502173393459E-3</v>
      </c>
      <c r="AQ44" s="152">
        <f t="shared" si="30"/>
        <v>14.698468241900432</v>
      </c>
      <c r="AR44" s="153">
        <f t="shared" si="31"/>
        <v>-0.16573261060710306</v>
      </c>
      <c r="AS44" s="153">
        <f t="shared" si="32"/>
        <v>-11.275502173393459</v>
      </c>
      <c r="AT44" s="149">
        <v>1.077</v>
      </c>
      <c r="AU44" s="150">
        <f t="shared" si="33"/>
        <v>-30.610711920001236</v>
      </c>
      <c r="AV44" s="150">
        <f t="shared" si="13"/>
        <v>1.0775648000903415</v>
      </c>
      <c r="AW44" s="154">
        <f t="shared" si="34"/>
        <v>5.6480009034154399E-4</v>
      </c>
      <c r="AX44" s="154">
        <f t="shared" si="35"/>
        <v>438.88449445821345</v>
      </c>
      <c r="AY44" s="154">
        <f t="shared" si="36"/>
        <v>2.478820021195018</v>
      </c>
      <c r="AZ44" s="154">
        <f t="shared" si="37"/>
        <v>5.6480009034154399</v>
      </c>
    </row>
    <row r="45" spans="1:52" ht="18" x14ac:dyDescent="0.25">
      <c r="A45" s="104">
        <v>41</v>
      </c>
      <c r="B45">
        <v>1</v>
      </c>
      <c r="C45" t="s">
        <v>462</v>
      </c>
      <c r="D45" t="s">
        <v>40</v>
      </c>
      <c r="E45" t="s">
        <v>470</v>
      </c>
      <c r="F45">
        <v>1</v>
      </c>
      <c r="G45" t="s">
        <v>68</v>
      </c>
      <c r="H45">
        <v>3.49</v>
      </c>
      <c r="Q45" s="141">
        <v>421</v>
      </c>
      <c r="R45" s="141" t="s">
        <v>234</v>
      </c>
      <c r="S45" s="141">
        <v>3.9098734999999998</v>
      </c>
      <c r="T45" s="141">
        <v>-5.9224143850733739</v>
      </c>
      <c r="U45" s="141">
        <v>5.384417</v>
      </c>
      <c r="V45" s="141">
        <v>-30.384741839686701</v>
      </c>
      <c r="W45" s="142">
        <v>3.49</v>
      </c>
      <c r="X45" s="143">
        <v>7.0035672500000006</v>
      </c>
      <c r="Y45" s="143">
        <v>1.9166458325792195</v>
      </c>
      <c r="Z45" s="143">
        <v>4.5470909062499993</v>
      </c>
      <c r="AA45" s="143">
        <v>-25.930204084925705</v>
      </c>
      <c r="AB45" s="143">
        <v>2.7513749999999999</v>
      </c>
      <c r="AC45" s="143">
        <v>2.7513749999999999</v>
      </c>
      <c r="AD45" s="144">
        <f t="shared" si="18"/>
        <v>1.1078465049364664E-2</v>
      </c>
      <c r="AE45" s="144">
        <f t="shared" si="19"/>
        <v>0.27839945661961657</v>
      </c>
      <c r="AF45" s="145">
        <f t="shared" si="20"/>
        <v>4.3315396917187089E-2</v>
      </c>
      <c r="AG45" s="145">
        <f t="shared" si="21"/>
        <v>1.4990187670134261</v>
      </c>
      <c r="AH45" s="146">
        <f t="shared" si="22"/>
        <v>1.241128851495332</v>
      </c>
      <c r="AI45" s="146">
        <f t="shared" si="23"/>
        <v>42.95182713505519</v>
      </c>
      <c r="AJ45" s="147">
        <f t="shared" si="24"/>
        <v>34.607065240088595</v>
      </c>
      <c r="AK45" s="148">
        <f t="shared" si="25"/>
        <v>-5.8590602176525932</v>
      </c>
      <c r="AL45" s="148">
        <f t="shared" si="26"/>
        <v>-30.484537754760996</v>
      </c>
      <c r="AM45" s="149">
        <v>0.36599999999999999</v>
      </c>
      <c r="AN45" s="150">
        <f t="shared" si="27"/>
        <v>-5.8590602176525932</v>
      </c>
      <c r="AO45" s="151">
        <f t="shared" si="28"/>
        <v>0.36411556294115394</v>
      </c>
      <c r="AP45" s="152">
        <f t="shared" si="29"/>
        <v>-1.8844370588460557E-3</v>
      </c>
      <c r="AQ45" s="152">
        <f t="shared" si="30"/>
        <v>12.411288514953322</v>
      </c>
      <c r="AR45" s="153">
        <f t="shared" si="31"/>
        <v>-0.2338829202560847</v>
      </c>
      <c r="AS45" s="153">
        <f t="shared" si="32"/>
        <v>-18.844370588460556</v>
      </c>
      <c r="AT45" s="149">
        <v>1.077</v>
      </c>
      <c r="AU45" s="150">
        <f t="shared" si="33"/>
        <v>-30.484537754760996</v>
      </c>
      <c r="AV45" s="150">
        <f t="shared" si="13"/>
        <v>1.0777035426842789</v>
      </c>
      <c r="AW45" s="154">
        <f t="shared" si="34"/>
        <v>7.0354268427896827E-4</v>
      </c>
      <c r="AX45" s="154">
        <f t="shared" si="35"/>
        <v>429.51827135055186</v>
      </c>
      <c r="AY45" s="154">
        <f t="shared" si="36"/>
        <v>3.0218443757282953</v>
      </c>
      <c r="AZ45" s="154">
        <f t="shared" si="37"/>
        <v>7.0354268427896827</v>
      </c>
    </row>
    <row r="46" spans="1:52" ht="18" x14ac:dyDescent="0.25">
      <c r="A46" s="104">
        <v>42</v>
      </c>
      <c r="B46">
        <v>1</v>
      </c>
      <c r="C46" t="s">
        <v>463</v>
      </c>
      <c r="D46" t="s">
        <v>48</v>
      </c>
      <c r="E46" t="s">
        <v>470</v>
      </c>
      <c r="F46">
        <v>1</v>
      </c>
      <c r="G46" t="s">
        <v>69</v>
      </c>
      <c r="H46">
        <v>3.73</v>
      </c>
      <c r="Q46" s="155">
        <v>422</v>
      </c>
      <c r="R46" s="155" t="s">
        <v>235</v>
      </c>
      <c r="S46" s="155">
        <v>5.4745210000000002</v>
      </c>
      <c r="T46" s="155">
        <v>-5.1123940475660268</v>
      </c>
      <c r="U46" s="155">
        <v>5.8141835000000004</v>
      </c>
      <c r="V46" s="155">
        <v>-31.689722089996046</v>
      </c>
      <c r="W46" s="142">
        <v>3.73</v>
      </c>
      <c r="X46" s="143">
        <v>7.0035672500000006</v>
      </c>
      <c r="Y46" s="143">
        <v>1.9166458325792195</v>
      </c>
      <c r="Z46" s="143">
        <v>4.5470909062499993</v>
      </c>
      <c r="AA46" s="143">
        <v>-25.930204084925705</v>
      </c>
      <c r="AB46" s="143">
        <v>2.7513749999999999</v>
      </c>
      <c r="AC46" s="143">
        <v>2.7513749999999999</v>
      </c>
      <c r="AD46" s="144">
        <f t="shared" si="18"/>
        <v>1.1078465049364664E-2</v>
      </c>
      <c r="AE46" s="144">
        <f t="shared" si="19"/>
        <v>0.27839945661961657</v>
      </c>
      <c r="AF46" s="145">
        <f t="shared" si="20"/>
        <v>6.0649289560512895E-2</v>
      </c>
      <c r="AG46" s="145">
        <f t="shared" si="21"/>
        <v>1.6186655270867405</v>
      </c>
      <c r="AH46" s="146">
        <f t="shared" si="22"/>
        <v>1.6259863152952521</v>
      </c>
      <c r="AI46" s="146">
        <f t="shared" si="23"/>
        <v>43.395858635033257</v>
      </c>
      <c r="AJ46" s="147">
        <f t="shared" si="24"/>
        <v>26.688944566641876</v>
      </c>
      <c r="AK46" s="148">
        <f t="shared" si="25"/>
        <v>-5.0490398801452461</v>
      </c>
      <c r="AL46" s="148">
        <f t="shared" si="26"/>
        <v>-31.789518005070342</v>
      </c>
      <c r="AM46" s="149">
        <v>0.36599999999999999</v>
      </c>
      <c r="AN46" s="150">
        <f t="shared" si="27"/>
        <v>-5.0490398801452461</v>
      </c>
      <c r="AO46" s="151">
        <f t="shared" si="28"/>
        <v>0.36441116108168137</v>
      </c>
      <c r="AP46" s="152">
        <f t="shared" si="29"/>
        <v>-1.5888389183186247E-3</v>
      </c>
      <c r="AQ46" s="152">
        <f t="shared" si="30"/>
        <v>16.259863152952523</v>
      </c>
      <c r="AR46" s="153">
        <f t="shared" si="31"/>
        <v>-0.25834303383945945</v>
      </c>
      <c r="AS46" s="153">
        <f t="shared" si="32"/>
        <v>-15.888389183186247</v>
      </c>
      <c r="AT46" s="149">
        <v>1.077</v>
      </c>
      <c r="AU46" s="150">
        <f t="shared" si="33"/>
        <v>-31.789518005070342</v>
      </c>
      <c r="AV46" s="150">
        <f t="shared" si="13"/>
        <v>1.0762685522714261</v>
      </c>
      <c r="AW46" s="154">
        <f t="shared" si="34"/>
        <v>-7.3144772857380858E-4</v>
      </c>
      <c r="AX46" s="154">
        <f t="shared" si="35"/>
        <v>433.95858635033255</v>
      </c>
      <c r="AY46" s="154">
        <f t="shared" si="36"/>
        <v>-3.1741802228105169</v>
      </c>
      <c r="AZ46" s="154">
        <f t="shared" si="37"/>
        <v>-7.3144772857380849</v>
      </c>
    </row>
    <row r="47" spans="1:52" ht="18" x14ac:dyDescent="0.25">
      <c r="A47" s="104">
        <v>43</v>
      </c>
      <c r="B47">
        <v>2</v>
      </c>
      <c r="C47" t="s">
        <v>456</v>
      </c>
      <c r="D47" t="s">
        <v>32</v>
      </c>
      <c r="E47" t="s">
        <v>457</v>
      </c>
      <c r="F47">
        <v>1</v>
      </c>
      <c r="G47" t="s">
        <v>70</v>
      </c>
      <c r="H47">
        <v>3.3580000000000001</v>
      </c>
      <c r="Q47" s="141">
        <v>423</v>
      </c>
      <c r="R47" s="141" t="s">
        <v>236</v>
      </c>
      <c r="S47" s="141">
        <v>5.3495105000000001</v>
      </c>
      <c r="T47" s="141">
        <v>126.73605928750307</v>
      </c>
      <c r="U47" s="141">
        <v>4.0462224999999998</v>
      </c>
      <c r="V47" s="141">
        <v>-23.526829496064153</v>
      </c>
      <c r="W47" s="142">
        <v>3.3580000000000001</v>
      </c>
      <c r="X47" s="143">
        <v>7.0035672500000006</v>
      </c>
      <c r="Y47" s="143">
        <v>1.9166458325792195</v>
      </c>
      <c r="Z47" s="143">
        <v>4.5470909062499993</v>
      </c>
      <c r="AA47" s="143">
        <v>-25.930204084925705</v>
      </c>
      <c r="AB47" s="143">
        <v>2.7513749999999999</v>
      </c>
      <c r="AC47" s="143">
        <v>2.7513749999999999</v>
      </c>
      <c r="AD47" s="144">
        <f t="shared" si="18"/>
        <v>1.1078465049364664E-2</v>
      </c>
      <c r="AE47" s="144">
        <f t="shared" si="19"/>
        <v>0.27839945661961657</v>
      </c>
      <c r="AF47" s="145">
        <f t="shared" si="20"/>
        <v>5.9264365105459293E-2</v>
      </c>
      <c r="AG47" s="145">
        <f t="shared" si="21"/>
        <v>1.1264661453620664</v>
      </c>
      <c r="AH47" s="146">
        <f t="shared" si="22"/>
        <v>1.7648709084413132</v>
      </c>
      <c r="AI47" s="146">
        <f t="shared" si="23"/>
        <v>33.545745841633902</v>
      </c>
      <c r="AJ47" s="147">
        <f t="shared" si="24"/>
        <v>19.007478496691075</v>
      </c>
      <c r="AK47" s="148">
        <f t="shared" si="25"/>
        <v>126.79941345492385</v>
      </c>
      <c r="AL47" s="148">
        <f t="shared" si="26"/>
        <v>-23.626625411138448</v>
      </c>
      <c r="AM47" s="149">
        <v>0.36599999999999999</v>
      </c>
      <c r="AN47" s="150">
        <f t="shared" si="27"/>
        <v>126.79941345492385</v>
      </c>
      <c r="AO47" s="151">
        <f t="shared" si="28"/>
        <v>0.41250283037171348</v>
      </c>
      <c r="AP47" s="152">
        <f t="shared" si="29"/>
        <v>4.6502830371713488E-2</v>
      </c>
      <c r="AQ47" s="152">
        <f t="shared" si="30"/>
        <v>17.648709084413131</v>
      </c>
      <c r="AR47" s="153">
        <f t="shared" si="31"/>
        <v>8.2071492483218265</v>
      </c>
      <c r="AS47" s="153">
        <f t="shared" si="32"/>
        <v>465.02830371713486</v>
      </c>
      <c r="AT47" s="149">
        <v>1.077</v>
      </c>
      <c r="AU47" s="150">
        <f t="shared" si="33"/>
        <v>-23.626625411138448</v>
      </c>
      <c r="AV47" s="150">
        <f t="shared" si="13"/>
        <v>1.0852439982398319</v>
      </c>
      <c r="AW47" s="154">
        <f t="shared" si="34"/>
        <v>8.2439982398319067E-3</v>
      </c>
      <c r="AX47" s="154">
        <f t="shared" si="35"/>
        <v>335.45745841633902</v>
      </c>
      <c r="AY47" s="154">
        <f t="shared" si="36"/>
        <v>27.655106967227837</v>
      </c>
      <c r="AZ47" s="154">
        <f t="shared" si="37"/>
        <v>82.439982398319074</v>
      </c>
    </row>
    <row r="48" spans="1:52" ht="18" x14ac:dyDescent="0.25">
      <c r="A48" s="104">
        <v>44</v>
      </c>
      <c r="B48">
        <v>2</v>
      </c>
      <c r="C48" t="s">
        <v>458</v>
      </c>
      <c r="D48" t="s">
        <v>24</v>
      </c>
      <c r="E48" t="s">
        <v>457</v>
      </c>
      <c r="F48">
        <v>1</v>
      </c>
      <c r="G48" t="s">
        <v>71</v>
      </c>
      <c r="H48">
        <v>2.65</v>
      </c>
      <c r="I48" t="s">
        <v>469</v>
      </c>
      <c r="Q48" s="155">
        <v>424</v>
      </c>
      <c r="R48" s="155" t="s">
        <v>237</v>
      </c>
      <c r="S48" s="155">
        <v>5.6840184999999996</v>
      </c>
      <c r="T48" s="155">
        <v>3.0763386430866819</v>
      </c>
      <c r="U48" s="155">
        <v>3.3209304999999998</v>
      </c>
      <c r="V48" s="155">
        <v>-28.155006904466553</v>
      </c>
      <c r="W48" s="142">
        <v>2.65</v>
      </c>
      <c r="X48" s="143">
        <v>7.0035672500000006</v>
      </c>
      <c r="Y48" s="143">
        <v>1.9166458325792195</v>
      </c>
      <c r="Z48" s="143">
        <v>4.5470909062499993</v>
      </c>
      <c r="AA48" s="143">
        <v>-25.930204084925705</v>
      </c>
      <c r="AB48" s="143">
        <v>2.7513749999999999</v>
      </c>
      <c r="AC48" s="143">
        <v>2.7513749999999999</v>
      </c>
      <c r="AD48" s="144">
        <f t="shared" si="18"/>
        <v>1.1078465049364664E-2</v>
      </c>
      <c r="AE48" s="144">
        <f t="shared" si="19"/>
        <v>0.27839945661961657</v>
      </c>
      <c r="AF48" s="145">
        <f t="shared" si="20"/>
        <v>6.2970200292192163E-2</v>
      </c>
      <c r="AG48" s="145">
        <f t="shared" si="21"/>
        <v>0.9245452466715115</v>
      </c>
      <c r="AH48" s="146">
        <f t="shared" si="22"/>
        <v>2.3762339732902702</v>
      </c>
      <c r="AI48" s="146">
        <f t="shared" si="23"/>
        <v>34.888499874396658</v>
      </c>
      <c r="AJ48" s="147">
        <f t="shared" si="24"/>
        <v>14.682266252631695</v>
      </c>
      <c r="AK48" s="148">
        <f t="shared" si="25"/>
        <v>3.1396928105074622</v>
      </c>
      <c r="AL48" s="148">
        <f t="shared" si="26"/>
        <v>-28.254802819540849</v>
      </c>
      <c r="AM48" s="149">
        <v>0.36599999999999999</v>
      </c>
      <c r="AN48" s="150">
        <f t="shared" si="27"/>
        <v>3.1396928105074622</v>
      </c>
      <c r="AO48" s="151">
        <f t="shared" si="28"/>
        <v>0.36739935072033081</v>
      </c>
      <c r="AP48" s="152">
        <f t="shared" si="29"/>
        <v>1.3993507203308164E-3</v>
      </c>
      <c r="AQ48" s="152">
        <f t="shared" si="30"/>
        <v>23.762339732902696</v>
      </c>
      <c r="AR48" s="153">
        <f t="shared" si="31"/>
        <v>0.33251847221982966</v>
      </c>
      <c r="AS48" s="153">
        <f t="shared" si="32"/>
        <v>13.993507203308164</v>
      </c>
      <c r="AT48" s="149">
        <v>1.077</v>
      </c>
      <c r="AU48" s="150">
        <f t="shared" si="33"/>
        <v>-28.254802819540849</v>
      </c>
      <c r="AV48" s="150">
        <f t="shared" si="13"/>
        <v>1.0801553211985588</v>
      </c>
      <c r="AW48" s="154">
        <f t="shared" si="34"/>
        <v>3.1553211985588803E-3</v>
      </c>
      <c r="AX48" s="154">
        <f t="shared" si="35"/>
        <v>348.88499874396655</v>
      </c>
      <c r="AY48" s="154">
        <f t="shared" si="36"/>
        <v>11.008442323960262</v>
      </c>
      <c r="AZ48" s="154">
        <f t="shared" si="37"/>
        <v>31.553211985588803</v>
      </c>
    </row>
    <row r="49" spans="1:52" ht="18" x14ac:dyDescent="0.25">
      <c r="A49" s="104">
        <v>45</v>
      </c>
      <c r="B49">
        <v>2</v>
      </c>
      <c r="C49" t="s">
        <v>459</v>
      </c>
      <c r="D49" t="s">
        <v>28</v>
      </c>
      <c r="E49" t="s">
        <v>457</v>
      </c>
      <c r="F49">
        <v>1</v>
      </c>
      <c r="G49" t="s">
        <v>72</v>
      </c>
      <c r="H49">
        <v>3.5049999999999999</v>
      </c>
      <c r="Q49" s="141">
        <v>425</v>
      </c>
      <c r="R49" s="141" t="s">
        <v>238</v>
      </c>
      <c r="S49" s="141">
        <v>9.0456719999999997</v>
      </c>
      <c r="T49" s="141">
        <v>1.8205570623473166</v>
      </c>
      <c r="U49" s="141">
        <v>4.8373540000000004</v>
      </c>
      <c r="V49" s="141">
        <v>-26.099408464928302</v>
      </c>
      <c r="W49" s="142">
        <v>3.5049999999999999</v>
      </c>
      <c r="X49" s="143">
        <v>7.0035672500000006</v>
      </c>
      <c r="Y49" s="143">
        <v>1.9166458325792195</v>
      </c>
      <c r="Z49" s="143">
        <v>4.5470909062499993</v>
      </c>
      <c r="AA49" s="143">
        <v>-25.930204084925705</v>
      </c>
      <c r="AB49" s="143">
        <v>2.7513749999999999</v>
      </c>
      <c r="AC49" s="143">
        <v>2.7513749999999999</v>
      </c>
      <c r="AD49" s="144">
        <f t="shared" si="18"/>
        <v>1.1078465049364664E-2</v>
      </c>
      <c r="AE49" s="144">
        <f t="shared" si="19"/>
        <v>0.27839945661961657</v>
      </c>
      <c r="AF49" s="145">
        <f t="shared" si="20"/>
        <v>0.10021216110001656</v>
      </c>
      <c r="AG49" s="145">
        <f t="shared" si="21"/>
        <v>1.3467167250767289</v>
      </c>
      <c r="AH49" s="146">
        <f t="shared" si="22"/>
        <v>2.8591201455068922</v>
      </c>
      <c r="AI49" s="146">
        <f t="shared" si="23"/>
        <v>38.422731100619941</v>
      </c>
      <c r="AJ49" s="147">
        <f t="shared" si="24"/>
        <v>13.438655651110455</v>
      </c>
      <c r="AK49" s="148">
        <f t="shared" si="25"/>
        <v>1.8839112297680971</v>
      </c>
      <c r="AL49" s="148">
        <f t="shared" si="26"/>
        <v>-26.199204380002598</v>
      </c>
      <c r="AM49" s="149">
        <v>0.36599999999999999</v>
      </c>
      <c r="AN49" s="150">
        <f t="shared" si="27"/>
        <v>1.8839112297680971</v>
      </c>
      <c r="AO49" s="151">
        <f t="shared" si="28"/>
        <v>0.36694110908931638</v>
      </c>
      <c r="AP49" s="152">
        <f t="shared" si="29"/>
        <v>9.4110908931638315E-4</v>
      </c>
      <c r="AQ49" s="152">
        <f t="shared" si="30"/>
        <v>28.591201455068923</v>
      </c>
      <c r="AR49" s="153">
        <f t="shared" si="31"/>
        <v>0.26907439563841162</v>
      </c>
      <c r="AS49" s="153">
        <f t="shared" si="32"/>
        <v>9.4110908931638306</v>
      </c>
      <c r="AT49" s="149">
        <v>1.077</v>
      </c>
      <c r="AU49" s="150">
        <f t="shared" si="33"/>
        <v>-26.199204380002598</v>
      </c>
      <c r="AV49" s="150">
        <f t="shared" si="13"/>
        <v>1.0824155145264318</v>
      </c>
      <c r="AW49" s="154">
        <f t="shared" si="34"/>
        <v>5.4155145264318527E-3</v>
      </c>
      <c r="AX49" s="154">
        <f t="shared" si="35"/>
        <v>384.22731100619939</v>
      </c>
      <c r="AY49" s="154">
        <f t="shared" si="36"/>
        <v>20.807885842059218</v>
      </c>
      <c r="AZ49" s="154">
        <f t="shared" si="37"/>
        <v>54.155145264318527</v>
      </c>
    </row>
    <row r="50" spans="1:52" ht="18" x14ac:dyDescent="0.25">
      <c r="A50" s="104">
        <v>46</v>
      </c>
      <c r="B50">
        <v>2</v>
      </c>
      <c r="C50" t="s">
        <v>460</v>
      </c>
      <c r="D50" t="s">
        <v>40</v>
      </c>
      <c r="E50" t="s">
        <v>457</v>
      </c>
      <c r="F50">
        <v>1</v>
      </c>
      <c r="G50" t="s">
        <v>73</v>
      </c>
      <c r="H50">
        <v>3.1720000000000002</v>
      </c>
      <c r="Q50" s="155">
        <v>426</v>
      </c>
      <c r="R50" s="155" t="s">
        <v>239</v>
      </c>
      <c r="S50" s="155">
        <v>5.5875515</v>
      </c>
      <c r="T50" s="155">
        <v>1.6517490133023116</v>
      </c>
      <c r="U50" s="155">
        <v>3.7480329999999999</v>
      </c>
      <c r="V50" s="155">
        <v>-26.988007078619091</v>
      </c>
      <c r="W50" s="142">
        <v>3.1720000000000002</v>
      </c>
      <c r="X50" s="143">
        <v>7.0035672500000006</v>
      </c>
      <c r="Y50" s="143">
        <v>1.9166458325792195</v>
      </c>
      <c r="Z50" s="143">
        <v>4.5470909062499993</v>
      </c>
      <c r="AA50" s="143">
        <v>-25.930204084925705</v>
      </c>
      <c r="AB50" s="143">
        <v>2.7513749999999999</v>
      </c>
      <c r="AC50" s="143">
        <v>2.7513749999999999</v>
      </c>
      <c r="AD50" s="144">
        <f t="shared" si="18"/>
        <v>1.1078465049364664E-2</v>
      </c>
      <c r="AE50" s="144">
        <f t="shared" si="19"/>
        <v>0.27839945661961657</v>
      </c>
      <c r="AF50" s="145">
        <f t="shared" si="20"/>
        <v>6.1901494004275102E-2</v>
      </c>
      <c r="AG50" s="145">
        <f t="shared" si="21"/>
        <v>1.0434503505923913</v>
      </c>
      <c r="AH50" s="146">
        <f t="shared" si="22"/>
        <v>1.9514972889115731</v>
      </c>
      <c r="AI50" s="146">
        <f t="shared" si="23"/>
        <v>32.89566048525824</v>
      </c>
      <c r="AJ50" s="147">
        <f t="shared" si="24"/>
        <v>16.85662627981689</v>
      </c>
      <c r="AK50" s="148">
        <f t="shared" si="25"/>
        <v>1.7151031807230921</v>
      </c>
      <c r="AL50" s="148">
        <f t="shared" si="26"/>
        <v>-27.087802993693387</v>
      </c>
      <c r="AM50" s="149">
        <v>0.36599999999999999</v>
      </c>
      <c r="AN50" s="150">
        <f t="shared" si="27"/>
        <v>1.7151031807230921</v>
      </c>
      <c r="AO50" s="151">
        <f t="shared" si="28"/>
        <v>0.366879509778963</v>
      </c>
      <c r="AP50" s="152">
        <f t="shared" si="29"/>
        <v>8.7950977896300575E-4</v>
      </c>
      <c r="AQ50" s="152">
        <f t="shared" si="30"/>
        <v>19.514972889115732</v>
      </c>
      <c r="AR50" s="153">
        <f t="shared" si="31"/>
        <v>0.17163609492175227</v>
      </c>
      <c r="AS50" s="153">
        <f t="shared" si="32"/>
        <v>8.7950977896300575</v>
      </c>
      <c r="AT50" s="149">
        <v>1.077</v>
      </c>
      <c r="AU50" s="150">
        <f t="shared" si="33"/>
        <v>-27.087802993693387</v>
      </c>
      <c r="AV50" s="150">
        <f t="shared" si="13"/>
        <v>1.0814384858584565</v>
      </c>
      <c r="AW50" s="154">
        <f t="shared" si="34"/>
        <v>4.4384858584565201E-3</v>
      </c>
      <c r="AX50" s="154">
        <f t="shared" si="35"/>
        <v>328.95660485258236</v>
      </c>
      <c r="AY50" s="154">
        <f t="shared" si="36"/>
        <v>14.600692386840564</v>
      </c>
      <c r="AZ50" s="154">
        <f t="shared" si="37"/>
        <v>44.384858584565201</v>
      </c>
    </row>
    <row r="51" spans="1:52" ht="18" x14ac:dyDescent="0.25">
      <c r="A51" s="104">
        <v>47</v>
      </c>
      <c r="B51">
        <v>2</v>
      </c>
      <c r="C51" t="s">
        <v>461</v>
      </c>
      <c r="D51" t="s">
        <v>44</v>
      </c>
      <c r="E51" t="s">
        <v>457</v>
      </c>
      <c r="F51">
        <v>1</v>
      </c>
      <c r="G51" t="s">
        <v>74</v>
      </c>
      <c r="H51">
        <v>3.2989999999999999</v>
      </c>
      <c r="Q51" s="141">
        <v>427</v>
      </c>
      <c r="R51" s="141" t="s">
        <v>240</v>
      </c>
      <c r="S51" s="141">
        <v>6.7328555000000003</v>
      </c>
      <c r="T51" s="141">
        <v>1.2804704183024902</v>
      </c>
      <c r="U51" s="141">
        <v>4.2339465000000001</v>
      </c>
      <c r="V51" s="141">
        <v>-27.404503772204137</v>
      </c>
      <c r="W51" s="142">
        <v>3.2989999999999999</v>
      </c>
      <c r="X51" s="143">
        <v>7.0035672500000006</v>
      </c>
      <c r="Y51" s="143">
        <v>1.9166458325792195</v>
      </c>
      <c r="Z51" s="143">
        <v>4.5470909062499993</v>
      </c>
      <c r="AA51" s="143">
        <v>-25.930204084925705</v>
      </c>
      <c r="AB51" s="143">
        <v>2.7513749999999999</v>
      </c>
      <c r="AC51" s="143">
        <v>2.7513749999999999</v>
      </c>
      <c r="AD51" s="144">
        <f t="shared" si="18"/>
        <v>1.1078465049364664E-2</v>
      </c>
      <c r="AE51" s="144">
        <f t="shared" si="19"/>
        <v>0.27839945661961657</v>
      </c>
      <c r="AF51" s="145">
        <f t="shared" si="20"/>
        <v>7.4589704339172655E-2</v>
      </c>
      <c r="AG51" s="145">
        <f t="shared" si="21"/>
        <v>1.1787284049565274</v>
      </c>
      <c r="AH51" s="146">
        <f t="shared" si="22"/>
        <v>2.26097921610102</v>
      </c>
      <c r="AI51" s="146">
        <f t="shared" si="23"/>
        <v>35.729869807715289</v>
      </c>
      <c r="AJ51" s="147">
        <f t="shared" si="24"/>
        <v>15.802829832876661</v>
      </c>
      <c r="AK51" s="148">
        <f t="shared" si="25"/>
        <v>1.3438245857232707</v>
      </c>
      <c r="AL51" s="148">
        <f t="shared" si="26"/>
        <v>-27.504299687278433</v>
      </c>
      <c r="AM51" s="149">
        <v>0.36599999999999999</v>
      </c>
      <c r="AN51" s="150">
        <f t="shared" si="27"/>
        <v>1.3438245857232707</v>
      </c>
      <c r="AO51" s="151">
        <f t="shared" si="28"/>
        <v>0.36674402719522409</v>
      </c>
      <c r="AP51" s="152">
        <f t="shared" si="29"/>
        <v>7.4402719522409511E-4</v>
      </c>
      <c r="AQ51" s="152">
        <f t="shared" si="30"/>
        <v>22.609792161010201</v>
      </c>
      <c r="AR51" s="153">
        <f t="shared" si="31"/>
        <v>0.16822300246156149</v>
      </c>
      <c r="AS51" s="153">
        <f t="shared" si="32"/>
        <v>7.4402719522409511</v>
      </c>
      <c r="AT51" s="149">
        <v>1.077</v>
      </c>
      <c r="AU51" s="150">
        <f t="shared" si="33"/>
        <v>-27.504299687278433</v>
      </c>
      <c r="AV51" s="150">
        <f t="shared" si="13"/>
        <v>1.0809805343078565</v>
      </c>
      <c r="AW51" s="154">
        <f t="shared" si="34"/>
        <v>3.9805343078564981E-3</v>
      </c>
      <c r="AX51" s="154">
        <f t="shared" si="35"/>
        <v>357.29869807715289</v>
      </c>
      <c r="AY51" s="154">
        <f t="shared" si="36"/>
        <v>14.222397258485676</v>
      </c>
      <c r="AZ51" s="154">
        <f t="shared" si="37"/>
        <v>39.805343078564981</v>
      </c>
    </row>
    <row r="52" spans="1:52" ht="18" x14ac:dyDescent="0.25">
      <c r="A52" s="104">
        <v>48</v>
      </c>
      <c r="B52">
        <v>2</v>
      </c>
      <c r="C52" t="s">
        <v>462</v>
      </c>
      <c r="D52" t="s">
        <v>48</v>
      </c>
      <c r="E52" t="s">
        <v>457</v>
      </c>
      <c r="F52">
        <v>1</v>
      </c>
      <c r="G52" t="s">
        <v>75</v>
      </c>
      <c r="H52">
        <v>3.2090000000000001</v>
      </c>
      <c r="Q52" s="155">
        <v>428</v>
      </c>
      <c r="R52" s="155" t="s">
        <v>241</v>
      </c>
      <c r="S52" s="155">
        <v>6.3486079999999996</v>
      </c>
      <c r="T52" s="155">
        <v>42.346806015508434</v>
      </c>
      <c r="U52" s="155">
        <v>4.1095685</v>
      </c>
      <c r="V52" s="155">
        <v>-24.487016969619201</v>
      </c>
      <c r="W52" s="142">
        <v>3.2090000000000001</v>
      </c>
      <c r="X52" s="143">
        <v>7.0035672500000006</v>
      </c>
      <c r="Y52" s="143">
        <v>1.9166458325792195</v>
      </c>
      <c r="Z52" s="143">
        <v>4.5470909062499993</v>
      </c>
      <c r="AA52" s="143">
        <v>-25.930204084925705</v>
      </c>
      <c r="AB52" s="143">
        <v>2.7513749999999999</v>
      </c>
      <c r="AC52" s="143">
        <v>2.7513749999999999</v>
      </c>
      <c r="AD52" s="144">
        <f t="shared" si="18"/>
        <v>1.1078465049364664E-2</v>
      </c>
      <c r="AE52" s="144">
        <f t="shared" si="19"/>
        <v>0.27839945661961657</v>
      </c>
      <c r="AF52" s="145">
        <f t="shared" si="20"/>
        <v>7.0332831840116891E-2</v>
      </c>
      <c r="AG52" s="145">
        <f t="shared" si="21"/>
        <v>1.1441016373410928</v>
      </c>
      <c r="AH52" s="146">
        <f t="shared" si="22"/>
        <v>2.1917367354352413</v>
      </c>
      <c r="AI52" s="146">
        <f t="shared" si="23"/>
        <v>35.652902378968307</v>
      </c>
      <c r="AJ52" s="147">
        <f t="shared" si="24"/>
        <v>16.266963911561326</v>
      </c>
      <c r="AK52" s="148">
        <f t="shared" si="25"/>
        <v>42.410160182929218</v>
      </c>
      <c r="AL52" s="148">
        <f t="shared" si="26"/>
        <v>-24.586812884693497</v>
      </c>
      <c r="AM52" s="149">
        <v>0.36599999999999999</v>
      </c>
      <c r="AN52" s="150">
        <f t="shared" si="27"/>
        <v>42.410160182929218</v>
      </c>
      <c r="AO52" s="151">
        <f t="shared" si="28"/>
        <v>0.38172723438966449</v>
      </c>
      <c r="AP52" s="152">
        <f t="shared" si="29"/>
        <v>1.5727234389664502E-2</v>
      </c>
      <c r="AQ52" s="152">
        <f t="shared" si="30"/>
        <v>21.917367354352411</v>
      </c>
      <c r="AR52" s="153">
        <f t="shared" si="31"/>
        <v>3.4469957358628132</v>
      </c>
      <c r="AS52" s="153">
        <f t="shared" si="32"/>
        <v>157.27234389664503</v>
      </c>
      <c r="AT52" s="149">
        <v>1.077</v>
      </c>
      <c r="AU52" s="150">
        <f t="shared" si="33"/>
        <v>-24.586812884693497</v>
      </c>
      <c r="AV52" s="150">
        <f t="shared" si="13"/>
        <v>1.0841883159887868</v>
      </c>
      <c r="AW52" s="154">
        <f t="shared" si="34"/>
        <v>7.1883159887868864E-3</v>
      </c>
      <c r="AX52" s="154">
        <f t="shared" si="35"/>
        <v>356.52902378968304</v>
      </c>
      <c r="AY52" s="154">
        <f t="shared" si="36"/>
        <v>25.628432821739587</v>
      </c>
      <c r="AZ52" s="154">
        <f t="shared" si="37"/>
        <v>71.883159887868857</v>
      </c>
    </row>
    <row r="53" spans="1:52" ht="18" x14ac:dyDescent="0.25">
      <c r="A53" s="104">
        <v>49</v>
      </c>
      <c r="B53">
        <v>2</v>
      </c>
      <c r="C53" t="s">
        <v>463</v>
      </c>
      <c r="D53" t="s">
        <v>36</v>
      </c>
      <c r="E53" t="s">
        <v>457</v>
      </c>
      <c r="F53">
        <v>1</v>
      </c>
      <c r="G53" t="s">
        <v>76</v>
      </c>
      <c r="H53">
        <v>3.254</v>
      </c>
      <c r="Q53" s="141">
        <v>429</v>
      </c>
      <c r="R53" s="141" t="s">
        <v>242</v>
      </c>
      <c r="S53" s="141">
        <v>6.0561394999999996</v>
      </c>
      <c r="T53" s="141">
        <v>2.4328131976512264</v>
      </c>
      <c r="U53" s="141">
        <v>4.0970294999999997</v>
      </c>
      <c r="V53" s="141">
        <v>-26.782970844185741</v>
      </c>
      <c r="W53" s="142">
        <v>3.254</v>
      </c>
      <c r="X53" s="143">
        <v>7.0035672500000006</v>
      </c>
      <c r="Y53" s="143">
        <v>1.9166458325792195</v>
      </c>
      <c r="Z53" s="143">
        <v>4.5470909062499993</v>
      </c>
      <c r="AA53" s="143">
        <v>-25.930204084925705</v>
      </c>
      <c r="AB53" s="143">
        <v>2.7513749999999999</v>
      </c>
      <c r="AC53" s="143">
        <v>2.7513749999999999</v>
      </c>
      <c r="AD53" s="144">
        <f t="shared" si="18"/>
        <v>1.1078465049364664E-2</v>
      </c>
      <c r="AE53" s="144">
        <f t="shared" si="19"/>
        <v>0.27839945661961657</v>
      </c>
      <c r="AF53" s="145">
        <f t="shared" si="20"/>
        <v>6.7092729784826791E-2</v>
      </c>
      <c r="AG53" s="145">
        <f t="shared" si="21"/>
        <v>1.1406107865545392</v>
      </c>
      <c r="AH53" s="146">
        <f t="shared" si="22"/>
        <v>2.0618540192018067</v>
      </c>
      <c r="AI53" s="146">
        <f t="shared" si="23"/>
        <v>35.052574878750434</v>
      </c>
      <c r="AJ53" s="147">
        <f t="shared" si="24"/>
        <v>17.000512428285358</v>
      </c>
      <c r="AK53" s="148">
        <f t="shared" si="25"/>
        <v>2.4961673650720071</v>
      </c>
      <c r="AL53" s="148">
        <f t="shared" si="26"/>
        <v>-26.882766759260036</v>
      </c>
      <c r="AM53" s="149">
        <v>0.36599999999999999</v>
      </c>
      <c r="AN53" s="150">
        <f t="shared" si="27"/>
        <v>2.4961673650720071</v>
      </c>
      <c r="AO53" s="151">
        <f t="shared" si="28"/>
        <v>0.3671645252594547</v>
      </c>
      <c r="AP53" s="152">
        <f t="shared" si="29"/>
        <v>1.1645252594547073E-3</v>
      </c>
      <c r="AQ53" s="152">
        <f t="shared" si="30"/>
        <v>20.618540192018067</v>
      </c>
      <c r="AR53" s="153">
        <f t="shared" si="31"/>
        <v>0.24010810866687152</v>
      </c>
      <c r="AS53" s="153">
        <f t="shared" si="32"/>
        <v>11.645252594547074</v>
      </c>
      <c r="AT53" s="149">
        <v>1.077</v>
      </c>
      <c r="AU53" s="150">
        <f t="shared" si="33"/>
        <v>-26.882766759260036</v>
      </c>
      <c r="AV53" s="150">
        <f t="shared" si="13"/>
        <v>1.0816639282550899</v>
      </c>
      <c r="AW53" s="154">
        <f t="shared" si="34"/>
        <v>4.6639282550899885E-3</v>
      </c>
      <c r="AX53" s="154">
        <f t="shared" si="35"/>
        <v>350.52574878750437</v>
      </c>
      <c r="AY53" s="154">
        <f t="shared" si="36"/>
        <v>16.348269439066168</v>
      </c>
      <c r="AZ53" s="154">
        <f t="shared" si="37"/>
        <v>46.639282550899885</v>
      </c>
    </row>
    <row r="54" spans="1:52" ht="18" x14ac:dyDescent="0.25">
      <c r="I54" t="s">
        <v>152</v>
      </c>
      <c r="Q54" s="155">
        <v>430</v>
      </c>
      <c r="R54" s="155" t="s">
        <v>243</v>
      </c>
      <c r="S54" s="155">
        <v>7.4125059999999996</v>
      </c>
      <c r="T54" s="155">
        <v>1.94541983891523</v>
      </c>
      <c r="U54" s="155">
        <v>4.7508419999999996</v>
      </c>
      <c r="V54" s="155">
        <v>-25.929364708605533</v>
      </c>
      <c r="W54" s="155">
        <v>2.9369999999999998</v>
      </c>
      <c r="X54" s="143">
        <v>7.0035672500000006</v>
      </c>
      <c r="Y54" s="143">
        <v>1.9166458325792195</v>
      </c>
      <c r="Z54" s="143">
        <v>4.5470909062499993</v>
      </c>
      <c r="AA54" s="143">
        <v>-25.930204084925705</v>
      </c>
      <c r="AB54" s="143">
        <v>2.7513749999999999</v>
      </c>
      <c r="AC54" s="143">
        <v>2.7513749999999999</v>
      </c>
      <c r="AD54" s="144">
        <f t="shared" si="18"/>
        <v>1.1078465049364664E-2</v>
      </c>
      <c r="AE54" s="144">
        <f t="shared" si="19"/>
        <v>0.27839945661961657</v>
      </c>
      <c r="AF54" s="145">
        <f t="shared" si="20"/>
        <v>8.2119188649205865E-2</v>
      </c>
      <c r="AG54" s="145">
        <f t="shared" si="21"/>
        <v>1.3226318312856522</v>
      </c>
      <c r="AH54" s="146">
        <f t="shared" si="22"/>
        <v>2.7960227664012898</v>
      </c>
      <c r="AI54" s="146">
        <f t="shared" si="23"/>
        <v>45.033429733934369</v>
      </c>
      <c r="AJ54" s="147">
        <f t="shared" si="24"/>
        <v>16.106245726996022</v>
      </c>
      <c r="AK54" s="148">
        <f t="shared" si="25"/>
        <v>2.0087740063360107</v>
      </c>
      <c r="AL54" s="148">
        <f t="shared" si="26"/>
        <v>-26.029160623679829</v>
      </c>
      <c r="AM54" s="149">
        <v>0.36599999999999999</v>
      </c>
      <c r="AN54" s="150">
        <f t="shared" si="27"/>
        <v>2.0087740063360107</v>
      </c>
      <c r="AO54" s="151">
        <f t="shared" si="28"/>
        <v>0.36698667239447957</v>
      </c>
      <c r="AP54" s="152">
        <f t="shared" si="29"/>
        <v>9.8667239447958188E-4</v>
      </c>
      <c r="AQ54" s="152">
        <f t="shared" si="30"/>
        <v>27.960227664012898</v>
      </c>
      <c r="AR54" s="153">
        <f t="shared" si="31"/>
        <v>0.27587584779445851</v>
      </c>
      <c r="AS54" s="153">
        <f t="shared" si="32"/>
        <v>9.8667239447958188</v>
      </c>
      <c r="AT54" s="149">
        <v>1.077</v>
      </c>
      <c r="AU54" s="150">
        <f t="shared" si="33"/>
        <v>-26.029160623679829</v>
      </c>
      <c r="AV54" s="150">
        <f t="shared" si="13"/>
        <v>1.0826024782097043</v>
      </c>
      <c r="AW54" s="154">
        <f t="shared" si="34"/>
        <v>5.6024782097043868E-3</v>
      </c>
      <c r="AX54" s="154">
        <f t="shared" si="35"/>
        <v>450.33429733934372</v>
      </c>
      <c r="AY54" s="154">
        <f t="shared" si="36"/>
        <v>25.229880879262097</v>
      </c>
      <c r="AZ54" s="154">
        <f t="shared" si="37"/>
        <v>56.024782097043868</v>
      </c>
    </row>
    <row r="55" spans="1:52" ht="18" x14ac:dyDescent="0.25">
      <c r="A55" s="104">
        <v>50</v>
      </c>
      <c r="B55">
        <v>2</v>
      </c>
      <c r="C55" t="s">
        <v>464</v>
      </c>
      <c r="D55" t="s">
        <v>52</v>
      </c>
      <c r="E55" t="s">
        <v>457</v>
      </c>
      <c r="F55">
        <v>1</v>
      </c>
      <c r="G55" t="s">
        <v>77</v>
      </c>
      <c r="H55">
        <v>3.7149999999999999</v>
      </c>
      <c r="Q55" s="141">
        <v>431</v>
      </c>
      <c r="R55" s="141" t="s">
        <v>244</v>
      </c>
      <c r="S55" s="141">
        <v>7.3137439999999998</v>
      </c>
      <c r="T55" s="141">
        <v>181.81693710578432</v>
      </c>
      <c r="U55" s="141">
        <v>4.681718</v>
      </c>
      <c r="V55" s="141">
        <v>-21.370724055512579</v>
      </c>
      <c r="W55" s="142">
        <v>3.7149999999999999</v>
      </c>
      <c r="X55" s="143">
        <v>7.0035672500000006</v>
      </c>
      <c r="Y55" s="143">
        <v>1.9166458325792195</v>
      </c>
      <c r="Z55" s="143">
        <v>4.5470909062499993</v>
      </c>
      <c r="AA55" s="143">
        <v>-25.930204084925705</v>
      </c>
      <c r="AB55" s="143">
        <v>2.7513749999999999</v>
      </c>
      <c r="AC55" s="143">
        <v>2.7513749999999999</v>
      </c>
      <c r="AD55" s="144">
        <f t="shared" si="18"/>
        <v>1.1078465049364664E-2</v>
      </c>
      <c r="AE55" s="144">
        <f t="shared" si="19"/>
        <v>0.27839945661961657</v>
      </c>
      <c r="AF55" s="145">
        <f t="shared" si="20"/>
        <v>8.1025057284000515E-2</v>
      </c>
      <c r="AG55" s="145">
        <f t="shared" si="21"/>
        <v>1.303387747246278</v>
      </c>
      <c r="AH55" s="146">
        <f t="shared" si="22"/>
        <v>2.1810244221803639</v>
      </c>
      <c r="AI55" s="146">
        <f t="shared" si="23"/>
        <v>35.084461567867514</v>
      </c>
      <c r="AJ55" s="147">
        <f t="shared" si="24"/>
        <v>16.086230493830818</v>
      </c>
      <c r="AK55" s="148">
        <f t="shared" si="25"/>
        <v>181.8802912732051</v>
      </c>
      <c r="AL55" s="148">
        <f t="shared" si="26"/>
        <v>-21.470519970586874</v>
      </c>
      <c r="AM55" s="149">
        <v>0.36599999999999999</v>
      </c>
      <c r="AN55" s="150">
        <f t="shared" si="27"/>
        <v>181.8802912732051</v>
      </c>
      <c r="AO55" s="151">
        <f t="shared" si="28"/>
        <v>0.43257981230146114</v>
      </c>
      <c r="AP55" s="152">
        <f t="shared" si="29"/>
        <v>6.657981230146115E-2</v>
      </c>
      <c r="AQ55" s="152">
        <f t="shared" si="30"/>
        <v>21.810244221803636</v>
      </c>
      <c r="AR55" s="153">
        <f t="shared" si="31"/>
        <v>14.521219665367136</v>
      </c>
      <c r="AS55" s="153">
        <f t="shared" si="32"/>
        <v>665.79812301461152</v>
      </c>
      <c r="AT55" s="149">
        <v>1.077</v>
      </c>
      <c r="AU55" s="150">
        <f t="shared" si="33"/>
        <v>-21.470519970586874</v>
      </c>
      <c r="AV55" s="150">
        <f t="shared" si="13"/>
        <v>1.0876144555394716</v>
      </c>
      <c r="AW55" s="154">
        <f t="shared" si="34"/>
        <v>1.0614455539471601E-2</v>
      </c>
      <c r="AX55" s="154">
        <f t="shared" si="35"/>
        <v>350.84461567867515</v>
      </c>
      <c r="AY55" s="154">
        <f t="shared" si="36"/>
        <v>37.240245743842983</v>
      </c>
      <c r="AZ55" s="154">
        <f t="shared" si="37"/>
        <v>106.14455539471602</v>
      </c>
    </row>
    <row r="56" spans="1:52" ht="18" x14ac:dyDescent="0.25">
      <c r="A56" s="104">
        <v>51</v>
      </c>
      <c r="B56">
        <v>2</v>
      </c>
      <c r="C56" t="s">
        <v>456</v>
      </c>
      <c r="D56" t="s">
        <v>32</v>
      </c>
      <c r="E56" t="s">
        <v>465</v>
      </c>
      <c r="F56">
        <v>1</v>
      </c>
      <c r="G56" t="s">
        <v>78</v>
      </c>
      <c r="H56">
        <v>3.2519999999999998</v>
      </c>
      <c r="Q56" s="155">
        <v>432</v>
      </c>
      <c r="R56" s="155" t="s">
        <v>245</v>
      </c>
      <c r="S56" s="155">
        <v>3.6942010000000001</v>
      </c>
      <c r="T56" s="155">
        <v>136.37979944888423</v>
      </c>
      <c r="U56" s="155">
        <v>4.2537124999999998</v>
      </c>
      <c r="V56" s="155">
        <v>-26.501335095506789</v>
      </c>
      <c r="W56" s="142">
        <v>3.2519999999999998</v>
      </c>
      <c r="X56" s="143">
        <v>7.0035672500000006</v>
      </c>
      <c r="Y56" s="143">
        <v>1.9166458325792195</v>
      </c>
      <c r="Z56" s="143">
        <v>4.5470909062499993</v>
      </c>
      <c r="AA56" s="143">
        <v>-25.930204084925705</v>
      </c>
      <c r="AB56" s="143">
        <v>2.7513749999999999</v>
      </c>
      <c r="AC56" s="143">
        <v>2.7513749999999999</v>
      </c>
      <c r="AD56" s="144">
        <f t="shared" si="18"/>
        <v>1.1078465049364664E-2</v>
      </c>
      <c r="AE56" s="144">
        <f t="shared" si="19"/>
        <v>0.27839945661961657</v>
      </c>
      <c r="AF56" s="145">
        <f t="shared" si="20"/>
        <v>4.0926076663827991E-2</v>
      </c>
      <c r="AG56" s="145">
        <f t="shared" si="21"/>
        <v>1.1842312486160707</v>
      </c>
      <c r="AH56" s="146">
        <f t="shared" si="22"/>
        <v>1.2584894423071338</v>
      </c>
      <c r="AI56" s="146">
        <f t="shared" si="23"/>
        <v>36.41547504969467</v>
      </c>
      <c r="AJ56" s="147">
        <f t="shared" si="24"/>
        <v>28.935860584524068</v>
      </c>
      <c r="AK56" s="148">
        <f t="shared" si="25"/>
        <v>136.44315361630501</v>
      </c>
      <c r="AL56" s="148">
        <f t="shared" si="26"/>
        <v>-26.601131010581085</v>
      </c>
      <c r="AM56" s="149">
        <v>0.36599999999999999</v>
      </c>
      <c r="AN56" s="150">
        <f t="shared" si="27"/>
        <v>136.44315361630501</v>
      </c>
      <c r="AO56" s="151">
        <f t="shared" si="28"/>
        <v>0.41601855868563703</v>
      </c>
      <c r="AP56" s="152">
        <f t="shared" si="29"/>
        <v>5.0018558685637038E-2</v>
      </c>
      <c r="AQ56" s="152">
        <f t="shared" si="30"/>
        <v>12.584894423071338</v>
      </c>
      <c r="AR56" s="153">
        <f t="shared" si="31"/>
        <v>6.294782802529399</v>
      </c>
      <c r="AS56" s="153">
        <f t="shared" si="32"/>
        <v>500.18558685637038</v>
      </c>
      <c r="AT56" s="149">
        <v>1.077</v>
      </c>
      <c r="AU56" s="150">
        <f t="shared" si="33"/>
        <v>-26.601131010581085</v>
      </c>
      <c r="AV56" s="150">
        <f t="shared" si="13"/>
        <v>1.0819735920316795</v>
      </c>
      <c r="AW56" s="154">
        <f t="shared" si="34"/>
        <v>4.9735920316795745E-3</v>
      </c>
      <c r="AX56" s="154">
        <f t="shared" si="35"/>
        <v>364.15475049694669</v>
      </c>
      <c r="AY56" s="154">
        <f t="shared" si="36"/>
        <v>18.111571653698775</v>
      </c>
      <c r="AZ56" s="154">
        <f t="shared" si="37"/>
        <v>49.735920316795742</v>
      </c>
    </row>
    <row r="57" spans="1:52" ht="18" x14ac:dyDescent="0.25">
      <c r="A57" s="104">
        <v>52</v>
      </c>
      <c r="B57">
        <v>2</v>
      </c>
      <c r="C57" t="s">
        <v>458</v>
      </c>
      <c r="D57" t="s">
        <v>24</v>
      </c>
      <c r="E57" t="s">
        <v>465</v>
      </c>
      <c r="F57">
        <v>1</v>
      </c>
      <c r="G57" t="s">
        <v>79</v>
      </c>
      <c r="H57">
        <v>4.0510000000000002</v>
      </c>
      <c r="Q57" s="141">
        <v>433</v>
      </c>
      <c r="R57" s="141" t="s">
        <v>246</v>
      </c>
      <c r="S57" s="141">
        <v>4.204256</v>
      </c>
      <c r="T57" s="141">
        <v>5.2968767219541107E-2</v>
      </c>
      <c r="U57" s="141">
        <v>4.9859555000000002</v>
      </c>
      <c r="V57" s="141">
        <v>-29.203320744043619</v>
      </c>
      <c r="W57" s="142">
        <v>4.0510000000000002</v>
      </c>
      <c r="X57" s="143">
        <v>7.0035672500000006</v>
      </c>
      <c r="Y57" s="143">
        <v>1.9166458325792195</v>
      </c>
      <c r="Z57" s="143">
        <v>4.5470909062499993</v>
      </c>
      <c r="AA57" s="143">
        <v>-25.930204084925705</v>
      </c>
      <c r="AB57" s="143">
        <v>2.7513749999999999</v>
      </c>
      <c r="AC57" s="143">
        <v>2.7513749999999999</v>
      </c>
      <c r="AD57" s="144">
        <f t="shared" si="18"/>
        <v>1.1078465049364664E-2</v>
      </c>
      <c r="AE57" s="144">
        <f t="shared" si="19"/>
        <v>0.27839945661961657</v>
      </c>
      <c r="AF57" s="145">
        <f t="shared" si="20"/>
        <v>4.6576703154581685E-2</v>
      </c>
      <c r="AG57" s="145">
        <f t="shared" si="21"/>
        <v>1.3880873019295887</v>
      </c>
      <c r="AH57" s="146">
        <f t="shared" si="22"/>
        <v>1.1497581622952773</v>
      </c>
      <c r="AI57" s="146">
        <f t="shared" si="23"/>
        <v>34.265299973576617</v>
      </c>
      <c r="AJ57" s="147">
        <f t="shared" si="24"/>
        <v>29.802180229947094</v>
      </c>
      <c r="AK57" s="148">
        <f t="shared" si="25"/>
        <v>0.11632293464032159</v>
      </c>
      <c r="AL57" s="148">
        <f t="shared" si="26"/>
        <v>-29.303116659117915</v>
      </c>
      <c r="AM57" s="149">
        <v>0.36599999999999999</v>
      </c>
      <c r="AN57" s="150">
        <f t="shared" si="27"/>
        <v>0.11632293464032159</v>
      </c>
      <c r="AO57" s="151">
        <f t="shared" si="28"/>
        <v>0.36629609922068818</v>
      </c>
      <c r="AP57" s="152">
        <f t="shared" si="29"/>
        <v>2.9609922068818406E-4</v>
      </c>
      <c r="AQ57" s="152">
        <f t="shared" si="30"/>
        <v>11.497581622952772</v>
      </c>
      <c r="AR57" s="153">
        <f t="shared" si="31"/>
        <v>3.4044249583551026E-2</v>
      </c>
      <c r="AS57" s="153">
        <f t="shared" si="32"/>
        <v>2.9609922068818406</v>
      </c>
      <c r="AT57" s="149">
        <v>1.077</v>
      </c>
      <c r="AU57" s="150">
        <f t="shared" si="33"/>
        <v>-29.303116659117915</v>
      </c>
      <c r="AV57" s="150">
        <f t="shared" si="13"/>
        <v>1.079002628313765</v>
      </c>
      <c r="AW57" s="154">
        <f t="shared" si="34"/>
        <v>2.0026283137650758E-3</v>
      </c>
      <c r="AX57" s="154">
        <f t="shared" si="35"/>
        <v>342.65299973576617</v>
      </c>
      <c r="AY57" s="154">
        <f t="shared" si="36"/>
        <v>6.8620659906738233</v>
      </c>
      <c r="AZ57" s="154">
        <f t="shared" si="37"/>
        <v>20.026283137650758</v>
      </c>
    </row>
    <row r="58" spans="1:52" ht="18" x14ac:dyDescent="0.25">
      <c r="A58" s="104">
        <v>53</v>
      </c>
      <c r="B58">
        <v>2</v>
      </c>
      <c r="C58" t="s">
        <v>459</v>
      </c>
      <c r="D58" t="s">
        <v>28</v>
      </c>
      <c r="E58" t="s">
        <v>465</v>
      </c>
      <c r="F58">
        <v>1</v>
      </c>
      <c r="G58" t="s">
        <v>80</v>
      </c>
      <c r="H58">
        <v>3.3170000000000002</v>
      </c>
      <c r="Q58" s="155">
        <v>434</v>
      </c>
      <c r="R58" s="155" t="s">
        <v>247</v>
      </c>
      <c r="S58" s="155">
        <v>4.02342025</v>
      </c>
      <c r="T58" s="155">
        <v>-0.65638683435499667</v>
      </c>
      <c r="U58" s="155">
        <v>4.2735120000000002</v>
      </c>
      <c r="V58" s="155">
        <v>-28.405797213744126</v>
      </c>
      <c r="W58" s="142">
        <v>3.3170000000000002</v>
      </c>
      <c r="X58" s="143">
        <v>7.0035672500000006</v>
      </c>
      <c r="Y58" s="143">
        <v>1.9166458325792195</v>
      </c>
      <c r="Z58" s="143">
        <v>4.5470909062499993</v>
      </c>
      <c r="AA58" s="143">
        <v>-25.930204084925705</v>
      </c>
      <c r="AB58" s="143">
        <v>2.7513749999999999</v>
      </c>
      <c r="AC58" s="143">
        <v>2.7513749999999999</v>
      </c>
      <c r="AD58" s="144">
        <f t="shared" si="18"/>
        <v>1.1078465049364664E-2</v>
      </c>
      <c r="AE58" s="144">
        <f t="shared" si="19"/>
        <v>0.27839945661961657</v>
      </c>
      <c r="AF58" s="145">
        <f t="shared" si="20"/>
        <v>4.4573320618531038E-2</v>
      </c>
      <c r="AG58" s="145">
        <f t="shared" si="21"/>
        <v>1.189743418657411</v>
      </c>
      <c r="AH58" s="146">
        <f t="shared" si="22"/>
        <v>1.3437841609445595</v>
      </c>
      <c r="AI58" s="146">
        <f t="shared" si="23"/>
        <v>35.868056034290348</v>
      </c>
      <c r="AJ58" s="147">
        <f t="shared" si="24"/>
        <v>26.691828253935014</v>
      </c>
      <c r="AK58" s="148">
        <f t="shared" si="25"/>
        <v>-0.59303266693421619</v>
      </c>
      <c r="AL58" s="148">
        <f t="shared" si="26"/>
        <v>-28.505593128818422</v>
      </c>
      <c r="AM58" s="149">
        <v>0.36599999999999999</v>
      </c>
      <c r="AN58" s="150">
        <f t="shared" si="27"/>
        <v>-0.59303266693421619</v>
      </c>
      <c r="AO58" s="151">
        <f t="shared" si="28"/>
        <v>0.36603724623132355</v>
      </c>
      <c r="AP58" s="152">
        <f t="shared" si="29"/>
        <v>3.7246231323562196E-5</v>
      </c>
      <c r="AQ58" s="152">
        <f t="shared" si="30"/>
        <v>13.437841609445597</v>
      </c>
      <c r="AR58" s="153">
        <f t="shared" si="31"/>
        <v>5.005089570748E-3</v>
      </c>
      <c r="AS58" s="153">
        <f t="shared" si="32"/>
        <v>0.37246231323562196</v>
      </c>
      <c r="AT58" s="149">
        <v>1.077</v>
      </c>
      <c r="AU58" s="150">
        <f t="shared" si="33"/>
        <v>-28.505593128818422</v>
      </c>
      <c r="AV58" s="150">
        <f t="shared" si="13"/>
        <v>1.0798795625169164</v>
      </c>
      <c r="AW58" s="154">
        <f t="shared" si="34"/>
        <v>2.8795625169164563E-3</v>
      </c>
      <c r="AX58" s="154">
        <f t="shared" si="35"/>
        <v>358.6805603429035</v>
      </c>
      <c r="AY58" s="154">
        <f t="shared" si="36"/>
        <v>10.328430971100161</v>
      </c>
      <c r="AZ58" s="154">
        <f t="shared" si="37"/>
        <v>28.795625169164563</v>
      </c>
    </row>
    <row r="59" spans="1:52" ht="18" x14ac:dyDescent="0.25">
      <c r="A59" s="104">
        <v>54</v>
      </c>
      <c r="B59">
        <v>2</v>
      </c>
      <c r="C59" t="s">
        <v>460</v>
      </c>
      <c r="D59" t="s">
        <v>40</v>
      </c>
      <c r="E59" t="s">
        <v>465</v>
      </c>
      <c r="F59">
        <v>1</v>
      </c>
      <c r="G59" t="s">
        <v>81</v>
      </c>
      <c r="H59">
        <v>3.411</v>
      </c>
      <c r="Q59" s="141">
        <v>435</v>
      </c>
      <c r="R59" s="141" t="s">
        <v>248</v>
      </c>
      <c r="S59" s="141">
        <v>2.9019837499999999</v>
      </c>
      <c r="T59" s="141">
        <v>-1.342292359908845</v>
      </c>
      <c r="U59" s="141">
        <v>4.1901074999999999</v>
      </c>
      <c r="V59" s="141">
        <v>-28.982188091383367</v>
      </c>
      <c r="W59" s="142">
        <v>3.411</v>
      </c>
      <c r="X59" s="143">
        <v>7.0035672500000006</v>
      </c>
      <c r="Y59" s="143">
        <v>1.9166458325792195</v>
      </c>
      <c r="Z59" s="143">
        <v>4.5470909062499993</v>
      </c>
      <c r="AA59" s="143">
        <v>-25.930204084925705</v>
      </c>
      <c r="AB59" s="143">
        <v>2.7513749999999999</v>
      </c>
      <c r="AC59" s="143">
        <v>2.7513749999999999</v>
      </c>
      <c r="AD59" s="144">
        <f t="shared" si="18"/>
        <v>1.1078465049364664E-2</v>
      </c>
      <c r="AE59" s="144">
        <f t="shared" si="19"/>
        <v>0.27839945661961657</v>
      </c>
      <c r="AF59" s="145">
        <f t="shared" si="20"/>
        <v>3.21495255481992E-2</v>
      </c>
      <c r="AG59" s="145">
        <f t="shared" si="21"/>
        <v>1.1665236511777799</v>
      </c>
      <c r="AH59" s="146">
        <f t="shared" si="22"/>
        <v>0.94252493544999116</v>
      </c>
      <c r="AI59" s="146">
        <f t="shared" si="23"/>
        <v>34.198875730805625</v>
      </c>
      <c r="AJ59" s="147">
        <f t="shared" si="24"/>
        <v>36.284319326234062</v>
      </c>
      <c r="AK59" s="148">
        <f t="shared" si="25"/>
        <v>-1.2789381924880645</v>
      </c>
      <c r="AL59" s="148">
        <f t="shared" si="26"/>
        <v>-29.081984006457663</v>
      </c>
      <c r="AM59" s="149">
        <v>0.36599999999999999</v>
      </c>
      <c r="AN59" s="150">
        <f t="shared" si="27"/>
        <v>-1.2789381924880645</v>
      </c>
      <c r="AO59" s="151">
        <f t="shared" si="28"/>
        <v>0.36578694919746657</v>
      </c>
      <c r="AP59" s="152">
        <f t="shared" si="29"/>
        <v>-2.1305080253342101E-4</v>
      </c>
      <c r="AQ59" s="152">
        <f t="shared" si="30"/>
        <v>9.425249354499913</v>
      </c>
      <c r="AR59" s="153">
        <f t="shared" si="31"/>
        <v>-2.0080569390538146E-2</v>
      </c>
      <c r="AS59" s="153">
        <f t="shared" si="32"/>
        <v>-2.1305080253342101</v>
      </c>
      <c r="AT59" s="149">
        <v>1.077</v>
      </c>
      <c r="AU59" s="150">
        <f t="shared" si="33"/>
        <v>-29.081984006457663</v>
      </c>
      <c r="AV59" s="150">
        <f t="shared" si="13"/>
        <v>1.0792457810504834</v>
      </c>
      <c r="AW59" s="154">
        <f t="shared" si="34"/>
        <v>2.245781050483453E-3</v>
      </c>
      <c r="AX59" s="154">
        <f t="shared" si="35"/>
        <v>341.98875730805628</v>
      </c>
      <c r="AY59" s="154">
        <f t="shared" si="36"/>
        <v>7.6803187064081735</v>
      </c>
      <c r="AZ59" s="154">
        <f t="shared" si="37"/>
        <v>22.45781050483453</v>
      </c>
    </row>
    <row r="60" spans="1:52" ht="18" x14ac:dyDescent="0.25">
      <c r="A60" s="104">
        <v>55</v>
      </c>
      <c r="B60">
        <v>2</v>
      </c>
      <c r="C60" t="s">
        <v>461</v>
      </c>
      <c r="D60" t="s">
        <v>44</v>
      </c>
      <c r="E60" t="s">
        <v>465</v>
      </c>
      <c r="F60">
        <v>1</v>
      </c>
      <c r="G60" t="s">
        <v>82</v>
      </c>
      <c r="H60">
        <v>3.24</v>
      </c>
      <c r="Q60" s="155">
        <v>436</v>
      </c>
      <c r="R60" s="155" t="s">
        <v>249</v>
      </c>
      <c r="S60" s="155">
        <v>3.51792675</v>
      </c>
      <c r="T60" s="155">
        <v>-1.0504394471617884</v>
      </c>
      <c r="U60" s="155">
        <v>4.1823222500000004</v>
      </c>
      <c r="V60" s="155">
        <v>-28.399583187951556</v>
      </c>
      <c r="W60" s="142">
        <v>3.24</v>
      </c>
      <c r="X60" s="143">
        <v>7.0035672500000006</v>
      </c>
      <c r="Y60" s="143">
        <v>1.9166458325792195</v>
      </c>
      <c r="Z60" s="143">
        <v>4.5470909062499993</v>
      </c>
      <c r="AA60" s="143">
        <v>-25.930204084925705</v>
      </c>
      <c r="AB60" s="143">
        <v>2.7513749999999999</v>
      </c>
      <c r="AC60" s="143">
        <v>2.7513749999999999</v>
      </c>
      <c r="AD60" s="144">
        <f t="shared" si="18"/>
        <v>1.1078465049364664E-2</v>
      </c>
      <c r="AE60" s="144">
        <f t="shared" si="19"/>
        <v>0.27839945661961657</v>
      </c>
      <c r="AF60" s="145">
        <f t="shared" si="20"/>
        <v>3.8973228546100025E-2</v>
      </c>
      <c r="AG60" s="145">
        <f t="shared" si="21"/>
        <v>1.1643562418081324</v>
      </c>
      <c r="AH60" s="146">
        <f t="shared" si="22"/>
        <v>1.2028774242623463</v>
      </c>
      <c r="AI60" s="146">
        <f t="shared" si="23"/>
        <v>35.93692104346087</v>
      </c>
      <c r="AJ60" s="147">
        <f t="shared" si="24"/>
        <v>29.875796418324885</v>
      </c>
      <c r="AK60" s="148">
        <f t="shared" si="25"/>
        <v>-0.9870852797410079</v>
      </c>
      <c r="AL60" s="148">
        <f t="shared" si="26"/>
        <v>-28.499379103025852</v>
      </c>
      <c r="AM60" s="149">
        <v>0.36599999999999999</v>
      </c>
      <c r="AN60" s="150">
        <f t="shared" si="27"/>
        <v>-0.9870852797410079</v>
      </c>
      <c r="AO60" s="151">
        <f t="shared" si="28"/>
        <v>0.36589345077981278</v>
      </c>
      <c r="AP60" s="152">
        <f t="shared" si="29"/>
        <v>-1.0654922018721313E-4</v>
      </c>
      <c r="AQ60" s="152">
        <f t="shared" si="30"/>
        <v>12.028774242623463</v>
      </c>
      <c r="AR60" s="153">
        <f t="shared" si="31"/>
        <v>-1.2816565153595654E-2</v>
      </c>
      <c r="AS60" s="153">
        <f t="shared" si="32"/>
        <v>-1.0654922018721313</v>
      </c>
      <c r="AT60" s="149">
        <v>1.077</v>
      </c>
      <c r="AU60" s="150">
        <f t="shared" si="33"/>
        <v>-28.499379103025852</v>
      </c>
      <c r="AV60" s="150">
        <f t="shared" si="13"/>
        <v>1.079886395221991</v>
      </c>
      <c r="AW60" s="154">
        <f t="shared" si="34"/>
        <v>2.8863952219910782E-3</v>
      </c>
      <c r="AX60" s="154">
        <f t="shared" si="35"/>
        <v>359.3692104346087</v>
      </c>
      <c r="AY60" s="154">
        <f t="shared" si="36"/>
        <v>10.372815719291609</v>
      </c>
      <c r="AZ60" s="154">
        <f t="shared" si="37"/>
        <v>28.863952219910786</v>
      </c>
    </row>
    <row r="61" spans="1:52" ht="18" x14ac:dyDescent="0.25">
      <c r="A61" s="104">
        <v>56</v>
      </c>
      <c r="B61">
        <v>2</v>
      </c>
      <c r="C61" t="s">
        <v>462</v>
      </c>
      <c r="D61" t="s">
        <v>48</v>
      </c>
      <c r="E61" t="s">
        <v>465</v>
      </c>
      <c r="F61">
        <v>1</v>
      </c>
      <c r="G61" t="s">
        <v>120</v>
      </c>
      <c r="H61">
        <v>3.157</v>
      </c>
      <c r="Q61" s="141">
        <v>437</v>
      </c>
      <c r="R61" s="141" t="s">
        <v>250</v>
      </c>
      <c r="S61" s="141">
        <v>2.5007795000000002</v>
      </c>
      <c r="T61" s="141">
        <v>375.15134841676462</v>
      </c>
      <c r="U61" s="141">
        <v>4.0408092499999997</v>
      </c>
      <c r="V61" s="141">
        <v>-24.359893781219078</v>
      </c>
      <c r="W61" s="142">
        <v>3.157</v>
      </c>
      <c r="X61" s="143">
        <v>7.0035672500000006</v>
      </c>
      <c r="Y61" s="143">
        <v>1.9166458325792195</v>
      </c>
      <c r="Z61" s="143">
        <v>4.5470909062499993</v>
      </c>
      <c r="AA61" s="143">
        <v>-25.930204084925705</v>
      </c>
      <c r="AB61" s="143">
        <v>2.7513749999999999</v>
      </c>
      <c r="AC61" s="143">
        <v>2.7513749999999999</v>
      </c>
      <c r="AD61" s="144">
        <f t="shared" si="18"/>
        <v>1.1078465049364664E-2</v>
      </c>
      <c r="AE61" s="144">
        <f t="shared" si="19"/>
        <v>0.27839945661961657</v>
      </c>
      <c r="AF61" s="145">
        <f t="shared" si="20"/>
        <v>2.7704798286917642E-2</v>
      </c>
      <c r="AG61" s="145">
        <f t="shared" si="21"/>
        <v>1.1249590995035204</v>
      </c>
      <c r="AH61" s="146">
        <f t="shared" si="22"/>
        <v>0.87756725647505984</v>
      </c>
      <c r="AI61" s="146">
        <f t="shared" si="23"/>
        <v>35.633801061245492</v>
      </c>
      <c r="AJ61" s="147">
        <f t="shared" si="24"/>
        <v>40.605208088980469</v>
      </c>
      <c r="AK61" s="148">
        <f t="shared" si="25"/>
        <v>375.21470258418537</v>
      </c>
      <c r="AL61" s="148">
        <f t="shared" si="26"/>
        <v>-24.459689696293374</v>
      </c>
      <c r="AM61" s="149">
        <v>0.36599999999999999</v>
      </c>
      <c r="AN61" s="150">
        <f t="shared" si="27"/>
        <v>375.21470258418537</v>
      </c>
      <c r="AO61" s="151">
        <f t="shared" si="28"/>
        <v>0.50298618402261863</v>
      </c>
      <c r="AP61" s="152">
        <f t="shared" si="29"/>
        <v>0.13698618402261864</v>
      </c>
      <c r="AQ61" s="152">
        <f t="shared" si="30"/>
        <v>8.7756725647505984</v>
      </c>
      <c r="AR61" s="153">
        <f t="shared" si="31"/>
        <v>12.021458968771711</v>
      </c>
      <c r="AS61" s="153">
        <f t="shared" si="32"/>
        <v>1369.8618402261864</v>
      </c>
      <c r="AT61" s="149">
        <v>1.077</v>
      </c>
      <c r="AU61" s="150">
        <f t="shared" si="33"/>
        <v>-24.459689696293374</v>
      </c>
      <c r="AV61" s="150">
        <f t="shared" si="13"/>
        <v>1.0843280834196745</v>
      </c>
      <c r="AW61" s="154">
        <f t="shared" si="34"/>
        <v>7.3280834196745026E-3</v>
      </c>
      <c r="AX61" s="154">
        <f t="shared" si="35"/>
        <v>356.33801061245492</v>
      </c>
      <c r="AY61" s="154">
        <f t="shared" si="36"/>
        <v>26.112746673689276</v>
      </c>
      <c r="AZ61" s="154">
        <f t="shared" si="37"/>
        <v>73.280834196745019</v>
      </c>
    </row>
    <row r="62" spans="1:52" ht="18" x14ac:dyDescent="0.25">
      <c r="A62" s="104">
        <v>57</v>
      </c>
      <c r="B62">
        <v>2</v>
      </c>
      <c r="C62" t="s">
        <v>463</v>
      </c>
      <c r="D62" t="s">
        <v>36</v>
      </c>
      <c r="E62" t="s">
        <v>465</v>
      </c>
      <c r="F62">
        <v>1</v>
      </c>
      <c r="G62" t="s">
        <v>121</v>
      </c>
      <c r="H62">
        <v>3.7669999999999999</v>
      </c>
      <c r="Q62" s="155">
        <v>438</v>
      </c>
      <c r="R62" s="155" t="s">
        <v>251</v>
      </c>
      <c r="S62" s="155">
        <v>5.3358949999999998</v>
      </c>
      <c r="T62" s="155">
        <v>34.615616654627168</v>
      </c>
      <c r="U62" s="155">
        <v>4.6311004999999996</v>
      </c>
      <c r="V62" s="155">
        <v>-27.547099195170095</v>
      </c>
      <c r="W62" s="142">
        <v>3.7669999999999999</v>
      </c>
      <c r="X62" s="143">
        <v>7.0035672500000006</v>
      </c>
      <c r="Y62" s="143">
        <v>1.9166458325792195</v>
      </c>
      <c r="Z62" s="143">
        <v>4.5470909062499993</v>
      </c>
      <c r="AA62" s="143">
        <v>-25.930204084925705</v>
      </c>
      <c r="AB62" s="143">
        <v>2.7513749999999999</v>
      </c>
      <c r="AC62" s="143">
        <v>2.7513749999999999</v>
      </c>
      <c r="AD62" s="144">
        <f t="shared" si="18"/>
        <v>1.1078465049364664E-2</v>
      </c>
      <c r="AE62" s="144">
        <f t="shared" si="19"/>
        <v>0.27839945661961657</v>
      </c>
      <c r="AF62" s="145">
        <f t="shared" si="20"/>
        <v>5.9113526264579663E-2</v>
      </c>
      <c r="AG62" s="145">
        <f t="shared" si="21"/>
        <v>1.2892958627508344</v>
      </c>
      <c r="AH62" s="146">
        <f t="shared" si="22"/>
        <v>1.5692467816453322</v>
      </c>
      <c r="AI62" s="146">
        <f t="shared" si="23"/>
        <v>34.226064846053475</v>
      </c>
      <c r="AJ62" s="147">
        <f t="shared" si="24"/>
        <v>21.810505043807037</v>
      </c>
      <c r="AK62" s="148">
        <f t="shared" si="25"/>
        <v>34.678970822047951</v>
      </c>
      <c r="AL62" s="148">
        <f t="shared" si="26"/>
        <v>-27.64689511024439</v>
      </c>
      <c r="AM62" s="149">
        <v>0.36599999999999999</v>
      </c>
      <c r="AN62" s="150">
        <f t="shared" si="27"/>
        <v>34.678970822047951</v>
      </c>
      <c r="AO62" s="151">
        <f t="shared" si="28"/>
        <v>0.37890682518186725</v>
      </c>
      <c r="AP62" s="152">
        <f t="shared" si="29"/>
        <v>1.2906825181867254E-2</v>
      </c>
      <c r="AQ62" s="152">
        <f t="shared" si="30"/>
        <v>15.692467816453323</v>
      </c>
      <c r="AR62" s="153">
        <f t="shared" si="31"/>
        <v>2.025399387790412</v>
      </c>
      <c r="AS62" s="153">
        <f t="shared" si="32"/>
        <v>129.06825181867254</v>
      </c>
      <c r="AT62" s="149">
        <v>1.077</v>
      </c>
      <c r="AU62" s="150">
        <f t="shared" si="33"/>
        <v>-27.64689511024439</v>
      </c>
      <c r="AV62" s="150">
        <f t="shared" si="13"/>
        <v>1.0808237450658595</v>
      </c>
      <c r="AW62" s="154">
        <f t="shared" si="34"/>
        <v>3.8237450658595851E-3</v>
      </c>
      <c r="AX62" s="154">
        <f t="shared" si="35"/>
        <v>342.26064846053475</v>
      </c>
      <c r="AY62" s="154">
        <f t="shared" si="36"/>
        <v>13.087174657888717</v>
      </c>
      <c r="AZ62" s="154">
        <f t="shared" si="37"/>
        <v>38.237450658595847</v>
      </c>
    </row>
    <row r="63" spans="1:52" ht="18" x14ac:dyDescent="0.25">
      <c r="A63" s="104">
        <v>58</v>
      </c>
      <c r="B63">
        <v>2</v>
      </c>
      <c r="C63" t="s">
        <v>464</v>
      </c>
      <c r="D63" t="s">
        <v>52</v>
      </c>
      <c r="E63" t="s">
        <v>465</v>
      </c>
      <c r="F63">
        <v>1</v>
      </c>
      <c r="G63" t="s">
        <v>122</v>
      </c>
      <c r="H63">
        <v>3.452</v>
      </c>
      <c r="Q63" s="141">
        <v>439</v>
      </c>
      <c r="R63" s="141" t="s">
        <v>252</v>
      </c>
      <c r="S63" s="141">
        <v>3.3213995000000001</v>
      </c>
      <c r="T63" s="141">
        <v>130.72278391726488</v>
      </c>
      <c r="U63" s="141">
        <v>4.4617339999999999</v>
      </c>
      <c r="V63" s="141">
        <v>-27.381599295300703</v>
      </c>
      <c r="W63" s="142">
        <v>3.452</v>
      </c>
      <c r="X63" s="143">
        <v>7.0035672500000006</v>
      </c>
      <c r="Y63" s="143">
        <v>1.9166458325792195</v>
      </c>
      <c r="Z63" s="143">
        <v>4.5470909062499993</v>
      </c>
      <c r="AA63" s="143">
        <v>-25.930204084925705</v>
      </c>
      <c r="AB63" s="143">
        <v>2.7513749999999999</v>
      </c>
      <c r="AC63" s="143">
        <v>2.7513749999999999</v>
      </c>
      <c r="AD63" s="144">
        <f t="shared" si="18"/>
        <v>1.1078465049364664E-2</v>
      </c>
      <c r="AE63" s="144">
        <f t="shared" si="19"/>
        <v>0.27839945661961657</v>
      </c>
      <c r="AF63" s="145">
        <f t="shared" si="20"/>
        <v>3.6796008275727272E-2</v>
      </c>
      <c r="AG63" s="145">
        <f t="shared" si="21"/>
        <v>1.2421443211812684</v>
      </c>
      <c r="AH63" s="146">
        <f t="shared" si="22"/>
        <v>1.0659330323211842</v>
      </c>
      <c r="AI63" s="146">
        <f t="shared" si="23"/>
        <v>35.983323325065712</v>
      </c>
      <c r="AJ63" s="147">
        <f t="shared" si="24"/>
        <v>33.757583482245735</v>
      </c>
      <c r="AK63" s="148">
        <f t="shared" si="25"/>
        <v>130.78613808468566</v>
      </c>
      <c r="AL63" s="148">
        <f t="shared" si="26"/>
        <v>-27.481395210374998</v>
      </c>
      <c r="AM63" s="149">
        <v>0.36599999999999999</v>
      </c>
      <c r="AN63" s="150">
        <f t="shared" si="27"/>
        <v>130.78613808468566</v>
      </c>
      <c r="AO63" s="151">
        <f t="shared" si="28"/>
        <v>0.41395626344746295</v>
      </c>
      <c r="AP63" s="152">
        <f t="shared" si="29"/>
        <v>4.7956263447462955E-2</v>
      </c>
      <c r="AQ63" s="152">
        <f t="shared" si="30"/>
        <v>10.659330323211842</v>
      </c>
      <c r="AR63" s="153">
        <f t="shared" si="31"/>
        <v>5.1118165315347754</v>
      </c>
      <c r="AS63" s="153">
        <f t="shared" si="32"/>
        <v>479.56263447462953</v>
      </c>
      <c r="AT63" s="149">
        <v>1.077</v>
      </c>
      <c r="AU63" s="150">
        <f t="shared" si="33"/>
        <v>-27.481395210374998</v>
      </c>
      <c r="AV63" s="150">
        <f t="shared" si="13"/>
        <v>1.081005718629281</v>
      </c>
      <c r="AW63" s="154">
        <f t="shared" si="34"/>
        <v>4.0057186292810076E-3</v>
      </c>
      <c r="AX63" s="154">
        <f t="shared" si="35"/>
        <v>359.83323325065714</v>
      </c>
      <c r="AY63" s="154">
        <f t="shared" si="36"/>
        <v>14.413906858665754</v>
      </c>
      <c r="AZ63" s="154">
        <f t="shared" si="37"/>
        <v>40.057186292810073</v>
      </c>
    </row>
    <row r="64" spans="1:52" ht="18" x14ac:dyDescent="0.25">
      <c r="A64" s="104">
        <v>59</v>
      </c>
      <c r="B64">
        <v>2</v>
      </c>
      <c r="C64" t="s">
        <v>460</v>
      </c>
      <c r="D64" t="s">
        <v>40</v>
      </c>
      <c r="E64" t="s">
        <v>466</v>
      </c>
      <c r="F64">
        <v>1</v>
      </c>
      <c r="G64" t="s">
        <v>83</v>
      </c>
      <c r="H64">
        <v>3.4249999999999998</v>
      </c>
      <c r="Q64" s="155">
        <v>440</v>
      </c>
      <c r="R64" s="155" t="s">
        <v>253</v>
      </c>
      <c r="S64" s="155">
        <v>6.0902675000000004</v>
      </c>
      <c r="T64" s="155">
        <v>-0.77509393181274255</v>
      </c>
      <c r="U64" s="155">
        <v>4.3805385000000001</v>
      </c>
      <c r="V64" s="155">
        <v>-30.363566464096259</v>
      </c>
      <c r="W64" s="142">
        <v>3.4249999999999998</v>
      </c>
      <c r="X64" s="143">
        <v>7.0035672500000006</v>
      </c>
      <c r="Y64" s="143">
        <v>1.9166458325792195</v>
      </c>
      <c r="Z64" s="143">
        <v>4.5470909062499993</v>
      </c>
      <c r="AA64" s="143">
        <v>-25.930204084925705</v>
      </c>
      <c r="AB64" s="143">
        <v>2.7513749999999999</v>
      </c>
      <c r="AC64" s="143">
        <v>2.7513749999999999</v>
      </c>
      <c r="AD64" s="144">
        <f t="shared" si="18"/>
        <v>1.1078465049364664E-2</v>
      </c>
      <c r="AE64" s="144">
        <f t="shared" si="19"/>
        <v>0.27839945661961657</v>
      </c>
      <c r="AF64" s="145">
        <f t="shared" si="20"/>
        <v>6.7470815640031517E-2</v>
      </c>
      <c r="AG64" s="145">
        <f t="shared" si="21"/>
        <v>1.2195395381013103</v>
      </c>
      <c r="AH64" s="146">
        <f t="shared" si="22"/>
        <v>1.9699508216067596</v>
      </c>
      <c r="AI64" s="146">
        <f t="shared" si="23"/>
        <v>35.606993813176942</v>
      </c>
      <c r="AJ64" s="147">
        <f t="shared" si="24"/>
        <v>18.07506736850144</v>
      </c>
      <c r="AK64" s="148">
        <f t="shared" si="25"/>
        <v>-0.71173976439196207</v>
      </c>
      <c r="AL64" s="148">
        <f t="shared" si="26"/>
        <v>-30.463362379170555</v>
      </c>
      <c r="AM64" s="149">
        <v>0.36599999999999999</v>
      </c>
      <c r="AN64" s="150">
        <f t="shared" si="27"/>
        <v>-0.71173976439196207</v>
      </c>
      <c r="AO64" s="151">
        <f t="shared" si="28"/>
        <v>0.36599392835216815</v>
      </c>
      <c r="AP64" s="152">
        <f t="shared" si="29"/>
        <v>-6.0716478318401101E-6</v>
      </c>
      <c r="AQ64" s="152">
        <f t="shared" si="30"/>
        <v>19.699508216067599</v>
      </c>
      <c r="AR64" s="153">
        <f t="shared" si="31"/>
        <v>-1.1960847634840328E-3</v>
      </c>
      <c r="AS64" s="153">
        <f t="shared" si="32"/>
        <v>-6.0716478318401101E-2</v>
      </c>
      <c r="AT64" s="149">
        <v>1.077</v>
      </c>
      <c r="AU64" s="150">
        <f t="shared" si="33"/>
        <v>-30.463362379170555</v>
      </c>
      <c r="AV64" s="150">
        <f t="shared" si="13"/>
        <v>1.0777268273378315</v>
      </c>
      <c r="AW64" s="154">
        <f t="shared" si="34"/>
        <v>7.2682733783158149E-4</v>
      </c>
      <c r="AX64" s="154">
        <f t="shared" si="35"/>
        <v>356.06993813176939</v>
      </c>
      <c r="AY64" s="154">
        <f t="shared" si="36"/>
        <v>2.588013652141699</v>
      </c>
      <c r="AZ64" s="154">
        <f t="shared" si="37"/>
        <v>7.2682733783158149</v>
      </c>
    </row>
    <row r="65" spans="1:52" ht="18" x14ac:dyDescent="0.25">
      <c r="A65" s="104">
        <v>60</v>
      </c>
      <c r="B65">
        <v>2</v>
      </c>
      <c r="C65" t="s">
        <v>461</v>
      </c>
      <c r="D65" t="s">
        <v>44</v>
      </c>
      <c r="E65" t="s">
        <v>466</v>
      </c>
      <c r="F65">
        <v>1</v>
      </c>
      <c r="G65" t="s">
        <v>84</v>
      </c>
      <c r="H65">
        <v>3.0270000000000001</v>
      </c>
      <c r="Q65" s="141">
        <v>441</v>
      </c>
      <c r="R65" s="141" t="s">
        <v>254</v>
      </c>
      <c r="S65" s="141">
        <v>8.1490650000000002</v>
      </c>
      <c r="T65" s="141">
        <v>-0.95331430033407383</v>
      </c>
      <c r="U65" s="141">
        <v>3.9890582499999998</v>
      </c>
      <c r="V65" s="141">
        <v>-25.515247124470672</v>
      </c>
      <c r="W65" s="142">
        <v>3.0270000000000001</v>
      </c>
      <c r="X65" s="143">
        <v>7.0035672500000006</v>
      </c>
      <c r="Y65" s="143">
        <v>1.9166458325792195</v>
      </c>
      <c r="Z65" s="143">
        <v>4.5470909062499993</v>
      </c>
      <c r="AA65" s="143">
        <v>-25.930204084925705</v>
      </c>
      <c r="AB65" s="143">
        <v>2.7513749999999999</v>
      </c>
      <c r="AC65" s="143">
        <v>2.7513749999999999</v>
      </c>
      <c r="AD65" s="144">
        <f t="shared" si="18"/>
        <v>1.1078465049364664E-2</v>
      </c>
      <c r="AE65" s="144">
        <f t="shared" si="19"/>
        <v>0.27839945661961657</v>
      </c>
      <c r="AF65" s="145">
        <f t="shared" si="20"/>
        <v>9.0279131787500855E-2</v>
      </c>
      <c r="AG65" s="145">
        <f t="shared" si="21"/>
        <v>1.1105516492239986</v>
      </c>
      <c r="AH65" s="146">
        <f t="shared" si="22"/>
        <v>2.9824622328213031</v>
      </c>
      <c r="AI65" s="146">
        <f t="shared" si="23"/>
        <v>36.688194556458491</v>
      </c>
      <c r="AJ65" s="147">
        <f t="shared" si="24"/>
        <v>12.301310693129135</v>
      </c>
      <c r="AK65" s="148">
        <f t="shared" si="25"/>
        <v>-0.88996013291329334</v>
      </c>
      <c r="AL65" s="148">
        <f t="shared" si="26"/>
        <v>-25.615043039544968</v>
      </c>
      <c r="AM65" s="149">
        <v>0.36599999999999999</v>
      </c>
      <c r="AN65" s="150">
        <f t="shared" si="27"/>
        <v>-0.88996013291329334</v>
      </c>
      <c r="AO65" s="151">
        <f t="shared" si="28"/>
        <v>0.36592889317779614</v>
      </c>
      <c r="AP65" s="152">
        <f t="shared" si="29"/>
        <v>-7.1106822203848008E-5</v>
      </c>
      <c r="AQ65" s="152">
        <f t="shared" si="30"/>
        <v>29.824622328213032</v>
      </c>
      <c r="AR65" s="153">
        <f t="shared" si="31"/>
        <v>-2.1207341171891592E-2</v>
      </c>
      <c r="AS65" s="153">
        <f t="shared" si="32"/>
        <v>-0.71106822203848019</v>
      </c>
      <c r="AT65" s="149">
        <v>1.077</v>
      </c>
      <c r="AU65" s="150">
        <f t="shared" si="33"/>
        <v>-25.615043039544968</v>
      </c>
      <c r="AV65" s="150">
        <f t="shared" si="13"/>
        <v>1.083057798932924</v>
      </c>
      <c r="AW65" s="154">
        <f t="shared" si="34"/>
        <v>6.0577989329240189E-3</v>
      </c>
      <c r="AX65" s="154">
        <f t="shared" si="35"/>
        <v>366.8819455645849</v>
      </c>
      <c r="AY65" s="154">
        <f t="shared" si="36"/>
        <v>22.224970583502301</v>
      </c>
      <c r="AZ65" s="154">
        <f t="shared" si="37"/>
        <v>60.577989329240189</v>
      </c>
    </row>
    <row r="66" spans="1:52" ht="18" x14ac:dyDescent="0.25">
      <c r="A66" s="104">
        <v>61</v>
      </c>
      <c r="B66">
        <v>2</v>
      </c>
      <c r="C66" t="s">
        <v>462</v>
      </c>
      <c r="D66" t="s">
        <v>48</v>
      </c>
      <c r="E66" t="s">
        <v>466</v>
      </c>
      <c r="F66">
        <v>1</v>
      </c>
      <c r="G66" t="s">
        <v>85</v>
      </c>
      <c r="H66">
        <v>3.1309999999999998</v>
      </c>
      <c r="Q66" s="155">
        <v>442</v>
      </c>
      <c r="R66" s="155" t="s">
        <v>255</v>
      </c>
      <c r="S66" s="155">
        <v>7.0188395000000003</v>
      </c>
      <c r="T66" s="155">
        <v>-0.59458639756010956</v>
      </c>
      <c r="U66" s="155">
        <v>4.5534359999999996</v>
      </c>
      <c r="V66" s="155">
        <v>-29.074733246264508</v>
      </c>
      <c r="W66" s="142">
        <v>3.1309999999999998</v>
      </c>
      <c r="X66" s="143">
        <v>7.0035672500000006</v>
      </c>
      <c r="Y66" s="143">
        <v>1.9166458325792195</v>
      </c>
      <c r="Z66" s="143">
        <v>4.5470909062499993</v>
      </c>
      <c r="AA66" s="143">
        <v>-25.930204084925705</v>
      </c>
      <c r="AB66" s="143">
        <v>2.7513749999999999</v>
      </c>
      <c r="AC66" s="143">
        <v>2.7513749999999999</v>
      </c>
      <c r="AD66" s="144">
        <f t="shared" si="18"/>
        <v>1.1078465049364664E-2</v>
      </c>
      <c r="AE66" s="144">
        <f t="shared" si="19"/>
        <v>0.27839945661961657</v>
      </c>
      <c r="AF66" s="145">
        <f t="shared" si="20"/>
        <v>7.7757968087850154E-2</v>
      </c>
      <c r="AG66" s="145">
        <f t="shared" si="21"/>
        <v>1.2676741081522003</v>
      </c>
      <c r="AH66" s="146">
        <f t="shared" si="22"/>
        <v>2.4834866843772008</v>
      </c>
      <c r="AI66" s="146">
        <f t="shared" si="23"/>
        <v>40.487834818019813</v>
      </c>
      <c r="AJ66" s="147">
        <f t="shared" si="24"/>
        <v>16.302819367913461</v>
      </c>
      <c r="AK66" s="148">
        <f t="shared" si="25"/>
        <v>-0.53123223013932908</v>
      </c>
      <c r="AL66" s="148">
        <f t="shared" si="26"/>
        <v>-29.174529161338803</v>
      </c>
      <c r="AM66" s="149">
        <v>0.36599999999999999</v>
      </c>
      <c r="AN66" s="150">
        <f t="shared" si="27"/>
        <v>-0.53123223013932908</v>
      </c>
      <c r="AO66" s="151">
        <f t="shared" si="28"/>
        <v>0.36605979805964989</v>
      </c>
      <c r="AP66" s="152">
        <f t="shared" si="29"/>
        <v>5.9798059649895929E-5</v>
      </c>
      <c r="AQ66" s="152">
        <f t="shared" si="30"/>
        <v>24.834866843772009</v>
      </c>
      <c r="AR66" s="153">
        <f t="shared" si="31"/>
        <v>1.4850768489211014E-2</v>
      </c>
      <c r="AS66" s="153">
        <f t="shared" si="32"/>
        <v>0.59798059649895929</v>
      </c>
      <c r="AT66" s="149">
        <v>1.077</v>
      </c>
      <c r="AU66" s="150">
        <f t="shared" si="33"/>
        <v>-29.174529161338803</v>
      </c>
      <c r="AV66" s="150">
        <f t="shared" si="13"/>
        <v>1.0791440205223808</v>
      </c>
      <c r="AW66" s="154">
        <f t="shared" si="34"/>
        <v>2.1440205223808295E-3</v>
      </c>
      <c r="AX66" s="154">
        <f t="shared" si="35"/>
        <v>404.87834818019815</v>
      </c>
      <c r="AY66" s="154">
        <f t="shared" si="36"/>
        <v>8.6806748756599585</v>
      </c>
      <c r="AZ66" s="154">
        <f t="shared" si="37"/>
        <v>21.440205223808295</v>
      </c>
    </row>
    <row r="67" spans="1:52" ht="18" x14ac:dyDescent="0.25">
      <c r="I67" t="s">
        <v>152</v>
      </c>
      <c r="Q67" s="141">
        <v>443</v>
      </c>
      <c r="R67" s="141" t="s">
        <v>256</v>
      </c>
      <c r="S67" s="141">
        <v>6.2892530000000004</v>
      </c>
      <c r="T67" s="141">
        <v>1.8126892427879819</v>
      </c>
      <c r="U67" s="141">
        <v>4.2110655000000001</v>
      </c>
      <c r="V67" s="141">
        <v>-25.923653197377718</v>
      </c>
      <c r="W67" s="141">
        <v>2.508</v>
      </c>
      <c r="X67" s="143">
        <v>7.0035672500000006</v>
      </c>
      <c r="Y67" s="143">
        <v>1.9166458325792195</v>
      </c>
      <c r="Z67" s="143">
        <v>4.5470909062499993</v>
      </c>
      <c r="AA67" s="143">
        <v>-25.930204084925705</v>
      </c>
      <c r="AB67" s="143">
        <v>2.7513749999999999</v>
      </c>
      <c r="AC67" s="143">
        <v>2.7513749999999999</v>
      </c>
      <c r="AD67" s="144">
        <f t="shared" si="18"/>
        <v>1.1078465049364664E-2</v>
      </c>
      <c r="AE67" s="144">
        <f t="shared" si="19"/>
        <v>0.27839945661961657</v>
      </c>
      <c r="AF67" s="145">
        <f t="shared" si="20"/>
        <v>6.9675269547111868E-2</v>
      </c>
      <c r="AG67" s="145">
        <f t="shared" si="21"/>
        <v>1.1723583469896139</v>
      </c>
      <c r="AH67" s="146">
        <f t="shared" si="22"/>
        <v>2.7781207953393885</v>
      </c>
      <c r="AI67" s="146">
        <f t="shared" si="23"/>
        <v>46.744750677416825</v>
      </c>
      <c r="AJ67" s="147">
        <f t="shared" si="24"/>
        <v>16.826032459004814</v>
      </c>
      <c r="AK67" s="148">
        <f t="shared" ref="AK67:AK130" si="38">T67+(1.98-Y67)</f>
        <v>1.8760434102087624</v>
      </c>
      <c r="AL67" s="148">
        <f t="shared" si="26"/>
        <v>-26.023449112452013</v>
      </c>
      <c r="AM67" s="149">
        <v>0.36599999999999999</v>
      </c>
      <c r="AN67" s="150">
        <f t="shared" si="27"/>
        <v>1.8760434102087624</v>
      </c>
      <c r="AO67" s="151">
        <f t="shared" si="28"/>
        <v>0.36693823806523951</v>
      </c>
      <c r="AP67" s="152">
        <f t="shared" si="29"/>
        <v>9.3823806523951614E-4</v>
      </c>
      <c r="AQ67" s="152">
        <f t="shared" si="30"/>
        <v>27.781207953393881</v>
      </c>
      <c r="AR67" s="153">
        <f t="shared" si="31"/>
        <v>0.26065386800208934</v>
      </c>
      <c r="AS67" s="153">
        <f t="shared" si="32"/>
        <v>9.3823806523951614</v>
      </c>
      <c r="AT67" s="149">
        <v>1.077</v>
      </c>
      <c r="AU67" s="150">
        <f t="shared" si="33"/>
        <v>-26.023449112452013</v>
      </c>
      <c r="AV67" s="150">
        <f t="shared" si="13"/>
        <v>1.0826087580232844</v>
      </c>
      <c r="AW67" s="154">
        <f t="shared" si="34"/>
        <v>5.6087580232844214E-3</v>
      </c>
      <c r="AX67" s="154">
        <f t="shared" si="35"/>
        <v>467.44750677416823</v>
      </c>
      <c r="AY67" s="154">
        <f t="shared" si="36"/>
        <v>26.217999540839148</v>
      </c>
      <c r="AZ67" s="154">
        <f t="shared" si="37"/>
        <v>56.087580232844218</v>
      </c>
    </row>
    <row r="68" spans="1:52" ht="18" x14ac:dyDescent="0.25">
      <c r="A68" s="104">
        <v>63</v>
      </c>
      <c r="B68">
        <v>2</v>
      </c>
      <c r="C68" t="s">
        <v>456</v>
      </c>
      <c r="D68" t="s">
        <v>32</v>
      </c>
      <c r="E68" t="s">
        <v>467</v>
      </c>
      <c r="F68">
        <v>1</v>
      </c>
      <c r="G68" t="s">
        <v>86</v>
      </c>
      <c r="H68">
        <v>3.202</v>
      </c>
      <c r="Q68" s="155">
        <v>444</v>
      </c>
      <c r="R68" s="155" t="s">
        <v>257</v>
      </c>
      <c r="S68" s="155">
        <v>3.0718822499999998</v>
      </c>
      <c r="T68" s="155">
        <v>119.33217487351563</v>
      </c>
      <c r="U68" s="155">
        <v>4.6033355</v>
      </c>
      <c r="V68" s="155">
        <v>-27.628422225357362</v>
      </c>
      <c r="W68" s="142">
        <v>3.202</v>
      </c>
      <c r="X68" s="143">
        <v>7.0035672500000006</v>
      </c>
      <c r="Y68" s="143">
        <v>1.9166458325792195</v>
      </c>
      <c r="Z68" s="143">
        <v>4.5470909062499993</v>
      </c>
      <c r="AA68" s="143">
        <v>-25.930204084925705</v>
      </c>
      <c r="AB68" s="143">
        <v>2.7513749999999999</v>
      </c>
      <c r="AC68" s="143">
        <v>2.7513749999999999</v>
      </c>
      <c r="AD68" s="144">
        <f t="shared" ref="AD68:AD131" si="39">((2.82/100)*AB68)/X68</f>
        <v>1.1078465049364664E-2</v>
      </c>
      <c r="AE68" s="144">
        <f t="shared" ref="AE68:AE131" si="40">((46.01/100)*AC68)/Z68</f>
        <v>0.27839945661961657</v>
      </c>
      <c r="AF68" s="145">
        <f t="shared" ref="AF68:AF131" si="41">S68*AD68</f>
        <v>3.4031740142388682E-2</v>
      </c>
      <c r="AG68" s="145">
        <f t="shared" ref="AG68:AG131" si="42">U68*AE68</f>
        <v>1.2815661018377908</v>
      </c>
      <c r="AH68" s="146">
        <f t="shared" ref="AH68:AH131" si="43">100*AF68/W68</f>
        <v>1.0628276121920264</v>
      </c>
      <c r="AI68" s="146">
        <f t="shared" ref="AI68:AI131" si="44">100*AG68/W68</f>
        <v>40.023925728850436</v>
      </c>
      <c r="AJ68" s="147">
        <f t="shared" ref="AJ68:AJ131" si="45">AG68/AF68</f>
        <v>37.657965666043602</v>
      </c>
      <c r="AK68" s="148">
        <f t="shared" si="38"/>
        <v>119.39552904093641</v>
      </c>
      <c r="AL68" s="148">
        <f t="shared" ref="AL68:AL131" si="46">V68+(-26.03-AA68)</f>
        <v>-27.728218140431657</v>
      </c>
      <c r="AM68" s="149">
        <v>0.36599999999999999</v>
      </c>
      <c r="AN68" s="150">
        <f t="shared" ref="AN68:AN131" si="47">T68+(1.98-Y68)</f>
        <v>119.39552904093641</v>
      </c>
      <c r="AO68" s="151">
        <f t="shared" ref="AO68:AO131" si="48">100*0.003676*(AN68/1000+1)/(1+0.003676*(AN68/1000+1))</f>
        <v>0.40980349690010465</v>
      </c>
      <c r="AP68" s="152">
        <f t="shared" ref="AP68:AP131" si="49">AO68-AM68</f>
        <v>4.3803496900104655E-2</v>
      </c>
      <c r="AQ68" s="152">
        <f t="shared" ref="AQ68:AQ131" si="50">(AH68%*W68)/W68*1000</f>
        <v>10.628276121920264</v>
      </c>
      <c r="AR68" s="153">
        <f t="shared" ref="AR68:AR131" si="51">(AQ68*AP68%)*1000</f>
        <v>4.6555566015999057</v>
      </c>
      <c r="AS68" s="153">
        <f t="shared" ref="AS68:AS131" si="52">(((AF68*AP68%)/AF68)*1000)*1000</f>
        <v>438.03496900104653</v>
      </c>
      <c r="AT68" s="149">
        <v>1.077</v>
      </c>
      <c r="AU68" s="150">
        <f t="shared" ref="AU68:AU131" si="53">V68+(-26.03-AA68)</f>
        <v>-27.728218140431657</v>
      </c>
      <c r="AV68" s="150">
        <f t="shared" ref="AV68:AV131" si="54">100*0.011237*(AU68/1000+1)/(1+0.011237*(AU68/1000+1))</f>
        <v>1.0807343269924696</v>
      </c>
      <c r="AW68" s="154">
        <f t="shared" ref="AW68:AW131" si="55">AV68-AT68</f>
        <v>3.734326992469672E-3</v>
      </c>
      <c r="AX68" s="154">
        <f t="shared" ref="AX68:AX131" si="56">(AI68%*W68)/W68*1000</f>
        <v>400.23925728850435</v>
      </c>
      <c r="AY68" s="154">
        <f t="shared" ref="AY68:AY131" si="57">(AX68*AW68%)*1000</f>
        <v>14.946242619384757</v>
      </c>
      <c r="AZ68" s="154">
        <f t="shared" ref="AZ68:AZ131" si="58">(((AG68*AW68%)/AG68)*1000)*1000</f>
        <v>37.34326992469672</v>
      </c>
    </row>
    <row r="69" spans="1:52" ht="18" x14ac:dyDescent="0.25">
      <c r="A69" s="104">
        <v>64</v>
      </c>
      <c r="B69">
        <v>2</v>
      </c>
      <c r="C69" t="s">
        <v>458</v>
      </c>
      <c r="D69" t="s">
        <v>24</v>
      </c>
      <c r="E69" t="s">
        <v>467</v>
      </c>
      <c r="F69">
        <v>1</v>
      </c>
      <c r="G69" t="s">
        <v>87</v>
      </c>
      <c r="H69">
        <v>3.2490000000000001</v>
      </c>
      <c r="Q69" s="141">
        <v>445</v>
      </c>
      <c r="R69" s="141" t="s">
        <v>258</v>
      </c>
      <c r="S69" s="141">
        <v>3.7986827500000002</v>
      </c>
      <c r="T69" s="141">
        <v>-0.22006727909446577</v>
      </c>
      <c r="U69" s="141">
        <v>4.1266645000000004</v>
      </c>
      <c r="V69" s="141">
        <v>-28.37066404149865</v>
      </c>
      <c r="W69" s="142">
        <v>3.2490000000000001</v>
      </c>
      <c r="X69" s="143">
        <v>7.0035672500000006</v>
      </c>
      <c r="Y69" s="143">
        <v>1.9166458325792195</v>
      </c>
      <c r="Z69" s="143">
        <v>4.5470909062499993</v>
      </c>
      <c r="AA69" s="143">
        <v>-25.930204084925705</v>
      </c>
      <c r="AB69" s="143">
        <v>2.7513749999999999</v>
      </c>
      <c r="AC69" s="143">
        <v>2.7513749999999999</v>
      </c>
      <c r="AD69" s="144">
        <f t="shared" si="39"/>
        <v>1.1078465049364664E-2</v>
      </c>
      <c r="AE69" s="144">
        <f t="shared" si="40"/>
        <v>0.27839945661961657</v>
      </c>
      <c r="AF69" s="145">
        <f t="shared" si="41"/>
        <v>4.2083574079499454E-2</v>
      </c>
      <c r="AG69" s="145">
        <f t="shared" si="42"/>
        <v>1.1488611544514618</v>
      </c>
      <c r="AH69" s="146">
        <f t="shared" si="43"/>
        <v>1.2952777494459664</v>
      </c>
      <c r="AI69" s="146">
        <f t="shared" si="44"/>
        <v>35.360454122852005</v>
      </c>
      <c r="AJ69" s="147">
        <f t="shared" si="45"/>
        <v>27.299514824505287</v>
      </c>
      <c r="AK69" s="148">
        <f t="shared" si="38"/>
        <v>-0.15671311167368529</v>
      </c>
      <c r="AL69" s="148">
        <f t="shared" si="46"/>
        <v>-28.470459956572945</v>
      </c>
      <c r="AM69" s="149">
        <v>0.36599999999999999</v>
      </c>
      <c r="AN69" s="150">
        <f t="shared" si="47"/>
        <v>-0.15671311167368529</v>
      </c>
      <c r="AO69" s="151">
        <f t="shared" si="48"/>
        <v>0.36619646501227049</v>
      </c>
      <c r="AP69" s="152">
        <f t="shared" si="49"/>
        <v>1.9646501227049695E-4</v>
      </c>
      <c r="AQ69" s="152">
        <f t="shared" si="50"/>
        <v>12.952777494459665</v>
      </c>
      <c r="AR69" s="153">
        <f t="shared" si="51"/>
        <v>2.544767589386035E-2</v>
      </c>
      <c r="AS69" s="153">
        <f t="shared" si="52"/>
        <v>1.9646501227049695</v>
      </c>
      <c r="AT69" s="149">
        <v>1.077</v>
      </c>
      <c r="AU69" s="150">
        <f t="shared" si="53"/>
        <v>-28.470459956572945</v>
      </c>
      <c r="AV69" s="150">
        <f t="shared" si="54"/>
        <v>1.079918193596852</v>
      </c>
      <c r="AW69" s="154">
        <f t="shared" si="55"/>
        <v>2.9181935968520811E-3</v>
      </c>
      <c r="AX69" s="154">
        <f t="shared" si="56"/>
        <v>353.60454122852002</v>
      </c>
      <c r="AY69" s="154">
        <f t="shared" si="57"/>
        <v>10.318865080308848</v>
      </c>
      <c r="AZ69" s="154">
        <f t="shared" si="58"/>
        <v>29.181935968520811</v>
      </c>
    </row>
    <row r="70" spans="1:52" ht="18" x14ac:dyDescent="0.25">
      <c r="A70" s="104">
        <v>65</v>
      </c>
      <c r="B70">
        <v>2</v>
      </c>
      <c r="C70" t="s">
        <v>459</v>
      </c>
      <c r="D70" t="s">
        <v>28</v>
      </c>
      <c r="E70" t="s">
        <v>467</v>
      </c>
      <c r="F70">
        <v>1</v>
      </c>
      <c r="G70" t="s">
        <v>88</v>
      </c>
      <c r="H70">
        <v>3.3140000000000001</v>
      </c>
      <c r="Q70" s="155">
        <v>446</v>
      </c>
      <c r="R70" s="155" t="s">
        <v>259</v>
      </c>
      <c r="S70" s="155">
        <v>2.3842032500000001</v>
      </c>
      <c r="T70" s="155">
        <v>-0.99192210259204383</v>
      </c>
      <c r="U70" s="155">
        <v>4.5653765000000002</v>
      </c>
      <c r="V70" s="155">
        <v>-28.879107243762274</v>
      </c>
      <c r="W70" s="142">
        <v>3.3140000000000001</v>
      </c>
      <c r="X70" s="143">
        <v>7.0035672500000006</v>
      </c>
      <c r="Y70" s="143">
        <v>1.9166458325792195</v>
      </c>
      <c r="Z70" s="143">
        <v>4.5470909062499993</v>
      </c>
      <c r="AA70" s="143">
        <v>-25.930204084925705</v>
      </c>
      <c r="AB70" s="143">
        <v>2.7513749999999999</v>
      </c>
      <c r="AC70" s="143">
        <v>2.7513749999999999</v>
      </c>
      <c r="AD70" s="144">
        <f t="shared" si="39"/>
        <v>1.1078465049364664E-2</v>
      </c>
      <c r="AE70" s="144">
        <f t="shared" si="40"/>
        <v>0.27839945661961657</v>
      </c>
      <c r="AF70" s="145">
        <f t="shared" si="41"/>
        <v>2.6413312375706644E-2</v>
      </c>
      <c r="AG70" s="145">
        <f t="shared" si="42"/>
        <v>1.270998336863967</v>
      </c>
      <c r="AH70" s="146">
        <f t="shared" si="43"/>
        <v>0.79702209944799773</v>
      </c>
      <c r="AI70" s="146">
        <f t="shared" si="44"/>
        <v>38.352393991067203</v>
      </c>
      <c r="AJ70" s="147">
        <f t="shared" si="45"/>
        <v>48.119611761868754</v>
      </c>
      <c r="AK70" s="148">
        <f t="shared" si="38"/>
        <v>-0.92856793517126335</v>
      </c>
      <c r="AL70" s="148">
        <f t="shared" si="46"/>
        <v>-28.97890315883657</v>
      </c>
      <c r="AM70" s="149">
        <v>0.36599999999999999</v>
      </c>
      <c r="AN70" s="150">
        <f t="shared" si="47"/>
        <v>-0.92856793517126335</v>
      </c>
      <c r="AO70" s="151">
        <f t="shared" si="48"/>
        <v>0.36591480462458087</v>
      </c>
      <c r="AP70" s="152">
        <f t="shared" si="49"/>
        <v>-8.5195375419122588E-5</v>
      </c>
      <c r="AQ70" s="152">
        <f t="shared" si="50"/>
        <v>7.9702209944799778</v>
      </c>
      <c r="AR70" s="153">
        <f t="shared" si="51"/>
        <v>-6.7902596979809429E-3</v>
      </c>
      <c r="AS70" s="153">
        <f t="shared" si="52"/>
        <v>-0.85195375419122588</v>
      </c>
      <c r="AT70" s="149">
        <v>1.077</v>
      </c>
      <c r="AU70" s="150">
        <f t="shared" si="53"/>
        <v>-28.97890315883657</v>
      </c>
      <c r="AV70" s="150">
        <f t="shared" si="54"/>
        <v>1.0793591261380229</v>
      </c>
      <c r="AW70" s="154">
        <f t="shared" si="55"/>
        <v>2.3591261380229156E-3</v>
      </c>
      <c r="AX70" s="154">
        <f t="shared" si="56"/>
        <v>383.52393991067203</v>
      </c>
      <c r="AY70" s="154">
        <f t="shared" si="57"/>
        <v>9.0478135120079646</v>
      </c>
      <c r="AZ70" s="154">
        <f t="shared" si="58"/>
        <v>23.591261380229156</v>
      </c>
    </row>
    <row r="71" spans="1:52" ht="18" x14ac:dyDescent="0.25">
      <c r="A71" s="104">
        <v>66</v>
      </c>
      <c r="B71">
        <v>2</v>
      </c>
      <c r="C71" t="s">
        <v>460</v>
      </c>
      <c r="D71" t="s">
        <v>40</v>
      </c>
      <c r="E71" t="s">
        <v>467</v>
      </c>
      <c r="F71">
        <v>1</v>
      </c>
      <c r="G71" t="s">
        <v>89</v>
      </c>
      <c r="H71">
        <v>3.319</v>
      </c>
      <c r="Q71" s="141">
        <v>447</v>
      </c>
      <c r="R71" s="141" t="s">
        <v>260</v>
      </c>
      <c r="S71" s="141">
        <v>4.5115914999999998</v>
      </c>
      <c r="T71" s="141">
        <v>-0.42779595097043321</v>
      </c>
      <c r="U71" s="141">
        <v>4.6345320000000001</v>
      </c>
      <c r="V71" s="141">
        <v>-28.190041515206627</v>
      </c>
      <c r="W71" s="142">
        <v>3.319</v>
      </c>
      <c r="X71" s="143">
        <v>7.0035672500000006</v>
      </c>
      <c r="Y71" s="143">
        <v>1.9166458325792195</v>
      </c>
      <c r="Z71" s="143">
        <v>4.5470909062499993</v>
      </c>
      <c r="AA71" s="143">
        <v>-25.930204084925705</v>
      </c>
      <c r="AB71" s="143">
        <v>2.7513749999999999</v>
      </c>
      <c r="AC71" s="143">
        <v>2.7513749999999999</v>
      </c>
      <c r="AD71" s="144">
        <f t="shared" si="39"/>
        <v>1.1078465049364664E-2</v>
      </c>
      <c r="AE71" s="144">
        <f t="shared" si="40"/>
        <v>0.27839945661961657</v>
      </c>
      <c r="AF71" s="145">
        <f t="shared" si="41"/>
        <v>4.9981508749760699E-2</v>
      </c>
      <c r="AG71" s="145">
        <f t="shared" si="42"/>
        <v>1.2902511904862248</v>
      </c>
      <c r="AH71" s="146">
        <f t="shared" si="43"/>
        <v>1.5059207215956825</v>
      </c>
      <c r="AI71" s="146">
        <f t="shared" si="44"/>
        <v>38.874696911305357</v>
      </c>
      <c r="AJ71" s="147">
        <f t="shared" si="45"/>
        <v>25.814570683451052</v>
      </c>
      <c r="AK71" s="148">
        <f t="shared" si="38"/>
        <v>-0.36444178354965273</v>
      </c>
      <c r="AL71" s="148">
        <f t="shared" si="46"/>
        <v>-28.289837430280922</v>
      </c>
      <c r="AM71" s="149">
        <v>0.36599999999999999</v>
      </c>
      <c r="AN71" s="150">
        <f t="shared" si="47"/>
        <v>-0.36444178354965273</v>
      </c>
      <c r="AO71" s="151">
        <f t="shared" si="48"/>
        <v>0.3661206621338195</v>
      </c>
      <c r="AP71" s="152">
        <f t="shared" si="49"/>
        <v>1.2066213381950464E-4</v>
      </c>
      <c r="AQ71" s="152">
        <f t="shared" si="50"/>
        <v>15.059207215956823</v>
      </c>
      <c r="AR71" s="153">
        <f t="shared" si="51"/>
        <v>1.817076076307432E-2</v>
      </c>
      <c r="AS71" s="153">
        <f t="shared" si="52"/>
        <v>1.2066213381950464</v>
      </c>
      <c r="AT71" s="149">
        <v>1.077</v>
      </c>
      <c r="AU71" s="150">
        <f t="shared" si="53"/>
        <v>-28.289837430280922</v>
      </c>
      <c r="AV71" s="150">
        <f t="shared" si="54"/>
        <v>1.0801167986777824</v>
      </c>
      <c r="AW71" s="154">
        <f t="shared" si="55"/>
        <v>3.116798677782473E-3</v>
      </c>
      <c r="AX71" s="154">
        <f t="shared" si="56"/>
        <v>388.74696911305358</v>
      </c>
      <c r="AY71" s="154">
        <f t="shared" si="57"/>
        <v>12.116460393235092</v>
      </c>
      <c r="AZ71" s="154">
        <f t="shared" si="58"/>
        <v>31.16798677782473</v>
      </c>
    </row>
    <row r="72" spans="1:52" ht="18" x14ac:dyDescent="0.25">
      <c r="A72" s="104">
        <v>67</v>
      </c>
      <c r="B72">
        <v>2</v>
      </c>
      <c r="C72" t="s">
        <v>461</v>
      </c>
      <c r="D72" t="s">
        <v>44</v>
      </c>
      <c r="E72" t="s">
        <v>467</v>
      </c>
      <c r="F72">
        <v>1</v>
      </c>
      <c r="G72" t="s">
        <v>90</v>
      </c>
      <c r="H72">
        <v>3.6619999999999999</v>
      </c>
      <c r="Q72" s="155">
        <v>448</v>
      </c>
      <c r="R72" s="155" t="s">
        <v>261</v>
      </c>
      <c r="S72" s="155">
        <v>4.2184295000000001</v>
      </c>
      <c r="T72" s="155">
        <v>-0.16504291064718957</v>
      </c>
      <c r="U72" s="155">
        <v>4.9266180000000004</v>
      </c>
      <c r="V72" s="155">
        <v>-30.279672628403546</v>
      </c>
      <c r="W72" s="142">
        <v>3.6619999999999999</v>
      </c>
      <c r="X72" s="143">
        <v>7.0035672500000006</v>
      </c>
      <c r="Y72" s="143">
        <v>1.9166458325792195</v>
      </c>
      <c r="Z72" s="143">
        <v>4.5470909062499993</v>
      </c>
      <c r="AA72" s="143">
        <v>-25.930204084925705</v>
      </c>
      <c r="AB72" s="143">
        <v>2.7513749999999999</v>
      </c>
      <c r="AC72" s="143">
        <v>2.7513749999999999</v>
      </c>
      <c r="AD72" s="144">
        <f t="shared" si="39"/>
        <v>1.1078465049364664E-2</v>
      </c>
      <c r="AE72" s="144">
        <f t="shared" si="40"/>
        <v>0.27839945661961657</v>
      </c>
      <c r="AF72" s="145">
        <f t="shared" si="41"/>
        <v>4.6733723778958854E-2</v>
      </c>
      <c r="AG72" s="145">
        <f t="shared" si="42"/>
        <v>1.3715677741724221</v>
      </c>
      <c r="AH72" s="146">
        <f t="shared" si="43"/>
        <v>1.2761803325767029</v>
      </c>
      <c r="AI72" s="146">
        <f t="shared" si="44"/>
        <v>37.454062648072693</v>
      </c>
      <c r="AJ72" s="147">
        <f t="shared" si="45"/>
        <v>29.348565944791019</v>
      </c>
      <c r="AK72" s="148">
        <f t="shared" si="38"/>
        <v>-0.10168874322640908</v>
      </c>
      <c r="AL72" s="148">
        <f t="shared" si="46"/>
        <v>-30.379468543477842</v>
      </c>
      <c r="AM72" s="149">
        <v>0.36599999999999999</v>
      </c>
      <c r="AN72" s="150">
        <f t="shared" si="47"/>
        <v>-0.10168874322640908</v>
      </c>
      <c r="AO72" s="151">
        <f t="shared" si="48"/>
        <v>0.36621654409649929</v>
      </c>
      <c r="AP72" s="152">
        <f t="shared" si="49"/>
        <v>2.1654409649929374E-4</v>
      </c>
      <c r="AQ72" s="152">
        <f t="shared" si="50"/>
        <v>12.76180332576703</v>
      </c>
      <c r="AR72" s="153">
        <f t="shared" si="51"/>
        <v>2.7634931708799035E-2</v>
      </c>
      <c r="AS72" s="153">
        <f t="shared" si="52"/>
        <v>2.1654409649929374</v>
      </c>
      <c r="AT72" s="149">
        <v>1.077</v>
      </c>
      <c r="AU72" s="150">
        <f t="shared" si="53"/>
        <v>-30.379468543477842</v>
      </c>
      <c r="AV72" s="150">
        <f t="shared" si="54"/>
        <v>1.0778190777259995</v>
      </c>
      <c r="AW72" s="154">
        <f t="shared" si="55"/>
        <v>8.1907772599953965E-4</v>
      </c>
      <c r="AX72" s="154">
        <f t="shared" si="56"/>
        <v>374.54062648072698</v>
      </c>
      <c r="AY72" s="154">
        <f t="shared" si="57"/>
        <v>3.067778846322768</v>
      </c>
      <c r="AZ72" s="154">
        <f t="shared" si="58"/>
        <v>8.1907772599953965</v>
      </c>
    </row>
    <row r="73" spans="1:52" ht="18" x14ac:dyDescent="0.25">
      <c r="A73" s="104">
        <v>68</v>
      </c>
      <c r="B73">
        <v>2</v>
      </c>
      <c r="C73" t="s">
        <v>462</v>
      </c>
      <c r="D73" t="s">
        <v>48</v>
      </c>
      <c r="E73" t="s">
        <v>467</v>
      </c>
      <c r="F73">
        <v>1</v>
      </c>
      <c r="G73" t="s">
        <v>91</v>
      </c>
      <c r="H73">
        <v>3.35</v>
      </c>
      <c r="Q73" s="141">
        <v>449</v>
      </c>
      <c r="R73" s="141" t="s">
        <v>262</v>
      </c>
      <c r="S73" s="141">
        <v>3.2075274999999999</v>
      </c>
      <c r="T73" s="141">
        <v>37.177291905916995</v>
      </c>
      <c r="U73" s="141">
        <v>4.6559080000000002</v>
      </c>
      <c r="V73" s="141">
        <v>-27.872419182051694</v>
      </c>
      <c r="W73" s="142">
        <v>3.35</v>
      </c>
      <c r="X73" s="143">
        <v>7.0035672500000006</v>
      </c>
      <c r="Y73" s="143">
        <v>1.9166458325792195</v>
      </c>
      <c r="Z73" s="143">
        <v>4.5470909062499993</v>
      </c>
      <c r="AA73" s="143">
        <v>-25.930204084925705</v>
      </c>
      <c r="AB73" s="143">
        <v>2.7513749999999999</v>
      </c>
      <c r="AC73" s="143">
        <v>2.7513749999999999</v>
      </c>
      <c r="AD73" s="144">
        <f t="shared" si="39"/>
        <v>1.1078465049364664E-2</v>
      </c>
      <c r="AE73" s="144">
        <f t="shared" si="40"/>
        <v>0.27839945661961657</v>
      </c>
      <c r="AF73" s="145">
        <f t="shared" si="41"/>
        <v>3.553448130362602E-2</v>
      </c>
      <c r="AG73" s="145">
        <f t="shared" si="42"/>
        <v>1.2962022572709258</v>
      </c>
      <c r="AH73" s="146">
        <f t="shared" si="43"/>
        <v>1.0607307851828662</v>
      </c>
      <c r="AI73" s="146">
        <f t="shared" si="44"/>
        <v>38.692604694654506</v>
      </c>
      <c r="AJ73" s="147">
        <f t="shared" si="45"/>
        <v>36.477309073276338</v>
      </c>
      <c r="AK73" s="148">
        <f t="shared" si="38"/>
        <v>37.240646073337778</v>
      </c>
      <c r="AL73" s="148">
        <f t="shared" si="46"/>
        <v>-27.972215097125989</v>
      </c>
      <c r="AM73" s="149">
        <v>0.36599999999999999</v>
      </c>
      <c r="AN73" s="150">
        <f t="shared" si="47"/>
        <v>37.240646073337778</v>
      </c>
      <c r="AO73" s="151">
        <f t="shared" si="48"/>
        <v>0.37984136563928905</v>
      </c>
      <c r="AP73" s="152">
        <f t="shared" si="49"/>
        <v>1.384136563928906E-2</v>
      </c>
      <c r="AQ73" s="152">
        <f t="shared" si="50"/>
        <v>10.607307851828663</v>
      </c>
      <c r="AR73" s="153">
        <f t="shared" si="51"/>
        <v>1.4681962642566233</v>
      </c>
      <c r="AS73" s="153">
        <f t="shared" si="52"/>
        <v>138.4136563928906</v>
      </c>
      <c r="AT73" s="149">
        <v>1.077</v>
      </c>
      <c r="AU73" s="150">
        <f t="shared" si="53"/>
        <v>-27.972215097125989</v>
      </c>
      <c r="AV73" s="150">
        <f t="shared" si="54"/>
        <v>1.0804660411621707</v>
      </c>
      <c r="AW73" s="154">
        <f t="shared" si="55"/>
        <v>3.4660411621707521E-3</v>
      </c>
      <c r="AX73" s="154">
        <f t="shared" si="56"/>
        <v>386.92604694654506</v>
      </c>
      <c r="AY73" s="154">
        <f t="shared" si="57"/>
        <v>13.41101605432738</v>
      </c>
      <c r="AZ73" s="154">
        <f t="shared" si="58"/>
        <v>34.660411621707524</v>
      </c>
    </row>
    <row r="74" spans="1:52" ht="18" x14ac:dyDescent="0.25">
      <c r="A74" s="104">
        <v>69</v>
      </c>
      <c r="B74">
        <v>2</v>
      </c>
      <c r="C74" t="s">
        <v>463</v>
      </c>
      <c r="D74" t="s">
        <v>36</v>
      </c>
      <c r="E74" t="s">
        <v>467</v>
      </c>
      <c r="F74">
        <v>1</v>
      </c>
      <c r="G74" t="s">
        <v>92</v>
      </c>
      <c r="H74">
        <v>3.22</v>
      </c>
      <c r="Q74" s="155">
        <v>450</v>
      </c>
      <c r="R74" s="155" t="s">
        <v>263</v>
      </c>
      <c r="S74" s="155">
        <v>5.0405474999999997</v>
      </c>
      <c r="T74" s="155">
        <v>6.2925969183816486</v>
      </c>
      <c r="U74" s="155">
        <v>4.4933940000000003</v>
      </c>
      <c r="V74" s="155">
        <v>-29.896764256430735</v>
      </c>
      <c r="W74" s="142">
        <v>3.22</v>
      </c>
      <c r="X74" s="143">
        <v>7.0035672500000006</v>
      </c>
      <c r="Y74" s="143">
        <v>1.9166458325792195</v>
      </c>
      <c r="Z74" s="143">
        <v>4.5470909062499993</v>
      </c>
      <c r="AA74" s="143">
        <v>-25.930204084925705</v>
      </c>
      <c r="AB74" s="143">
        <v>2.7513749999999999</v>
      </c>
      <c r="AC74" s="143">
        <v>2.7513749999999999</v>
      </c>
      <c r="AD74" s="144">
        <f t="shared" si="39"/>
        <v>1.1078465049364664E-2</v>
      </c>
      <c r="AE74" s="144">
        <f t="shared" si="40"/>
        <v>0.27839945661961657</v>
      </c>
      <c r="AF74" s="145">
        <f t="shared" si="41"/>
        <v>5.5841529308412435E-2</v>
      </c>
      <c r="AG74" s="145">
        <f t="shared" si="42"/>
        <v>1.2509584479778455</v>
      </c>
      <c r="AH74" s="146">
        <f t="shared" si="43"/>
        <v>1.7342089847333053</v>
      </c>
      <c r="AI74" s="146">
        <f t="shared" si="44"/>
        <v>38.849641241547992</v>
      </c>
      <c r="AJ74" s="147">
        <f t="shared" si="45"/>
        <v>22.401937473252378</v>
      </c>
      <c r="AK74" s="148">
        <f t="shared" si="38"/>
        <v>6.3559510858024293</v>
      </c>
      <c r="AL74" s="148">
        <f t="shared" si="46"/>
        <v>-29.996560171505031</v>
      </c>
      <c r="AM74" s="149">
        <v>0.36599999999999999</v>
      </c>
      <c r="AN74" s="150">
        <f t="shared" si="47"/>
        <v>6.3559510858024293</v>
      </c>
      <c r="AO74" s="151">
        <f t="shared" si="48"/>
        <v>0.36857296189701449</v>
      </c>
      <c r="AP74" s="152">
        <f t="shared" si="49"/>
        <v>2.572961897014503E-3</v>
      </c>
      <c r="AQ74" s="152">
        <f t="shared" si="50"/>
        <v>17.342089847333053</v>
      </c>
      <c r="AR74" s="153">
        <f t="shared" si="51"/>
        <v>0.44620536391790006</v>
      </c>
      <c r="AS74" s="153">
        <f t="shared" si="52"/>
        <v>25.72961897014503</v>
      </c>
      <c r="AT74" s="149">
        <v>1.077</v>
      </c>
      <c r="AU74" s="150">
        <f t="shared" si="53"/>
        <v>-29.996560171505031</v>
      </c>
      <c r="AV74" s="150">
        <f t="shared" si="54"/>
        <v>1.0782401249026587</v>
      </c>
      <c r="AW74" s="154">
        <f t="shared" si="55"/>
        <v>1.2401249026587902E-3</v>
      </c>
      <c r="AX74" s="154">
        <f t="shared" si="56"/>
        <v>388.49641241547994</v>
      </c>
      <c r="AY74" s="154">
        <f t="shared" si="57"/>
        <v>4.8178407563003631</v>
      </c>
      <c r="AZ74" s="154">
        <f t="shared" si="58"/>
        <v>12.4012490265879</v>
      </c>
    </row>
    <row r="75" spans="1:52" ht="18" x14ac:dyDescent="0.25">
      <c r="A75" s="104">
        <v>70</v>
      </c>
      <c r="B75">
        <v>2</v>
      </c>
      <c r="C75" t="s">
        <v>464</v>
      </c>
      <c r="D75" t="s">
        <v>52</v>
      </c>
      <c r="E75" t="s">
        <v>467</v>
      </c>
      <c r="F75">
        <v>1</v>
      </c>
      <c r="G75" t="s">
        <v>93</v>
      </c>
      <c r="H75">
        <v>3.3290000000000002</v>
      </c>
      <c r="Q75" s="141">
        <v>451</v>
      </c>
      <c r="R75" s="141" t="s">
        <v>264</v>
      </c>
      <c r="S75" s="141">
        <v>3.5983489999999998</v>
      </c>
      <c r="T75" s="141">
        <v>70.502150165058509</v>
      </c>
      <c r="U75" s="141">
        <v>4.6251100000000003</v>
      </c>
      <c r="V75" s="141">
        <v>-27.806461666971796</v>
      </c>
      <c r="W75" s="142">
        <v>3.3290000000000002</v>
      </c>
      <c r="X75" s="143">
        <v>7.0035672500000006</v>
      </c>
      <c r="Y75" s="143">
        <v>1.9166458325792195</v>
      </c>
      <c r="Z75" s="143">
        <v>4.5470909062499993</v>
      </c>
      <c r="AA75" s="143">
        <v>-25.930204084925705</v>
      </c>
      <c r="AB75" s="143">
        <v>2.7513749999999999</v>
      </c>
      <c r="AC75" s="143">
        <v>2.7513749999999999</v>
      </c>
      <c r="AD75" s="144">
        <f t="shared" si="39"/>
        <v>1.1078465049364664E-2</v>
      </c>
      <c r="AE75" s="144">
        <f t="shared" si="40"/>
        <v>0.27839945661961657</v>
      </c>
      <c r="AF75" s="145">
        <f t="shared" si="41"/>
        <v>3.9864183631916288E-2</v>
      </c>
      <c r="AG75" s="145">
        <f t="shared" si="42"/>
        <v>1.2876281108059549</v>
      </c>
      <c r="AH75" s="146">
        <f t="shared" si="43"/>
        <v>1.197482235864112</v>
      </c>
      <c r="AI75" s="146">
        <f t="shared" si="44"/>
        <v>38.679126188223336</v>
      </c>
      <c r="AJ75" s="147">
        <f t="shared" si="45"/>
        <v>32.300375763246457</v>
      </c>
      <c r="AK75" s="148">
        <f t="shared" si="38"/>
        <v>70.565504332479293</v>
      </c>
      <c r="AL75" s="148">
        <f t="shared" si="46"/>
        <v>-27.906257582046091</v>
      </c>
      <c r="AM75" s="149">
        <v>0.36599999999999999</v>
      </c>
      <c r="AN75" s="150">
        <f t="shared" si="47"/>
        <v>70.565504332479293</v>
      </c>
      <c r="AO75" s="151">
        <f t="shared" si="48"/>
        <v>0.39199721402930604</v>
      </c>
      <c r="AP75" s="152">
        <f t="shared" si="49"/>
        <v>2.5997214029306048E-2</v>
      </c>
      <c r="AQ75" s="152">
        <f t="shared" si="50"/>
        <v>11.97482235864112</v>
      </c>
      <c r="AR75" s="153">
        <f t="shared" si="51"/>
        <v>3.1131201982051269</v>
      </c>
      <c r="AS75" s="153">
        <f t="shared" si="52"/>
        <v>259.97214029306048</v>
      </c>
      <c r="AT75" s="149">
        <v>1.077</v>
      </c>
      <c r="AU75" s="150">
        <f t="shared" si="53"/>
        <v>-27.906257582046091</v>
      </c>
      <c r="AV75" s="150">
        <f t="shared" si="54"/>
        <v>1.0805385646147454</v>
      </c>
      <c r="AW75" s="154">
        <f t="shared" si="55"/>
        <v>3.538564614745443E-3</v>
      </c>
      <c r="AX75" s="154">
        <f t="shared" si="56"/>
        <v>386.79126188223336</v>
      </c>
      <c r="AY75" s="154">
        <f t="shared" si="57"/>
        <v>13.686858725892089</v>
      </c>
      <c r="AZ75" s="154">
        <f t="shared" si="58"/>
        <v>35.38564614745443</v>
      </c>
    </row>
    <row r="76" spans="1:52" ht="18" x14ac:dyDescent="0.25">
      <c r="A76" s="104">
        <v>71</v>
      </c>
      <c r="B76">
        <v>2</v>
      </c>
      <c r="C76" t="s">
        <v>459</v>
      </c>
      <c r="D76" t="s">
        <v>28</v>
      </c>
      <c r="E76" t="s">
        <v>468</v>
      </c>
      <c r="F76">
        <v>1</v>
      </c>
      <c r="G76" t="s">
        <v>94</v>
      </c>
      <c r="H76">
        <v>3.6339999999999999</v>
      </c>
      <c r="Q76" s="155">
        <v>452</v>
      </c>
      <c r="R76" s="155" t="s">
        <v>265</v>
      </c>
      <c r="S76" s="155">
        <v>7.5087120000000001</v>
      </c>
      <c r="T76" s="155">
        <v>-1.4606301939080968</v>
      </c>
      <c r="U76" s="155">
        <v>5.8665779999999996</v>
      </c>
      <c r="V76" s="155">
        <v>-30.938622044869483</v>
      </c>
      <c r="W76" s="142">
        <v>3.6339999999999999</v>
      </c>
      <c r="X76" s="143">
        <v>7.0035672500000006</v>
      </c>
      <c r="Y76" s="143">
        <v>1.9166458325792195</v>
      </c>
      <c r="Z76" s="143">
        <v>4.5470909062499993</v>
      </c>
      <c r="AA76" s="143">
        <v>-25.930204084925705</v>
      </c>
      <c r="AB76" s="143">
        <v>2.7513749999999999</v>
      </c>
      <c r="AC76" s="143">
        <v>2.7513749999999999</v>
      </c>
      <c r="AD76" s="144">
        <f t="shared" si="39"/>
        <v>1.1078465049364664E-2</v>
      </c>
      <c r="AE76" s="144">
        <f t="shared" si="40"/>
        <v>0.27839945661961657</v>
      </c>
      <c r="AF76" s="145">
        <f t="shared" si="41"/>
        <v>8.3185003457745044E-2</v>
      </c>
      <c r="AG76" s="145">
        <f t="shared" si="42"/>
        <v>1.6332521274165968</v>
      </c>
      <c r="AH76" s="146">
        <f t="shared" si="43"/>
        <v>2.2890754941591922</v>
      </c>
      <c r="AI76" s="146">
        <f t="shared" si="44"/>
        <v>44.943646874424786</v>
      </c>
      <c r="AJ76" s="147">
        <f t="shared" si="45"/>
        <v>19.633973186600027</v>
      </c>
      <c r="AK76" s="148">
        <f t="shared" si="38"/>
        <v>-1.3972760264873163</v>
      </c>
      <c r="AL76" s="148">
        <f t="shared" si="46"/>
        <v>-31.038417959943779</v>
      </c>
      <c r="AM76" s="149">
        <v>0.36599999999999999</v>
      </c>
      <c r="AN76" s="150">
        <f t="shared" si="47"/>
        <v>-1.3972760264873163</v>
      </c>
      <c r="AO76" s="151">
        <f t="shared" si="48"/>
        <v>0.36574376585080048</v>
      </c>
      <c r="AP76" s="152">
        <f t="shared" si="49"/>
        <v>-2.5623414919950793E-4</v>
      </c>
      <c r="AQ76" s="152">
        <f t="shared" si="50"/>
        <v>22.890754941591922</v>
      </c>
      <c r="AR76" s="153">
        <f t="shared" si="51"/>
        <v>-5.865393116993238E-2</v>
      </c>
      <c r="AS76" s="153">
        <f t="shared" si="52"/>
        <v>-2.5623414919950793</v>
      </c>
      <c r="AT76" s="149">
        <v>1.077</v>
      </c>
      <c r="AU76" s="150">
        <f t="shared" si="53"/>
        <v>-31.038417959943779</v>
      </c>
      <c r="AV76" s="150">
        <f t="shared" si="54"/>
        <v>1.0770944866100092</v>
      </c>
      <c r="AW76" s="154">
        <f t="shared" si="55"/>
        <v>9.4486610009214544E-5</v>
      </c>
      <c r="AX76" s="154">
        <f t="shared" si="56"/>
        <v>449.43646874424786</v>
      </c>
      <c r="AY76" s="154">
        <f t="shared" si="57"/>
        <v>0.42465728346156284</v>
      </c>
      <c r="AZ76" s="154">
        <f t="shared" si="58"/>
        <v>0.94486610009214544</v>
      </c>
    </row>
    <row r="77" spans="1:52" ht="18" x14ac:dyDescent="0.25">
      <c r="A77" s="104">
        <v>72</v>
      </c>
      <c r="B77">
        <v>2</v>
      </c>
      <c r="C77" t="s">
        <v>460</v>
      </c>
      <c r="D77" t="s">
        <v>40</v>
      </c>
      <c r="E77" t="s">
        <v>468</v>
      </c>
      <c r="F77">
        <v>1</v>
      </c>
      <c r="G77" t="s">
        <v>95</v>
      </c>
      <c r="H77">
        <v>3.5129999999999999</v>
      </c>
      <c r="Q77" s="141">
        <v>453</v>
      </c>
      <c r="R77" s="141" t="s">
        <v>266</v>
      </c>
      <c r="S77" s="141">
        <v>7.8789265000000004</v>
      </c>
      <c r="T77" s="141">
        <v>-5.2692278728323716</v>
      </c>
      <c r="U77" s="141">
        <v>5.6500690000000002</v>
      </c>
      <c r="V77" s="141">
        <v>-30.133945428169653</v>
      </c>
      <c r="W77" s="142">
        <v>3.5129999999999999</v>
      </c>
      <c r="X77" s="143">
        <v>7.0035672500000006</v>
      </c>
      <c r="Y77" s="143">
        <v>1.9166458325792195</v>
      </c>
      <c r="Z77" s="143">
        <v>4.5470909062499993</v>
      </c>
      <c r="AA77" s="143">
        <v>-25.930204084925705</v>
      </c>
      <c r="AB77" s="143">
        <v>2.7513749999999999</v>
      </c>
      <c r="AC77" s="143">
        <v>2.7513749999999999</v>
      </c>
      <c r="AD77" s="144">
        <f t="shared" si="39"/>
        <v>1.1078465049364664E-2</v>
      </c>
      <c r="AE77" s="144">
        <f t="shared" si="40"/>
        <v>0.27839945661961657</v>
      </c>
      <c r="AF77" s="145">
        <f t="shared" si="41"/>
        <v>8.7286411856763071E-2</v>
      </c>
      <c r="AG77" s="145">
        <f t="shared" si="42"/>
        <v>1.5729761394633404</v>
      </c>
      <c r="AH77" s="146">
        <f t="shared" si="43"/>
        <v>2.4846687121196438</v>
      </c>
      <c r="AI77" s="146">
        <f t="shared" si="44"/>
        <v>44.775865057311137</v>
      </c>
      <c r="AJ77" s="147">
        <f t="shared" si="45"/>
        <v>18.020859215115784</v>
      </c>
      <c r="AK77" s="148">
        <f t="shared" si="38"/>
        <v>-5.2058737054115909</v>
      </c>
      <c r="AL77" s="148">
        <f t="shared" si="46"/>
        <v>-30.233741343243949</v>
      </c>
      <c r="AM77" s="149">
        <v>0.36599999999999999</v>
      </c>
      <c r="AN77" s="150">
        <f t="shared" si="47"/>
        <v>-5.2058737054115909</v>
      </c>
      <c r="AO77" s="151">
        <f t="shared" si="48"/>
        <v>0.36435392835052105</v>
      </c>
      <c r="AP77" s="152">
        <f t="shared" si="49"/>
        <v>-1.6460716494789418E-3</v>
      </c>
      <c r="AQ77" s="152">
        <f t="shared" si="50"/>
        <v>24.846687121196439</v>
      </c>
      <c r="AR77" s="153">
        <f t="shared" si="51"/>
        <v>-0.40899427253674997</v>
      </c>
      <c r="AS77" s="153">
        <f t="shared" si="52"/>
        <v>-16.460716494789416</v>
      </c>
      <c r="AT77" s="149">
        <v>1.077</v>
      </c>
      <c r="AU77" s="150">
        <f t="shared" si="53"/>
        <v>-30.233741343243949</v>
      </c>
      <c r="AV77" s="150">
        <f t="shared" si="54"/>
        <v>1.0779793202082248</v>
      </c>
      <c r="AW77" s="154">
        <f t="shared" si="55"/>
        <v>9.7932020822488752E-4</v>
      </c>
      <c r="AX77" s="154">
        <f t="shared" si="56"/>
        <v>447.75865057311137</v>
      </c>
      <c r="AY77" s="154">
        <f t="shared" si="57"/>
        <v>4.3849909491375403</v>
      </c>
      <c r="AZ77" s="154">
        <f t="shared" si="58"/>
        <v>9.7932020822488752</v>
      </c>
    </row>
    <row r="78" spans="1:52" ht="18" x14ac:dyDescent="0.25">
      <c r="A78" s="104">
        <v>73</v>
      </c>
      <c r="B78">
        <v>2</v>
      </c>
      <c r="C78" t="s">
        <v>461</v>
      </c>
      <c r="D78" t="s">
        <v>44</v>
      </c>
      <c r="E78" t="s">
        <v>468</v>
      </c>
      <c r="F78">
        <v>1</v>
      </c>
      <c r="G78" t="s">
        <v>96</v>
      </c>
      <c r="H78">
        <v>3.9729999999999999</v>
      </c>
      <c r="Q78" s="155">
        <v>454</v>
      </c>
      <c r="R78" s="155" t="s">
        <v>267</v>
      </c>
      <c r="S78" s="155">
        <v>7.3831274999999996</v>
      </c>
      <c r="T78" s="155">
        <v>-4.2639626814490823</v>
      </c>
      <c r="U78" s="155">
        <v>6.1612939999999998</v>
      </c>
      <c r="V78" s="155">
        <v>-29.756457287570665</v>
      </c>
      <c r="W78" s="142">
        <v>3.9729999999999999</v>
      </c>
      <c r="X78" s="143">
        <v>7.0035672500000006</v>
      </c>
      <c r="Y78" s="143">
        <v>1.9166458325792195</v>
      </c>
      <c r="Z78" s="143">
        <v>4.5470909062499993</v>
      </c>
      <c r="AA78" s="143">
        <v>-25.930204084925705</v>
      </c>
      <c r="AB78" s="143">
        <v>2.7513749999999999</v>
      </c>
      <c r="AC78" s="143">
        <v>2.7513749999999999</v>
      </c>
      <c r="AD78" s="144">
        <f t="shared" si="39"/>
        <v>1.1078465049364664E-2</v>
      </c>
      <c r="AE78" s="144">
        <f t="shared" si="40"/>
        <v>0.27839945661961657</v>
      </c>
      <c r="AF78" s="145">
        <f t="shared" si="41"/>
        <v>8.1793719963753106E-2</v>
      </c>
      <c r="AG78" s="145">
        <f t="shared" si="42"/>
        <v>1.7153009016737037</v>
      </c>
      <c r="AH78" s="146">
        <f t="shared" si="43"/>
        <v>2.0587394906557543</v>
      </c>
      <c r="AI78" s="146">
        <f t="shared" si="44"/>
        <v>43.173946681945722</v>
      </c>
      <c r="AJ78" s="147">
        <f t="shared" si="45"/>
        <v>20.971058688048906</v>
      </c>
      <c r="AK78" s="148">
        <f t="shared" si="38"/>
        <v>-4.2006085140283016</v>
      </c>
      <c r="AL78" s="148">
        <f t="shared" si="46"/>
        <v>-29.856253202644961</v>
      </c>
      <c r="AM78" s="149">
        <v>0.36599999999999999</v>
      </c>
      <c r="AN78" s="150">
        <f t="shared" si="47"/>
        <v>-4.2006085140283016</v>
      </c>
      <c r="AO78" s="151">
        <f t="shared" si="48"/>
        <v>0.3647207745558016</v>
      </c>
      <c r="AP78" s="152">
        <f t="shared" si="49"/>
        <v>-1.2792254441983952E-3</v>
      </c>
      <c r="AQ78" s="152">
        <f t="shared" si="50"/>
        <v>20.587394906557542</v>
      </c>
      <c r="AR78" s="153">
        <f t="shared" si="51"/>
        <v>-0.26335919394228852</v>
      </c>
      <c r="AS78" s="153">
        <f t="shared" si="52"/>
        <v>-12.792254441983953</v>
      </c>
      <c r="AT78" s="149">
        <v>1.077</v>
      </c>
      <c r="AU78" s="150">
        <f t="shared" si="53"/>
        <v>-29.856253202644961</v>
      </c>
      <c r="AV78" s="150">
        <f t="shared" si="54"/>
        <v>1.0783944059626849</v>
      </c>
      <c r="AW78" s="154">
        <f t="shared" si="55"/>
        <v>1.3944059626849192E-3</v>
      </c>
      <c r="AX78" s="154">
        <f t="shared" si="56"/>
        <v>431.73946681945722</v>
      </c>
      <c r="AY78" s="154">
        <f t="shared" si="57"/>
        <v>6.02020086859459</v>
      </c>
      <c r="AZ78" s="154">
        <f t="shared" si="58"/>
        <v>13.944059626849192</v>
      </c>
    </row>
    <row r="79" spans="1:52" ht="18" x14ac:dyDescent="0.25">
      <c r="A79" s="104">
        <v>74</v>
      </c>
      <c r="B79">
        <v>2</v>
      </c>
      <c r="C79" t="s">
        <v>462</v>
      </c>
      <c r="D79" t="s">
        <v>48</v>
      </c>
      <c r="E79" t="s">
        <v>468</v>
      </c>
      <c r="F79">
        <v>1</v>
      </c>
      <c r="G79" t="s">
        <v>97</v>
      </c>
      <c r="H79">
        <v>3.8170000000000002</v>
      </c>
      <c r="Q79" s="141">
        <v>455</v>
      </c>
      <c r="R79" s="141" t="s">
        <v>268</v>
      </c>
      <c r="S79" s="141">
        <v>3.8638599999999999</v>
      </c>
      <c r="T79" s="141">
        <v>19.829697602978491</v>
      </c>
      <c r="U79" s="141">
        <v>6.0359730000000003</v>
      </c>
      <c r="V79" s="141">
        <v>-30.005858315420451</v>
      </c>
      <c r="W79" s="142">
        <v>3.8170000000000002</v>
      </c>
      <c r="X79" s="143">
        <v>7.0035672500000006</v>
      </c>
      <c r="Y79" s="143">
        <v>1.9166458325792195</v>
      </c>
      <c r="Z79" s="143">
        <v>4.5470909062499993</v>
      </c>
      <c r="AA79" s="143">
        <v>-25.930204084925705</v>
      </c>
      <c r="AB79" s="143">
        <v>2.7513749999999999</v>
      </c>
      <c r="AC79" s="143">
        <v>2.7513749999999999</v>
      </c>
      <c r="AD79" s="144">
        <f t="shared" si="39"/>
        <v>1.1078465049364664E-2</v>
      </c>
      <c r="AE79" s="144">
        <f t="shared" si="40"/>
        <v>0.27839945661961657</v>
      </c>
      <c r="AF79" s="145">
        <f t="shared" si="41"/>
        <v>4.2805637965638153E-2</v>
      </c>
      <c r="AG79" s="145">
        <f t="shared" si="42"/>
        <v>1.6804116033706769</v>
      </c>
      <c r="AH79" s="146">
        <f t="shared" si="43"/>
        <v>1.1214471565532658</v>
      </c>
      <c r="AI79" s="146">
        <f t="shared" si="44"/>
        <v>44.024406690350453</v>
      </c>
      <c r="AJ79" s="147">
        <f t="shared" si="45"/>
        <v>39.256782125747371</v>
      </c>
      <c r="AK79" s="148">
        <f t="shared" si="38"/>
        <v>19.893051770399271</v>
      </c>
      <c r="AL79" s="148">
        <f t="shared" si="46"/>
        <v>-30.105654230494746</v>
      </c>
      <c r="AM79" s="149">
        <v>0.36599999999999999</v>
      </c>
      <c r="AN79" s="150">
        <f t="shared" si="47"/>
        <v>19.893051770399271</v>
      </c>
      <c r="AO79" s="151">
        <f t="shared" si="48"/>
        <v>0.37351234068243666</v>
      </c>
      <c r="AP79" s="152">
        <f t="shared" si="49"/>
        <v>7.512340682436669E-3</v>
      </c>
      <c r="AQ79" s="152">
        <f t="shared" si="50"/>
        <v>11.214471565532657</v>
      </c>
      <c r="AR79" s="153">
        <f t="shared" si="51"/>
        <v>0.84246930973780221</v>
      </c>
      <c r="AS79" s="153">
        <f t="shared" si="52"/>
        <v>75.123406824366697</v>
      </c>
      <c r="AT79" s="149">
        <v>1.077</v>
      </c>
      <c r="AU79" s="150">
        <f t="shared" si="53"/>
        <v>-30.105654230494746</v>
      </c>
      <c r="AV79" s="150">
        <f t="shared" si="54"/>
        <v>1.0781201651183279</v>
      </c>
      <c r="AW79" s="154">
        <f t="shared" si="55"/>
        <v>1.1201651183279093E-3</v>
      </c>
      <c r="AX79" s="154">
        <f t="shared" si="56"/>
        <v>440.24406690350452</v>
      </c>
      <c r="AY79" s="154">
        <f t="shared" si="57"/>
        <v>4.9314604729612421</v>
      </c>
      <c r="AZ79" s="154">
        <f t="shared" si="58"/>
        <v>11.201651183279093</v>
      </c>
    </row>
    <row r="80" spans="1:52" ht="18" x14ac:dyDescent="0.25">
      <c r="I80" t="s">
        <v>152</v>
      </c>
      <c r="Q80" s="155">
        <v>456</v>
      </c>
      <c r="R80" s="155" t="s">
        <v>269</v>
      </c>
      <c r="S80" s="155">
        <v>6.4883160000000002</v>
      </c>
      <c r="T80" s="155">
        <v>1.9114161095870692</v>
      </c>
      <c r="U80" s="155">
        <v>4.2472335000000001</v>
      </c>
      <c r="V80" s="155">
        <v>-25.898736854755978</v>
      </c>
      <c r="W80" s="155">
        <v>2.5310000000000001</v>
      </c>
      <c r="X80" s="143">
        <v>7.0035672500000006</v>
      </c>
      <c r="Y80" s="143">
        <v>1.9166458325792195</v>
      </c>
      <c r="Z80" s="143">
        <v>4.5470909062499993</v>
      </c>
      <c r="AA80" s="143">
        <v>-25.930204084925705</v>
      </c>
      <c r="AB80" s="143">
        <v>2.7513749999999999</v>
      </c>
      <c r="AC80" s="143">
        <v>2.7513749999999999</v>
      </c>
      <c r="AD80" s="144">
        <f t="shared" si="39"/>
        <v>1.1078465049364664E-2</v>
      </c>
      <c r="AE80" s="144">
        <f t="shared" si="40"/>
        <v>0.27839945661961657</v>
      </c>
      <c r="AF80" s="145">
        <f t="shared" si="41"/>
        <v>7.1880582035233537E-2</v>
      </c>
      <c r="AG80" s="145">
        <f t="shared" si="42"/>
        <v>1.1824274985366323</v>
      </c>
      <c r="AH80" s="146">
        <f t="shared" si="43"/>
        <v>2.8400071922257419</v>
      </c>
      <c r="AI80" s="146">
        <f t="shared" si="44"/>
        <v>46.717799231000875</v>
      </c>
      <c r="AJ80" s="147">
        <f t="shared" si="45"/>
        <v>16.449887647780098</v>
      </c>
      <c r="AK80" s="148">
        <f t="shared" si="38"/>
        <v>1.9747702770078497</v>
      </c>
      <c r="AL80" s="148">
        <f t="shared" si="46"/>
        <v>-25.998532769830273</v>
      </c>
      <c r="AM80" s="149">
        <v>0.36599999999999999</v>
      </c>
      <c r="AN80" s="150">
        <f t="shared" si="47"/>
        <v>1.9747702770078497</v>
      </c>
      <c r="AO80" s="151">
        <f t="shared" si="48"/>
        <v>0.36697426419867396</v>
      </c>
      <c r="AP80" s="152">
        <f t="shared" si="49"/>
        <v>9.7426419867396863E-4</v>
      </c>
      <c r="AQ80" s="152">
        <f t="shared" si="50"/>
        <v>28.400071922257421</v>
      </c>
      <c r="AR80" s="153">
        <f t="shared" si="51"/>
        <v>0.27669173313621204</v>
      </c>
      <c r="AS80" s="153">
        <f t="shared" si="52"/>
        <v>9.7426419867396863</v>
      </c>
      <c r="AT80" s="149">
        <v>1.077</v>
      </c>
      <c r="AU80" s="150">
        <f t="shared" si="53"/>
        <v>-25.998532769830273</v>
      </c>
      <c r="AV80" s="150">
        <f t="shared" si="54"/>
        <v>1.0826361535631406</v>
      </c>
      <c r="AW80" s="154">
        <f t="shared" si="55"/>
        <v>5.6361535631406223E-3</v>
      </c>
      <c r="AX80" s="154">
        <f t="shared" si="56"/>
        <v>467.17799231000873</v>
      </c>
      <c r="AY80" s="154">
        <f t="shared" si="57"/>
        <v>26.330869059789382</v>
      </c>
      <c r="AZ80" s="154">
        <f t="shared" si="58"/>
        <v>56.361535631406227</v>
      </c>
    </row>
    <row r="81" spans="1:52" ht="18" x14ac:dyDescent="0.25">
      <c r="A81" s="104">
        <v>75</v>
      </c>
      <c r="B81">
        <v>2</v>
      </c>
      <c r="C81" t="s">
        <v>463</v>
      </c>
      <c r="D81" t="s">
        <v>36</v>
      </c>
      <c r="E81" t="s">
        <v>468</v>
      </c>
      <c r="F81">
        <v>1</v>
      </c>
      <c r="G81" t="s">
        <v>123</v>
      </c>
      <c r="H81">
        <v>3.206</v>
      </c>
      <c r="Q81" s="141">
        <v>457</v>
      </c>
      <c r="R81" s="141" t="s">
        <v>270</v>
      </c>
      <c r="S81" s="141">
        <v>6.4253194999999996</v>
      </c>
      <c r="T81" s="141">
        <v>38.906776202400962</v>
      </c>
      <c r="U81" s="141">
        <v>4.9644535000000003</v>
      </c>
      <c r="V81" s="141">
        <v>-30.050641504134347</v>
      </c>
      <c r="W81" s="142">
        <v>3.206</v>
      </c>
      <c r="X81" s="143">
        <v>7.0035672500000006</v>
      </c>
      <c r="Y81" s="143">
        <v>1.9166458325792195</v>
      </c>
      <c r="Z81" s="143">
        <v>4.5470909062499993</v>
      </c>
      <c r="AA81" s="143">
        <v>-25.930204084925705</v>
      </c>
      <c r="AB81" s="143">
        <v>2.7513749999999999</v>
      </c>
      <c r="AC81" s="143">
        <v>2.7513749999999999</v>
      </c>
      <c r="AD81" s="144">
        <f t="shared" si="39"/>
        <v>1.1078465049364664E-2</v>
      </c>
      <c r="AE81" s="144">
        <f t="shared" si="40"/>
        <v>0.27839945661961657</v>
      </c>
      <c r="AF81" s="145">
        <f t="shared" si="41"/>
        <v>7.1182677511751238E-2</v>
      </c>
      <c r="AG81" s="145">
        <f t="shared" si="42"/>
        <v>1.3821011568133537</v>
      </c>
      <c r="AH81" s="146">
        <f t="shared" si="43"/>
        <v>2.2202956179585542</v>
      </c>
      <c r="AI81" s="146">
        <f t="shared" si="44"/>
        <v>43.109830218757132</v>
      </c>
      <c r="AJ81" s="147">
        <f t="shared" si="45"/>
        <v>19.416256947979914</v>
      </c>
      <c r="AK81" s="148">
        <f t="shared" si="38"/>
        <v>38.970130369821746</v>
      </c>
      <c r="AL81" s="148">
        <f t="shared" si="46"/>
        <v>-30.150437419208643</v>
      </c>
      <c r="AM81" s="149">
        <v>0.36599999999999999</v>
      </c>
      <c r="AN81" s="150">
        <f t="shared" si="47"/>
        <v>38.970130369821746</v>
      </c>
      <c r="AO81" s="151">
        <f t="shared" si="48"/>
        <v>0.38047229949640055</v>
      </c>
      <c r="AP81" s="152">
        <f t="shared" si="49"/>
        <v>1.4472299496400554E-2</v>
      </c>
      <c r="AQ81" s="152">
        <f t="shared" si="50"/>
        <v>22.202956179585545</v>
      </c>
      <c r="AR81" s="153">
        <f t="shared" si="51"/>
        <v>3.2132783153641942</v>
      </c>
      <c r="AS81" s="153">
        <f t="shared" si="52"/>
        <v>144.72299496400552</v>
      </c>
      <c r="AT81" s="149">
        <v>1.077</v>
      </c>
      <c r="AU81" s="150">
        <f t="shared" si="53"/>
        <v>-30.150437419208643</v>
      </c>
      <c r="AV81" s="150">
        <f t="shared" si="54"/>
        <v>1.0780709214574127</v>
      </c>
      <c r="AW81" s="154">
        <f t="shared" si="55"/>
        <v>1.0709214574127213E-3</v>
      </c>
      <c r="AX81" s="154">
        <f t="shared" si="56"/>
        <v>431.09830218757133</v>
      </c>
      <c r="AY81" s="154">
        <f t="shared" si="57"/>
        <v>4.6167242206686359</v>
      </c>
      <c r="AZ81" s="154">
        <f t="shared" si="58"/>
        <v>10.709214574127213</v>
      </c>
    </row>
    <row r="82" spans="1:52" ht="18" x14ac:dyDescent="0.25">
      <c r="A82" s="104">
        <v>76</v>
      </c>
      <c r="B82">
        <v>2</v>
      </c>
      <c r="C82" t="s">
        <v>464</v>
      </c>
      <c r="D82" t="s">
        <v>52</v>
      </c>
      <c r="E82" t="s">
        <v>468</v>
      </c>
      <c r="F82">
        <v>1</v>
      </c>
      <c r="G82" t="s">
        <v>124</v>
      </c>
      <c r="H82">
        <v>3.8250000000000002</v>
      </c>
      <c r="Q82" s="155">
        <v>458</v>
      </c>
      <c r="R82" s="155" t="s">
        <v>271</v>
      </c>
      <c r="S82" s="155">
        <v>5.9178410000000001</v>
      </c>
      <c r="T82" s="155">
        <v>19.185260629761835</v>
      </c>
      <c r="U82" s="155">
        <v>6.0029155000000003</v>
      </c>
      <c r="V82" s="155">
        <v>-28.981035813434325</v>
      </c>
      <c r="W82" s="142">
        <v>3.8250000000000002</v>
      </c>
      <c r="X82" s="143">
        <v>7.0035672500000006</v>
      </c>
      <c r="Y82" s="143">
        <v>1.9166458325792195</v>
      </c>
      <c r="Z82" s="143">
        <v>4.5470909062499993</v>
      </c>
      <c r="AA82" s="143">
        <v>-25.930204084925705</v>
      </c>
      <c r="AB82" s="143">
        <v>2.7513749999999999</v>
      </c>
      <c r="AC82" s="143">
        <v>2.7513749999999999</v>
      </c>
      <c r="AD82" s="144">
        <f t="shared" si="39"/>
        <v>1.1078465049364664E-2</v>
      </c>
      <c r="AE82" s="144">
        <f t="shared" si="40"/>
        <v>0.27839945661961657</v>
      </c>
      <c r="AF82" s="145">
        <f t="shared" si="41"/>
        <v>6.5560594686197238E-2</v>
      </c>
      <c r="AG82" s="145">
        <f t="shared" si="42"/>
        <v>1.6712084133334739</v>
      </c>
      <c r="AH82" s="146">
        <f t="shared" si="43"/>
        <v>1.7140024754561369</v>
      </c>
      <c r="AI82" s="146">
        <f t="shared" si="44"/>
        <v>43.691723224404541</v>
      </c>
      <c r="AJ82" s="147">
        <f t="shared" si="45"/>
        <v>25.491050246457281</v>
      </c>
      <c r="AK82" s="148">
        <f t="shared" si="38"/>
        <v>19.248614797182615</v>
      </c>
      <c r="AL82" s="148">
        <f t="shared" si="46"/>
        <v>-29.08083172850862</v>
      </c>
      <c r="AM82" s="149">
        <v>0.36599999999999999</v>
      </c>
      <c r="AN82" s="150">
        <f t="shared" si="47"/>
        <v>19.248614797182615</v>
      </c>
      <c r="AO82" s="151">
        <f t="shared" si="48"/>
        <v>0.3732772114555491</v>
      </c>
      <c r="AP82" s="152">
        <f t="shared" si="49"/>
        <v>7.2772114555491041E-3</v>
      </c>
      <c r="AQ82" s="152">
        <f t="shared" si="50"/>
        <v>17.14002475456137</v>
      </c>
      <c r="AR82" s="153">
        <f t="shared" si="51"/>
        <v>1.2473158449228923</v>
      </c>
      <c r="AS82" s="153">
        <f t="shared" si="52"/>
        <v>72.772114555491044</v>
      </c>
      <c r="AT82" s="149">
        <v>1.077</v>
      </c>
      <c r="AU82" s="150">
        <f t="shared" si="53"/>
        <v>-29.08083172850862</v>
      </c>
      <c r="AV82" s="150">
        <f t="shared" si="54"/>
        <v>1.079247048067548</v>
      </c>
      <c r="AW82" s="154">
        <f t="shared" si="55"/>
        <v>2.247048067548052E-3</v>
      </c>
      <c r="AX82" s="154">
        <f t="shared" si="56"/>
        <v>436.91723224404541</v>
      </c>
      <c r="AY82" s="154">
        <f t="shared" si="57"/>
        <v>9.8177402239242557</v>
      </c>
      <c r="AZ82" s="154">
        <f t="shared" si="58"/>
        <v>22.47048067548052</v>
      </c>
    </row>
    <row r="83" spans="1:52" ht="18" x14ac:dyDescent="0.25">
      <c r="A83" s="104">
        <v>77</v>
      </c>
      <c r="B83">
        <v>2</v>
      </c>
      <c r="C83" t="s">
        <v>460</v>
      </c>
      <c r="D83" t="s">
        <v>40</v>
      </c>
      <c r="E83" t="s">
        <v>470</v>
      </c>
      <c r="F83">
        <v>1</v>
      </c>
      <c r="G83" t="s">
        <v>125</v>
      </c>
      <c r="H83">
        <v>3.3239999999999998</v>
      </c>
      <c r="Q83" s="141">
        <v>459</v>
      </c>
      <c r="R83" s="141" t="s">
        <v>272</v>
      </c>
      <c r="S83" s="141">
        <v>4.6279180000000002</v>
      </c>
      <c r="T83" s="141">
        <v>-4.6489983369431744</v>
      </c>
      <c r="U83" s="141">
        <v>5.2701229999999999</v>
      </c>
      <c r="V83" s="141">
        <v>-30.582341749163927</v>
      </c>
      <c r="W83" s="142">
        <v>3.3239999999999998</v>
      </c>
      <c r="X83" s="143">
        <v>7.0035672500000006</v>
      </c>
      <c r="Y83" s="143">
        <v>1.9166458325792195</v>
      </c>
      <c r="Z83" s="143">
        <v>4.5470909062499993</v>
      </c>
      <c r="AA83" s="143">
        <v>-25.930204084925705</v>
      </c>
      <c r="AB83" s="143">
        <v>2.7513749999999999</v>
      </c>
      <c r="AC83" s="143">
        <v>2.7513749999999999</v>
      </c>
      <c r="AD83" s="144">
        <f t="shared" si="39"/>
        <v>1.1078465049364664E-2</v>
      </c>
      <c r="AE83" s="144">
        <f t="shared" si="40"/>
        <v>0.27839945661961657</v>
      </c>
      <c r="AF83" s="145">
        <f t="shared" si="41"/>
        <v>5.1270227814325622E-2</v>
      </c>
      <c r="AG83" s="145">
        <f t="shared" si="42"/>
        <v>1.4671993795185434</v>
      </c>
      <c r="AH83" s="146">
        <f t="shared" si="43"/>
        <v>1.5424256261830813</v>
      </c>
      <c r="AI83" s="146">
        <f t="shared" si="44"/>
        <v>44.139572187681814</v>
      </c>
      <c r="AJ83" s="147">
        <f t="shared" si="45"/>
        <v>28.616985764759704</v>
      </c>
      <c r="AK83" s="148">
        <f t="shared" si="38"/>
        <v>-4.5856441695223937</v>
      </c>
      <c r="AL83" s="148">
        <f t="shared" si="46"/>
        <v>-30.682137664238223</v>
      </c>
      <c r="AM83" s="149">
        <v>0.36599999999999999</v>
      </c>
      <c r="AN83" s="150">
        <f t="shared" si="47"/>
        <v>-4.5856441695223937</v>
      </c>
      <c r="AO83" s="151">
        <f t="shared" si="48"/>
        <v>0.36458026581297609</v>
      </c>
      <c r="AP83" s="152">
        <f t="shared" si="49"/>
        <v>-1.4197341870239022E-3</v>
      </c>
      <c r="AQ83" s="152">
        <f t="shared" si="50"/>
        <v>15.424256261830813</v>
      </c>
      <c r="AR83" s="153">
        <f t="shared" si="51"/>
        <v>-0.21898343924338701</v>
      </c>
      <c r="AS83" s="153">
        <f t="shared" si="52"/>
        <v>-14.197341870239022</v>
      </c>
      <c r="AT83" s="149">
        <v>1.077</v>
      </c>
      <c r="AU83" s="150">
        <f t="shared" si="53"/>
        <v>-30.682137664238223</v>
      </c>
      <c r="AV83" s="150">
        <f t="shared" si="54"/>
        <v>1.0774862593306109</v>
      </c>
      <c r="AW83" s="154">
        <f t="shared" si="55"/>
        <v>4.8625933061097193E-4</v>
      </c>
      <c r="AX83" s="154">
        <f t="shared" si="56"/>
        <v>441.39572187681813</v>
      </c>
      <c r="AY83" s="154">
        <f t="shared" si="57"/>
        <v>2.1463278825436833</v>
      </c>
      <c r="AZ83" s="154">
        <f t="shared" si="58"/>
        <v>4.8625933061097193</v>
      </c>
    </row>
    <row r="84" spans="1:52" ht="18" x14ac:dyDescent="0.25">
      <c r="A84" s="104">
        <v>78</v>
      </c>
      <c r="B84">
        <v>2</v>
      </c>
      <c r="C84" t="s">
        <v>461</v>
      </c>
      <c r="D84" t="s">
        <v>44</v>
      </c>
      <c r="E84" t="s">
        <v>470</v>
      </c>
      <c r="F84">
        <v>1</v>
      </c>
      <c r="G84" t="s">
        <v>98</v>
      </c>
      <c r="H84">
        <v>3.9740000000000002</v>
      </c>
      <c r="Q84" s="155">
        <v>460</v>
      </c>
      <c r="R84" s="155" t="s">
        <v>273</v>
      </c>
      <c r="S84" s="155">
        <v>6.3878959999999996</v>
      </c>
      <c r="T84" s="155">
        <v>-3.6863277856110486</v>
      </c>
      <c r="U84" s="155">
        <v>6.0153559999999997</v>
      </c>
      <c r="V84" s="155">
        <v>-29.675282024292589</v>
      </c>
      <c r="W84" s="142">
        <v>3.9740000000000002</v>
      </c>
      <c r="X84" s="143">
        <v>7.0035672500000006</v>
      </c>
      <c r="Y84" s="143">
        <v>1.9166458325792195</v>
      </c>
      <c r="Z84" s="143">
        <v>4.5470909062499993</v>
      </c>
      <c r="AA84" s="143">
        <v>-25.930204084925705</v>
      </c>
      <c r="AB84" s="143">
        <v>2.7513749999999999</v>
      </c>
      <c r="AC84" s="143">
        <v>2.7513749999999999</v>
      </c>
      <c r="AD84" s="144">
        <f t="shared" si="39"/>
        <v>1.1078465049364664E-2</v>
      </c>
      <c r="AE84" s="144">
        <f t="shared" si="40"/>
        <v>0.27839945661961657</v>
      </c>
      <c r="AF84" s="145">
        <f t="shared" si="41"/>
        <v>7.076808257497634E-2</v>
      </c>
      <c r="AG84" s="145">
        <f t="shared" si="42"/>
        <v>1.6746718417735502</v>
      </c>
      <c r="AH84" s="146">
        <f t="shared" si="43"/>
        <v>1.7807771156259771</v>
      </c>
      <c r="AI84" s="146">
        <f t="shared" si="44"/>
        <v>42.140710663652492</v>
      </c>
      <c r="AJ84" s="147">
        <f t="shared" si="45"/>
        <v>23.66422518229589</v>
      </c>
      <c r="AK84" s="148">
        <f t="shared" si="38"/>
        <v>-3.6229736181902679</v>
      </c>
      <c r="AL84" s="148">
        <f t="shared" si="46"/>
        <v>-29.775077939366884</v>
      </c>
      <c r="AM84" s="149">
        <v>0.36599999999999999</v>
      </c>
      <c r="AN84" s="150">
        <f t="shared" si="47"/>
        <v>-3.6229736181902679</v>
      </c>
      <c r="AO84" s="151">
        <f t="shared" si="48"/>
        <v>0.36493156663622189</v>
      </c>
      <c r="AP84" s="152">
        <f t="shared" si="49"/>
        <v>-1.0684333637780985E-3</v>
      </c>
      <c r="AQ84" s="152">
        <f t="shared" si="50"/>
        <v>17.807771156259768</v>
      </c>
      <c r="AR84" s="153">
        <f t="shared" si="51"/>
        <v>-0.19026416837873222</v>
      </c>
      <c r="AS84" s="153">
        <f t="shared" si="52"/>
        <v>-10.684333637780984</v>
      </c>
      <c r="AT84" s="149">
        <v>1.077</v>
      </c>
      <c r="AU84" s="150">
        <f t="shared" si="53"/>
        <v>-29.775077939366884</v>
      </c>
      <c r="AV84" s="150">
        <f t="shared" si="54"/>
        <v>1.0784836657830286</v>
      </c>
      <c r="AW84" s="154">
        <f t="shared" si="55"/>
        <v>1.4836657830286093E-3</v>
      </c>
      <c r="AX84" s="154">
        <f t="shared" si="56"/>
        <v>421.40710663652493</v>
      </c>
      <c r="AY84" s="154">
        <f t="shared" si="57"/>
        <v>6.2522730484170044</v>
      </c>
      <c r="AZ84" s="154">
        <f t="shared" si="58"/>
        <v>14.836657830286093</v>
      </c>
    </row>
    <row r="85" spans="1:52" ht="18" x14ac:dyDescent="0.25">
      <c r="A85" s="104">
        <v>79</v>
      </c>
      <c r="B85">
        <v>2</v>
      </c>
      <c r="C85" t="s">
        <v>462</v>
      </c>
      <c r="D85" t="s">
        <v>48</v>
      </c>
      <c r="E85" t="s">
        <v>470</v>
      </c>
      <c r="F85">
        <v>1</v>
      </c>
      <c r="G85" t="s">
        <v>99</v>
      </c>
      <c r="H85">
        <v>3.8690000000000002</v>
      </c>
      <c r="Q85" s="141">
        <v>461</v>
      </c>
      <c r="R85" s="141" t="s">
        <v>274</v>
      </c>
      <c r="S85" s="141">
        <v>4.7365149999999998</v>
      </c>
      <c r="T85" s="141">
        <v>17.695131143050929</v>
      </c>
      <c r="U85" s="141">
        <v>5.9666975000000004</v>
      </c>
      <c r="V85" s="141">
        <v>-29.889148655696808</v>
      </c>
      <c r="W85" s="142">
        <v>3.8690000000000002</v>
      </c>
      <c r="X85" s="143">
        <v>7.0035672500000006</v>
      </c>
      <c r="Y85" s="143">
        <v>1.9166458325792195</v>
      </c>
      <c r="Z85" s="143">
        <v>4.5470909062499993</v>
      </c>
      <c r="AA85" s="143">
        <v>-25.930204084925705</v>
      </c>
      <c r="AB85" s="143">
        <v>2.7513749999999999</v>
      </c>
      <c r="AC85" s="143">
        <v>2.7513749999999999</v>
      </c>
      <c r="AD85" s="144">
        <f t="shared" si="39"/>
        <v>1.1078465049364664E-2</v>
      </c>
      <c r="AE85" s="144">
        <f t="shared" si="40"/>
        <v>0.27839945661961657</v>
      </c>
      <c r="AF85" s="145">
        <f t="shared" si="41"/>
        <v>5.2473315883291467E-2</v>
      </c>
      <c r="AG85" s="145">
        <f t="shared" si="42"/>
        <v>1.6611253418136247</v>
      </c>
      <c r="AH85" s="146">
        <f t="shared" si="43"/>
        <v>1.3562500874461481</v>
      </c>
      <c r="AI85" s="146">
        <f t="shared" si="44"/>
        <v>42.934229563546772</v>
      </c>
      <c r="AJ85" s="147">
        <f t="shared" si="45"/>
        <v>31.656572752295983</v>
      </c>
      <c r="AK85" s="148">
        <f t="shared" si="38"/>
        <v>17.758485310471709</v>
      </c>
      <c r="AL85" s="148">
        <f t="shared" si="46"/>
        <v>-29.988944570771103</v>
      </c>
      <c r="AM85" s="149">
        <v>0.36599999999999999</v>
      </c>
      <c r="AN85" s="150">
        <f t="shared" si="47"/>
        <v>17.758485310471709</v>
      </c>
      <c r="AO85" s="151">
        <f t="shared" si="48"/>
        <v>0.37273351866983495</v>
      </c>
      <c r="AP85" s="152">
        <f t="shared" si="49"/>
        <v>6.7335186698349592E-3</v>
      </c>
      <c r="AQ85" s="152">
        <f t="shared" si="50"/>
        <v>13.562500874461481</v>
      </c>
      <c r="AR85" s="153">
        <f t="shared" si="51"/>
        <v>0.91323352847839334</v>
      </c>
      <c r="AS85" s="153">
        <f t="shared" si="52"/>
        <v>67.335186698349588</v>
      </c>
      <c r="AT85" s="149">
        <v>1.077</v>
      </c>
      <c r="AU85" s="150">
        <f t="shared" si="53"/>
        <v>-29.988944570771103</v>
      </c>
      <c r="AV85" s="150">
        <f t="shared" si="54"/>
        <v>1.0782484990033647</v>
      </c>
      <c r="AW85" s="154">
        <f t="shared" si="55"/>
        <v>1.2484990033647669E-3</v>
      </c>
      <c r="AX85" s="154">
        <f t="shared" si="56"/>
        <v>429.34229563546774</v>
      </c>
      <c r="AY85" s="154">
        <f t="shared" si="57"/>
        <v>5.3603342820322259</v>
      </c>
      <c r="AZ85" s="154">
        <f t="shared" si="58"/>
        <v>12.484990033647669</v>
      </c>
    </row>
    <row r="86" spans="1:52" ht="18" x14ac:dyDescent="0.25">
      <c r="A86" s="104">
        <v>81</v>
      </c>
      <c r="B86">
        <v>2</v>
      </c>
      <c r="C86" t="s">
        <v>464</v>
      </c>
      <c r="D86" t="s">
        <v>52</v>
      </c>
      <c r="E86" t="s">
        <v>470</v>
      </c>
      <c r="F86">
        <v>1</v>
      </c>
      <c r="G86" t="s">
        <v>100</v>
      </c>
      <c r="H86">
        <v>3.4279999999999999</v>
      </c>
      <c r="Q86" s="155">
        <v>462</v>
      </c>
      <c r="R86" s="155" t="s">
        <v>275</v>
      </c>
      <c r="S86" s="155">
        <v>4.7457039999999999</v>
      </c>
      <c r="T86" s="155">
        <v>-4.6223343366324334</v>
      </c>
      <c r="U86" s="155">
        <v>5.3786325000000001</v>
      </c>
      <c r="V86" s="155">
        <v>-30.393034305628689</v>
      </c>
      <c r="W86" s="142">
        <v>3.4279999999999999</v>
      </c>
      <c r="X86" s="143">
        <v>7.0035672500000006</v>
      </c>
      <c r="Y86" s="143">
        <v>1.9166458325792195</v>
      </c>
      <c r="Z86" s="143">
        <v>4.5470909062499993</v>
      </c>
      <c r="AA86" s="143">
        <v>-25.930204084925705</v>
      </c>
      <c r="AB86" s="143">
        <v>2.7513749999999999</v>
      </c>
      <c r="AC86" s="143">
        <v>2.7513749999999999</v>
      </c>
      <c r="AD86" s="144">
        <f t="shared" si="39"/>
        <v>1.1078465049364664E-2</v>
      </c>
      <c r="AE86" s="144">
        <f t="shared" si="40"/>
        <v>0.27839945661961657</v>
      </c>
      <c r="AF86" s="145">
        <f t="shared" si="41"/>
        <v>5.2575115898630086E-2</v>
      </c>
      <c r="AG86" s="145">
        <f t="shared" si="42"/>
        <v>1.4974083653566099</v>
      </c>
      <c r="AH86" s="146">
        <f t="shared" si="43"/>
        <v>1.5336964964594539</v>
      </c>
      <c r="AI86" s="146">
        <f t="shared" si="44"/>
        <v>43.681690938057471</v>
      </c>
      <c r="AJ86" s="147">
        <f t="shared" si="45"/>
        <v>28.481313635974825</v>
      </c>
      <c r="AK86" s="148">
        <f t="shared" si="38"/>
        <v>-4.5589801692116527</v>
      </c>
      <c r="AL86" s="148">
        <f t="shared" si="46"/>
        <v>-30.492830220702984</v>
      </c>
      <c r="AM86" s="149">
        <v>0.36599999999999999</v>
      </c>
      <c r="AN86" s="150">
        <f t="shared" si="47"/>
        <v>-4.5589801692116527</v>
      </c>
      <c r="AO86" s="151">
        <f t="shared" si="48"/>
        <v>0.36458999615879339</v>
      </c>
      <c r="AP86" s="152">
        <f t="shared" si="49"/>
        <v>-1.4100038412065974E-3</v>
      </c>
      <c r="AQ86" s="152">
        <f t="shared" si="50"/>
        <v>15.336964964594539</v>
      </c>
      <c r="AR86" s="153">
        <f t="shared" si="51"/>
        <v>-0.21625179512529308</v>
      </c>
      <c r="AS86" s="153">
        <f t="shared" si="52"/>
        <v>-14.100038412065974</v>
      </c>
      <c r="AT86" s="149">
        <v>1.077</v>
      </c>
      <c r="AU86" s="150">
        <f t="shared" si="53"/>
        <v>-30.492830220702984</v>
      </c>
      <c r="AV86" s="150">
        <f t="shared" si="54"/>
        <v>1.0776944242032875</v>
      </c>
      <c r="AW86" s="154">
        <f t="shared" si="55"/>
        <v>6.9442420328758026E-4</v>
      </c>
      <c r="AX86" s="154">
        <f t="shared" si="56"/>
        <v>436.81690938057471</v>
      </c>
      <c r="AY86" s="154">
        <f t="shared" si="57"/>
        <v>3.0333623427914875</v>
      </c>
      <c r="AZ86" s="154">
        <f t="shared" si="58"/>
        <v>6.9442420328758017</v>
      </c>
    </row>
    <row r="87" spans="1:52" ht="18" x14ac:dyDescent="0.25">
      <c r="A87" s="104">
        <v>82</v>
      </c>
      <c r="B87">
        <v>3</v>
      </c>
      <c r="C87" t="s">
        <v>456</v>
      </c>
      <c r="D87" t="s">
        <v>24</v>
      </c>
      <c r="E87" t="s">
        <v>457</v>
      </c>
      <c r="F87">
        <v>1</v>
      </c>
      <c r="G87" t="s">
        <v>101</v>
      </c>
      <c r="H87">
        <v>3.1680000000000001</v>
      </c>
      <c r="Q87" s="141">
        <v>463</v>
      </c>
      <c r="R87" s="141" t="s">
        <v>276</v>
      </c>
      <c r="S87" s="141">
        <v>6.2840315000000002</v>
      </c>
      <c r="T87" s="141">
        <v>1.5538093793697501</v>
      </c>
      <c r="U87" s="141">
        <v>4.0579487500000004</v>
      </c>
      <c r="V87" s="141">
        <v>-27.704953645882302</v>
      </c>
      <c r="W87" s="142">
        <v>3.1680000000000001</v>
      </c>
      <c r="X87" s="143">
        <v>7.0035672500000006</v>
      </c>
      <c r="Y87" s="143">
        <v>1.9166458325792195</v>
      </c>
      <c r="Z87" s="143">
        <v>4.5470909062499993</v>
      </c>
      <c r="AA87" s="143">
        <v>-25.930204084925705</v>
      </c>
      <c r="AB87" s="143">
        <v>2.7513749999999999</v>
      </c>
      <c r="AC87" s="143">
        <v>2.7513749999999999</v>
      </c>
      <c r="AD87" s="144">
        <f t="shared" si="39"/>
        <v>1.1078465049364664E-2</v>
      </c>
      <c r="AE87" s="144">
        <f t="shared" si="40"/>
        <v>0.27839945661961657</v>
      </c>
      <c r="AF87" s="145">
        <f t="shared" si="41"/>
        <v>6.961742334185661E-2</v>
      </c>
      <c r="AG87" s="145">
        <f t="shared" si="42"/>
        <v>1.1297307269902523</v>
      </c>
      <c r="AH87" s="146">
        <f t="shared" si="43"/>
        <v>2.1975196761949687</v>
      </c>
      <c r="AI87" s="146">
        <f t="shared" si="44"/>
        <v>35.660692139843825</v>
      </c>
      <c r="AJ87" s="147">
        <f t="shared" si="45"/>
        <v>16.227700951279186</v>
      </c>
      <c r="AK87" s="148">
        <f t="shared" si="38"/>
        <v>1.6171635467905305</v>
      </c>
      <c r="AL87" s="148">
        <f t="shared" si="46"/>
        <v>-27.804749560956598</v>
      </c>
      <c r="AM87" s="149">
        <v>0.36599999999999999</v>
      </c>
      <c r="AN87" s="150">
        <f t="shared" si="47"/>
        <v>1.6171635467905305</v>
      </c>
      <c r="AO87" s="151">
        <f t="shared" si="48"/>
        <v>0.36684377084450648</v>
      </c>
      <c r="AP87" s="152">
        <f t="shared" si="49"/>
        <v>8.4377084450648621E-4</v>
      </c>
      <c r="AQ87" s="152">
        <f t="shared" si="50"/>
        <v>21.975196761949686</v>
      </c>
      <c r="AR87" s="153">
        <f t="shared" si="51"/>
        <v>0.1854203033002649</v>
      </c>
      <c r="AS87" s="153">
        <f t="shared" si="52"/>
        <v>8.4377084450648621</v>
      </c>
      <c r="AT87" s="149">
        <v>1.077</v>
      </c>
      <c r="AU87" s="150">
        <f t="shared" si="53"/>
        <v>-27.804749560956598</v>
      </c>
      <c r="AV87" s="150">
        <f t="shared" si="54"/>
        <v>1.0806501773466821</v>
      </c>
      <c r="AW87" s="154">
        <f t="shared" si="55"/>
        <v>3.6501773466821597E-3</v>
      </c>
      <c r="AX87" s="154">
        <f t="shared" si="56"/>
        <v>356.60692139843826</v>
      </c>
      <c r="AY87" s="154">
        <f t="shared" si="57"/>
        <v>13.016785061586448</v>
      </c>
      <c r="AZ87" s="154">
        <f t="shared" si="58"/>
        <v>36.501773466821597</v>
      </c>
    </row>
    <row r="88" spans="1:52" ht="18" x14ac:dyDescent="0.25">
      <c r="A88" s="104">
        <v>83</v>
      </c>
      <c r="B88">
        <v>3</v>
      </c>
      <c r="C88" t="s">
        <v>458</v>
      </c>
      <c r="D88" t="s">
        <v>28</v>
      </c>
      <c r="E88" t="s">
        <v>457</v>
      </c>
      <c r="F88">
        <v>1</v>
      </c>
      <c r="G88" t="s">
        <v>102</v>
      </c>
      <c r="H88">
        <v>3.4590000000000001</v>
      </c>
      <c r="Q88" s="155">
        <v>464</v>
      </c>
      <c r="R88" s="155" t="s">
        <v>277</v>
      </c>
      <c r="S88" s="155">
        <v>6.8136479999999997</v>
      </c>
      <c r="T88" s="155">
        <v>2.3143891419634492</v>
      </c>
      <c r="U88" s="155">
        <v>4.4846285000000004</v>
      </c>
      <c r="V88" s="155">
        <v>-27.349748505111783</v>
      </c>
      <c r="W88" s="142">
        <v>3.4590000000000001</v>
      </c>
      <c r="X88" s="143">
        <v>7.0035672500000006</v>
      </c>
      <c r="Y88" s="143">
        <v>1.9166458325792195</v>
      </c>
      <c r="Z88" s="143">
        <v>4.5470909062499993</v>
      </c>
      <c r="AA88" s="143">
        <v>-25.930204084925705</v>
      </c>
      <c r="AB88" s="143">
        <v>2.7513749999999999</v>
      </c>
      <c r="AC88" s="143">
        <v>2.7513749999999999</v>
      </c>
      <c r="AD88" s="144">
        <f t="shared" si="39"/>
        <v>1.1078465049364664E-2</v>
      </c>
      <c r="AE88" s="144">
        <f t="shared" si="40"/>
        <v>0.27839945661961657</v>
      </c>
      <c r="AF88" s="145">
        <f t="shared" si="41"/>
        <v>7.5484761226673441E-2</v>
      </c>
      <c r="AG88" s="145">
        <f t="shared" si="42"/>
        <v>1.2485181375408463</v>
      </c>
      <c r="AH88" s="146">
        <f t="shared" si="43"/>
        <v>2.1822712121038865</v>
      </c>
      <c r="AI88" s="146">
        <f t="shared" si="44"/>
        <v>36.094771250096741</v>
      </c>
      <c r="AJ88" s="147">
        <f t="shared" si="45"/>
        <v>16.540002475356147</v>
      </c>
      <c r="AK88" s="148">
        <f t="shared" si="38"/>
        <v>2.37774330938423</v>
      </c>
      <c r="AL88" s="148">
        <f t="shared" si="46"/>
        <v>-27.449544420186079</v>
      </c>
      <c r="AM88" s="149">
        <v>0.36599999999999999</v>
      </c>
      <c r="AN88" s="150">
        <f t="shared" si="47"/>
        <v>2.37774330938423</v>
      </c>
      <c r="AO88" s="151">
        <f t="shared" si="48"/>
        <v>0.36712131164411443</v>
      </c>
      <c r="AP88" s="152">
        <f t="shared" si="49"/>
        <v>1.1213116441144422E-3</v>
      </c>
      <c r="AQ88" s="152">
        <f t="shared" si="50"/>
        <v>21.822712121038865</v>
      </c>
      <c r="AR88" s="153">
        <f t="shared" si="51"/>
        <v>0.24470061207478255</v>
      </c>
      <c r="AS88" s="153">
        <f t="shared" si="52"/>
        <v>11.213116441144422</v>
      </c>
      <c r="AT88" s="149">
        <v>1.077</v>
      </c>
      <c r="AU88" s="150">
        <f t="shared" si="53"/>
        <v>-27.449544420186079</v>
      </c>
      <c r="AV88" s="150">
        <f t="shared" si="54"/>
        <v>1.0810407397324875</v>
      </c>
      <c r="AW88" s="154">
        <f t="shared" si="55"/>
        <v>4.0407397324875305E-3</v>
      </c>
      <c r="AX88" s="154">
        <f t="shared" si="56"/>
        <v>360.94771250096738</v>
      </c>
      <c r="AY88" s="154">
        <f t="shared" si="57"/>
        <v>14.58495763253145</v>
      </c>
      <c r="AZ88" s="154">
        <f t="shared" si="58"/>
        <v>40.407397324875305</v>
      </c>
    </row>
    <row r="89" spans="1:52" ht="18" x14ac:dyDescent="0.25">
      <c r="A89" s="104">
        <v>84</v>
      </c>
      <c r="B89">
        <v>3</v>
      </c>
      <c r="C89" t="s">
        <v>459</v>
      </c>
      <c r="D89" t="s">
        <v>32</v>
      </c>
      <c r="E89" t="s">
        <v>457</v>
      </c>
      <c r="F89">
        <v>1</v>
      </c>
      <c r="G89" t="s">
        <v>103</v>
      </c>
      <c r="H89">
        <v>3.3119999999999998</v>
      </c>
      <c r="Q89" s="141">
        <v>465</v>
      </c>
      <c r="R89" s="141" t="s">
        <v>278</v>
      </c>
      <c r="S89" s="141">
        <v>6.7798354999999999</v>
      </c>
      <c r="T89" s="141">
        <v>19.194291482849586</v>
      </c>
      <c r="U89" s="141">
        <v>4.3232865</v>
      </c>
      <c r="V89" s="141">
        <v>-25.803275119618924</v>
      </c>
      <c r="W89" s="142">
        <v>3.3119999999999998</v>
      </c>
      <c r="X89" s="143">
        <v>7.0035672500000006</v>
      </c>
      <c r="Y89" s="143">
        <v>1.9166458325792195</v>
      </c>
      <c r="Z89" s="143">
        <v>4.5470909062499993</v>
      </c>
      <c r="AA89" s="143">
        <v>-25.930204084925705</v>
      </c>
      <c r="AB89" s="143">
        <v>2.7513749999999999</v>
      </c>
      <c r="AC89" s="143">
        <v>2.7513749999999999</v>
      </c>
      <c r="AD89" s="144">
        <f t="shared" si="39"/>
        <v>1.1078465049364664E-2</v>
      </c>
      <c r="AE89" s="144">
        <f t="shared" si="40"/>
        <v>0.27839945661961657</v>
      </c>
      <c r="AF89" s="145">
        <f t="shared" si="41"/>
        <v>7.5110170627191802E-2</v>
      </c>
      <c r="AG89" s="145">
        <f t="shared" si="42"/>
        <v>1.203600612410924</v>
      </c>
      <c r="AH89" s="146">
        <f t="shared" si="43"/>
        <v>2.2678191614490277</v>
      </c>
      <c r="AI89" s="146">
        <f t="shared" si="44"/>
        <v>36.34059820081292</v>
      </c>
      <c r="AJ89" s="147">
        <f t="shared" si="45"/>
        <v>16.024469154583304</v>
      </c>
      <c r="AK89" s="148">
        <f t="shared" si="38"/>
        <v>19.257645650270366</v>
      </c>
      <c r="AL89" s="148">
        <f t="shared" si="46"/>
        <v>-25.90307103469322</v>
      </c>
      <c r="AM89" s="149">
        <v>0.36599999999999999</v>
      </c>
      <c r="AN89" s="150">
        <f t="shared" si="47"/>
        <v>19.257645650270366</v>
      </c>
      <c r="AO89" s="151">
        <f t="shared" si="48"/>
        <v>0.37328050645961347</v>
      </c>
      <c r="AP89" s="152">
        <f t="shared" si="49"/>
        <v>7.2805064596134783E-3</v>
      </c>
      <c r="AQ89" s="152">
        <f t="shared" si="50"/>
        <v>22.678191614490277</v>
      </c>
      <c r="AR89" s="153">
        <f t="shared" si="51"/>
        <v>1.6510872054164869</v>
      </c>
      <c r="AS89" s="153">
        <f t="shared" si="52"/>
        <v>72.805064596134784</v>
      </c>
      <c r="AT89" s="149">
        <v>1.077</v>
      </c>
      <c r="AU89" s="150">
        <f t="shared" si="53"/>
        <v>-25.90307103469322</v>
      </c>
      <c r="AV89" s="150">
        <f t="shared" si="54"/>
        <v>1.0827411136814902</v>
      </c>
      <c r="AW89" s="154">
        <f t="shared" si="55"/>
        <v>5.7411136814902175E-3</v>
      </c>
      <c r="AX89" s="154">
        <f t="shared" si="56"/>
        <v>363.40598200812917</v>
      </c>
      <c r="AY89" s="154">
        <f t="shared" si="57"/>
        <v>20.863550552422581</v>
      </c>
      <c r="AZ89" s="154">
        <f t="shared" si="58"/>
        <v>57.411136814902179</v>
      </c>
    </row>
    <row r="90" spans="1:52" ht="18" x14ac:dyDescent="0.25">
      <c r="A90" s="104">
        <v>85</v>
      </c>
      <c r="B90">
        <v>3</v>
      </c>
      <c r="C90" t="s">
        <v>460</v>
      </c>
      <c r="D90" t="s">
        <v>52</v>
      </c>
      <c r="E90" t="s">
        <v>457</v>
      </c>
      <c r="F90">
        <v>1</v>
      </c>
      <c r="G90" t="s">
        <v>104</v>
      </c>
      <c r="H90">
        <v>3.3730000000000002</v>
      </c>
      <c r="Q90" s="155">
        <v>466</v>
      </c>
      <c r="R90" s="155" t="s">
        <v>279</v>
      </c>
      <c r="S90" s="155">
        <v>7.343445</v>
      </c>
      <c r="T90" s="155">
        <v>8.7469203473076345</v>
      </c>
      <c r="U90" s="155">
        <v>4.2367774999999996</v>
      </c>
      <c r="V90" s="155">
        <v>-26.193459724372296</v>
      </c>
      <c r="W90" s="142">
        <v>3.3730000000000002</v>
      </c>
      <c r="X90" s="143">
        <v>7.0035672500000006</v>
      </c>
      <c r="Y90" s="143">
        <v>1.9166458325792195</v>
      </c>
      <c r="Z90" s="143">
        <v>4.5470909062499993</v>
      </c>
      <c r="AA90" s="143">
        <v>-25.930204084925705</v>
      </c>
      <c r="AB90" s="143">
        <v>2.7513749999999999</v>
      </c>
      <c r="AC90" s="143">
        <v>2.7513749999999999</v>
      </c>
      <c r="AD90" s="144">
        <f t="shared" si="39"/>
        <v>1.1078465049364664E-2</v>
      </c>
      <c r="AE90" s="144">
        <f t="shared" si="40"/>
        <v>0.27839945661961657</v>
      </c>
      <c r="AF90" s="145">
        <f t="shared" si="41"/>
        <v>8.1354098774431699E-2</v>
      </c>
      <c r="AG90" s="145">
        <f t="shared" si="42"/>
        <v>1.1795165538182175</v>
      </c>
      <c r="AH90" s="146">
        <f t="shared" si="43"/>
        <v>2.4119211021177493</v>
      </c>
      <c r="AI90" s="146">
        <f t="shared" si="44"/>
        <v>34.969361216075228</v>
      </c>
      <c r="AJ90" s="147">
        <f t="shared" si="45"/>
        <v>14.498551045210776</v>
      </c>
      <c r="AK90" s="148">
        <f t="shared" si="38"/>
        <v>8.8102745147284143</v>
      </c>
      <c r="AL90" s="148">
        <f t="shared" si="46"/>
        <v>-26.293255639446592</v>
      </c>
      <c r="AM90" s="149">
        <v>0.36599999999999999</v>
      </c>
      <c r="AN90" s="150">
        <f t="shared" si="47"/>
        <v>8.8102745147284143</v>
      </c>
      <c r="AO90" s="151">
        <f t="shared" si="48"/>
        <v>0.36946852479654751</v>
      </c>
      <c r="AP90" s="152">
        <f t="shared" si="49"/>
        <v>3.468524796547523E-3</v>
      </c>
      <c r="AQ90" s="152">
        <f t="shared" si="50"/>
        <v>24.119211021177492</v>
      </c>
      <c r="AR90" s="153">
        <f t="shared" si="51"/>
        <v>0.83658081500116444</v>
      </c>
      <c r="AS90" s="153">
        <f t="shared" si="52"/>
        <v>34.685247965475227</v>
      </c>
      <c r="AT90" s="149">
        <v>1.077</v>
      </c>
      <c r="AU90" s="150">
        <f t="shared" si="53"/>
        <v>-26.293255639446592</v>
      </c>
      <c r="AV90" s="150">
        <f t="shared" si="54"/>
        <v>1.0823121045460777</v>
      </c>
      <c r="AW90" s="154">
        <f t="shared" si="55"/>
        <v>5.3121045460777783E-3</v>
      </c>
      <c r="AX90" s="154">
        <f t="shared" si="56"/>
        <v>349.69361216075231</v>
      </c>
      <c r="AY90" s="154">
        <f t="shared" si="57"/>
        <v>18.576090268934919</v>
      </c>
      <c r="AZ90" s="154">
        <f t="shared" si="58"/>
        <v>53.121045460777779</v>
      </c>
    </row>
    <row r="91" spans="1:52" ht="18" x14ac:dyDescent="0.25">
      <c r="A91" s="104">
        <v>86</v>
      </c>
      <c r="B91">
        <v>3</v>
      </c>
      <c r="C91" t="s">
        <v>461</v>
      </c>
      <c r="D91" t="s">
        <v>40</v>
      </c>
      <c r="E91" t="s">
        <v>457</v>
      </c>
      <c r="F91">
        <v>1</v>
      </c>
      <c r="G91" t="s">
        <v>105</v>
      </c>
      <c r="H91">
        <v>3.3359999999999999</v>
      </c>
      <c r="Q91" s="141">
        <v>467</v>
      </c>
      <c r="R91" s="141" t="s">
        <v>280</v>
      </c>
      <c r="S91" s="141">
        <v>5.3580734999999997</v>
      </c>
      <c r="T91" s="141">
        <v>0.37796067359842644</v>
      </c>
      <c r="U91" s="141">
        <v>3.79874775</v>
      </c>
      <c r="V91" s="141">
        <v>-27.471320641066043</v>
      </c>
      <c r="W91" s="142">
        <v>3.3359999999999999</v>
      </c>
      <c r="X91" s="143">
        <v>7.0035672500000006</v>
      </c>
      <c r="Y91" s="143">
        <v>1.9166458325792195</v>
      </c>
      <c r="Z91" s="143">
        <v>4.5470909062499993</v>
      </c>
      <c r="AA91" s="143">
        <v>-25.930204084925705</v>
      </c>
      <c r="AB91" s="143">
        <v>2.7513749999999999</v>
      </c>
      <c r="AC91" s="143">
        <v>2.7513749999999999</v>
      </c>
      <c r="AD91" s="144">
        <f t="shared" si="39"/>
        <v>1.1078465049364664E-2</v>
      </c>
      <c r="AE91" s="144">
        <f t="shared" si="40"/>
        <v>0.27839945661961657</v>
      </c>
      <c r="AF91" s="145">
        <f t="shared" si="41"/>
        <v>5.9359230001676998E-2</v>
      </c>
      <c r="AG91" s="145">
        <f t="shared" si="42"/>
        <v>1.0575693094349909</v>
      </c>
      <c r="AH91" s="146">
        <f t="shared" si="43"/>
        <v>1.7793534173164567</v>
      </c>
      <c r="AI91" s="146">
        <f t="shared" si="44"/>
        <v>31.701717908722753</v>
      </c>
      <c r="AJ91" s="147">
        <f t="shared" si="45"/>
        <v>17.816425674745322</v>
      </c>
      <c r="AK91" s="148">
        <f t="shared" si="38"/>
        <v>0.44131484101920693</v>
      </c>
      <c r="AL91" s="148">
        <f t="shared" si="46"/>
        <v>-27.571116556140339</v>
      </c>
      <c r="AM91" s="149">
        <v>0.36599999999999999</v>
      </c>
      <c r="AN91" s="150">
        <f t="shared" si="47"/>
        <v>0.44131484101920693</v>
      </c>
      <c r="AO91" s="151">
        <f t="shared" si="48"/>
        <v>0.36641469250113168</v>
      </c>
      <c r="AP91" s="152">
        <f t="shared" si="49"/>
        <v>4.1469250113168599E-4</v>
      </c>
      <c r="AQ91" s="152">
        <f t="shared" si="50"/>
        <v>17.793534173164566</v>
      </c>
      <c r="AR91" s="153">
        <f t="shared" si="51"/>
        <v>7.3788451902417396E-2</v>
      </c>
      <c r="AS91" s="153">
        <f t="shared" si="52"/>
        <v>4.1469250113168599</v>
      </c>
      <c r="AT91" s="149">
        <v>1.077</v>
      </c>
      <c r="AU91" s="150">
        <f t="shared" si="53"/>
        <v>-27.571116556140339</v>
      </c>
      <c r="AV91" s="150">
        <f t="shared" si="54"/>
        <v>1.0809070666103715</v>
      </c>
      <c r="AW91" s="154">
        <f t="shared" si="55"/>
        <v>3.9070666103715457E-3</v>
      </c>
      <c r="AX91" s="154">
        <f t="shared" si="56"/>
        <v>317.01717908722753</v>
      </c>
      <c r="AY91" s="154">
        <f t="shared" si="57"/>
        <v>12.386072353258834</v>
      </c>
      <c r="AZ91" s="154">
        <f t="shared" si="58"/>
        <v>39.070666103715453</v>
      </c>
    </row>
    <row r="92" spans="1:52" ht="18" x14ac:dyDescent="0.25">
      <c r="A92" s="104">
        <v>87</v>
      </c>
      <c r="B92">
        <v>3</v>
      </c>
      <c r="C92" t="s">
        <v>462</v>
      </c>
      <c r="D92" t="s">
        <v>48</v>
      </c>
      <c r="E92" t="s">
        <v>457</v>
      </c>
      <c r="F92">
        <v>1</v>
      </c>
      <c r="G92" t="s">
        <v>106</v>
      </c>
      <c r="H92">
        <v>3.7610000000000001</v>
      </c>
      <c r="Q92" s="155">
        <v>468</v>
      </c>
      <c r="R92" s="155" t="s">
        <v>281</v>
      </c>
      <c r="S92" s="155">
        <v>6.941611</v>
      </c>
      <c r="T92" s="155">
        <v>33.352599011259414</v>
      </c>
      <c r="U92" s="155">
        <v>4.6442505000000001</v>
      </c>
      <c r="V92" s="155">
        <v>-26.200554026584399</v>
      </c>
      <c r="W92" s="142">
        <v>3.7610000000000001</v>
      </c>
      <c r="X92" s="143">
        <v>7.0035672500000006</v>
      </c>
      <c r="Y92" s="143">
        <v>1.9166458325792195</v>
      </c>
      <c r="Z92" s="143">
        <v>4.5470909062499993</v>
      </c>
      <c r="AA92" s="143">
        <v>-25.930204084925705</v>
      </c>
      <c r="AB92" s="143">
        <v>2.7513749999999999</v>
      </c>
      <c r="AC92" s="143">
        <v>2.7513749999999999</v>
      </c>
      <c r="AD92" s="144">
        <f t="shared" si="39"/>
        <v>1.1078465049364664E-2</v>
      </c>
      <c r="AE92" s="144">
        <f t="shared" si="40"/>
        <v>0.27839945661961657</v>
      </c>
      <c r="AF92" s="145">
        <f t="shared" si="41"/>
        <v>7.6902394849785297E-2</v>
      </c>
      <c r="AG92" s="145">
        <f t="shared" si="42"/>
        <v>1.2929568156053826</v>
      </c>
      <c r="AH92" s="146">
        <f t="shared" si="43"/>
        <v>2.0447326468967106</v>
      </c>
      <c r="AI92" s="146">
        <f t="shared" si="44"/>
        <v>34.378006264434525</v>
      </c>
      <c r="AJ92" s="147">
        <f t="shared" si="45"/>
        <v>16.812959051937671</v>
      </c>
      <c r="AK92" s="148">
        <f t="shared" si="38"/>
        <v>33.415953178680198</v>
      </c>
      <c r="AL92" s="148">
        <f t="shared" si="46"/>
        <v>-26.300349941658695</v>
      </c>
      <c r="AM92" s="149">
        <v>0.36599999999999999</v>
      </c>
      <c r="AN92" s="150">
        <f t="shared" si="47"/>
        <v>33.415953178680198</v>
      </c>
      <c r="AO92" s="151">
        <f t="shared" si="48"/>
        <v>0.37844604951646776</v>
      </c>
      <c r="AP92" s="152">
        <f t="shared" si="49"/>
        <v>1.2446049516467772E-2</v>
      </c>
      <c r="AQ92" s="152">
        <f t="shared" si="50"/>
        <v>20.447326468967109</v>
      </c>
      <c r="AR92" s="153">
        <f t="shared" si="51"/>
        <v>2.5448843771214675</v>
      </c>
      <c r="AS92" s="153">
        <f t="shared" si="52"/>
        <v>124.46049516467772</v>
      </c>
      <c r="AT92" s="149">
        <v>1.077</v>
      </c>
      <c r="AU92" s="150">
        <f t="shared" si="53"/>
        <v>-26.300349941658695</v>
      </c>
      <c r="AV92" s="150">
        <f t="shared" si="54"/>
        <v>1.0823043043052143</v>
      </c>
      <c r="AW92" s="154">
        <f t="shared" si="55"/>
        <v>5.3043043052143357E-3</v>
      </c>
      <c r="AX92" s="154">
        <f t="shared" si="56"/>
        <v>343.78006264434526</v>
      </c>
      <c r="AY92" s="154">
        <f t="shared" si="57"/>
        <v>18.235140663312549</v>
      </c>
      <c r="AZ92" s="154">
        <f t="shared" si="58"/>
        <v>53.043043052143361</v>
      </c>
    </row>
    <row r="93" spans="1:52" ht="18" x14ac:dyDescent="0.25">
      <c r="I93" t="s">
        <v>152</v>
      </c>
      <c r="Q93" s="141">
        <v>469</v>
      </c>
      <c r="R93" s="141" t="s">
        <v>282</v>
      </c>
      <c r="S93" s="141">
        <v>6.3896499999999996</v>
      </c>
      <c r="T93" s="141">
        <v>1.9134869625201112</v>
      </c>
      <c r="U93" s="141">
        <v>4.2416840000000002</v>
      </c>
      <c r="V93" s="141">
        <v>-25.856895474679931</v>
      </c>
      <c r="W93" s="141">
        <v>2.5390000000000001</v>
      </c>
      <c r="X93" s="143">
        <v>7.0035672500000006</v>
      </c>
      <c r="Y93" s="143">
        <v>1.9166458325792195</v>
      </c>
      <c r="Z93" s="143">
        <v>4.5470909062499993</v>
      </c>
      <c r="AA93" s="143">
        <v>-25.930204084925705</v>
      </c>
      <c r="AB93" s="143">
        <v>2.7513749999999999</v>
      </c>
      <c r="AC93" s="143">
        <v>2.7513749999999999</v>
      </c>
      <c r="AD93" s="144">
        <f t="shared" si="39"/>
        <v>1.1078465049364664E-2</v>
      </c>
      <c r="AE93" s="144">
        <f t="shared" si="40"/>
        <v>0.27839945661961657</v>
      </c>
      <c r="AF93" s="145">
        <f t="shared" si="41"/>
        <v>7.0787514202672916E-2</v>
      </c>
      <c r="AG93" s="145">
        <f t="shared" si="42"/>
        <v>1.1808825207521219</v>
      </c>
      <c r="AH93" s="146">
        <f t="shared" si="43"/>
        <v>2.7880076487858569</v>
      </c>
      <c r="AI93" s="146">
        <f t="shared" si="44"/>
        <v>46.509748749591246</v>
      </c>
      <c r="AJ93" s="147">
        <f t="shared" si="45"/>
        <v>16.682073583924947</v>
      </c>
      <c r="AK93" s="148">
        <f t="shared" si="38"/>
        <v>1.9768411299408917</v>
      </c>
      <c r="AL93" s="148">
        <f t="shared" si="46"/>
        <v>-25.956691389754226</v>
      </c>
      <c r="AM93" s="149">
        <v>0.36599999999999999</v>
      </c>
      <c r="AN93" s="150">
        <f t="shared" si="47"/>
        <v>1.9768411299408917</v>
      </c>
      <c r="AO93" s="151">
        <f t="shared" si="48"/>
        <v>0.36697501986730768</v>
      </c>
      <c r="AP93" s="152">
        <f t="shared" si="49"/>
        <v>9.7501986730769152E-4</v>
      </c>
      <c r="AQ93" s="152">
        <f t="shared" si="50"/>
        <v>27.88007648785857</v>
      </c>
      <c r="AR93" s="153">
        <f t="shared" si="51"/>
        <v>0.27183628477720151</v>
      </c>
      <c r="AS93" s="153">
        <f t="shared" si="52"/>
        <v>9.7501986730769161</v>
      </c>
      <c r="AT93" s="149">
        <v>1.077</v>
      </c>
      <c r="AU93" s="150">
        <f t="shared" si="53"/>
        <v>-25.956691389754226</v>
      </c>
      <c r="AV93" s="150">
        <f t="shared" si="54"/>
        <v>1.0826821581619033</v>
      </c>
      <c r="AW93" s="154">
        <f t="shared" si="55"/>
        <v>5.6821581619033168E-3</v>
      </c>
      <c r="AX93" s="154">
        <f t="shared" si="56"/>
        <v>465.09748749591245</v>
      </c>
      <c r="AY93" s="154">
        <f t="shared" si="57"/>
        <v>26.427574846556247</v>
      </c>
      <c r="AZ93" s="154">
        <f t="shared" si="58"/>
        <v>56.821581619033161</v>
      </c>
    </row>
    <row r="94" spans="1:52" ht="18" x14ac:dyDescent="0.25">
      <c r="A94" s="104">
        <v>88</v>
      </c>
      <c r="B94">
        <v>3</v>
      </c>
      <c r="C94" t="s">
        <v>463</v>
      </c>
      <c r="D94" t="s">
        <v>36</v>
      </c>
      <c r="E94" t="s">
        <v>457</v>
      </c>
      <c r="F94">
        <v>1</v>
      </c>
      <c r="G94" t="s">
        <v>107</v>
      </c>
      <c r="H94">
        <v>3.4470000000000001</v>
      </c>
      <c r="Q94" s="155">
        <v>470</v>
      </c>
      <c r="R94" s="155" t="s">
        <v>283</v>
      </c>
      <c r="S94" s="155">
        <v>8.2936110000000003</v>
      </c>
      <c r="T94" s="155">
        <v>96.395524165609743</v>
      </c>
      <c r="U94" s="155">
        <v>4.4549254999999999</v>
      </c>
      <c r="V94" s="155">
        <v>-23.982821913786591</v>
      </c>
      <c r="W94" s="142">
        <v>3.4470000000000001</v>
      </c>
      <c r="X94" s="143">
        <v>7.0035672500000006</v>
      </c>
      <c r="Y94" s="143">
        <v>1.9166458325792195</v>
      </c>
      <c r="Z94" s="143">
        <v>4.5470909062499993</v>
      </c>
      <c r="AA94" s="143">
        <v>-25.930204084925705</v>
      </c>
      <c r="AB94" s="143">
        <v>2.7513749999999999</v>
      </c>
      <c r="AC94" s="143">
        <v>2.7513749999999999</v>
      </c>
      <c r="AD94" s="144">
        <f t="shared" si="39"/>
        <v>1.1078465049364664E-2</v>
      </c>
      <c r="AE94" s="144">
        <f t="shared" si="40"/>
        <v>0.27839945661961657</v>
      </c>
      <c r="AF94" s="145">
        <f t="shared" si="41"/>
        <v>9.1880479596526329E-2</v>
      </c>
      <c r="AG94" s="145">
        <f t="shared" si="42"/>
        <v>1.2402488384808736</v>
      </c>
      <c r="AH94" s="146">
        <f t="shared" si="43"/>
        <v>2.6655201507550426</v>
      </c>
      <c r="AI94" s="146">
        <f t="shared" si="44"/>
        <v>35.98052911171667</v>
      </c>
      <c r="AJ94" s="147">
        <f t="shared" si="45"/>
        <v>13.498502009645181</v>
      </c>
      <c r="AK94" s="148">
        <f t="shared" si="38"/>
        <v>96.458878333030526</v>
      </c>
      <c r="AL94" s="148">
        <f t="shared" si="46"/>
        <v>-24.082617828860887</v>
      </c>
      <c r="AM94" s="149">
        <v>0.36599999999999999</v>
      </c>
      <c r="AN94" s="150">
        <f t="shared" si="47"/>
        <v>96.458878333030526</v>
      </c>
      <c r="AO94" s="151">
        <f t="shared" si="48"/>
        <v>0.401440245511681</v>
      </c>
      <c r="AP94" s="152">
        <f t="shared" si="49"/>
        <v>3.5440245511681012E-2</v>
      </c>
      <c r="AQ94" s="152">
        <f t="shared" si="50"/>
        <v>26.655201507550426</v>
      </c>
      <c r="AR94" s="153">
        <f t="shared" si="51"/>
        <v>9.4466688559091683</v>
      </c>
      <c r="AS94" s="153">
        <f t="shared" si="52"/>
        <v>354.40245511681013</v>
      </c>
      <c r="AT94" s="149">
        <v>1.077</v>
      </c>
      <c r="AU94" s="150">
        <f t="shared" si="53"/>
        <v>-24.082617828860887</v>
      </c>
      <c r="AV94" s="150">
        <f t="shared" si="54"/>
        <v>1.0847426582229083</v>
      </c>
      <c r="AW94" s="154">
        <f t="shared" si="55"/>
        <v>7.7426582229083163E-3</v>
      </c>
      <c r="AX94" s="154">
        <f t="shared" si="56"/>
        <v>359.80529111716669</v>
      </c>
      <c r="AY94" s="154">
        <f t="shared" si="57"/>
        <v>27.85849395914251</v>
      </c>
      <c r="AZ94" s="154">
        <f t="shared" si="58"/>
        <v>77.426582229083166</v>
      </c>
    </row>
    <row r="95" spans="1:52" ht="18" x14ac:dyDescent="0.25">
      <c r="A95" s="104">
        <v>89</v>
      </c>
      <c r="B95">
        <v>3</v>
      </c>
      <c r="C95" t="s">
        <v>464</v>
      </c>
      <c r="D95" t="s">
        <v>44</v>
      </c>
      <c r="E95" t="s">
        <v>457</v>
      </c>
      <c r="F95">
        <v>1</v>
      </c>
      <c r="G95" t="s">
        <v>108</v>
      </c>
      <c r="H95">
        <v>3.4870000000000001</v>
      </c>
      <c r="Q95" s="141">
        <v>471</v>
      </c>
      <c r="R95" s="141" t="s">
        <v>284</v>
      </c>
      <c r="S95" s="141">
        <v>8.0481525000000005</v>
      </c>
      <c r="T95" s="141">
        <v>3.1849826328461841</v>
      </c>
      <c r="U95" s="141">
        <v>4.5431295</v>
      </c>
      <c r="V95" s="141">
        <v>-26.422121021803896</v>
      </c>
      <c r="W95" s="142">
        <v>3.4870000000000001</v>
      </c>
      <c r="X95" s="143">
        <v>7.0035672500000006</v>
      </c>
      <c r="Y95" s="143">
        <v>1.9166458325792195</v>
      </c>
      <c r="Z95" s="143">
        <v>4.5470909062499993</v>
      </c>
      <c r="AA95" s="143">
        <v>-25.930204084925705</v>
      </c>
      <c r="AB95" s="143">
        <v>2.7513749999999999</v>
      </c>
      <c r="AC95" s="143">
        <v>2.7513749999999999</v>
      </c>
      <c r="AD95" s="144">
        <f t="shared" si="39"/>
        <v>1.1078465049364664E-2</v>
      </c>
      <c r="AE95" s="144">
        <f t="shared" si="40"/>
        <v>0.27839945661961657</v>
      </c>
      <c r="AF95" s="145">
        <f t="shared" si="41"/>
        <v>8.9161176183206847E-2</v>
      </c>
      <c r="AG95" s="145">
        <f t="shared" si="42"/>
        <v>1.2648047841525503</v>
      </c>
      <c r="AH95" s="146">
        <f t="shared" si="43"/>
        <v>2.5569594546374206</v>
      </c>
      <c r="AI95" s="146">
        <f t="shared" si="44"/>
        <v>36.272004133999147</v>
      </c>
      <c r="AJ95" s="147">
        <f t="shared" si="45"/>
        <v>14.185600036877611</v>
      </c>
      <c r="AK95" s="148">
        <f t="shared" si="38"/>
        <v>3.2483368002669648</v>
      </c>
      <c r="AL95" s="148">
        <f t="shared" si="46"/>
        <v>-26.521916936878192</v>
      </c>
      <c r="AM95" s="149">
        <v>0.36599999999999999</v>
      </c>
      <c r="AN95" s="150">
        <f t="shared" si="47"/>
        <v>3.2483368002669648</v>
      </c>
      <c r="AO95" s="151">
        <f t="shared" si="48"/>
        <v>0.36743899531382096</v>
      </c>
      <c r="AP95" s="152">
        <f t="shared" si="49"/>
        <v>1.4389953138209677E-3</v>
      </c>
      <c r="AQ95" s="152">
        <f t="shared" si="50"/>
        <v>25.569594546374208</v>
      </c>
      <c r="AR95" s="153">
        <f t="shared" si="51"/>
        <v>0.3679452672853466</v>
      </c>
      <c r="AS95" s="153">
        <f t="shared" si="52"/>
        <v>14.389953138209677</v>
      </c>
      <c r="AT95" s="149">
        <v>1.077</v>
      </c>
      <c r="AU95" s="150">
        <f t="shared" si="53"/>
        <v>-26.521916936878192</v>
      </c>
      <c r="AV95" s="150">
        <f t="shared" si="54"/>
        <v>1.0820606890388895</v>
      </c>
      <c r="AW95" s="154">
        <f t="shared" si="55"/>
        <v>5.0606890388895653E-3</v>
      </c>
      <c r="AX95" s="154">
        <f t="shared" si="56"/>
        <v>362.7200413399915</v>
      </c>
      <c r="AY95" s="154">
        <f t="shared" si="57"/>
        <v>18.356133373948651</v>
      </c>
      <c r="AZ95" s="154">
        <f t="shared" si="58"/>
        <v>50.60689038889565</v>
      </c>
    </row>
    <row r="96" spans="1:52" ht="18" x14ac:dyDescent="0.25">
      <c r="A96" s="104">
        <v>90</v>
      </c>
      <c r="B96">
        <v>3</v>
      </c>
      <c r="C96" t="s">
        <v>456</v>
      </c>
      <c r="D96" t="s">
        <v>24</v>
      </c>
      <c r="E96" t="s">
        <v>465</v>
      </c>
      <c r="F96">
        <v>1</v>
      </c>
      <c r="G96" t="s">
        <v>109</v>
      </c>
      <c r="H96">
        <v>4.1310000000000002</v>
      </c>
      <c r="Q96" s="155">
        <v>472</v>
      </c>
      <c r="R96" s="155" t="s">
        <v>285</v>
      </c>
      <c r="S96" s="155">
        <v>5.1365939999999997</v>
      </c>
      <c r="T96" s="155">
        <v>-0.12899265446641994</v>
      </c>
      <c r="U96" s="155">
        <v>4.2560219999999997</v>
      </c>
      <c r="V96" s="155">
        <v>-28.46578233163282</v>
      </c>
      <c r="W96" s="142">
        <v>4.1310000000000002</v>
      </c>
      <c r="X96" s="143">
        <v>7.0035672500000006</v>
      </c>
      <c r="Y96" s="143">
        <v>1.9166458325792195</v>
      </c>
      <c r="Z96" s="143">
        <v>4.5470909062499993</v>
      </c>
      <c r="AA96" s="143">
        <v>-25.930204084925705</v>
      </c>
      <c r="AB96" s="143">
        <v>2.7513749999999999</v>
      </c>
      <c r="AC96" s="143">
        <v>2.7513749999999999</v>
      </c>
      <c r="AD96" s="144">
        <f t="shared" si="39"/>
        <v>1.1078465049364664E-2</v>
      </c>
      <c r="AE96" s="144">
        <f t="shared" si="40"/>
        <v>0.27839945661961657</v>
      </c>
      <c r="AF96" s="145">
        <f t="shared" si="41"/>
        <v>5.6905577101776232E-2</v>
      </c>
      <c r="AG96" s="145">
        <f t="shared" si="42"/>
        <v>1.1848742121611338</v>
      </c>
      <c r="AH96" s="146">
        <f t="shared" si="43"/>
        <v>1.3775254684525837</v>
      </c>
      <c r="AI96" s="146">
        <f t="shared" si="44"/>
        <v>28.68250332028888</v>
      </c>
      <c r="AJ96" s="147">
        <f t="shared" si="45"/>
        <v>20.821758999859952</v>
      </c>
      <c r="AK96" s="148">
        <f t="shared" si="38"/>
        <v>-6.563848704563946E-2</v>
      </c>
      <c r="AL96" s="148">
        <f t="shared" si="46"/>
        <v>-28.565578246707116</v>
      </c>
      <c r="AM96" s="149">
        <v>0.36599999999999999</v>
      </c>
      <c r="AN96" s="150">
        <f t="shared" si="47"/>
        <v>-6.563848704563946E-2</v>
      </c>
      <c r="AO96" s="151">
        <f t="shared" si="48"/>
        <v>0.36622969928408783</v>
      </c>
      <c r="AP96" s="152">
        <f t="shared" si="49"/>
        <v>2.2969928408783646E-4</v>
      </c>
      <c r="AQ96" s="152">
        <f t="shared" si="50"/>
        <v>13.775254684525837</v>
      </c>
      <c r="AR96" s="153">
        <f t="shared" si="51"/>
        <v>3.1641661391632006E-2</v>
      </c>
      <c r="AS96" s="153">
        <f t="shared" si="52"/>
        <v>2.2969928408783646</v>
      </c>
      <c r="AT96" s="149">
        <v>1.077</v>
      </c>
      <c r="AU96" s="150">
        <f t="shared" si="53"/>
        <v>-28.565578246707116</v>
      </c>
      <c r="AV96" s="150">
        <f t="shared" si="54"/>
        <v>1.0798136051271883</v>
      </c>
      <c r="AW96" s="154">
        <f t="shared" si="55"/>
        <v>2.8136051271883122E-3</v>
      </c>
      <c r="AX96" s="154">
        <f t="shared" si="56"/>
        <v>286.82503320288885</v>
      </c>
      <c r="AY96" s="154">
        <f t="shared" si="57"/>
        <v>8.0701238402560591</v>
      </c>
      <c r="AZ96" s="154">
        <f t="shared" si="58"/>
        <v>28.136051271883122</v>
      </c>
    </row>
    <row r="97" spans="1:52" ht="18" x14ac:dyDescent="0.25">
      <c r="A97" s="104">
        <v>91</v>
      </c>
      <c r="B97">
        <v>3</v>
      </c>
      <c r="C97" t="s">
        <v>458</v>
      </c>
      <c r="D97" t="s">
        <v>28</v>
      </c>
      <c r="E97" t="s">
        <v>465</v>
      </c>
      <c r="F97">
        <v>1</v>
      </c>
      <c r="G97" t="s">
        <v>110</v>
      </c>
      <c r="H97">
        <v>3.7450000000000001</v>
      </c>
      <c r="Q97" s="141">
        <v>473</v>
      </c>
      <c r="R97" s="141" t="s">
        <v>286</v>
      </c>
      <c r="S97" s="141">
        <v>3.8470172499999999</v>
      </c>
      <c r="T97" s="141">
        <v>-0.15626811474223901</v>
      </c>
      <c r="U97" s="141">
        <v>4.3117774999999998</v>
      </c>
      <c r="V97" s="141">
        <v>-28.440883313064262</v>
      </c>
      <c r="W97" s="142">
        <v>3.7450000000000001</v>
      </c>
      <c r="X97" s="143">
        <v>7.0035672500000006</v>
      </c>
      <c r="Y97" s="143">
        <v>1.9166458325792195</v>
      </c>
      <c r="Z97" s="143">
        <v>4.5470909062499993</v>
      </c>
      <c r="AA97" s="143">
        <v>-25.930204084925705</v>
      </c>
      <c r="AB97" s="143">
        <v>2.7513749999999999</v>
      </c>
      <c r="AC97" s="143">
        <v>2.7513749999999999</v>
      </c>
      <c r="AD97" s="144">
        <f t="shared" si="39"/>
        <v>1.1078465049364664E-2</v>
      </c>
      <c r="AE97" s="144">
        <f t="shared" si="40"/>
        <v>0.27839945661961657</v>
      </c>
      <c r="AF97" s="145">
        <f t="shared" si="41"/>
        <v>4.2619046148427965E-2</v>
      </c>
      <c r="AG97" s="145">
        <f t="shared" si="42"/>
        <v>1.2003965130646888</v>
      </c>
      <c r="AH97" s="146">
        <f t="shared" si="43"/>
        <v>1.1380252643104931</v>
      </c>
      <c r="AI97" s="146">
        <f t="shared" si="44"/>
        <v>32.053311430298763</v>
      </c>
      <c r="AJ97" s="147">
        <f t="shared" si="45"/>
        <v>28.165729211397807</v>
      </c>
      <c r="AK97" s="148">
        <f t="shared" si="38"/>
        <v>-9.2913947321458523E-2</v>
      </c>
      <c r="AL97" s="148">
        <f t="shared" si="46"/>
        <v>-28.540679228138558</v>
      </c>
      <c r="AM97" s="149">
        <v>0.36599999999999999</v>
      </c>
      <c r="AN97" s="150">
        <f t="shared" si="47"/>
        <v>-9.2913947321458523E-2</v>
      </c>
      <c r="AO97" s="151">
        <f t="shared" si="48"/>
        <v>0.36621974612915981</v>
      </c>
      <c r="AP97" s="152">
        <f t="shared" si="49"/>
        <v>2.1974612915981462E-4</v>
      </c>
      <c r="AQ97" s="152">
        <f t="shared" si="50"/>
        <v>11.380252643104932</v>
      </c>
      <c r="AR97" s="153">
        <f t="shared" si="51"/>
        <v>2.5007664671830583E-2</v>
      </c>
      <c r="AS97" s="153">
        <f t="shared" si="52"/>
        <v>2.1974612915981462</v>
      </c>
      <c r="AT97" s="149">
        <v>1.077</v>
      </c>
      <c r="AU97" s="150">
        <f t="shared" si="53"/>
        <v>-28.540679228138558</v>
      </c>
      <c r="AV97" s="150">
        <f t="shared" si="54"/>
        <v>1.0798409831664399</v>
      </c>
      <c r="AW97" s="154">
        <f t="shared" si="55"/>
        <v>2.840983166439992E-3</v>
      </c>
      <c r="AX97" s="154">
        <f t="shared" si="56"/>
        <v>320.53311430298766</v>
      </c>
      <c r="AY97" s="154">
        <f t="shared" si="57"/>
        <v>9.1062918202137375</v>
      </c>
      <c r="AZ97" s="154">
        <f t="shared" si="58"/>
        <v>28.40983166439992</v>
      </c>
    </row>
    <row r="98" spans="1:52" ht="18" x14ac:dyDescent="0.25">
      <c r="A98" s="104">
        <v>92</v>
      </c>
      <c r="B98">
        <v>3</v>
      </c>
      <c r="C98" t="s">
        <v>459</v>
      </c>
      <c r="D98" t="s">
        <v>32</v>
      </c>
      <c r="E98" t="s">
        <v>465</v>
      </c>
      <c r="F98">
        <v>1</v>
      </c>
      <c r="G98" t="s">
        <v>111</v>
      </c>
      <c r="H98">
        <v>3.85</v>
      </c>
      <c r="Q98" s="155">
        <v>474</v>
      </c>
      <c r="R98" s="155" t="s">
        <v>287</v>
      </c>
      <c r="S98" s="155">
        <v>4.9571379999999996</v>
      </c>
      <c r="T98" s="155">
        <v>218.96759548880004</v>
      </c>
      <c r="U98" s="155">
        <v>4.2834300000000001</v>
      </c>
      <c r="V98" s="155">
        <v>-24.127736838030916</v>
      </c>
      <c r="W98" s="142">
        <v>3.85</v>
      </c>
      <c r="X98" s="143">
        <v>7.0035672500000006</v>
      </c>
      <c r="Y98" s="143">
        <v>1.9166458325792195</v>
      </c>
      <c r="Z98" s="143">
        <v>4.5470909062499993</v>
      </c>
      <c r="AA98" s="143">
        <v>-25.930204084925705</v>
      </c>
      <c r="AB98" s="143">
        <v>2.7513749999999999</v>
      </c>
      <c r="AC98" s="143">
        <v>2.7513749999999999</v>
      </c>
      <c r="AD98" s="144">
        <f t="shared" si="39"/>
        <v>1.1078465049364664E-2</v>
      </c>
      <c r="AE98" s="144">
        <f t="shared" si="40"/>
        <v>0.27839945661961657</v>
      </c>
      <c r="AF98" s="145">
        <f t="shared" si="41"/>
        <v>5.4917480077877452E-2</v>
      </c>
      <c r="AG98" s="145">
        <f t="shared" si="42"/>
        <v>1.1925045844681643</v>
      </c>
      <c r="AH98" s="146">
        <f t="shared" si="43"/>
        <v>1.4264280539708427</v>
      </c>
      <c r="AI98" s="146">
        <f t="shared" si="44"/>
        <v>30.974145051121152</v>
      </c>
      <c r="AJ98" s="147">
        <f t="shared" si="45"/>
        <v>21.714481122897407</v>
      </c>
      <c r="AK98" s="148">
        <f t="shared" si="38"/>
        <v>219.03094965622083</v>
      </c>
      <c r="AL98" s="148">
        <f t="shared" si="46"/>
        <v>-24.227532753105212</v>
      </c>
      <c r="AM98" s="149">
        <v>0.36599999999999999</v>
      </c>
      <c r="AN98" s="150">
        <f t="shared" si="47"/>
        <v>219.03094965622083</v>
      </c>
      <c r="AO98" s="151">
        <f t="shared" si="48"/>
        <v>0.44611665796504257</v>
      </c>
      <c r="AP98" s="152">
        <f t="shared" si="49"/>
        <v>8.0116657965042581E-2</v>
      </c>
      <c r="AQ98" s="152">
        <f t="shared" si="50"/>
        <v>14.264280539708428</v>
      </c>
      <c r="AR98" s="153">
        <f t="shared" si="51"/>
        <v>11.428064851172332</v>
      </c>
      <c r="AS98" s="153">
        <f t="shared" si="52"/>
        <v>801.16657965042577</v>
      </c>
      <c r="AT98" s="149">
        <v>1.077</v>
      </c>
      <c r="AU98" s="150">
        <f t="shared" si="53"/>
        <v>-24.227532753105212</v>
      </c>
      <c r="AV98" s="150">
        <f t="shared" si="54"/>
        <v>1.0845833307143762</v>
      </c>
      <c r="AW98" s="154">
        <f t="shared" si="55"/>
        <v>7.5833307143762241E-3</v>
      </c>
      <c r="AX98" s="154">
        <f t="shared" si="56"/>
        <v>309.7414505112115</v>
      </c>
      <c r="AY98" s="154">
        <f t="shared" si="57"/>
        <v>23.488718551771132</v>
      </c>
      <c r="AZ98" s="154">
        <f t="shared" si="58"/>
        <v>75.833307143762241</v>
      </c>
    </row>
    <row r="99" spans="1:52" ht="18" x14ac:dyDescent="0.25">
      <c r="A99" s="104">
        <v>93</v>
      </c>
      <c r="B99">
        <v>3</v>
      </c>
      <c r="C99" t="s">
        <v>460</v>
      </c>
      <c r="D99" t="s">
        <v>52</v>
      </c>
      <c r="E99" t="s">
        <v>465</v>
      </c>
      <c r="F99">
        <v>1</v>
      </c>
      <c r="G99" t="s">
        <v>112</v>
      </c>
      <c r="H99">
        <v>3.0329999999999999</v>
      </c>
      <c r="Q99" s="141">
        <v>475</v>
      </c>
      <c r="R99" s="141" t="s">
        <v>288</v>
      </c>
      <c r="S99" s="141">
        <v>2.90447575</v>
      </c>
      <c r="T99" s="141">
        <v>261.85349623864425</v>
      </c>
      <c r="U99" s="141">
        <v>3.7594997499999998</v>
      </c>
      <c r="V99" s="141">
        <v>-25.190526812781449</v>
      </c>
      <c r="W99" s="142">
        <v>3.0329999999999999</v>
      </c>
      <c r="X99" s="143">
        <v>7.0035672500000006</v>
      </c>
      <c r="Y99" s="143">
        <v>1.9166458325792195</v>
      </c>
      <c r="Z99" s="143">
        <v>4.5470909062499993</v>
      </c>
      <c r="AA99" s="143">
        <v>-25.930204084925705</v>
      </c>
      <c r="AB99" s="143">
        <v>2.7513749999999999</v>
      </c>
      <c r="AC99" s="143">
        <v>2.7513749999999999</v>
      </c>
      <c r="AD99" s="144">
        <f t="shared" si="39"/>
        <v>1.1078465049364664E-2</v>
      </c>
      <c r="AE99" s="144">
        <f t="shared" si="40"/>
        <v>0.27839945661961657</v>
      </c>
      <c r="AF99" s="145">
        <f t="shared" si="41"/>
        <v>3.2177133083102223E-2</v>
      </c>
      <c r="AG99" s="145">
        <f t="shared" si="42"/>
        <v>1.0466426875615842</v>
      </c>
      <c r="AH99" s="146">
        <f t="shared" si="43"/>
        <v>1.0609011896835552</v>
      </c>
      <c r="AI99" s="146">
        <f t="shared" si="44"/>
        <v>34.508496127978383</v>
      </c>
      <c r="AJ99" s="147">
        <f t="shared" si="45"/>
        <v>32.527530804514932</v>
      </c>
      <c r="AK99" s="148">
        <f t="shared" si="38"/>
        <v>261.91685040606501</v>
      </c>
      <c r="AL99" s="148">
        <f t="shared" si="46"/>
        <v>-25.290322727855745</v>
      </c>
      <c r="AM99" s="149">
        <v>0.36599999999999999</v>
      </c>
      <c r="AN99" s="150">
        <f t="shared" si="47"/>
        <v>261.91685040606501</v>
      </c>
      <c r="AO99" s="151">
        <f t="shared" si="48"/>
        <v>0.46173871771713343</v>
      </c>
      <c r="AP99" s="152">
        <f t="shared" si="49"/>
        <v>9.5738717717133437E-2</v>
      </c>
      <c r="AQ99" s="152">
        <f t="shared" si="50"/>
        <v>10.609011896835552</v>
      </c>
      <c r="AR99" s="153">
        <f t="shared" si="51"/>
        <v>10.156931952488492</v>
      </c>
      <c r="AS99" s="153">
        <f t="shared" si="52"/>
        <v>957.38717717133432</v>
      </c>
      <c r="AT99" s="149">
        <v>1.077</v>
      </c>
      <c r="AU99" s="150">
        <f t="shared" si="53"/>
        <v>-25.290322727855745</v>
      </c>
      <c r="AV99" s="150">
        <f t="shared" si="54"/>
        <v>1.0834148247599154</v>
      </c>
      <c r="AW99" s="154">
        <f t="shared" si="55"/>
        <v>6.414824759915394E-3</v>
      </c>
      <c r="AX99" s="154">
        <f t="shared" si="56"/>
        <v>345.08496127978384</v>
      </c>
      <c r="AY99" s="154">
        <f t="shared" si="57"/>
        <v>22.136595538920027</v>
      </c>
      <c r="AZ99" s="154">
        <f t="shared" si="58"/>
        <v>64.148247599153933</v>
      </c>
    </row>
    <row r="100" spans="1:52" ht="18" x14ac:dyDescent="0.25">
      <c r="A100" s="104">
        <v>94</v>
      </c>
      <c r="B100">
        <v>3</v>
      </c>
      <c r="C100" t="s">
        <v>461</v>
      </c>
      <c r="D100" t="s">
        <v>40</v>
      </c>
      <c r="E100" t="s">
        <v>465</v>
      </c>
      <c r="F100">
        <v>1</v>
      </c>
      <c r="G100" t="s">
        <v>126</v>
      </c>
      <c r="H100">
        <v>3.1779999999999999</v>
      </c>
      <c r="Q100" s="155">
        <v>476</v>
      </c>
      <c r="R100" s="155" t="s">
        <v>289</v>
      </c>
      <c r="S100" s="155">
        <v>2.4805405</v>
      </c>
      <c r="T100" s="155">
        <v>-1.7625143988689502</v>
      </c>
      <c r="U100" s="155">
        <v>3.8552192500000002</v>
      </c>
      <c r="V100" s="155">
        <v>-28.910720857334422</v>
      </c>
      <c r="W100" s="142">
        <v>3.1779999999999999</v>
      </c>
      <c r="X100" s="143">
        <v>7.0035672500000006</v>
      </c>
      <c r="Y100" s="143">
        <v>1.9166458325792195</v>
      </c>
      <c r="Z100" s="143">
        <v>4.5470909062499993</v>
      </c>
      <c r="AA100" s="143">
        <v>-25.930204084925705</v>
      </c>
      <c r="AB100" s="143">
        <v>2.7513749999999999</v>
      </c>
      <c r="AC100" s="143">
        <v>2.7513749999999999</v>
      </c>
      <c r="AD100" s="144">
        <f t="shared" si="39"/>
        <v>1.1078465049364664E-2</v>
      </c>
      <c r="AE100" s="144">
        <f t="shared" si="40"/>
        <v>0.27839945661961657</v>
      </c>
      <c r="AF100" s="145">
        <f t="shared" si="41"/>
        <v>2.748058123278355E-2</v>
      </c>
      <c r="AG100" s="145">
        <f t="shared" si="42"/>
        <v>1.0732909443494858</v>
      </c>
      <c r="AH100" s="146">
        <f t="shared" si="43"/>
        <v>0.86471306585221996</v>
      </c>
      <c r="AI100" s="146">
        <f t="shared" si="44"/>
        <v>33.772528141896977</v>
      </c>
      <c r="AJ100" s="147">
        <f t="shared" si="45"/>
        <v>39.056340739586695</v>
      </c>
      <c r="AK100" s="148">
        <f t="shared" si="38"/>
        <v>-1.6991602314481697</v>
      </c>
      <c r="AL100" s="148">
        <f t="shared" si="46"/>
        <v>-29.010516772408717</v>
      </c>
      <c r="AM100" s="149">
        <v>0.36599999999999999</v>
      </c>
      <c r="AN100" s="150">
        <f t="shared" si="47"/>
        <v>-1.6991602314481697</v>
      </c>
      <c r="AO100" s="151">
        <f t="shared" si="48"/>
        <v>0.36563360336176892</v>
      </c>
      <c r="AP100" s="152">
        <f t="shared" si="49"/>
        <v>-3.6639663823107016E-4</v>
      </c>
      <c r="AQ100" s="152">
        <f t="shared" si="50"/>
        <v>8.6471306585221992</v>
      </c>
      <c r="AR100" s="153">
        <f t="shared" si="51"/>
        <v>-3.1682796036273539E-2</v>
      </c>
      <c r="AS100" s="153">
        <f t="shared" si="52"/>
        <v>-3.6639663823107016</v>
      </c>
      <c r="AT100" s="149">
        <v>1.077</v>
      </c>
      <c r="AU100" s="150">
        <f t="shared" si="53"/>
        <v>-29.010516772408717</v>
      </c>
      <c r="AV100" s="150">
        <f t="shared" si="54"/>
        <v>1.0793243646373765</v>
      </c>
      <c r="AW100" s="154">
        <f t="shared" si="55"/>
        <v>2.3243646373765081E-3</v>
      </c>
      <c r="AX100" s="154">
        <f t="shared" si="56"/>
        <v>337.72528141896981</v>
      </c>
      <c r="AY100" s="154">
        <f t="shared" si="57"/>
        <v>7.8499670127828294</v>
      </c>
      <c r="AZ100" s="154">
        <f t="shared" si="58"/>
        <v>23.243646373765081</v>
      </c>
    </row>
    <row r="101" spans="1:52" ht="18" x14ac:dyDescent="0.25">
      <c r="A101" s="104">
        <v>95</v>
      </c>
      <c r="B101">
        <v>3</v>
      </c>
      <c r="C101" t="s">
        <v>462</v>
      </c>
      <c r="D101" t="s">
        <v>48</v>
      </c>
      <c r="E101" t="s">
        <v>465</v>
      </c>
      <c r="F101">
        <v>1</v>
      </c>
      <c r="G101" t="s">
        <v>127</v>
      </c>
      <c r="H101">
        <v>3.3370000000000002</v>
      </c>
      <c r="Q101" s="141">
        <v>477</v>
      </c>
      <c r="R101" s="141" t="s">
        <v>290</v>
      </c>
      <c r="S101" s="141">
        <v>3.0135477499999999</v>
      </c>
      <c r="T101" s="141">
        <v>26.391463377673382</v>
      </c>
      <c r="U101" s="141">
        <v>4.2320510000000002</v>
      </c>
      <c r="V101" s="141">
        <v>-28.414556070210207</v>
      </c>
      <c r="W101" s="142">
        <v>3.3370000000000002</v>
      </c>
      <c r="X101" s="143">
        <v>7.0035672500000006</v>
      </c>
      <c r="Y101" s="143">
        <v>1.9166458325792195</v>
      </c>
      <c r="Z101" s="143">
        <v>4.5470909062499993</v>
      </c>
      <c r="AA101" s="143">
        <v>-25.930204084925705</v>
      </c>
      <c r="AB101" s="143">
        <v>2.7513749999999999</v>
      </c>
      <c r="AC101" s="143">
        <v>2.7513749999999999</v>
      </c>
      <c r="AD101" s="144">
        <f t="shared" si="39"/>
        <v>1.1078465049364664E-2</v>
      </c>
      <c r="AE101" s="144">
        <f t="shared" si="40"/>
        <v>0.27839945661961657</v>
      </c>
      <c r="AF101" s="145">
        <f t="shared" si="41"/>
        <v>3.3385483422966523E-2</v>
      </c>
      <c r="AG101" s="145">
        <f t="shared" si="42"/>
        <v>1.178200698786505</v>
      </c>
      <c r="AH101" s="146">
        <f t="shared" si="43"/>
        <v>1.0004639922974683</v>
      </c>
      <c r="AI101" s="146">
        <f t="shared" si="44"/>
        <v>35.307183062226699</v>
      </c>
      <c r="AJ101" s="147">
        <f t="shared" si="45"/>
        <v>35.290808398958148</v>
      </c>
      <c r="AK101" s="148">
        <f t="shared" si="38"/>
        <v>26.454817545094162</v>
      </c>
      <c r="AL101" s="148">
        <f t="shared" si="46"/>
        <v>-28.514351985284502</v>
      </c>
      <c r="AM101" s="149">
        <v>0.36599999999999999</v>
      </c>
      <c r="AN101" s="150">
        <f t="shared" si="47"/>
        <v>26.454817545094162</v>
      </c>
      <c r="AO101" s="151">
        <f t="shared" si="48"/>
        <v>0.37590640288081573</v>
      </c>
      <c r="AP101" s="152">
        <f t="shared" si="49"/>
        <v>9.9064028808157345E-3</v>
      </c>
      <c r="AQ101" s="152">
        <f t="shared" si="50"/>
        <v>10.004639922974684</v>
      </c>
      <c r="AR101" s="153">
        <f t="shared" si="51"/>
        <v>0.99109993754480508</v>
      </c>
      <c r="AS101" s="153">
        <f t="shared" si="52"/>
        <v>99.064028808157346</v>
      </c>
      <c r="AT101" s="149">
        <v>1.077</v>
      </c>
      <c r="AU101" s="150">
        <f t="shared" si="53"/>
        <v>-28.514351985284502</v>
      </c>
      <c r="AV101" s="150">
        <f t="shared" si="54"/>
        <v>1.0798699316117706</v>
      </c>
      <c r="AW101" s="154">
        <f t="shared" si="55"/>
        <v>2.8699316117706264E-3</v>
      </c>
      <c r="AX101" s="154">
        <f t="shared" si="56"/>
        <v>353.07183062226699</v>
      </c>
      <c r="AY101" s="154">
        <f t="shared" si="57"/>
        <v>10.132920079285684</v>
      </c>
      <c r="AZ101" s="154">
        <f t="shared" si="58"/>
        <v>28.699316117706264</v>
      </c>
    </row>
    <row r="102" spans="1:52" ht="18" x14ac:dyDescent="0.25">
      <c r="A102" s="104">
        <v>96</v>
      </c>
      <c r="B102">
        <v>3</v>
      </c>
      <c r="C102" t="s">
        <v>463</v>
      </c>
      <c r="D102" t="s">
        <v>36</v>
      </c>
      <c r="E102" t="s">
        <v>465</v>
      </c>
      <c r="F102">
        <v>1</v>
      </c>
      <c r="G102" t="s">
        <v>128</v>
      </c>
      <c r="H102">
        <v>3.2789999999999999</v>
      </c>
      <c r="Q102" s="155">
        <v>478</v>
      </c>
      <c r="R102" s="155" t="s">
        <v>291</v>
      </c>
      <c r="S102" s="155">
        <v>4.2352745000000001</v>
      </c>
      <c r="T102" s="155">
        <v>543.83219555572896</v>
      </c>
      <c r="U102" s="155">
        <v>4.2778885000000004</v>
      </c>
      <c r="V102" s="155">
        <v>-19.5722621770648</v>
      </c>
      <c r="W102" s="142">
        <v>3.2789999999999999</v>
      </c>
      <c r="X102" s="143">
        <v>7.0035672500000006</v>
      </c>
      <c r="Y102" s="143">
        <v>1.9166458325792195</v>
      </c>
      <c r="Z102" s="143">
        <v>4.5470909062499993</v>
      </c>
      <c r="AA102" s="143">
        <v>-25.930204084925705</v>
      </c>
      <c r="AB102" s="143">
        <v>2.7513749999999999</v>
      </c>
      <c r="AC102" s="143">
        <v>2.7513749999999999</v>
      </c>
      <c r="AD102" s="144">
        <f t="shared" si="39"/>
        <v>1.1078465049364664E-2</v>
      </c>
      <c r="AE102" s="144">
        <f t="shared" si="40"/>
        <v>0.27839945661961657</v>
      </c>
      <c r="AF102" s="145">
        <f t="shared" si="41"/>
        <v>4.6920340522715404E-2</v>
      </c>
      <c r="AG102" s="145">
        <f t="shared" si="42"/>
        <v>1.1909618338793067</v>
      </c>
      <c r="AH102" s="146">
        <f t="shared" si="43"/>
        <v>1.4309344471703387</v>
      </c>
      <c r="AI102" s="146">
        <f t="shared" si="44"/>
        <v>36.320885449201178</v>
      </c>
      <c r="AJ102" s="147">
        <f t="shared" si="45"/>
        <v>25.382634068964819</v>
      </c>
      <c r="AK102" s="148">
        <f t="shared" si="38"/>
        <v>543.89554972314977</v>
      </c>
      <c r="AL102" s="148">
        <f t="shared" si="46"/>
        <v>-19.672058092139096</v>
      </c>
      <c r="AM102" s="149">
        <v>0.36599999999999999</v>
      </c>
      <c r="AN102" s="150">
        <f t="shared" si="47"/>
        <v>543.89554972314977</v>
      </c>
      <c r="AO102" s="151">
        <f t="shared" si="48"/>
        <v>0.56433320992891278</v>
      </c>
      <c r="AP102" s="152">
        <f t="shared" si="49"/>
        <v>0.19833320992891279</v>
      </c>
      <c r="AQ102" s="152">
        <f t="shared" si="50"/>
        <v>14.309344471703387</v>
      </c>
      <c r="AR102" s="153">
        <f t="shared" si="51"/>
        <v>28.380182210514757</v>
      </c>
      <c r="AS102" s="153">
        <f t="shared" si="52"/>
        <v>1983.3320992891281</v>
      </c>
      <c r="AT102" s="149">
        <v>1.077</v>
      </c>
      <c r="AU102" s="150">
        <f t="shared" si="53"/>
        <v>-19.672058092139096</v>
      </c>
      <c r="AV102" s="150">
        <f t="shared" si="54"/>
        <v>1.0895916267979227</v>
      </c>
      <c r="AW102" s="154">
        <f t="shared" si="55"/>
        <v>1.2591626797922695E-2</v>
      </c>
      <c r="AX102" s="154">
        <f t="shared" si="56"/>
        <v>363.20885449201177</v>
      </c>
      <c r="AY102" s="154">
        <f t="shared" si="57"/>
        <v>45.733903454644206</v>
      </c>
      <c r="AZ102" s="154">
        <f t="shared" si="58"/>
        <v>125.91626797922694</v>
      </c>
    </row>
    <row r="103" spans="1:52" ht="18" x14ac:dyDescent="0.25">
      <c r="A103" s="104">
        <v>97</v>
      </c>
      <c r="B103">
        <v>3</v>
      </c>
      <c r="C103" t="s">
        <v>464</v>
      </c>
      <c r="D103" t="s">
        <v>44</v>
      </c>
      <c r="E103" t="s">
        <v>465</v>
      </c>
      <c r="F103">
        <v>1</v>
      </c>
      <c r="G103" t="s">
        <v>113</v>
      </c>
      <c r="H103">
        <v>3.0270000000000001</v>
      </c>
      <c r="Q103" s="141">
        <v>479</v>
      </c>
      <c r="R103" s="141" t="s">
        <v>292</v>
      </c>
      <c r="S103" s="141">
        <v>3.1963642499999998</v>
      </c>
      <c r="T103" s="141">
        <v>-0.99442886326196189</v>
      </c>
      <c r="U103" s="141">
        <v>3.986405</v>
      </c>
      <c r="V103" s="141">
        <v>-28.199574212660377</v>
      </c>
      <c r="W103" s="142">
        <v>3.0270000000000001</v>
      </c>
      <c r="X103" s="143">
        <v>7.0035672500000006</v>
      </c>
      <c r="Y103" s="143">
        <v>1.9166458325792195</v>
      </c>
      <c r="Z103" s="143">
        <v>4.5470909062499993</v>
      </c>
      <c r="AA103" s="143">
        <v>-25.930204084925705</v>
      </c>
      <c r="AB103" s="143">
        <v>2.7513749999999999</v>
      </c>
      <c r="AC103" s="143">
        <v>2.7513749999999999</v>
      </c>
      <c r="AD103" s="144">
        <f t="shared" si="39"/>
        <v>1.1078465049364664E-2</v>
      </c>
      <c r="AE103" s="144">
        <f t="shared" si="40"/>
        <v>0.27839945661961657</v>
      </c>
      <c r="AF103" s="145">
        <f t="shared" si="41"/>
        <v>3.5410809628663699E-2</v>
      </c>
      <c r="AG103" s="145">
        <f t="shared" si="42"/>
        <v>1.1098129858657226</v>
      </c>
      <c r="AH103" s="146">
        <f t="shared" si="43"/>
        <v>1.1698318344454475</v>
      </c>
      <c r="AI103" s="146">
        <f t="shared" si="44"/>
        <v>36.663792066921793</v>
      </c>
      <c r="AJ103" s="147">
        <f t="shared" si="45"/>
        <v>31.341079108436183</v>
      </c>
      <c r="AK103" s="148">
        <f t="shared" si="38"/>
        <v>-0.93107469584118141</v>
      </c>
      <c r="AL103" s="148">
        <f t="shared" si="46"/>
        <v>-28.299370127734672</v>
      </c>
      <c r="AM103" s="149">
        <v>0.36599999999999999</v>
      </c>
      <c r="AN103" s="150">
        <f t="shared" si="47"/>
        <v>-0.93107469584118141</v>
      </c>
      <c r="AO103" s="151">
        <f t="shared" si="48"/>
        <v>0.36591388987071377</v>
      </c>
      <c r="AP103" s="152">
        <f t="shared" si="49"/>
        <v>-8.6110129286220971E-5</v>
      </c>
      <c r="AQ103" s="152">
        <f t="shared" si="50"/>
        <v>11.698318344454476</v>
      </c>
      <c r="AR103" s="153">
        <f t="shared" si="51"/>
        <v>-1.0073437050723454E-2</v>
      </c>
      <c r="AS103" s="153">
        <f t="shared" si="52"/>
        <v>-0.86110129286220982</v>
      </c>
      <c r="AT103" s="149">
        <v>1.077</v>
      </c>
      <c r="AU103" s="150">
        <f t="shared" si="53"/>
        <v>-28.299370127734672</v>
      </c>
      <c r="AV103" s="150">
        <f t="shared" si="54"/>
        <v>1.0801063169367304</v>
      </c>
      <c r="AW103" s="154">
        <f t="shared" si="55"/>
        <v>3.1063169367304688E-3</v>
      </c>
      <c r="AX103" s="154">
        <f t="shared" si="56"/>
        <v>366.63792066921792</v>
      </c>
      <c r="AY103" s="154">
        <f t="shared" si="57"/>
        <v>11.388935826224337</v>
      </c>
      <c r="AZ103" s="154">
        <f t="shared" si="58"/>
        <v>31.063169367304692</v>
      </c>
    </row>
    <row r="104" spans="1:52" ht="18" x14ac:dyDescent="0.25">
      <c r="A104" s="104">
        <v>98</v>
      </c>
      <c r="B104">
        <v>3</v>
      </c>
      <c r="C104" t="s">
        <v>456</v>
      </c>
      <c r="D104" t="s">
        <v>24</v>
      </c>
      <c r="E104" t="s">
        <v>467</v>
      </c>
      <c r="F104">
        <v>1</v>
      </c>
      <c r="G104" t="s">
        <v>114</v>
      </c>
      <c r="H104">
        <v>3.347</v>
      </c>
      <c r="Q104" s="155">
        <v>480</v>
      </c>
      <c r="R104" s="155" t="s">
        <v>293</v>
      </c>
      <c r="S104" s="155">
        <v>4.2860509999999996</v>
      </c>
      <c r="T104" s="155">
        <v>0.47430897687878726</v>
      </c>
      <c r="U104" s="155">
        <v>4.5091175000000003</v>
      </c>
      <c r="V104" s="155">
        <v>-30.170557627192032</v>
      </c>
      <c r="W104" s="142">
        <v>3.347</v>
      </c>
      <c r="X104" s="143">
        <v>7.0035672500000006</v>
      </c>
      <c r="Y104" s="143">
        <v>1.9166458325792195</v>
      </c>
      <c r="Z104" s="143">
        <v>4.5470909062499993</v>
      </c>
      <c r="AA104" s="143">
        <v>-25.930204084925705</v>
      </c>
      <c r="AB104" s="143">
        <v>2.7513749999999999</v>
      </c>
      <c r="AC104" s="143">
        <v>2.7513749999999999</v>
      </c>
      <c r="AD104" s="144">
        <f t="shared" si="39"/>
        <v>1.1078465049364664E-2</v>
      </c>
      <c r="AE104" s="144">
        <f t="shared" si="40"/>
        <v>0.27839945661961657</v>
      </c>
      <c r="AF104" s="145">
        <f t="shared" si="41"/>
        <v>4.7482866203294463E-2</v>
      </c>
      <c r="AG104" s="145">
        <f t="shared" si="42"/>
        <v>1.255335861834004</v>
      </c>
      <c r="AH104" s="146">
        <f t="shared" si="43"/>
        <v>1.4186694413891385</v>
      </c>
      <c r="AI104" s="146">
        <f t="shared" si="44"/>
        <v>37.506300024917955</v>
      </c>
      <c r="AJ104" s="147">
        <f t="shared" si="45"/>
        <v>26.437659775199208</v>
      </c>
      <c r="AK104" s="148">
        <f t="shared" si="38"/>
        <v>0.53766314429956774</v>
      </c>
      <c r="AL104" s="148">
        <f t="shared" si="46"/>
        <v>-30.270353542266328</v>
      </c>
      <c r="AM104" s="149">
        <v>0.36599999999999999</v>
      </c>
      <c r="AN104" s="150">
        <f t="shared" si="47"/>
        <v>0.53766314429956774</v>
      </c>
      <c r="AO104" s="151">
        <f t="shared" si="48"/>
        <v>0.36644985104968097</v>
      </c>
      <c r="AP104" s="152">
        <f t="shared" si="49"/>
        <v>4.4985104968098266E-4</v>
      </c>
      <c r="AQ104" s="152">
        <f t="shared" si="50"/>
        <v>14.186694413891386</v>
      </c>
      <c r="AR104" s="153">
        <f t="shared" si="51"/>
        <v>6.3818993735923729E-2</v>
      </c>
      <c r="AS104" s="153">
        <f t="shared" si="52"/>
        <v>4.4985104968098266</v>
      </c>
      <c r="AT104" s="149">
        <v>1.077</v>
      </c>
      <c r="AU104" s="150">
        <f t="shared" si="53"/>
        <v>-30.270353542266328</v>
      </c>
      <c r="AV104" s="150">
        <f t="shared" si="54"/>
        <v>1.0779390612687427</v>
      </c>
      <c r="AW104" s="154">
        <f t="shared" si="55"/>
        <v>9.3906126874276907E-4</v>
      </c>
      <c r="AX104" s="154">
        <f t="shared" si="56"/>
        <v>375.06300024917959</v>
      </c>
      <c r="AY104" s="154">
        <f t="shared" si="57"/>
        <v>3.522071368724641</v>
      </c>
      <c r="AZ104" s="154">
        <f t="shared" si="58"/>
        <v>9.3906126874276907</v>
      </c>
    </row>
    <row r="105" spans="1:52" ht="18" x14ac:dyDescent="0.25">
      <c r="A105" s="104">
        <v>99</v>
      </c>
      <c r="B105">
        <v>3</v>
      </c>
      <c r="C105" t="s">
        <v>458</v>
      </c>
      <c r="D105" t="s">
        <v>28</v>
      </c>
      <c r="E105" t="s">
        <v>467</v>
      </c>
      <c r="F105">
        <v>1</v>
      </c>
      <c r="G105" t="s">
        <v>115</v>
      </c>
      <c r="H105">
        <v>3.8639999999999999</v>
      </c>
      <c r="Q105" s="141">
        <v>481</v>
      </c>
      <c r="R105" s="141" t="s">
        <v>294</v>
      </c>
      <c r="S105" s="141">
        <v>4.7673724999999996</v>
      </c>
      <c r="T105" s="141">
        <v>1.4438338168583615</v>
      </c>
      <c r="U105" s="141">
        <v>5.0956004999999998</v>
      </c>
      <c r="V105" s="141">
        <v>-29.162587254959579</v>
      </c>
      <c r="W105" s="142">
        <v>3.8639999999999999</v>
      </c>
      <c r="X105" s="143">
        <v>7.0035672500000006</v>
      </c>
      <c r="Y105" s="143">
        <v>1.9166458325792195</v>
      </c>
      <c r="Z105" s="143">
        <v>4.5470909062499993</v>
      </c>
      <c r="AA105" s="143">
        <v>-25.930204084925705</v>
      </c>
      <c r="AB105" s="143">
        <v>2.7513749999999999</v>
      </c>
      <c r="AC105" s="143">
        <v>2.7513749999999999</v>
      </c>
      <c r="AD105" s="144">
        <f t="shared" si="39"/>
        <v>1.1078465049364664E-2</v>
      </c>
      <c r="AE105" s="144">
        <f t="shared" si="40"/>
        <v>0.27839945661961657</v>
      </c>
      <c r="AF105" s="145">
        <f t="shared" si="41"/>
        <v>5.2815169618552239E-2</v>
      </c>
      <c r="AG105" s="145">
        <f t="shared" si="42"/>
        <v>1.4186124103506463</v>
      </c>
      <c r="AH105" s="146">
        <f t="shared" si="43"/>
        <v>1.3668522158010414</v>
      </c>
      <c r="AI105" s="146">
        <f t="shared" si="44"/>
        <v>36.7135716964453</v>
      </c>
      <c r="AJ105" s="147">
        <f t="shared" si="45"/>
        <v>26.859942334679811</v>
      </c>
      <c r="AK105" s="148">
        <f t="shared" si="38"/>
        <v>1.507187984279142</v>
      </c>
      <c r="AL105" s="148">
        <f t="shared" si="46"/>
        <v>-29.262383170033875</v>
      </c>
      <c r="AM105" s="149">
        <v>0.36599999999999999</v>
      </c>
      <c r="AN105" s="150">
        <f t="shared" si="47"/>
        <v>1.507187984279142</v>
      </c>
      <c r="AO105" s="151">
        <f t="shared" si="48"/>
        <v>0.36680363987550474</v>
      </c>
      <c r="AP105" s="152">
        <f t="shared" si="49"/>
        <v>8.0363987550474691E-4</v>
      </c>
      <c r="AQ105" s="152">
        <f t="shared" si="50"/>
        <v>13.668522158010415</v>
      </c>
      <c r="AR105" s="153">
        <f t="shared" si="51"/>
        <v>0.10984569445397364</v>
      </c>
      <c r="AS105" s="153">
        <f t="shared" si="52"/>
        <v>8.0363987550474683</v>
      </c>
      <c r="AT105" s="149">
        <v>1.077</v>
      </c>
      <c r="AU105" s="150">
        <f t="shared" si="53"/>
        <v>-29.262383170033875</v>
      </c>
      <c r="AV105" s="150">
        <f t="shared" si="54"/>
        <v>1.0790474180772345</v>
      </c>
      <c r="AW105" s="154">
        <f t="shared" si="55"/>
        <v>2.0474180772345196E-3</v>
      </c>
      <c r="AX105" s="154">
        <f t="shared" si="56"/>
        <v>367.13571696445302</v>
      </c>
      <c r="AY105" s="154">
        <f t="shared" si="57"/>
        <v>7.516803037114772</v>
      </c>
      <c r="AZ105" s="154">
        <f t="shared" si="58"/>
        <v>20.474180772345196</v>
      </c>
    </row>
    <row r="106" spans="1:52" ht="18" x14ac:dyDescent="0.25">
      <c r="I106" t="s">
        <v>152</v>
      </c>
      <c r="Q106" s="156">
        <v>482</v>
      </c>
      <c r="R106" s="156" t="s">
        <v>295</v>
      </c>
      <c r="S106" s="156">
        <v>8.1557244999999998</v>
      </c>
      <c r="T106" s="156">
        <v>1.9479179612407083</v>
      </c>
      <c r="U106" s="156">
        <v>5.1347244999999999</v>
      </c>
      <c r="V106" s="156">
        <v>-25.915306085124868</v>
      </c>
      <c r="W106" s="155">
        <v>3.2120000000000002</v>
      </c>
      <c r="X106" s="143">
        <v>7.0035672500000006</v>
      </c>
      <c r="Y106" s="143">
        <v>1.9166458325792195</v>
      </c>
      <c r="Z106" s="143">
        <v>4.5470909062499993</v>
      </c>
      <c r="AA106" s="143">
        <v>-25.930204084925705</v>
      </c>
      <c r="AB106" s="143">
        <v>2.7513749999999999</v>
      </c>
      <c r="AC106" s="143">
        <v>2.7513749999999999</v>
      </c>
      <c r="AD106" s="144">
        <f t="shared" si="39"/>
        <v>1.1078465049364664E-2</v>
      </c>
      <c r="AE106" s="144">
        <f t="shared" si="40"/>
        <v>0.27839945661961657</v>
      </c>
      <c r="AF106" s="145">
        <f t="shared" si="41"/>
        <v>9.0352908825497097E-2</v>
      </c>
      <c r="AG106" s="145">
        <f t="shared" si="42"/>
        <v>1.4295045106914324</v>
      </c>
      <c r="AH106" s="146">
        <f t="shared" si="43"/>
        <v>2.8129797268212045</v>
      </c>
      <c r="AI106" s="146">
        <f t="shared" si="44"/>
        <v>44.505121752535253</v>
      </c>
      <c r="AJ106" s="147">
        <f t="shared" si="45"/>
        <v>15.821344650367626</v>
      </c>
      <c r="AK106" s="148">
        <f t="shared" si="38"/>
        <v>2.0112721286614885</v>
      </c>
      <c r="AL106" s="148">
        <f t="shared" si="46"/>
        <v>-26.015102000199164</v>
      </c>
      <c r="AM106" s="149">
        <v>0.36599999999999999</v>
      </c>
      <c r="AN106" s="150">
        <f t="shared" si="47"/>
        <v>2.0112721286614885</v>
      </c>
      <c r="AO106" s="151">
        <f t="shared" si="48"/>
        <v>0.36698758397645703</v>
      </c>
      <c r="AP106" s="152">
        <f t="shared" si="49"/>
        <v>9.8758397645704044E-4</v>
      </c>
      <c r="AQ106" s="152">
        <f t="shared" si="50"/>
        <v>28.129797268212045</v>
      </c>
      <c r="AR106" s="153">
        <f t="shared" si="51"/>
        <v>0.27780537043071246</v>
      </c>
      <c r="AS106" s="153">
        <f t="shared" si="52"/>
        <v>9.8758397645704044</v>
      </c>
      <c r="AT106" s="149">
        <v>1.077</v>
      </c>
      <c r="AU106" s="150">
        <f t="shared" si="53"/>
        <v>-26.015102000199164</v>
      </c>
      <c r="AV106" s="150">
        <f t="shared" si="54"/>
        <v>1.0826179356819798</v>
      </c>
      <c r="AW106" s="154">
        <f t="shared" si="55"/>
        <v>5.6179356819798798E-3</v>
      </c>
      <c r="AX106" s="154">
        <f t="shared" si="56"/>
        <v>445.05121752535251</v>
      </c>
      <c r="AY106" s="154">
        <f t="shared" si="57"/>
        <v>25.002691152442669</v>
      </c>
      <c r="AZ106" s="154">
        <f t="shared" si="58"/>
        <v>56.179356819798798</v>
      </c>
    </row>
    <row r="107" spans="1:52" ht="18" x14ac:dyDescent="0.25">
      <c r="A107" s="104">
        <v>100</v>
      </c>
      <c r="B107">
        <v>3</v>
      </c>
      <c r="C107" t="s">
        <v>459</v>
      </c>
      <c r="D107" t="s">
        <v>32</v>
      </c>
      <c r="E107" t="s">
        <v>467</v>
      </c>
      <c r="F107">
        <v>2</v>
      </c>
      <c r="G107" t="s">
        <v>25</v>
      </c>
      <c r="H107">
        <v>3.4180000000000001</v>
      </c>
      <c r="Q107" s="157">
        <v>487</v>
      </c>
      <c r="R107" s="141" t="s">
        <v>296</v>
      </c>
      <c r="S107" s="141">
        <v>7.0399580000000004</v>
      </c>
      <c r="T107" s="141">
        <v>38.384934397120169</v>
      </c>
      <c r="U107" s="141">
        <v>4.8615700000000004</v>
      </c>
      <c r="V107" s="141">
        <v>-28.851814793844742</v>
      </c>
      <c r="W107" s="142">
        <v>3.4180000000000001</v>
      </c>
      <c r="X107" s="158">
        <v>6.1372437857142854</v>
      </c>
      <c r="Y107" s="158">
        <v>2.165951323344959</v>
      </c>
      <c r="Z107" s="158">
        <v>4.1588204642857134</v>
      </c>
      <c r="AA107" s="158">
        <v>-25.525093669069488</v>
      </c>
      <c r="AB107" s="158">
        <v>2.4814285714285718</v>
      </c>
      <c r="AC107" s="158">
        <v>2.4814285714285718</v>
      </c>
      <c r="AD107" s="144">
        <f t="shared" si="39"/>
        <v>1.1401907461647542E-2</v>
      </c>
      <c r="AE107" s="144">
        <f t="shared" si="40"/>
        <v>0.27452622576973307</v>
      </c>
      <c r="AF107" s="145">
        <f t="shared" si="41"/>
        <v>8.0268949649885318E-2</v>
      </c>
      <c r="AG107" s="145">
        <f t="shared" si="42"/>
        <v>1.3346284634153613</v>
      </c>
      <c r="AH107" s="146">
        <f t="shared" si="43"/>
        <v>2.3484186556432216</v>
      </c>
      <c r="AI107" s="146">
        <f t="shared" si="44"/>
        <v>39.047058613673528</v>
      </c>
      <c r="AJ107" s="147">
        <f t="shared" si="45"/>
        <v>16.626958110660517</v>
      </c>
      <c r="AK107" s="148">
        <f t="shared" si="38"/>
        <v>38.19898307377521</v>
      </c>
      <c r="AL107" s="148">
        <f t="shared" si="46"/>
        <v>-29.356721124775255</v>
      </c>
      <c r="AM107" s="149">
        <v>0.36599999999999999</v>
      </c>
      <c r="AN107" s="150">
        <f t="shared" si="47"/>
        <v>38.19898307377521</v>
      </c>
      <c r="AO107" s="151">
        <f t="shared" si="48"/>
        <v>0.38019097793055273</v>
      </c>
      <c r="AP107" s="152">
        <f t="shared" si="49"/>
        <v>1.4190977930552739E-2</v>
      </c>
      <c r="AQ107" s="152">
        <f t="shared" si="50"/>
        <v>23.484186556432217</v>
      </c>
      <c r="AR107" s="153">
        <f t="shared" si="51"/>
        <v>3.3326357313931299</v>
      </c>
      <c r="AS107" s="153">
        <f t="shared" si="52"/>
        <v>141.90977930552739</v>
      </c>
      <c r="AT107" s="149">
        <v>1.077</v>
      </c>
      <c r="AU107" s="150">
        <f t="shared" si="53"/>
        <v>-29.356721124775255</v>
      </c>
      <c r="AV107" s="150">
        <f t="shared" si="54"/>
        <v>1.0789436858094672</v>
      </c>
      <c r="AW107" s="154">
        <f t="shared" si="55"/>
        <v>1.9436858094672438E-3</v>
      </c>
      <c r="AX107" s="154">
        <f t="shared" si="56"/>
        <v>390.47058613673528</v>
      </c>
      <c r="AY107" s="154">
        <f t="shared" si="57"/>
        <v>7.5895213728832944</v>
      </c>
      <c r="AZ107" s="154">
        <f t="shared" si="58"/>
        <v>19.436858094672438</v>
      </c>
    </row>
    <row r="108" spans="1:52" ht="18" x14ac:dyDescent="0.25">
      <c r="A108" s="104">
        <v>101</v>
      </c>
      <c r="B108">
        <v>3</v>
      </c>
      <c r="C108" t="s">
        <v>460</v>
      </c>
      <c r="D108" t="s">
        <v>52</v>
      </c>
      <c r="E108" t="s">
        <v>467</v>
      </c>
      <c r="F108">
        <v>2</v>
      </c>
      <c r="G108" t="s">
        <v>26</v>
      </c>
      <c r="H108">
        <v>3.052</v>
      </c>
      <c r="Q108" s="155">
        <v>488</v>
      </c>
      <c r="R108" s="155" t="s">
        <v>297</v>
      </c>
      <c r="S108" s="155">
        <v>2.8468779999999998</v>
      </c>
      <c r="T108" s="155">
        <v>13.711814647521352</v>
      </c>
      <c r="U108" s="155">
        <v>4.3153249999999996</v>
      </c>
      <c r="V108" s="155">
        <v>-29.571021429620611</v>
      </c>
      <c r="W108" s="142">
        <v>3.052</v>
      </c>
      <c r="X108" s="158">
        <v>6.1372437857142854</v>
      </c>
      <c r="Y108" s="158">
        <v>2.165951323344959</v>
      </c>
      <c r="Z108" s="158">
        <v>4.1588204642857134</v>
      </c>
      <c r="AA108" s="158">
        <v>-25.525093669069488</v>
      </c>
      <c r="AB108" s="158">
        <v>2.4814285714285718</v>
      </c>
      <c r="AC108" s="158">
        <v>2.4814285714285718</v>
      </c>
      <c r="AD108" s="144">
        <f t="shared" si="39"/>
        <v>1.1401907461647542E-2</v>
      </c>
      <c r="AE108" s="144">
        <f t="shared" si="40"/>
        <v>0.27452622576973307</v>
      </c>
      <c r="AF108" s="145">
        <f t="shared" si="41"/>
        <v>3.2459839510600233E-2</v>
      </c>
      <c r="AG108" s="145">
        <f t="shared" si="42"/>
        <v>1.1846698852197732</v>
      </c>
      <c r="AH108" s="146">
        <f t="shared" si="43"/>
        <v>1.063559616992144</v>
      </c>
      <c r="AI108" s="146">
        <f t="shared" si="44"/>
        <v>38.8161823466505</v>
      </c>
      <c r="AJ108" s="147">
        <f t="shared" si="45"/>
        <v>36.496480052925158</v>
      </c>
      <c r="AK108" s="148">
        <f t="shared" si="38"/>
        <v>13.525863324176393</v>
      </c>
      <c r="AL108" s="148">
        <f t="shared" si="46"/>
        <v>-30.075927760551124</v>
      </c>
      <c r="AM108" s="149">
        <v>0.36599999999999999</v>
      </c>
      <c r="AN108" s="150">
        <f t="shared" si="47"/>
        <v>13.525863324176393</v>
      </c>
      <c r="AO108" s="151">
        <f t="shared" si="48"/>
        <v>0.37118916008196545</v>
      </c>
      <c r="AP108" s="152">
        <f t="shared" si="49"/>
        <v>5.1891600819654604E-3</v>
      </c>
      <c r="AQ108" s="152">
        <f t="shared" si="50"/>
        <v>10.635596169921442</v>
      </c>
      <c r="AR108" s="153">
        <f t="shared" si="51"/>
        <v>0.55189811092861085</v>
      </c>
      <c r="AS108" s="153">
        <f t="shared" si="52"/>
        <v>51.891600819654606</v>
      </c>
      <c r="AT108" s="149">
        <v>1.077</v>
      </c>
      <c r="AU108" s="150">
        <f t="shared" si="53"/>
        <v>-30.075927760551124</v>
      </c>
      <c r="AV108" s="150">
        <f t="shared" si="54"/>
        <v>1.0781528523618169</v>
      </c>
      <c r="AW108" s="154">
        <f t="shared" si="55"/>
        <v>1.1528523618169473E-3</v>
      </c>
      <c r="AX108" s="154">
        <f t="shared" si="56"/>
        <v>388.16182346650498</v>
      </c>
      <c r="AY108" s="154">
        <f t="shared" si="57"/>
        <v>4.4749327495053324</v>
      </c>
      <c r="AZ108" s="154">
        <f t="shared" si="58"/>
        <v>11.528523618169473</v>
      </c>
    </row>
    <row r="109" spans="1:52" ht="18" x14ac:dyDescent="0.25">
      <c r="A109" s="104">
        <v>102</v>
      </c>
      <c r="B109">
        <v>3</v>
      </c>
      <c r="C109" t="s">
        <v>461</v>
      </c>
      <c r="D109" t="s">
        <v>40</v>
      </c>
      <c r="E109" t="s">
        <v>467</v>
      </c>
      <c r="F109">
        <v>2</v>
      </c>
      <c r="G109" t="s">
        <v>27</v>
      </c>
      <c r="H109">
        <v>3.3919999999999999</v>
      </c>
      <c r="Q109" s="141">
        <v>489</v>
      </c>
      <c r="R109" s="141" t="s">
        <v>298</v>
      </c>
      <c r="S109" s="141">
        <v>2.53979775</v>
      </c>
      <c r="T109" s="141">
        <v>-0.65845228105092524</v>
      </c>
      <c r="U109" s="141">
        <v>4.6787365000000003</v>
      </c>
      <c r="V109" s="141">
        <v>-28.84922033041391</v>
      </c>
      <c r="W109" s="142">
        <v>3.3919999999999999</v>
      </c>
      <c r="X109" s="158">
        <v>6.1372437857142854</v>
      </c>
      <c r="Y109" s="158">
        <v>2.165951323344959</v>
      </c>
      <c r="Z109" s="158">
        <v>4.1588204642857134</v>
      </c>
      <c r="AA109" s="158">
        <v>-25.525093669069488</v>
      </c>
      <c r="AB109" s="158">
        <v>2.4814285714285718</v>
      </c>
      <c r="AC109" s="158">
        <v>2.4814285714285718</v>
      </c>
      <c r="AD109" s="144">
        <f t="shared" si="39"/>
        <v>1.1401907461647542E-2</v>
      </c>
      <c r="AE109" s="144">
        <f t="shared" si="40"/>
        <v>0.27452622576973307</v>
      </c>
      <c r="AF109" s="145">
        <f t="shared" si="41"/>
        <v>2.8958538916800638E-2</v>
      </c>
      <c r="AG109" s="145">
        <f t="shared" si="42"/>
        <v>1.2844358727160907</v>
      </c>
      <c r="AH109" s="146">
        <f t="shared" si="43"/>
        <v>0.85373051051888671</v>
      </c>
      <c r="AI109" s="146">
        <f t="shared" si="44"/>
        <v>37.866623606016823</v>
      </c>
      <c r="AJ109" s="147">
        <f t="shared" si="45"/>
        <v>44.35430518115367</v>
      </c>
      <c r="AK109" s="148">
        <f t="shared" si="38"/>
        <v>-0.84440360439588424</v>
      </c>
      <c r="AL109" s="148">
        <f t="shared" si="46"/>
        <v>-29.354126661344424</v>
      </c>
      <c r="AM109" s="149">
        <v>0.36599999999999999</v>
      </c>
      <c r="AN109" s="150">
        <f t="shared" si="47"/>
        <v>-0.84440360439588424</v>
      </c>
      <c r="AO109" s="151">
        <f t="shared" si="48"/>
        <v>0.36594551741799991</v>
      </c>
      <c r="AP109" s="152">
        <f t="shared" si="49"/>
        <v>-5.4482582000081603E-5</v>
      </c>
      <c r="AQ109" s="152">
        <f t="shared" si="50"/>
        <v>8.5373051051888673</v>
      </c>
      <c r="AR109" s="153">
        <f t="shared" si="51"/>
        <v>-4.6513442545316778E-3</v>
      </c>
      <c r="AS109" s="153">
        <f t="shared" si="52"/>
        <v>-0.54482582000081603</v>
      </c>
      <c r="AT109" s="149">
        <v>1.077</v>
      </c>
      <c r="AU109" s="150">
        <f t="shared" si="53"/>
        <v>-29.354126661344424</v>
      </c>
      <c r="AV109" s="150">
        <f t="shared" si="54"/>
        <v>1.0789465386363122</v>
      </c>
      <c r="AW109" s="154">
        <f t="shared" si="55"/>
        <v>1.9465386363122228E-3</v>
      </c>
      <c r="AX109" s="154">
        <f t="shared" si="56"/>
        <v>378.66623606016827</v>
      </c>
      <c r="AY109" s="154">
        <f t="shared" si="57"/>
        <v>7.3708845875804219</v>
      </c>
      <c r="AZ109" s="154">
        <f t="shared" si="58"/>
        <v>19.465386363122228</v>
      </c>
    </row>
    <row r="110" spans="1:52" ht="18" x14ac:dyDescent="0.25">
      <c r="A110" s="104">
        <v>103</v>
      </c>
      <c r="B110">
        <v>3</v>
      </c>
      <c r="C110" t="s">
        <v>462</v>
      </c>
      <c r="D110" t="s">
        <v>48</v>
      </c>
      <c r="E110" t="s">
        <v>467</v>
      </c>
      <c r="F110">
        <v>2</v>
      </c>
      <c r="G110" t="s">
        <v>29</v>
      </c>
      <c r="H110">
        <v>3.1920000000000002</v>
      </c>
      <c r="Q110" s="155">
        <v>490</v>
      </c>
      <c r="R110" s="155" t="s">
        <v>299</v>
      </c>
      <c r="S110" s="155">
        <v>3.7669462500000002</v>
      </c>
      <c r="T110" s="155">
        <v>66.83388741664271</v>
      </c>
      <c r="U110" s="155">
        <v>4.57965</v>
      </c>
      <c r="V110" s="155">
        <v>-27.173847562900335</v>
      </c>
      <c r="W110" s="142">
        <v>3.1920000000000002</v>
      </c>
      <c r="X110" s="158">
        <v>6.1372437857142854</v>
      </c>
      <c r="Y110" s="158">
        <v>2.165951323344959</v>
      </c>
      <c r="Z110" s="158">
        <v>4.1588204642857134</v>
      </c>
      <c r="AA110" s="158">
        <v>-25.525093669069488</v>
      </c>
      <c r="AB110" s="158">
        <v>2.4814285714285718</v>
      </c>
      <c r="AC110" s="158">
        <v>2.4814285714285718</v>
      </c>
      <c r="AD110" s="144">
        <f t="shared" si="39"/>
        <v>1.1401907461647542E-2</v>
      </c>
      <c r="AE110" s="144">
        <f t="shared" si="40"/>
        <v>0.27452622576973307</v>
      </c>
      <c r="AF110" s="145">
        <f t="shared" si="41"/>
        <v>4.295037255550023E-2</v>
      </c>
      <c r="AG110" s="145">
        <f t="shared" si="42"/>
        <v>1.257234029846358</v>
      </c>
      <c r="AH110" s="146">
        <f t="shared" si="43"/>
        <v>1.345563049984343</v>
      </c>
      <c r="AI110" s="146">
        <f t="shared" si="44"/>
        <v>39.387031010224248</v>
      </c>
      <c r="AJ110" s="147">
        <f t="shared" si="45"/>
        <v>29.271784039166768</v>
      </c>
      <c r="AK110" s="148">
        <f t="shared" si="38"/>
        <v>66.647936093297744</v>
      </c>
      <c r="AL110" s="148">
        <f t="shared" si="46"/>
        <v>-27.678753893830848</v>
      </c>
      <c r="AM110" s="149">
        <v>0.36599999999999999</v>
      </c>
      <c r="AN110" s="150">
        <f t="shared" si="47"/>
        <v>66.647936093297744</v>
      </c>
      <c r="AO110" s="151">
        <f t="shared" si="48"/>
        <v>0.39056836360833008</v>
      </c>
      <c r="AP110" s="152">
        <f t="shared" si="49"/>
        <v>2.456836360833009E-2</v>
      </c>
      <c r="AQ110" s="152">
        <f t="shared" si="50"/>
        <v>13.45563049984343</v>
      </c>
      <c r="AR110" s="153">
        <f t="shared" si="51"/>
        <v>3.3058282269948975</v>
      </c>
      <c r="AS110" s="153">
        <f t="shared" si="52"/>
        <v>245.68363608330091</v>
      </c>
      <c r="AT110" s="149">
        <v>1.077</v>
      </c>
      <c r="AU110" s="150">
        <f t="shared" si="53"/>
        <v>-27.678753893830848</v>
      </c>
      <c r="AV110" s="150">
        <f t="shared" si="54"/>
        <v>1.0807887150199307</v>
      </c>
      <c r="AW110" s="154">
        <f t="shared" si="55"/>
        <v>3.7887150199307218E-3</v>
      </c>
      <c r="AX110" s="154">
        <f t="shared" si="56"/>
        <v>393.87031010224246</v>
      </c>
      <c r="AY110" s="154">
        <f t="shared" si="57"/>
        <v>14.922623597891372</v>
      </c>
      <c r="AZ110" s="154">
        <f t="shared" si="58"/>
        <v>37.887150199307214</v>
      </c>
    </row>
    <row r="111" spans="1:52" ht="18" x14ac:dyDescent="0.25">
      <c r="A111" s="104">
        <v>104</v>
      </c>
      <c r="B111">
        <v>3</v>
      </c>
      <c r="C111" t="s">
        <v>463</v>
      </c>
      <c r="D111" t="s">
        <v>36</v>
      </c>
      <c r="E111" t="s">
        <v>467</v>
      </c>
      <c r="F111">
        <v>2</v>
      </c>
      <c r="G111" t="s">
        <v>30</v>
      </c>
      <c r="H111">
        <v>3.58</v>
      </c>
      <c r="Q111" s="141">
        <v>491</v>
      </c>
      <c r="R111" s="141" t="s">
        <v>300</v>
      </c>
      <c r="S111" s="141">
        <v>5.6316629999999996</v>
      </c>
      <c r="T111" s="141">
        <v>202.40617187901225</v>
      </c>
      <c r="U111" s="141">
        <v>4.9817450000000001</v>
      </c>
      <c r="V111" s="141">
        <v>-26.151108460882043</v>
      </c>
      <c r="W111" s="142">
        <v>3.58</v>
      </c>
      <c r="X111" s="158">
        <v>6.1372437857142854</v>
      </c>
      <c r="Y111" s="158">
        <v>2.165951323344959</v>
      </c>
      <c r="Z111" s="158">
        <v>4.1588204642857134</v>
      </c>
      <c r="AA111" s="158">
        <v>-25.525093669069488</v>
      </c>
      <c r="AB111" s="158">
        <v>2.4814285714285718</v>
      </c>
      <c r="AC111" s="158">
        <v>2.4814285714285718</v>
      </c>
      <c r="AD111" s="144">
        <f t="shared" si="39"/>
        <v>1.1401907461647542E-2</v>
      </c>
      <c r="AE111" s="144">
        <f t="shared" si="40"/>
        <v>0.27452622576973307</v>
      </c>
      <c r="AF111" s="145">
        <f t="shared" si="41"/>
        <v>6.4211700381184386E-2</v>
      </c>
      <c r="AG111" s="145">
        <f t="shared" si="42"/>
        <v>1.3676196525972388</v>
      </c>
      <c r="AH111" s="146">
        <f t="shared" si="43"/>
        <v>1.7936229156755414</v>
      </c>
      <c r="AI111" s="146">
        <f t="shared" si="44"/>
        <v>38.201666273665893</v>
      </c>
      <c r="AJ111" s="147">
        <f t="shared" si="45"/>
        <v>21.298605152620834</v>
      </c>
      <c r="AK111" s="148">
        <f t="shared" si="38"/>
        <v>202.22022055566728</v>
      </c>
      <c r="AL111" s="148">
        <f t="shared" si="46"/>
        <v>-26.656014791812556</v>
      </c>
      <c r="AM111" s="149">
        <v>0.36599999999999999</v>
      </c>
      <c r="AN111" s="150">
        <f t="shared" si="47"/>
        <v>202.22022055566728</v>
      </c>
      <c r="AO111" s="151">
        <f t="shared" si="48"/>
        <v>0.43999167081241891</v>
      </c>
      <c r="AP111" s="152">
        <f t="shared" si="49"/>
        <v>7.3991670812418919E-2</v>
      </c>
      <c r="AQ111" s="152">
        <f t="shared" si="50"/>
        <v>17.936229156755417</v>
      </c>
      <c r="AR111" s="153">
        <f t="shared" si="51"/>
        <v>13.271315633827571</v>
      </c>
      <c r="AS111" s="153">
        <f t="shared" si="52"/>
        <v>739.9167081241892</v>
      </c>
      <c r="AT111" s="149">
        <v>1.077</v>
      </c>
      <c r="AU111" s="150">
        <f t="shared" si="53"/>
        <v>-26.656014791812556</v>
      </c>
      <c r="AV111" s="150">
        <f t="shared" si="54"/>
        <v>1.081913246439143</v>
      </c>
      <c r="AW111" s="154">
        <f t="shared" si="55"/>
        <v>4.9132464391430375E-3</v>
      </c>
      <c r="AX111" s="154">
        <f t="shared" si="56"/>
        <v>382.01666273665893</v>
      </c>
      <c r="AY111" s="154">
        <f t="shared" si="57"/>
        <v>18.769420078841964</v>
      </c>
      <c r="AZ111" s="154">
        <f t="shared" si="58"/>
        <v>49.132464391430375</v>
      </c>
    </row>
    <row r="112" spans="1:52" ht="18" x14ac:dyDescent="0.25">
      <c r="A112" s="104">
        <v>105</v>
      </c>
      <c r="B112">
        <v>3</v>
      </c>
      <c r="C112" t="s">
        <v>464</v>
      </c>
      <c r="D112" t="s">
        <v>44</v>
      </c>
      <c r="E112" t="s">
        <v>467</v>
      </c>
      <c r="F112">
        <v>2</v>
      </c>
      <c r="G112" t="s">
        <v>31</v>
      </c>
      <c r="H112">
        <v>3.8319999999999999</v>
      </c>
      <c r="Q112" s="155">
        <v>492</v>
      </c>
      <c r="R112" s="155" t="s">
        <v>301</v>
      </c>
      <c r="S112" s="155">
        <v>3.93738075</v>
      </c>
      <c r="T112" s="155">
        <v>-0.41602318221895807</v>
      </c>
      <c r="U112" s="155">
        <v>4.7808900000000003</v>
      </c>
      <c r="V112" s="155">
        <v>-28.99349616459639</v>
      </c>
      <c r="W112" s="142">
        <v>3.8319999999999999</v>
      </c>
      <c r="X112" s="158">
        <v>6.1372437857142854</v>
      </c>
      <c r="Y112" s="158">
        <v>2.165951323344959</v>
      </c>
      <c r="Z112" s="158">
        <v>4.1588204642857134</v>
      </c>
      <c r="AA112" s="158">
        <v>-25.525093669069488</v>
      </c>
      <c r="AB112" s="158">
        <v>2.4814285714285718</v>
      </c>
      <c r="AC112" s="158">
        <v>2.4814285714285718</v>
      </c>
      <c r="AD112" s="144">
        <f t="shared" si="39"/>
        <v>1.1401907461647542E-2</v>
      </c>
      <c r="AE112" s="144">
        <f t="shared" si="40"/>
        <v>0.27452622576973307</v>
      </c>
      <c r="AF112" s="145">
        <f t="shared" si="41"/>
        <v>4.4893650952772396E-2</v>
      </c>
      <c r="AG112" s="145">
        <f t="shared" si="42"/>
        <v>1.3124796875202591</v>
      </c>
      <c r="AH112" s="146">
        <f t="shared" si="43"/>
        <v>1.1715462148427036</v>
      </c>
      <c r="AI112" s="146">
        <f t="shared" si="44"/>
        <v>34.250513766186302</v>
      </c>
      <c r="AJ112" s="147">
        <f t="shared" si="45"/>
        <v>29.235307435810302</v>
      </c>
      <c r="AK112" s="148">
        <f t="shared" si="38"/>
        <v>-0.60197450556391707</v>
      </c>
      <c r="AL112" s="148">
        <f t="shared" si="46"/>
        <v>-29.498402495526904</v>
      </c>
      <c r="AM112" s="149">
        <v>0.36599999999999999</v>
      </c>
      <c r="AN112" s="150">
        <f t="shared" si="47"/>
        <v>-0.60197450556391707</v>
      </c>
      <c r="AO112" s="151">
        <f t="shared" si="48"/>
        <v>0.36603398323073</v>
      </c>
      <c r="AP112" s="152">
        <f t="shared" si="49"/>
        <v>3.3983230730005864E-5</v>
      </c>
      <c r="AQ112" s="152">
        <f t="shared" si="50"/>
        <v>11.715462148427036</v>
      </c>
      <c r="AR112" s="153">
        <f t="shared" si="51"/>
        <v>3.9812925329864622E-3</v>
      </c>
      <c r="AS112" s="153">
        <f t="shared" si="52"/>
        <v>0.33983230730005864</v>
      </c>
      <c r="AT112" s="149">
        <v>1.077</v>
      </c>
      <c r="AU112" s="150">
        <f t="shared" si="53"/>
        <v>-29.498402495526904</v>
      </c>
      <c r="AV112" s="150">
        <f t="shared" si="54"/>
        <v>1.0787878951895977</v>
      </c>
      <c r="AW112" s="154">
        <f t="shared" si="55"/>
        <v>1.7878951895977657E-3</v>
      </c>
      <c r="AX112" s="154">
        <f t="shared" si="56"/>
        <v>342.50513766186305</v>
      </c>
      <c r="AY112" s="154">
        <f t="shared" si="57"/>
        <v>6.1236328803816553</v>
      </c>
      <c r="AZ112" s="154">
        <f t="shared" si="58"/>
        <v>17.878951895977657</v>
      </c>
    </row>
    <row r="113" spans="1:52" ht="18" x14ac:dyDescent="0.25">
      <c r="A113" s="104">
        <v>106</v>
      </c>
      <c r="B113">
        <v>3</v>
      </c>
      <c r="C113" t="s">
        <v>458</v>
      </c>
      <c r="D113" t="s">
        <v>28</v>
      </c>
      <c r="E113" t="s">
        <v>468</v>
      </c>
      <c r="F113">
        <v>2</v>
      </c>
      <c r="G113" t="s">
        <v>33</v>
      </c>
      <c r="H113">
        <v>3.653</v>
      </c>
      <c r="Q113" s="141">
        <v>493</v>
      </c>
      <c r="R113" s="141" t="s">
        <v>302</v>
      </c>
      <c r="S113" s="141">
        <v>7.2344590000000002</v>
      </c>
      <c r="T113" s="141">
        <v>-1.5632364510863335</v>
      </c>
      <c r="U113" s="141">
        <v>5.6723014999999997</v>
      </c>
      <c r="V113" s="141">
        <v>-29.675546298248474</v>
      </c>
      <c r="W113" s="142">
        <v>3.653</v>
      </c>
      <c r="X113" s="158">
        <v>6.1372437857142854</v>
      </c>
      <c r="Y113" s="158">
        <v>2.165951323344959</v>
      </c>
      <c r="Z113" s="158">
        <v>4.1588204642857134</v>
      </c>
      <c r="AA113" s="158">
        <v>-25.525093669069488</v>
      </c>
      <c r="AB113" s="158">
        <v>2.4814285714285718</v>
      </c>
      <c r="AC113" s="158">
        <v>2.4814285714285718</v>
      </c>
      <c r="AD113" s="144">
        <f t="shared" si="39"/>
        <v>1.1401907461647542E-2</v>
      </c>
      <c r="AE113" s="144">
        <f t="shared" si="40"/>
        <v>0.27452622576973307</v>
      </c>
      <c r="AF113" s="145">
        <f t="shared" si="41"/>
        <v>8.2486632053083223E-2</v>
      </c>
      <c r="AG113" s="145">
        <f t="shared" si="42"/>
        <v>1.5571955222229954</v>
      </c>
      <c r="AH113" s="146">
        <f t="shared" si="43"/>
        <v>2.2580517944999512</v>
      </c>
      <c r="AI113" s="146">
        <f t="shared" si="44"/>
        <v>42.627854427128263</v>
      </c>
      <c r="AJ113" s="147">
        <f t="shared" si="45"/>
        <v>18.878156174698489</v>
      </c>
      <c r="AK113" s="148">
        <f t="shared" si="38"/>
        <v>-1.7491877744312925</v>
      </c>
      <c r="AL113" s="148">
        <f t="shared" si="46"/>
        <v>-30.180452629178987</v>
      </c>
      <c r="AM113" s="149">
        <v>0.36599999999999999</v>
      </c>
      <c r="AN113" s="150">
        <f t="shared" si="47"/>
        <v>-1.7491877744312925</v>
      </c>
      <c r="AO113" s="151">
        <f t="shared" si="48"/>
        <v>0.36561534746872143</v>
      </c>
      <c r="AP113" s="152">
        <f t="shared" si="49"/>
        <v>-3.8465253127856203E-4</v>
      </c>
      <c r="AQ113" s="152">
        <f t="shared" si="50"/>
        <v>22.58051794499951</v>
      </c>
      <c r="AR113" s="153">
        <f t="shared" si="51"/>
        <v>-8.6856533851250556E-2</v>
      </c>
      <c r="AS113" s="153">
        <f t="shared" si="52"/>
        <v>-3.8465253127856203</v>
      </c>
      <c r="AT113" s="149">
        <v>1.077</v>
      </c>
      <c r="AU113" s="150">
        <f t="shared" si="53"/>
        <v>-30.180452629178987</v>
      </c>
      <c r="AV113" s="150">
        <f t="shared" si="54"/>
        <v>1.0780379166604463</v>
      </c>
      <c r="AW113" s="154">
        <f t="shared" si="55"/>
        <v>1.0379166604463919E-3</v>
      </c>
      <c r="AX113" s="154">
        <f t="shared" si="56"/>
        <v>426.27854427128273</v>
      </c>
      <c r="AY113" s="154">
        <f t="shared" si="57"/>
        <v>4.4244160308999909</v>
      </c>
      <c r="AZ113" s="154">
        <f t="shared" si="58"/>
        <v>10.379166604463917</v>
      </c>
    </row>
    <row r="114" spans="1:52" ht="18" x14ac:dyDescent="0.25">
      <c r="A114" s="104">
        <v>107</v>
      </c>
      <c r="B114">
        <v>3</v>
      </c>
      <c r="C114" t="s">
        <v>460</v>
      </c>
      <c r="D114" t="s">
        <v>52</v>
      </c>
      <c r="E114" t="s">
        <v>468</v>
      </c>
      <c r="F114">
        <v>2</v>
      </c>
      <c r="G114" t="s">
        <v>34</v>
      </c>
      <c r="H114">
        <v>3.1960000000000002</v>
      </c>
      <c r="Q114" s="155">
        <v>494</v>
      </c>
      <c r="R114" s="155" t="s">
        <v>303</v>
      </c>
      <c r="S114" s="155">
        <v>5.8980550000000003</v>
      </c>
      <c r="T114" s="155">
        <v>-2.6431458744598233</v>
      </c>
      <c r="U114" s="155">
        <v>5.3166704999999999</v>
      </c>
      <c r="V114" s="155">
        <v>-31.087723045861072</v>
      </c>
      <c r="W114" s="142">
        <v>3.1960000000000002</v>
      </c>
      <c r="X114" s="158">
        <v>6.1372437857142854</v>
      </c>
      <c r="Y114" s="158">
        <v>2.165951323344959</v>
      </c>
      <c r="Z114" s="158">
        <v>4.1588204642857134</v>
      </c>
      <c r="AA114" s="158">
        <v>-25.525093669069488</v>
      </c>
      <c r="AB114" s="158">
        <v>2.4814285714285718</v>
      </c>
      <c r="AC114" s="158">
        <v>2.4814285714285718</v>
      </c>
      <c r="AD114" s="144">
        <f t="shared" si="39"/>
        <v>1.1401907461647542E-2</v>
      </c>
      <c r="AE114" s="144">
        <f t="shared" si="40"/>
        <v>0.27452622576973307</v>
      </c>
      <c r="AF114" s="145">
        <f t="shared" si="41"/>
        <v>6.7249077313707592E-2</v>
      </c>
      <c r="AG114" s="145">
        <f t="shared" si="42"/>
        <v>1.4595654860262794</v>
      </c>
      <c r="AH114" s="146">
        <f t="shared" si="43"/>
        <v>2.104163870891977</v>
      </c>
      <c r="AI114" s="146">
        <f t="shared" si="44"/>
        <v>45.668507072161432</v>
      </c>
      <c r="AJ114" s="147">
        <f t="shared" si="45"/>
        <v>21.703873782797189</v>
      </c>
      <c r="AK114" s="148">
        <f t="shared" si="38"/>
        <v>-2.8290971978047823</v>
      </c>
      <c r="AL114" s="148">
        <f t="shared" si="46"/>
        <v>-31.592629376791585</v>
      </c>
      <c r="AM114" s="149">
        <v>0.36599999999999999</v>
      </c>
      <c r="AN114" s="150">
        <f t="shared" si="47"/>
        <v>-2.8290971978047823</v>
      </c>
      <c r="AO114" s="151">
        <f t="shared" si="48"/>
        <v>0.36522126870036031</v>
      </c>
      <c r="AP114" s="152">
        <f t="shared" si="49"/>
        <v>-7.7873129963967891E-4</v>
      </c>
      <c r="AQ114" s="152">
        <f t="shared" si="50"/>
        <v>21.04163870891977</v>
      </c>
      <c r="AR114" s="153">
        <f t="shared" si="51"/>
        <v>-0.16385782658345668</v>
      </c>
      <c r="AS114" s="153">
        <f t="shared" si="52"/>
        <v>-7.7873129963967891</v>
      </c>
      <c r="AT114" s="149">
        <v>1.077</v>
      </c>
      <c r="AU114" s="150">
        <f t="shared" si="53"/>
        <v>-31.592629376791585</v>
      </c>
      <c r="AV114" s="150">
        <f t="shared" si="54"/>
        <v>1.0764850588231847</v>
      </c>
      <c r="AW114" s="154">
        <f t="shared" si="55"/>
        <v>-5.1494117681527563E-4</v>
      </c>
      <c r="AX114" s="154">
        <f t="shared" si="56"/>
        <v>456.6850707216143</v>
      </c>
      <c r="AY114" s="154">
        <f t="shared" si="57"/>
        <v>-2.3516594775135542</v>
      </c>
      <c r="AZ114" s="154">
        <f t="shared" si="58"/>
        <v>-5.1494117681527563</v>
      </c>
    </row>
    <row r="115" spans="1:52" ht="18" x14ac:dyDescent="0.25">
      <c r="A115" s="104">
        <v>108</v>
      </c>
      <c r="B115">
        <v>3</v>
      </c>
      <c r="C115" t="s">
        <v>461</v>
      </c>
      <c r="D115" t="s">
        <v>40</v>
      </c>
      <c r="E115" t="s">
        <v>468</v>
      </c>
      <c r="F115">
        <v>2</v>
      </c>
      <c r="G115" t="s">
        <v>35</v>
      </c>
      <c r="H115">
        <v>3.383</v>
      </c>
      <c r="Q115" s="141">
        <v>495</v>
      </c>
      <c r="R115" s="141" t="s">
        <v>304</v>
      </c>
      <c r="S115" s="141">
        <v>4.9135879999999998</v>
      </c>
      <c r="T115" s="141">
        <v>-4.1278229756146807</v>
      </c>
      <c r="U115" s="141">
        <v>5.5345614999999997</v>
      </c>
      <c r="V115" s="141">
        <v>-30.20540715502576</v>
      </c>
      <c r="W115" s="142">
        <v>3.383</v>
      </c>
      <c r="X115" s="158">
        <v>6.1372437857142854</v>
      </c>
      <c r="Y115" s="158">
        <v>2.165951323344959</v>
      </c>
      <c r="Z115" s="158">
        <v>4.1588204642857134</v>
      </c>
      <c r="AA115" s="158">
        <v>-25.525093669069488</v>
      </c>
      <c r="AB115" s="158">
        <v>2.4814285714285718</v>
      </c>
      <c r="AC115" s="158">
        <v>2.4814285714285718</v>
      </c>
      <c r="AD115" s="144">
        <f t="shared" si="39"/>
        <v>1.1401907461647542E-2</v>
      </c>
      <c r="AE115" s="144">
        <f t="shared" si="40"/>
        <v>0.27452622576973307</v>
      </c>
      <c r="AF115" s="145">
        <f t="shared" si="41"/>
        <v>5.6024275680661824E-2</v>
      </c>
      <c r="AG115" s="145">
        <f t="shared" si="42"/>
        <v>1.5193822798854724</v>
      </c>
      <c r="AH115" s="146">
        <f t="shared" si="43"/>
        <v>1.6560530795347863</v>
      </c>
      <c r="AI115" s="146">
        <f t="shared" si="44"/>
        <v>44.912275491737283</v>
      </c>
      <c r="AJ115" s="147">
        <f t="shared" si="45"/>
        <v>27.120070030819249</v>
      </c>
      <c r="AK115" s="148">
        <f t="shared" si="38"/>
        <v>-4.3137742989596397</v>
      </c>
      <c r="AL115" s="148">
        <f t="shared" si="46"/>
        <v>-30.710313485956274</v>
      </c>
      <c r="AM115" s="149">
        <v>0.36599999999999999</v>
      </c>
      <c r="AN115" s="150">
        <f t="shared" si="47"/>
        <v>-4.3137742989596397</v>
      </c>
      <c r="AO115" s="151">
        <f t="shared" si="48"/>
        <v>0.36467947768858555</v>
      </c>
      <c r="AP115" s="152">
        <f t="shared" si="49"/>
        <v>-1.3205223114144404E-3</v>
      </c>
      <c r="AQ115" s="152">
        <f t="shared" si="50"/>
        <v>16.560530795347866</v>
      </c>
      <c r="AR115" s="153">
        <f t="shared" si="51"/>
        <v>-0.21868550404122786</v>
      </c>
      <c r="AS115" s="153">
        <f t="shared" si="52"/>
        <v>-13.205223114144404</v>
      </c>
      <c r="AT115" s="149">
        <v>1.077</v>
      </c>
      <c r="AU115" s="150">
        <f t="shared" si="53"/>
        <v>-30.710313485956274</v>
      </c>
      <c r="AV115" s="150">
        <f t="shared" si="54"/>
        <v>1.0774552767637859</v>
      </c>
      <c r="AW115" s="154">
        <f t="shared" si="55"/>
        <v>4.5527676378598336E-4</v>
      </c>
      <c r="AX115" s="154">
        <f t="shared" si="56"/>
        <v>449.12275491737284</v>
      </c>
      <c r="AY115" s="154">
        <f t="shared" si="57"/>
        <v>2.0447515440142685</v>
      </c>
      <c r="AZ115" s="154">
        <f t="shared" si="58"/>
        <v>4.5527676378598336</v>
      </c>
    </row>
    <row r="116" spans="1:52" ht="18" x14ac:dyDescent="0.25">
      <c r="A116" s="104">
        <v>109</v>
      </c>
      <c r="B116">
        <v>3</v>
      </c>
      <c r="C116" t="s">
        <v>462</v>
      </c>
      <c r="D116" t="s">
        <v>48</v>
      </c>
      <c r="E116" t="s">
        <v>468</v>
      </c>
      <c r="F116">
        <v>2</v>
      </c>
      <c r="G116" t="s">
        <v>37</v>
      </c>
      <c r="H116">
        <v>3.49</v>
      </c>
      <c r="Q116" s="155">
        <v>496</v>
      </c>
      <c r="R116" s="155" t="s">
        <v>305</v>
      </c>
      <c r="S116" s="155">
        <v>4.1786747499999999</v>
      </c>
      <c r="T116" s="155">
        <v>4.4683945753711418</v>
      </c>
      <c r="U116" s="155">
        <v>5.7017740000000003</v>
      </c>
      <c r="V116" s="155">
        <v>-29.62563213081734</v>
      </c>
      <c r="W116" s="142">
        <v>3.49</v>
      </c>
      <c r="X116" s="158">
        <v>6.1372437857142854</v>
      </c>
      <c r="Y116" s="158">
        <v>2.165951323344959</v>
      </c>
      <c r="Z116" s="158">
        <v>4.1588204642857134</v>
      </c>
      <c r="AA116" s="158">
        <v>-25.525093669069488</v>
      </c>
      <c r="AB116" s="158">
        <v>2.4814285714285718</v>
      </c>
      <c r="AC116" s="158">
        <v>2.4814285714285718</v>
      </c>
      <c r="AD116" s="144">
        <f t="shared" si="39"/>
        <v>1.1401907461647542E-2</v>
      </c>
      <c r="AE116" s="144">
        <f t="shared" si="40"/>
        <v>0.27452622576973307</v>
      </c>
      <c r="AF116" s="145">
        <f t="shared" si="41"/>
        <v>4.7644862811823174E-2</v>
      </c>
      <c r="AG116" s="145">
        <f t="shared" si="42"/>
        <v>1.5652864964119941</v>
      </c>
      <c r="AH116" s="146">
        <f t="shared" si="43"/>
        <v>1.3651823155250191</v>
      </c>
      <c r="AI116" s="146">
        <f t="shared" si="44"/>
        <v>44.850615943037084</v>
      </c>
      <c r="AJ116" s="147">
        <f t="shared" si="45"/>
        <v>32.853206075840873</v>
      </c>
      <c r="AK116" s="148">
        <f t="shared" si="38"/>
        <v>4.2824432520261828</v>
      </c>
      <c r="AL116" s="148">
        <f t="shared" si="46"/>
        <v>-30.130538461747854</v>
      </c>
      <c r="AM116" s="149">
        <v>0.36599999999999999</v>
      </c>
      <c r="AN116" s="150">
        <f t="shared" si="47"/>
        <v>4.2824432520261828</v>
      </c>
      <c r="AO116" s="151">
        <f t="shared" si="48"/>
        <v>0.36781634300155436</v>
      </c>
      <c r="AP116" s="152">
        <f t="shared" si="49"/>
        <v>1.8163430015543658E-3</v>
      </c>
      <c r="AQ116" s="152">
        <f t="shared" si="50"/>
        <v>13.651823155250192</v>
      </c>
      <c r="AR116" s="153">
        <f t="shared" si="51"/>
        <v>0.24796393446496529</v>
      </c>
      <c r="AS116" s="153">
        <f t="shared" si="52"/>
        <v>18.163430015543657</v>
      </c>
      <c r="AT116" s="149">
        <v>1.077</v>
      </c>
      <c r="AU116" s="150">
        <f t="shared" si="53"/>
        <v>-30.130538461747854</v>
      </c>
      <c r="AV116" s="150">
        <f t="shared" si="54"/>
        <v>1.0780928023866843</v>
      </c>
      <c r="AW116" s="154">
        <f t="shared" si="55"/>
        <v>1.0928023866842995E-3</v>
      </c>
      <c r="AX116" s="154">
        <f t="shared" si="56"/>
        <v>448.50615943037087</v>
      </c>
      <c r="AY116" s="154">
        <f t="shared" si="57"/>
        <v>4.9012860146811832</v>
      </c>
      <c r="AZ116" s="154">
        <f t="shared" si="58"/>
        <v>10.928023866842995</v>
      </c>
    </row>
    <row r="117" spans="1:52" ht="18" x14ac:dyDescent="0.25">
      <c r="A117" s="104">
        <v>110</v>
      </c>
      <c r="B117">
        <v>3</v>
      </c>
      <c r="C117" t="s">
        <v>463</v>
      </c>
      <c r="D117" t="s">
        <v>36</v>
      </c>
      <c r="E117" t="s">
        <v>468</v>
      </c>
      <c r="F117">
        <v>2</v>
      </c>
      <c r="G117" t="s">
        <v>38</v>
      </c>
      <c r="H117">
        <v>3.371</v>
      </c>
      <c r="Q117" s="141">
        <v>497</v>
      </c>
      <c r="R117" s="141" t="s">
        <v>306</v>
      </c>
      <c r="S117" s="141">
        <v>7.1551970000000003</v>
      </c>
      <c r="T117" s="141">
        <v>40.55429388302462</v>
      </c>
      <c r="U117" s="141">
        <v>5.3572424999999999</v>
      </c>
      <c r="V117" s="141">
        <v>-29.313619191788163</v>
      </c>
      <c r="W117" s="142">
        <v>3.371</v>
      </c>
      <c r="X117" s="158">
        <v>6.1372437857142854</v>
      </c>
      <c r="Y117" s="158">
        <v>2.165951323344959</v>
      </c>
      <c r="Z117" s="158">
        <v>4.1588204642857134</v>
      </c>
      <c r="AA117" s="158">
        <v>-25.525093669069488</v>
      </c>
      <c r="AB117" s="158">
        <v>2.4814285714285718</v>
      </c>
      <c r="AC117" s="158">
        <v>2.4814285714285718</v>
      </c>
      <c r="AD117" s="144">
        <f t="shared" si="39"/>
        <v>1.1401907461647542E-2</v>
      </c>
      <c r="AE117" s="144">
        <f t="shared" si="40"/>
        <v>0.27452622576973307</v>
      </c>
      <c r="AF117" s="145">
        <f t="shared" si="41"/>
        <v>8.1582894063858116E-2</v>
      </c>
      <c r="AG117" s="145">
        <f t="shared" si="42"/>
        <v>1.4707035640582091</v>
      </c>
      <c r="AH117" s="146">
        <f t="shared" si="43"/>
        <v>2.420139248408725</v>
      </c>
      <c r="AI117" s="146">
        <f t="shared" si="44"/>
        <v>43.628109286805376</v>
      </c>
      <c r="AJ117" s="147">
        <f t="shared" si="45"/>
        <v>18.02710704166773</v>
      </c>
      <c r="AK117" s="148">
        <f t="shared" si="38"/>
        <v>40.368342559679661</v>
      </c>
      <c r="AL117" s="148">
        <f t="shared" si="46"/>
        <v>-29.818525522718677</v>
      </c>
      <c r="AM117" s="149">
        <v>0.36599999999999999</v>
      </c>
      <c r="AN117" s="150">
        <f t="shared" si="47"/>
        <v>40.368342559679661</v>
      </c>
      <c r="AO117" s="151">
        <f t="shared" si="48"/>
        <v>0.38098237600167023</v>
      </c>
      <c r="AP117" s="152">
        <f t="shared" si="49"/>
        <v>1.4982376001670239E-2</v>
      </c>
      <c r="AQ117" s="152">
        <f t="shared" si="50"/>
        <v>24.201392484087247</v>
      </c>
      <c r="AR117" s="153">
        <f t="shared" si="51"/>
        <v>3.6259436196059127</v>
      </c>
      <c r="AS117" s="153">
        <f t="shared" si="52"/>
        <v>149.82376001670238</v>
      </c>
      <c r="AT117" s="149">
        <v>1.077</v>
      </c>
      <c r="AU117" s="150">
        <f t="shared" si="53"/>
        <v>-29.818525522718677</v>
      </c>
      <c r="AV117" s="150">
        <f t="shared" si="54"/>
        <v>1.0784358911075753</v>
      </c>
      <c r="AW117" s="154">
        <f t="shared" si="55"/>
        <v>1.43589110757536E-3</v>
      </c>
      <c r="AX117" s="154">
        <f t="shared" si="56"/>
        <v>436.2810928680538</v>
      </c>
      <c r="AY117" s="154">
        <f t="shared" si="57"/>
        <v>6.2645214165249827</v>
      </c>
      <c r="AZ117" s="154">
        <f t="shared" si="58"/>
        <v>14.3589110757536</v>
      </c>
    </row>
    <row r="118" spans="1:52" ht="18" x14ac:dyDescent="0.25">
      <c r="A118" s="104">
        <v>111</v>
      </c>
      <c r="B118">
        <v>3</v>
      </c>
      <c r="C118" t="s">
        <v>464</v>
      </c>
      <c r="D118" t="s">
        <v>44</v>
      </c>
      <c r="E118" t="s">
        <v>468</v>
      </c>
      <c r="F118">
        <v>2</v>
      </c>
      <c r="G118" t="s">
        <v>39</v>
      </c>
      <c r="H118">
        <v>3.69</v>
      </c>
      <c r="Q118" s="155">
        <v>498</v>
      </c>
      <c r="R118" s="155" t="s">
        <v>307</v>
      </c>
      <c r="S118" s="155">
        <v>7.0806959999999997</v>
      </c>
      <c r="T118" s="155">
        <v>-4.3351968118341686</v>
      </c>
      <c r="U118" s="155">
        <v>5.8314085000000002</v>
      </c>
      <c r="V118" s="155">
        <v>-29.404595989760082</v>
      </c>
      <c r="W118" s="142">
        <v>3.69</v>
      </c>
      <c r="X118" s="158">
        <v>6.1372437857142854</v>
      </c>
      <c r="Y118" s="158">
        <v>2.165951323344959</v>
      </c>
      <c r="Z118" s="158">
        <v>4.1588204642857134</v>
      </c>
      <c r="AA118" s="158">
        <v>-25.525093669069488</v>
      </c>
      <c r="AB118" s="158">
        <v>2.4814285714285718</v>
      </c>
      <c r="AC118" s="158">
        <v>2.4814285714285718</v>
      </c>
      <c r="AD118" s="144">
        <f t="shared" si="39"/>
        <v>1.1401907461647542E-2</v>
      </c>
      <c r="AE118" s="144">
        <f t="shared" si="40"/>
        <v>0.27452622576973307</v>
      </c>
      <c r="AF118" s="145">
        <f t="shared" si="41"/>
        <v>8.0733440556057898E-2</v>
      </c>
      <c r="AG118" s="145">
        <f t="shared" si="42"/>
        <v>1.6008745664265405</v>
      </c>
      <c r="AH118" s="146">
        <f t="shared" si="43"/>
        <v>2.1878981180503492</v>
      </c>
      <c r="AI118" s="146">
        <f t="shared" si="44"/>
        <v>43.384134591505159</v>
      </c>
      <c r="AJ118" s="147">
        <f t="shared" si="45"/>
        <v>19.829138401638669</v>
      </c>
      <c r="AK118" s="148">
        <f t="shared" si="38"/>
        <v>-4.5211481351791276</v>
      </c>
      <c r="AL118" s="148">
        <f t="shared" si="46"/>
        <v>-29.909502320690596</v>
      </c>
      <c r="AM118" s="149">
        <v>0.36599999999999999</v>
      </c>
      <c r="AN118" s="150">
        <f t="shared" si="47"/>
        <v>-4.5211481351791276</v>
      </c>
      <c r="AO118" s="151">
        <f t="shared" si="48"/>
        <v>0.36460380198998371</v>
      </c>
      <c r="AP118" s="152">
        <f t="shared" si="49"/>
        <v>-1.3961980100162807E-3</v>
      </c>
      <c r="AQ118" s="152">
        <f t="shared" si="50"/>
        <v>21.878981180503494</v>
      </c>
      <c r="AR118" s="153">
        <f t="shared" si="51"/>
        <v>-0.30547389985402634</v>
      </c>
      <c r="AS118" s="153">
        <f t="shared" si="52"/>
        <v>-13.961980100162808</v>
      </c>
      <c r="AT118" s="149">
        <v>1.077</v>
      </c>
      <c r="AU118" s="150">
        <f t="shared" si="53"/>
        <v>-29.909502320690596</v>
      </c>
      <c r="AV118" s="150">
        <f t="shared" si="54"/>
        <v>1.0783358534724263</v>
      </c>
      <c r="AW118" s="154">
        <f t="shared" si="55"/>
        <v>1.3358534724263738E-3</v>
      </c>
      <c r="AX118" s="154">
        <f t="shared" si="56"/>
        <v>433.84134591505159</v>
      </c>
      <c r="AY118" s="154">
        <f t="shared" si="57"/>
        <v>5.7954846842275334</v>
      </c>
      <c r="AZ118" s="154">
        <f t="shared" si="58"/>
        <v>13.358534724263736</v>
      </c>
    </row>
    <row r="119" spans="1:52" ht="18" x14ac:dyDescent="0.25">
      <c r="I119" t="s">
        <v>152</v>
      </c>
      <c r="Q119" s="141">
        <v>499</v>
      </c>
      <c r="R119" s="141" t="s">
        <v>308</v>
      </c>
      <c r="S119" s="141">
        <v>6.4743740000000001</v>
      </c>
      <c r="T119" s="141">
        <v>1.9183078823454798</v>
      </c>
      <c r="U119" s="141">
        <v>4.2734319999999997</v>
      </c>
      <c r="V119" s="141">
        <v>-25.835770576620401</v>
      </c>
      <c r="W119" s="141">
        <v>2.5510000000000002</v>
      </c>
      <c r="X119" s="158">
        <v>6.1372437857142854</v>
      </c>
      <c r="Y119" s="158">
        <v>2.165951323344959</v>
      </c>
      <c r="Z119" s="158">
        <v>4.1588204642857134</v>
      </c>
      <c r="AA119" s="158">
        <v>-25.525093669069488</v>
      </c>
      <c r="AB119" s="158">
        <v>2.4814285714285718</v>
      </c>
      <c r="AC119" s="158">
        <v>2.4814285714285718</v>
      </c>
      <c r="AD119" s="144">
        <f t="shared" si="39"/>
        <v>1.1401907461647542E-2</v>
      </c>
      <c r="AE119" s="144">
        <f t="shared" si="40"/>
        <v>0.27452622576973307</v>
      </c>
      <c r="AF119" s="145">
        <f t="shared" si="41"/>
        <v>7.3820213220096853E-2</v>
      </c>
      <c r="AG119" s="145">
        <f t="shared" si="42"/>
        <v>1.1731691580436019</v>
      </c>
      <c r="AH119" s="146">
        <f t="shared" si="43"/>
        <v>2.8937755084318639</v>
      </c>
      <c r="AI119" s="146">
        <f t="shared" si="44"/>
        <v>45.988598904100428</v>
      </c>
      <c r="AJ119" s="147">
        <f t="shared" si="45"/>
        <v>15.892248299876458</v>
      </c>
      <c r="AK119" s="148">
        <f t="shared" si="38"/>
        <v>1.7323565590005208</v>
      </c>
      <c r="AL119" s="148">
        <f t="shared" si="46"/>
        <v>-26.340676907550915</v>
      </c>
      <c r="AM119" s="149">
        <v>0.36599999999999999</v>
      </c>
      <c r="AN119" s="150">
        <f t="shared" si="47"/>
        <v>1.7323565590005208</v>
      </c>
      <c r="AO119" s="151">
        <f t="shared" si="48"/>
        <v>0.36688580566828288</v>
      </c>
      <c r="AP119" s="152">
        <f t="shared" si="49"/>
        <v>8.8580566828289076E-4</v>
      </c>
      <c r="AQ119" s="152">
        <f t="shared" si="50"/>
        <v>28.937755084318638</v>
      </c>
      <c r="AR119" s="153">
        <f t="shared" si="51"/>
        <v>0.25633227481071491</v>
      </c>
      <c r="AS119" s="153">
        <f t="shared" si="52"/>
        <v>8.8580566828289076</v>
      </c>
      <c r="AT119" s="149">
        <v>1.077</v>
      </c>
      <c r="AU119" s="150">
        <f t="shared" si="53"/>
        <v>-26.340676907550915</v>
      </c>
      <c r="AV119" s="150">
        <f t="shared" si="54"/>
        <v>1.0822599644668975</v>
      </c>
      <c r="AW119" s="154">
        <f t="shared" si="55"/>
        <v>5.259964466897582E-3</v>
      </c>
      <c r="AX119" s="154">
        <f t="shared" si="56"/>
        <v>459.88598904100428</v>
      </c>
      <c r="AY119" s="154">
        <f t="shared" si="57"/>
        <v>24.189839611797332</v>
      </c>
      <c r="AZ119" s="154">
        <f t="shared" si="58"/>
        <v>52.59964466897582</v>
      </c>
    </row>
    <row r="120" spans="1:52" ht="18" x14ac:dyDescent="0.25">
      <c r="A120" s="104">
        <v>112</v>
      </c>
      <c r="B120">
        <v>3</v>
      </c>
      <c r="C120" t="s">
        <v>458</v>
      </c>
      <c r="D120" t="s">
        <v>28</v>
      </c>
      <c r="E120" t="s">
        <v>470</v>
      </c>
      <c r="F120">
        <v>2</v>
      </c>
      <c r="G120" t="s">
        <v>41</v>
      </c>
      <c r="H120">
        <v>3.64</v>
      </c>
      <c r="Q120" s="155">
        <v>500</v>
      </c>
      <c r="R120" s="155" t="s">
        <v>309</v>
      </c>
      <c r="S120" s="155">
        <v>7.1910964999999996</v>
      </c>
      <c r="T120" s="155">
        <v>-1.3860096041413668</v>
      </c>
      <c r="U120" s="155">
        <v>5.6547029999999996</v>
      </c>
      <c r="V120" s="155">
        <v>-30.344670576080571</v>
      </c>
      <c r="W120" s="142">
        <v>3.64</v>
      </c>
      <c r="X120" s="158">
        <v>6.1372437857142854</v>
      </c>
      <c r="Y120" s="158">
        <v>2.165951323344959</v>
      </c>
      <c r="Z120" s="158">
        <v>4.1588204642857134</v>
      </c>
      <c r="AA120" s="158">
        <v>-25.525093669069488</v>
      </c>
      <c r="AB120" s="158">
        <v>2.4814285714285718</v>
      </c>
      <c r="AC120" s="158">
        <v>2.4814285714285718</v>
      </c>
      <c r="AD120" s="144">
        <f t="shared" si="39"/>
        <v>1.1401907461647542E-2</v>
      </c>
      <c r="AE120" s="144">
        <f t="shared" si="40"/>
        <v>0.27452622576973307</v>
      </c>
      <c r="AF120" s="145">
        <f t="shared" si="41"/>
        <v>8.1992216840777524E-2</v>
      </c>
      <c r="AG120" s="145">
        <f t="shared" si="42"/>
        <v>1.5523642724387867</v>
      </c>
      <c r="AH120" s="146">
        <f t="shared" si="43"/>
        <v>2.2525334296916899</v>
      </c>
      <c r="AI120" s="146">
        <f t="shared" si="44"/>
        <v>42.647370121944689</v>
      </c>
      <c r="AJ120" s="147">
        <f t="shared" si="45"/>
        <v>18.933068677156964</v>
      </c>
      <c r="AK120" s="148">
        <f t="shared" si="38"/>
        <v>-1.5719609274863258</v>
      </c>
      <c r="AL120" s="148">
        <f t="shared" si="46"/>
        <v>-30.849576907011084</v>
      </c>
      <c r="AM120" s="149">
        <v>0.36599999999999999</v>
      </c>
      <c r="AN120" s="150">
        <f t="shared" si="47"/>
        <v>-1.5719609274863258</v>
      </c>
      <c r="AO120" s="151">
        <f t="shared" si="48"/>
        <v>0.36568002050007026</v>
      </c>
      <c r="AP120" s="152">
        <f t="shared" si="49"/>
        <v>-3.1997949992973451E-4</v>
      </c>
      <c r="AQ120" s="152">
        <f t="shared" si="50"/>
        <v>22.525334296916899</v>
      </c>
      <c r="AR120" s="153">
        <f t="shared" si="51"/>
        <v>-7.2076452040775674E-2</v>
      </c>
      <c r="AS120" s="153">
        <f t="shared" si="52"/>
        <v>-3.1997949992973456</v>
      </c>
      <c r="AT120" s="149">
        <v>1.077</v>
      </c>
      <c r="AU120" s="150">
        <f t="shared" si="53"/>
        <v>-30.849576907011084</v>
      </c>
      <c r="AV120" s="150">
        <f t="shared" si="54"/>
        <v>1.0773021402794953</v>
      </c>
      <c r="AW120" s="154">
        <f t="shared" si="55"/>
        <v>3.0214027949537758E-4</v>
      </c>
      <c r="AX120" s="154">
        <f t="shared" si="56"/>
        <v>426.47370121944687</v>
      </c>
      <c r="AY120" s="154">
        <f t="shared" si="57"/>
        <v>1.2885488328387182</v>
      </c>
      <c r="AZ120" s="154">
        <f t="shared" si="58"/>
        <v>3.0214027949537758</v>
      </c>
    </row>
    <row r="121" spans="1:52" ht="18" x14ac:dyDescent="0.25">
      <c r="A121" s="104">
        <v>113</v>
      </c>
      <c r="B121">
        <v>3</v>
      </c>
      <c r="C121" t="s">
        <v>460</v>
      </c>
      <c r="D121" t="s">
        <v>52</v>
      </c>
      <c r="E121" t="s">
        <v>470</v>
      </c>
      <c r="F121">
        <v>2</v>
      </c>
      <c r="G121" t="s">
        <v>42</v>
      </c>
      <c r="H121">
        <v>3.5870000000000002</v>
      </c>
      <c r="Q121" s="141">
        <v>501</v>
      </c>
      <c r="R121" s="141" t="s">
        <v>310</v>
      </c>
      <c r="S121" s="141">
        <v>5.3877449999999998</v>
      </c>
      <c r="T121" s="141">
        <v>-3.304659415662786</v>
      </c>
      <c r="U121" s="141">
        <v>5.6550159999999998</v>
      </c>
      <c r="V121" s="141">
        <v>-31.738623780178113</v>
      </c>
      <c r="W121" s="142">
        <v>3.5870000000000002</v>
      </c>
      <c r="X121" s="158">
        <v>6.1372437857142854</v>
      </c>
      <c r="Y121" s="158">
        <v>2.165951323344959</v>
      </c>
      <c r="Z121" s="158">
        <v>4.1588204642857134</v>
      </c>
      <c r="AA121" s="158">
        <v>-25.525093669069488</v>
      </c>
      <c r="AB121" s="158">
        <v>2.4814285714285718</v>
      </c>
      <c r="AC121" s="158">
        <v>2.4814285714285718</v>
      </c>
      <c r="AD121" s="144">
        <f t="shared" si="39"/>
        <v>1.1401907461647542E-2</v>
      </c>
      <c r="AE121" s="144">
        <f t="shared" si="40"/>
        <v>0.27452622576973307</v>
      </c>
      <c r="AF121" s="145">
        <f t="shared" si="41"/>
        <v>6.1430569916954239E-2</v>
      </c>
      <c r="AG121" s="145">
        <f t="shared" si="42"/>
        <v>1.5524501991474529</v>
      </c>
      <c r="AH121" s="146">
        <f t="shared" si="43"/>
        <v>1.7125890693324293</v>
      </c>
      <c r="AI121" s="146">
        <f t="shared" si="44"/>
        <v>43.279905189502443</v>
      </c>
      <c r="AJ121" s="147">
        <f t="shared" si="45"/>
        <v>25.271622927251922</v>
      </c>
      <c r="AK121" s="148">
        <f t="shared" si="38"/>
        <v>-3.490610739007745</v>
      </c>
      <c r="AL121" s="148">
        <f t="shared" si="46"/>
        <v>-32.243530111108626</v>
      </c>
      <c r="AM121" s="149">
        <v>0.36599999999999999</v>
      </c>
      <c r="AN121" s="150">
        <f t="shared" si="47"/>
        <v>-3.490610739007745</v>
      </c>
      <c r="AO121" s="151">
        <f t="shared" si="48"/>
        <v>0.36497986872863319</v>
      </c>
      <c r="AP121" s="152">
        <f t="shared" si="49"/>
        <v>-1.0201312713667976E-3</v>
      </c>
      <c r="AQ121" s="152">
        <f t="shared" si="50"/>
        <v>17.12589069332429</v>
      </c>
      <c r="AR121" s="153">
        <f t="shared" si="51"/>
        <v>-0.17470656646269714</v>
      </c>
      <c r="AS121" s="153">
        <f t="shared" si="52"/>
        <v>-10.201312713667976</v>
      </c>
      <c r="AT121" s="149">
        <v>1.077</v>
      </c>
      <c r="AU121" s="150">
        <f t="shared" si="53"/>
        <v>-32.243530111108626</v>
      </c>
      <c r="AV121" s="150">
        <f t="shared" si="54"/>
        <v>1.0757692989238949</v>
      </c>
      <c r="AW121" s="154">
        <f t="shared" si="55"/>
        <v>-1.2307010761050119E-3</v>
      </c>
      <c r="AX121" s="154">
        <f t="shared" si="56"/>
        <v>432.79905189502443</v>
      </c>
      <c r="AY121" s="154">
        <f t="shared" si="57"/>
        <v>-5.3264625890443549</v>
      </c>
      <c r="AZ121" s="154">
        <f t="shared" si="58"/>
        <v>-12.307010761050119</v>
      </c>
    </row>
    <row r="122" spans="1:52" ht="18" x14ac:dyDescent="0.25">
      <c r="A122" s="104">
        <v>114</v>
      </c>
      <c r="B122">
        <v>3</v>
      </c>
      <c r="C122" t="s">
        <v>461</v>
      </c>
      <c r="D122" t="s">
        <v>40</v>
      </c>
      <c r="E122" t="s">
        <v>470</v>
      </c>
      <c r="F122">
        <v>2</v>
      </c>
      <c r="G122" t="s">
        <v>43</v>
      </c>
      <c r="H122">
        <v>3.2480000000000002</v>
      </c>
      <c r="Q122" s="155">
        <v>502</v>
      </c>
      <c r="R122" s="155" t="s">
        <v>311</v>
      </c>
      <c r="S122" s="155">
        <v>4.1538977499999996</v>
      </c>
      <c r="T122" s="155">
        <v>-4.1949437210569371</v>
      </c>
      <c r="U122" s="155">
        <v>5.293539</v>
      </c>
      <c r="V122" s="155">
        <v>-30.278756167334052</v>
      </c>
      <c r="W122" s="142">
        <v>3.2480000000000002</v>
      </c>
      <c r="X122" s="158">
        <v>6.1372437857142854</v>
      </c>
      <c r="Y122" s="158">
        <v>2.165951323344959</v>
      </c>
      <c r="Z122" s="158">
        <v>4.1588204642857134</v>
      </c>
      <c r="AA122" s="158">
        <v>-25.525093669069488</v>
      </c>
      <c r="AB122" s="158">
        <v>2.4814285714285718</v>
      </c>
      <c r="AC122" s="158">
        <v>2.4814285714285718</v>
      </c>
      <c r="AD122" s="144">
        <f t="shared" si="39"/>
        <v>1.1401907461647542E-2</v>
      </c>
      <c r="AE122" s="144">
        <f t="shared" si="40"/>
        <v>0.27452622576973307</v>
      </c>
      <c r="AF122" s="145">
        <f t="shared" si="41"/>
        <v>4.7362357750645935E-2</v>
      </c>
      <c r="AG122" s="145">
        <f t="shared" si="42"/>
        <v>1.453215282634887</v>
      </c>
      <c r="AH122" s="146">
        <f t="shared" si="43"/>
        <v>1.4582006696627443</v>
      </c>
      <c r="AI122" s="146">
        <f t="shared" si="44"/>
        <v>44.741849834817941</v>
      </c>
      <c r="AJ122" s="147">
        <f t="shared" si="45"/>
        <v>30.682916806756054</v>
      </c>
      <c r="AK122" s="148">
        <f t="shared" si="38"/>
        <v>-4.3808950444018961</v>
      </c>
      <c r="AL122" s="148">
        <f t="shared" si="46"/>
        <v>-30.783662498264565</v>
      </c>
      <c r="AM122" s="149">
        <v>0.36599999999999999</v>
      </c>
      <c r="AN122" s="150">
        <f t="shared" si="47"/>
        <v>-4.3808950444018961</v>
      </c>
      <c r="AO122" s="151">
        <f t="shared" si="48"/>
        <v>0.36465498372741195</v>
      </c>
      <c r="AP122" s="152">
        <f t="shared" si="49"/>
        <v>-1.3450162725880399E-3</v>
      </c>
      <c r="AQ122" s="152">
        <f t="shared" si="50"/>
        <v>14.582006696627442</v>
      </c>
      <c r="AR122" s="153">
        <f t="shared" si="51"/>
        <v>-0.1961303629395168</v>
      </c>
      <c r="AS122" s="153">
        <f t="shared" si="52"/>
        <v>-13.4501627258804</v>
      </c>
      <c r="AT122" s="149">
        <v>1.077</v>
      </c>
      <c r="AU122" s="150">
        <f t="shared" si="53"/>
        <v>-30.783662498264565</v>
      </c>
      <c r="AV122" s="150">
        <f t="shared" si="54"/>
        <v>1.0773746209709292</v>
      </c>
      <c r="AW122" s="154">
        <f t="shared" si="55"/>
        <v>3.7462097092921809E-4</v>
      </c>
      <c r="AX122" s="154">
        <f t="shared" si="56"/>
        <v>447.41849834817947</v>
      </c>
      <c r="AY122" s="154">
        <f t="shared" si="57"/>
        <v>1.6761235226288775</v>
      </c>
      <c r="AZ122" s="154">
        <f t="shared" si="58"/>
        <v>3.7462097092921809</v>
      </c>
    </row>
    <row r="123" spans="1:52" ht="18" x14ac:dyDescent="0.25">
      <c r="A123" s="104">
        <v>115</v>
      </c>
      <c r="B123">
        <v>3</v>
      </c>
      <c r="C123" t="s">
        <v>462</v>
      </c>
      <c r="D123" t="s">
        <v>48</v>
      </c>
      <c r="E123" t="s">
        <v>470</v>
      </c>
      <c r="F123">
        <v>2</v>
      </c>
      <c r="G123" t="s">
        <v>45</v>
      </c>
      <c r="H123">
        <v>3.2349999999999999</v>
      </c>
      <c r="Q123" s="141">
        <v>503</v>
      </c>
      <c r="R123" s="141" t="s">
        <v>312</v>
      </c>
      <c r="S123" s="141">
        <v>4.4029425</v>
      </c>
      <c r="T123" s="141">
        <v>7.4605607647151118</v>
      </c>
      <c r="U123" s="141">
        <v>5.291169</v>
      </c>
      <c r="V123" s="141">
        <v>-30.107658705973211</v>
      </c>
      <c r="W123" s="142">
        <v>3.2349999999999999</v>
      </c>
      <c r="X123" s="158">
        <v>6.1372437857142854</v>
      </c>
      <c r="Y123" s="158">
        <v>2.165951323344959</v>
      </c>
      <c r="Z123" s="158">
        <v>4.1588204642857134</v>
      </c>
      <c r="AA123" s="158">
        <v>-25.525093669069488</v>
      </c>
      <c r="AB123" s="158">
        <v>2.4814285714285718</v>
      </c>
      <c r="AC123" s="158">
        <v>2.4814285714285718</v>
      </c>
      <c r="AD123" s="144">
        <f t="shared" si="39"/>
        <v>1.1401907461647542E-2</v>
      </c>
      <c r="AE123" s="144">
        <f t="shared" si="40"/>
        <v>0.27452622576973307</v>
      </c>
      <c r="AF123" s="145">
        <f t="shared" si="41"/>
        <v>5.0201942943955087E-2</v>
      </c>
      <c r="AG123" s="145">
        <f t="shared" si="42"/>
        <v>1.4525646554798128</v>
      </c>
      <c r="AH123" s="146">
        <f t="shared" si="43"/>
        <v>1.5518374944035578</v>
      </c>
      <c r="AI123" s="146">
        <f t="shared" si="44"/>
        <v>44.901534945280154</v>
      </c>
      <c r="AJ123" s="147">
        <f t="shared" si="45"/>
        <v>28.9344310259354</v>
      </c>
      <c r="AK123" s="148">
        <f t="shared" si="38"/>
        <v>7.2746094413701528</v>
      </c>
      <c r="AL123" s="148">
        <f t="shared" si="46"/>
        <v>-30.612565036903725</v>
      </c>
      <c r="AM123" s="149">
        <v>0.36599999999999999</v>
      </c>
      <c r="AN123" s="150">
        <f t="shared" si="47"/>
        <v>7.2746094413701528</v>
      </c>
      <c r="AO123" s="151">
        <f t="shared" si="48"/>
        <v>0.36890817483516392</v>
      </c>
      <c r="AP123" s="152">
        <f t="shared" si="49"/>
        <v>2.9081748351639236E-3</v>
      </c>
      <c r="AQ123" s="152">
        <f t="shared" si="50"/>
        <v>15.518374944035578</v>
      </c>
      <c r="AR123" s="153">
        <f t="shared" si="51"/>
        <v>0.45130147494882633</v>
      </c>
      <c r="AS123" s="153">
        <f t="shared" si="52"/>
        <v>29.081748351639234</v>
      </c>
      <c r="AT123" s="149">
        <v>1.077</v>
      </c>
      <c r="AU123" s="150">
        <f t="shared" si="53"/>
        <v>-30.612565036903725</v>
      </c>
      <c r="AV123" s="150">
        <f t="shared" si="54"/>
        <v>1.0775627623783317</v>
      </c>
      <c r="AW123" s="154">
        <f t="shared" si="55"/>
        <v>5.6276237833174925E-4</v>
      </c>
      <c r="AX123" s="154">
        <f t="shared" si="56"/>
        <v>449.0153494528015</v>
      </c>
      <c r="AY123" s="154">
        <f t="shared" si="57"/>
        <v>2.5268894596552007</v>
      </c>
      <c r="AZ123" s="154">
        <f t="shared" si="58"/>
        <v>5.6276237833174934</v>
      </c>
    </row>
    <row r="124" spans="1:52" ht="18" x14ac:dyDescent="0.25">
      <c r="A124" s="104">
        <v>116</v>
      </c>
      <c r="B124">
        <v>3</v>
      </c>
      <c r="C124" t="s">
        <v>463</v>
      </c>
      <c r="D124" t="s">
        <v>36</v>
      </c>
      <c r="E124" t="s">
        <v>470</v>
      </c>
      <c r="F124">
        <v>2</v>
      </c>
      <c r="G124" t="s">
        <v>46</v>
      </c>
      <c r="H124">
        <v>3.2909999999999999</v>
      </c>
      <c r="Q124" s="155">
        <v>504</v>
      </c>
      <c r="R124" s="155" t="s">
        <v>313</v>
      </c>
      <c r="S124" s="155">
        <v>6.4931324999999998</v>
      </c>
      <c r="T124" s="155">
        <v>0.92352593120037518</v>
      </c>
      <c r="U124" s="155">
        <v>5.1248085000000003</v>
      </c>
      <c r="V124" s="155">
        <v>-31.375646018645206</v>
      </c>
      <c r="W124" s="142">
        <v>3.2909999999999999</v>
      </c>
      <c r="X124" s="158">
        <v>6.1372437857142854</v>
      </c>
      <c r="Y124" s="158">
        <v>2.165951323344959</v>
      </c>
      <c r="Z124" s="158">
        <v>4.1588204642857134</v>
      </c>
      <c r="AA124" s="158">
        <v>-25.525093669069488</v>
      </c>
      <c r="AB124" s="158">
        <v>2.4814285714285718</v>
      </c>
      <c r="AC124" s="158">
        <v>2.4814285714285718</v>
      </c>
      <c r="AD124" s="144">
        <f t="shared" si="39"/>
        <v>1.1401907461647542E-2</v>
      </c>
      <c r="AE124" s="144">
        <f t="shared" si="40"/>
        <v>0.27452622576973307</v>
      </c>
      <c r="AF124" s="145">
        <f t="shared" si="41"/>
        <v>7.4034095901216165E-2</v>
      </c>
      <c r="AG124" s="145">
        <f t="shared" si="42"/>
        <v>1.4068943352976471</v>
      </c>
      <c r="AH124" s="146">
        <f t="shared" si="43"/>
        <v>2.2495927043821382</v>
      </c>
      <c r="AI124" s="146">
        <f t="shared" si="44"/>
        <v>42.749751908163084</v>
      </c>
      <c r="AJ124" s="147">
        <f t="shared" si="45"/>
        <v>19.003329724926591</v>
      </c>
      <c r="AK124" s="148">
        <f t="shared" si="38"/>
        <v>0.73757460785541618</v>
      </c>
      <c r="AL124" s="148">
        <f t="shared" si="46"/>
        <v>-31.880552349575719</v>
      </c>
      <c r="AM124" s="149">
        <v>0.36599999999999999</v>
      </c>
      <c r="AN124" s="150">
        <f t="shared" si="47"/>
        <v>0.73757460785541618</v>
      </c>
      <c r="AO124" s="151">
        <f t="shared" si="48"/>
        <v>0.36652280084777006</v>
      </c>
      <c r="AP124" s="152">
        <f t="shared" si="49"/>
        <v>5.228008477700663E-4</v>
      </c>
      <c r="AQ124" s="152">
        <f t="shared" si="50"/>
        <v>22.495927043821382</v>
      </c>
      <c r="AR124" s="153">
        <f t="shared" si="51"/>
        <v>0.11760889729883381</v>
      </c>
      <c r="AS124" s="153">
        <f t="shared" si="52"/>
        <v>5.228008477700663</v>
      </c>
      <c r="AT124" s="149">
        <v>1.077</v>
      </c>
      <c r="AU124" s="150">
        <f t="shared" si="53"/>
        <v>-31.880552349575719</v>
      </c>
      <c r="AV124" s="150">
        <f t="shared" si="54"/>
        <v>1.0761684469719244</v>
      </c>
      <c r="AW124" s="154">
        <f t="shared" si="55"/>
        <v>-8.3155302807558229E-4</v>
      </c>
      <c r="AX124" s="154">
        <f t="shared" si="56"/>
        <v>427.49751908163086</v>
      </c>
      <c r="AY124" s="154">
        <f t="shared" si="57"/>
        <v>-3.5548685648712919</v>
      </c>
      <c r="AZ124" s="154">
        <f t="shared" si="58"/>
        <v>-8.3155302807558229</v>
      </c>
    </row>
    <row r="125" spans="1:52" ht="18" x14ac:dyDescent="0.25">
      <c r="A125" s="104">
        <v>117</v>
      </c>
      <c r="B125">
        <v>3</v>
      </c>
      <c r="C125" t="s">
        <v>464</v>
      </c>
      <c r="D125" t="s">
        <v>44</v>
      </c>
      <c r="E125" t="s">
        <v>470</v>
      </c>
      <c r="F125">
        <v>2</v>
      </c>
      <c r="G125" t="s">
        <v>47</v>
      </c>
      <c r="H125">
        <v>3.2949999999999999</v>
      </c>
      <c r="Q125" s="141">
        <v>505</v>
      </c>
      <c r="R125" s="141" t="s">
        <v>314</v>
      </c>
      <c r="S125" s="141">
        <v>4.3682530000000002</v>
      </c>
      <c r="T125" s="141">
        <v>-4.421486575474443</v>
      </c>
      <c r="U125" s="141">
        <v>5.2496270000000003</v>
      </c>
      <c r="V125" s="141">
        <v>-30.34818674965527</v>
      </c>
      <c r="W125" s="142">
        <v>3.2949999999999999</v>
      </c>
      <c r="X125" s="158">
        <v>6.1372437857142854</v>
      </c>
      <c r="Y125" s="158">
        <v>2.165951323344959</v>
      </c>
      <c r="Z125" s="158">
        <v>4.1588204642857134</v>
      </c>
      <c r="AA125" s="158">
        <v>-25.525093669069488</v>
      </c>
      <c r="AB125" s="158">
        <v>2.4814285714285718</v>
      </c>
      <c r="AC125" s="158">
        <v>2.4814285714285718</v>
      </c>
      <c r="AD125" s="144">
        <f t="shared" si="39"/>
        <v>1.1401907461647542E-2</v>
      </c>
      <c r="AE125" s="144">
        <f t="shared" si="40"/>
        <v>0.27452622576973307</v>
      </c>
      <c r="AF125" s="145">
        <f t="shared" si="41"/>
        <v>4.9806416475064265E-2</v>
      </c>
      <c r="AG125" s="145">
        <f t="shared" si="42"/>
        <v>1.4411602870088867</v>
      </c>
      <c r="AH125" s="146">
        <f t="shared" si="43"/>
        <v>1.5115756138107517</v>
      </c>
      <c r="AI125" s="146">
        <f t="shared" si="44"/>
        <v>43.737793232439657</v>
      </c>
      <c r="AJ125" s="147">
        <f t="shared" si="45"/>
        <v>28.935233429821395</v>
      </c>
      <c r="AK125" s="148">
        <f t="shared" si="38"/>
        <v>-4.607437898819402</v>
      </c>
      <c r="AL125" s="148">
        <f t="shared" si="46"/>
        <v>-30.853093080585783</v>
      </c>
      <c r="AM125" s="149">
        <v>0.36599999999999999</v>
      </c>
      <c r="AN125" s="150">
        <f t="shared" si="47"/>
        <v>-4.607437898819402</v>
      </c>
      <c r="AO125" s="151">
        <f t="shared" si="48"/>
        <v>0.36457231274674917</v>
      </c>
      <c r="AP125" s="152">
        <f t="shared" si="49"/>
        <v>-1.42768725325082E-3</v>
      </c>
      <c r="AQ125" s="152">
        <f t="shared" si="50"/>
        <v>15.115756138107516</v>
      </c>
      <c r="AR125" s="153">
        <f t="shared" si="51"/>
        <v>-0.21580572361623943</v>
      </c>
      <c r="AS125" s="153">
        <f t="shared" si="52"/>
        <v>-14.276872532508202</v>
      </c>
      <c r="AT125" s="149">
        <v>1.077</v>
      </c>
      <c r="AU125" s="150">
        <f t="shared" si="53"/>
        <v>-30.853093080585783</v>
      </c>
      <c r="AV125" s="150">
        <f t="shared" si="54"/>
        <v>1.0772982738276309</v>
      </c>
      <c r="AW125" s="154">
        <f t="shared" si="55"/>
        <v>2.982738276309238E-4</v>
      </c>
      <c r="AX125" s="154">
        <f t="shared" si="56"/>
        <v>437.37793232439657</v>
      </c>
      <c r="AY125" s="154">
        <f t="shared" si="57"/>
        <v>1.3045838999569692</v>
      </c>
      <c r="AZ125" s="154">
        <f t="shared" si="58"/>
        <v>2.9827382763092385</v>
      </c>
    </row>
    <row r="126" spans="1:52" ht="18" x14ac:dyDescent="0.25">
      <c r="A126" s="104">
        <v>118</v>
      </c>
      <c r="B126">
        <v>4</v>
      </c>
      <c r="C126" t="s">
        <v>456</v>
      </c>
      <c r="D126" t="s">
        <v>28</v>
      </c>
      <c r="E126" t="s">
        <v>457</v>
      </c>
      <c r="F126">
        <v>2</v>
      </c>
      <c r="G126" t="s">
        <v>49</v>
      </c>
      <c r="H126">
        <v>3.46</v>
      </c>
      <c r="Q126" s="155">
        <v>506</v>
      </c>
      <c r="R126" s="155" t="s">
        <v>315</v>
      </c>
      <c r="S126" s="155">
        <v>5.2344555000000001</v>
      </c>
      <c r="T126" s="155">
        <v>1.7928039318435951</v>
      </c>
      <c r="U126" s="155">
        <v>4.8412145000000004</v>
      </c>
      <c r="V126" s="155">
        <v>-25.220504934272611</v>
      </c>
      <c r="W126" s="142">
        <v>3.46</v>
      </c>
      <c r="X126" s="158">
        <v>6.1372437857142854</v>
      </c>
      <c r="Y126" s="158">
        <v>2.165951323344959</v>
      </c>
      <c r="Z126" s="158">
        <v>4.1588204642857134</v>
      </c>
      <c r="AA126" s="158">
        <v>-25.525093669069488</v>
      </c>
      <c r="AB126" s="158">
        <v>2.4814285714285718</v>
      </c>
      <c r="AC126" s="158">
        <v>2.4814285714285718</v>
      </c>
      <c r="AD126" s="144">
        <f t="shared" si="39"/>
        <v>1.1401907461647542E-2</v>
      </c>
      <c r="AE126" s="144">
        <f t="shared" si="40"/>
        <v>0.27452622576973307</v>
      </c>
      <c r="AF126" s="145">
        <f t="shared" si="41"/>
        <v>5.9682777223112021E-2</v>
      </c>
      <c r="AG126" s="145">
        <f t="shared" si="42"/>
        <v>1.3290403448267054</v>
      </c>
      <c r="AH126" s="146">
        <f t="shared" si="43"/>
        <v>1.724935757893411</v>
      </c>
      <c r="AI126" s="146">
        <f t="shared" si="44"/>
        <v>38.411570659731368</v>
      </c>
      <c r="AJ126" s="147">
        <f t="shared" si="45"/>
        <v>22.268406509609232</v>
      </c>
      <c r="AK126" s="148">
        <f t="shared" si="38"/>
        <v>1.6068526084986361</v>
      </c>
      <c r="AL126" s="148">
        <f t="shared" si="46"/>
        <v>-25.725411265203125</v>
      </c>
      <c r="AM126" s="149">
        <v>0.36599999999999999</v>
      </c>
      <c r="AN126" s="150">
        <f t="shared" si="47"/>
        <v>1.6068526084986361</v>
      </c>
      <c r="AO126" s="151">
        <f t="shared" si="48"/>
        <v>0.36684000830140623</v>
      </c>
      <c r="AP126" s="152">
        <f t="shared" si="49"/>
        <v>8.400083014062365E-4</v>
      </c>
      <c r="AQ126" s="152">
        <f t="shared" si="50"/>
        <v>17.249357578934109</v>
      </c>
      <c r="AR126" s="153">
        <f t="shared" si="51"/>
        <v>0.14489603560229231</v>
      </c>
      <c r="AS126" s="153">
        <f t="shared" si="52"/>
        <v>8.4000830140623641</v>
      </c>
      <c r="AT126" s="149">
        <v>1.077</v>
      </c>
      <c r="AU126" s="150">
        <f t="shared" si="53"/>
        <v>-25.725411265203125</v>
      </c>
      <c r="AV126" s="150">
        <f t="shared" si="54"/>
        <v>1.0829364498944263</v>
      </c>
      <c r="AW126" s="154">
        <f t="shared" si="55"/>
        <v>5.9364498944263211E-3</v>
      </c>
      <c r="AX126" s="154">
        <f t="shared" si="56"/>
        <v>384.1157065973137</v>
      </c>
      <c r="AY126" s="154">
        <f t="shared" si="57"/>
        <v>22.80283645877115</v>
      </c>
      <c r="AZ126" s="154">
        <f t="shared" si="58"/>
        <v>59.364498944263211</v>
      </c>
    </row>
    <row r="127" spans="1:52" ht="18" x14ac:dyDescent="0.25">
      <c r="A127" s="104">
        <v>119</v>
      </c>
      <c r="B127">
        <v>4</v>
      </c>
      <c r="C127" t="s">
        <v>458</v>
      </c>
      <c r="D127" t="s">
        <v>44</v>
      </c>
      <c r="E127" t="s">
        <v>457</v>
      </c>
      <c r="F127">
        <v>2</v>
      </c>
      <c r="G127" t="s">
        <v>50</v>
      </c>
      <c r="H127">
        <v>3.7010000000000001</v>
      </c>
      <c r="Q127" s="141">
        <v>507</v>
      </c>
      <c r="R127" s="141" t="s">
        <v>316</v>
      </c>
      <c r="S127" s="141">
        <v>6.4929094999999997</v>
      </c>
      <c r="T127" s="141">
        <v>1.1260343018793502</v>
      </c>
      <c r="U127" s="141">
        <v>4.3653184999999999</v>
      </c>
      <c r="V127" s="141">
        <v>-27.949611796332153</v>
      </c>
      <c r="W127" s="142">
        <v>3.7010000000000001</v>
      </c>
      <c r="X127" s="158">
        <v>6.1372437857142854</v>
      </c>
      <c r="Y127" s="158">
        <v>2.165951323344959</v>
      </c>
      <c r="Z127" s="158">
        <v>4.1588204642857134</v>
      </c>
      <c r="AA127" s="158">
        <v>-25.525093669069488</v>
      </c>
      <c r="AB127" s="158">
        <v>2.4814285714285718</v>
      </c>
      <c r="AC127" s="158">
        <v>2.4814285714285718</v>
      </c>
      <c r="AD127" s="144">
        <f t="shared" si="39"/>
        <v>1.1401907461647542E-2</v>
      </c>
      <c r="AE127" s="144">
        <f t="shared" si="40"/>
        <v>0.27452622576973307</v>
      </c>
      <c r="AF127" s="145">
        <f t="shared" si="41"/>
        <v>7.4031553275852216E-2</v>
      </c>
      <c r="AG127" s="145">
        <f t="shared" si="42"/>
        <v>1.1983944120877925</v>
      </c>
      <c r="AH127" s="146">
        <f t="shared" si="43"/>
        <v>2.0003121663294303</v>
      </c>
      <c r="AI127" s="146">
        <f t="shared" si="44"/>
        <v>32.380286735687449</v>
      </c>
      <c r="AJ127" s="147">
        <f t="shared" si="45"/>
        <v>16.187616753391659</v>
      </c>
      <c r="AK127" s="148">
        <f t="shared" si="38"/>
        <v>0.94008297853439116</v>
      </c>
      <c r="AL127" s="148">
        <f t="shared" si="46"/>
        <v>-28.454518127262666</v>
      </c>
      <c r="AM127" s="149">
        <v>0.36599999999999999</v>
      </c>
      <c r="AN127" s="150">
        <f t="shared" si="47"/>
        <v>0.94008297853439116</v>
      </c>
      <c r="AO127" s="151">
        <f t="shared" si="48"/>
        <v>0.36659669817569795</v>
      </c>
      <c r="AP127" s="152">
        <f t="shared" si="49"/>
        <v>5.966981756979628E-4</v>
      </c>
      <c r="AQ127" s="152">
        <f t="shared" si="50"/>
        <v>20.003121663294305</v>
      </c>
      <c r="AR127" s="153">
        <f t="shared" si="51"/>
        <v>0.11935826204752109</v>
      </c>
      <c r="AS127" s="153">
        <f t="shared" si="52"/>
        <v>5.966981756979628</v>
      </c>
      <c r="AT127" s="149">
        <v>1.077</v>
      </c>
      <c r="AU127" s="150">
        <f t="shared" si="53"/>
        <v>-28.454518127262666</v>
      </c>
      <c r="AV127" s="150">
        <f t="shared" si="54"/>
        <v>1.0799357226069985</v>
      </c>
      <c r="AW127" s="154">
        <f t="shared" si="55"/>
        <v>2.935722606998592E-3</v>
      </c>
      <c r="AX127" s="154">
        <f t="shared" si="56"/>
        <v>323.80286735687446</v>
      </c>
      <c r="AY127" s="154">
        <f t="shared" si="57"/>
        <v>9.5059539791054277</v>
      </c>
      <c r="AZ127" s="154">
        <f t="shared" si="58"/>
        <v>29.357226069985924</v>
      </c>
    </row>
    <row r="128" spans="1:52" ht="18" x14ac:dyDescent="0.25">
      <c r="A128" s="104">
        <v>120</v>
      </c>
      <c r="B128">
        <v>4</v>
      </c>
      <c r="C128" t="s">
        <v>459</v>
      </c>
      <c r="D128" t="s">
        <v>24</v>
      </c>
      <c r="E128" t="s">
        <v>457</v>
      </c>
      <c r="F128">
        <v>2</v>
      </c>
      <c r="G128" t="s">
        <v>51</v>
      </c>
      <c r="H128">
        <v>3.6880000000000002</v>
      </c>
      <c r="Q128" s="155">
        <v>508</v>
      </c>
      <c r="R128" s="155" t="s">
        <v>317</v>
      </c>
      <c r="S128" s="155">
        <v>7.6488969999999998</v>
      </c>
      <c r="T128" s="155">
        <v>2.4564641156509111</v>
      </c>
      <c r="U128" s="155">
        <v>4.7516265000000004</v>
      </c>
      <c r="V128" s="155">
        <v>-26.457184218758364</v>
      </c>
      <c r="W128" s="142">
        <v>3.6880000000000002</v>
      </c>
      <c r="X128" s="158">
        <v>6.1372437857142854</v>
      </c>
      <c r="Y128" s="158">
        <v>2.165951323344959</v>
      </c>
      <c r="Z128" s="158">
        <v>4.1588204642857134</v>
      </c>
      <c r="AA128" s="158">
        <v>-25.525093669069488</v>
      </c>
      <c r="AB128" s="158">
        <v>2.4814285714285718</v>
      </c>
      <c r="AC128" s="158">
        <v>2.4814285714285718</v>
      </c>
      <c r="AD128" s="144">
        <f t="shared" si="39"/>
        <v>1.1401907461647542E-2</v>
      </c>
      <c r="AE128" s="144">
        <f t="shared" si="40"/>
        <v>0.27452622576973307</v>
      </c>
      <c r="AF128" s="145">
        <f t="shared" si="41"/>
        <v>8.7212015777673499E-2</v>
      </c>
      <c r="AG128" s="145">
        <f t="shared" si="42"/>
        <v>1.3044460893124468</v>
      </c>
      <c r="AH128" s="146">
        <f t="shared" si="43"/>
        <v>2.3647509701104523</v>
      </c>
      <c r="AI128" s="146">
        <f t="shared" si="44"/>
        <v>35.370013267691071</v>
      </c>
      <c r="AJ128" s="147">
        <f t="shared" si="45"/>
        <v>14.957183109238352</v>
      </c>
      <c r="AK128" s="148">
        <f t="shared" si="38"/>
        <v>2.270512792305952</v>
      </c>
      <c r="AL128" s="148">
        <f t="shared" si="46"/>
        <v>-26.962090549688877</v>
      </c>
      <c r="AM128" s="149">
        <v>0.36599999999999999</v>
      </c>
      <c r="AN128" s="150">
        <f t="shared" si="47"/>
        <v>2.270512792305952</v>
      </c>
      <c r="AO128" s="151">
        <f t="shared" si="48"/>
        <v>0.36708218258270453</v>
      </c>
      <c r="AP128" s="152">
        <f t="shared" si="49"/>
        <v>1.0821825827045384E-3</v>
      </c>
      <c r="AQ128" s="152">
        <f t="shared" si="50"/>
        <v>23.647509701104521</v>
      </c>
      <c r="AR128" s="153">
        <f t="shared" si="51"/>
        <v>0.25590923122871917</v>
      </c>
      <c r="AS128" s="153">
        <f t="shared" si="52"/>
        <v>10.821825827045384</v>
      </c>
      <c r="AT128" s="149">
        <v>1.077</v>
      </c>
      <c r="AU128" s="150">
        <f t="shared" si="53"/>
        <v>-26.962090549688877</v>
      </c>
      <c r="AV128" s="150">
        <f t="shared" si="54"/>
        <v>1.0815767099130003</v>
      </c>
      <c r="AW128" s="154">
        <f t="shared" si="55"/>
        <v>4.5767099130002986E-3</v>
      </c>
      <c r="AX128" s="154">
        <f t="shared" si="56"/>
        <v>353.7001326769107</v>
      </c>
      <c r="AY128" s="154">
        <f t="shared" si="57"/>
        <v>16.187829034519382</v>
      </c>
      <c r="AZ128" s="154">
        <f t="shared" si="58"/>
        <v>45.76709913000299</v>
      </c>
    </row>
    <row r="129" spans="1:52" ht="18" x14ac:dyDescent="0.25">
      <c r="A129" s="104">
        <v>121</v>
      </c>
      <c r="B129">
        <v>4</v>
      </c>
      <c r="C129" t="s">
        <v>460</v>
      </c>
      <c r="D129" t="s">
        <v>48</v>
      </c>
      <c r="E129" t="s">
        <v>457</v>
      </c>
      <c r="F129">
        <v>2</v>
      </c>
      <c r="G129" t="s">
        <v>53</v>
      </c>
      <c r="H129">
        <v>3.25</v>
      </c>
      <c r="Q129" s="141">
        <v>509</v>
      </c>
      <c r="R129" s="141" t="s">
        <v>318</v>
      </c>
      <c r="S129" s="141">
        <v>4.3723855</v>
      </c>
      <c r="T129" s="141">
        <v>2.496947221857007</v>
      </c>
      <c r="U129" s="141">
        <v>4.2761125</v>
      </c>
      <c r="V129" s="141">
        <v>-27.861494929943341</v>
      </c>
      <c r="W129" s="142">
        <v>3.25</v>
      </c>
      <c r="X129" s="158">
        <v>6.1372437857142854</v>
      </c>
      <c r="Y129" s="158">
        <v>2.165951323344959</v>
      </c>
      <c r="Z129" s="158">
        <v>4.1588204642857134</v>
      </c>
      <c r="AA129" s="158">
        <v>-25.525093669069488</v>
      </c>
      <c r="AB129" s="158">
        <v>2.4814285714285718</v>
      </c>
      <c r="AC129" s="158">
        <v>2.4814285714285718</v>
      </c>
      <c r="AD129" s="144">
        <f t="shared" si="39"/>
        <v>1.1401907461647542E-2</v>
      </c>
      <c r="AE129" s="144">
        <f t="shared" si="40"/>
        <v>0.27452622576973307</v>
      </c>
      <c r="AF129" s="145">
        <f t="shared" si="41"/>
        <v>4.9853534857649519E-2</v>
      </c>
      <c r="AG129" s="145">
        <f t="shared" si="42"/>
        <v>1.1739050255917778</v>
      </c>
      <c r="AH129" s="146">
        <f t="shared" si="43"/>
        <v>1.5339549186969081</v>
      </c>
      <c r="AI129" s="146">
        <f t="shared" si="44"/>
        <v>36.12015463359316</v>
      </c>
      <c r="AJ129" s="147">
        <f t="shared" si="45"/>
        <v>23.547077031623044</v>
      </c>
      <c r="AK129" s="148">
        <f t="shared" si="38"/>
        <v>2.310995898512048</v>
      </c>
      <c r="AL129" s="148">
        <f t="shared" si="46"/>
        <v>-28.366401260873854</v>
      </c>
      <c r="AM129" s="149">
        <v>0.36599999999999999</v>
      </c>
      <c r="AN129" s="150">
        <f t="shared" si="47"/>
        <v>2.310995898512048</v>
      </c>
      <c r="AO129" s="151">
        <f t="shared" si="48"/>
        <v>0.3670969551155544</v>
      </c>
      <c r="AP129" s="152">
        <f t="shared" si="49"/>
        <v>1.0969551155544099E-3</v>
      </c>
      <c r="AQ129" s="152">
        <f t="shared" si="50"/>
        <v>15.339549186969084</v>
      </c>
      <c r="AR129" s="153">
        <f t="shared" si="51"/>
        <v>0.16826796950944226</v>
      </c>
      <c r="AS129" s="153">
        <f t="shared" si="52"/>
        <v>10.969551155544099</v>
      </c>
      <c r="AT129" s="149">
        <v>1.077</v>
      </c>
      <c r="AU129" s="150">
        <f t="shared" si="53"/>
        <v>-28.366401260873854</v>
      </c>
      <c r="AV129" s="150">
        <f t="shared" si="54"/>
        <v>1.0800326123445769</v>
      </c>
      <c r="AW129" s="154">
        <f t="shared" si="55"/>
        <v>3.0326123445769682E-3</v>
      </c>
      <c r="AX129" s="154">
        <f t="shared" si="56"/>
        <v>361.2015463359316</v>
      </c>
      <c r="AY129" s="154">
        <f t="shared" si="57"/>
        <v>10.953842682986361</v>
      </c>
      <c r="AZ129" s="154">
        <f t="shared" si="58"/>
        <v>30.326123445769682</v>
      </c>
    </row>
    <row r="130" spans="1:52" ht="18" x14ac:dyDescent="0.25">
      <c r="A130" s="104">
        <v>122</v>
      </c>
      <c r="B130">
        <v>4</v>
      </c>
      <c r="C130" t="s">
        <v>461</v>
      </c>
      <c r="D130" t="s">
        <v>36</v>
      </c>
      <c r="E130" t="s">
        <v>457</v>
      </c>
      <c r="F130">
        <v>2</v>
      </c>
      <c r="G130" t="s">
        <v>54</v>
      </c>
      <c r="H130">
        <v>3.4849999999999999</v>
      </c>
      <c r="Q130" s="155">
        <v>510</v>
      </c>
      <c r="R130" s="155" t="s">
        <v>319</v>
      </c>
      <c r="S130" s="155">
        <v>4.2801844999999998</v>
      </c>
      <c r="T130" s="155">
        <v>1.9792412533536559</v>
      </c>
      <c r="U130" s="155">
        <v>4.3882015000000001</v>
      </c>
      <c r="V130" s="155">
        <v>-25.766679569882943</v>
      </c>
      <c r="W130" s="142">
        <v>3.4849999999999999</v>
      </c>
      <c r="X130" s="158">
        <v>6.1372437857142854</v>
      </c>
      <c r="Y130" s="158">
        <v>2.165951323344959</v>
      </c>
      <c r="Z130" s="158">
        <v>4.1588204642857134</v>
      </c>
      <c r="AA130" s="158">
        <v>-25.525093669069488</v>
      </c>
      <c r="AB130" s="158">
        <v>2.4814285714285718</v>
      </c>
      <c r="AC130" s="158">
        <v>2.4814285714285718</v>
      </c>
      <c r="AD130" s="144">
        <f t="shared" si="39"/>
        <v>1.1401907461647542E-2</v>
      </c>
      <c r="AE130" s="144">
        <f t="shared" si="40"/>
        <v>0.27452622576973307</v>
      </c>
      <c r="AF130" s="145">
        <f t="shared" si="41"/>
        <v>4.8802267587778156E-2</v>
      </c>
      <c r="AG130" s="145">
        <f t="shared" si="42"/>
        <v>1.2046763957120814</v>
      </c>
      <c r="AH130" s="146">
        <f t="shared" si="43"/>
        <v>1.4003520111270633</v>
      </c>
      <c r="AI130" s="146">
        <f t="shared" si="44"/>
        <v>34.567471899916256</v>
      </c>
      <c r="AJ130" s="147">
        <f t="shared" si="45"/>
        <v>24.684844685655051</v>
      </c>
      <c r="AK130" s="148">
        <f t="shared" si="38"/>
        <v>1.7932899300086969</v>
      </c>
      <c r="AL130" s="148">
        <f t="shared" si="46"/>
        <v>-26.271585900813456</v>
      </c>
      <c r="AM130" s="149">
        <v>0.36599999999999999</v>
      </c>
      <c r="AN130" s="150">
        <f t="shared" si="47"/>
        <v>1.7932899300086969</v>
      </c>
      <c r="AO130" s="151">
        <f t="shared" si="48"/>
        <v>0.36690804071371724</v>
      </c>
      <c r="AP130" s="152">
        <f t="shared" si="49"/>
        <v>9.0804071371725081E-4</v>
      </c>
      <c r="AQ130" s="152">
        <f t="shared" si="50"/>
        <v>14.003520111270634</v>
      </c>
      <c r="AR130" s="153">
        <f t="shared" si="51"/>
        <v>0.12715766396392061</v>
      </c>
      <c r="AS130" s="153">
        <f t="shared" si="52"/>
        <v>9.0804071371725072</v>
      </c>
      <c r="AT130" s="149">
        <v>1.077</v>
      </c>
      <c r="AU130" s="150">
        <f t="shared" si="53"/>
        <v>-26.271585900813456</v>
      </c>
      <c r="AV130" s="150">
        <f t="shared" si="54"/>
        <v>1.0823359305858615</v>
      </c>
      <c r="AW130" s="154">
        <f t="shared" si="55"/>
        <v>5.3359305858615702E-3</v>
      </c>
      <c r="AX130" s="154">
        <f t="shared" si="56"/>
        <v>345.67471899916256</v>
      </c>
      <c r="AY130" s="154">
        <f t="shared" si="57"/>
        <v>18.444963058667351</v>
      </c>
      <c r="AZ130" s="154">
        <f t="shared" si="58"/>
        <v>53.359305858615699</v>
      </c>
    </row>
    <row r="131" spans="1:52" ht="18" x14ac:dyDescent="0.25">
      <c r="A131" s="104">
        <v>123</v>
      </c>
      <c r="B131">
        <v>4</v>
      </c>
      <c r="C131" t="s">
        <v>462</v>
      </c>
      <c r="D131" t="s">
        <v>52</v>
      </c>
      <c r="E131" t="s">
        <v>457</v>
      </c>
      <c r="F131">
        <v>2</v>
      </c>
      <c r="G131" t="s">
        <v>55</v>
      </c>
      <c r="H131">
        <v>3.4569999999999999</v>
      </c>
      <c r="Q131" s="141">
        <v>511</v>
      </c>
      <c r="R131" s="141" t="s">
        <v>320</v>
      </c>
      <c r="S131" s="141">
        <v>8.6434460000000009</v>
      </c>
      <c r="T131" s="141">
        <v>1.2632961971994539</v>
      </c>
      <c r="U131" s="141">
        <v>4.9417064999999996</v>
      </c>
      <c r="V131" s="141">
        <v>-26.488946084365452</v>
      </c>
      <c r="W131" s="142">
        <v>3.4569999999999999</v>
      </c>
      <c r="X131" s="158">
        <v>6.1372437857142854</v>
      </c>
      <c r="Y131" s="158">
        <v>2.165951323344959</v>
      </c>
      <c r="Z131" s="158">
        <v>4.1588204642857134</v>
      </c>
      <c r="AA131" s="158">
        <v>-25.525093669069488</v>
      </c>
      <c r="AB131" s="158">
        <v>2.4814285714285718</v>
      </c>
      <c r="AC131" s="158">
        <v>2.4814285714285718</v>
      </c>
      <c r="AD131" s="144">
        <f t="shared" si="39"/>
        <v>1.1401907461647542E-2</v>
      </c>
      <c r="AE131" s="144">
        <f t="shared" si="40"/>
        <v>0.27452622576973307</v>
      </c>
      <c r="AF131" s="145">
        <f t="shared" si="41"/>
        <v>9.8551771441747607E-2</v>
      </c>
      <c r="AG131" s="145">
        <f t="shared" si="42"/>
        <v>1.3566280343067574</v>
      </c>
      <c r="AH131" s="146">
        <f t="shared" si="43"/>
        <v>2.8507888759545157</v>
      </c>
      <c r="AI131" s="146">
        <f t="shared" si="44"/>
        <v>39.242928386079193</v>
      </c>
      <c r="AJ131" s="147">
        <f t="shared" si="45"/>
        <v>13.765638247392019</v>
      </c>
      <c r="AK131" s="148">
        <f t="shared" ref="AK131:AK194" si="59">T131+(1.98-Y131)</f>
        <v>1.0773448738544948</v>
      </c>
      <c r="AL131" s="148">
        <f t="shared" si="46"/>
        <v>-26.993852415295965</v>
      </c>
      <c r="AM131" s="149">
        <v>0.36599999999999999</v>
      </c>
      <c r="AN131" s="150">
        <f t="shared" si="47"/>
        <v>1.0773448738544948</v>
      </c>
      <c r="AO131" s="151">
        <f t="shared" si="48"/>
        <v>0.36664678635049291</v>
      </c>
      <c r="AP131" s="152">
        <f t="shared" si="49"/>
        <v>6.4678635049292277E-4</v>
      </c>
      <c r="AQ131" s="152">
        <f t="shared" si="50"/>
        <v>28.507888759545157</v>
      </c>
      <c r="AR131" s="153">
        <f t="shared" si="51"/>
        <v>0.18438513331044426</v>
      </c>
      <c r="AS131" s="153">
        <f t="shared" si="52"/>
        <v>6.4678635049292277</v>
      </c>
      <c r="AT131" s="149">
        <v>1.077</v>
      </c>
      <c r="AU131" s="150">
        <f t="shared" si="53"/>
        <v>-26.993852415295965</v>
      </c>
      <c r="AV131" s="150">
        <f t="shared" si="54"/>
        <v>1.0815417869640904</v>
      </c>
      <c r="AW131" s="154">
        <f t="shared" si="55"/>
        <v>4.5417869640904662E-3</v>
      </c>
      <c r="AX131" s="154">
        <f t="shared" si="56"/>
        <v>392.42928386079188</v>
      </c>
      <c r="AY131" s="154">
        <f t="shared" si="57"/>
        <v>17.823302057663017</v>
      </c>
      <c r="AZ131" s="154">
        <f t="shared" si="58"/>
        <v>45.417869640904662</v>
      </c>
    </row>
    <row r="132" spans="1:52" ht="18" x14ac:dyDescent="0.25">
      <c r="I132" t="s">
        <v>152</v>
      </c>
      <c r="Q132" s="155">
        <v>512</v>
      </c>
      <c r="R132" s="155" t="s">
        <v>321</v>
      </c>
      <c r="S132" s="155">
        <v>5.6666650000000001</v>
      </c>
      <c r="T132" s="155">
        <v>1.8742945076161699</v>
      </c>
      <c r="U132" s="155">
        <v>3.8467782499999998</v>
      </c>
      <c r="V132" s="155">
        <v>-25.825681818241609</v>
      </c>
      <c r="W132" s="155">
        <v>2.2559999999999998</v>
      </c>
      <c r="X132" s="158">
        <v>6.1372437857142854</v>
      </c>
      <c r="Y132" s="158">
        <v>2.165951323344959</v>
      </c>
      <c r="Z132" s="158">
        <v>4.1588204642857134</v>
      </c>
      <c r="AA132" s="158">
        <v>-25.525093669069488</v>
      </c>
      <c r="AB132" s="158">
        <v>2.4814285714285718</v>
      </c>
      <c r="AC132" s="158">
        <v>2.4814285714285718</v>
      </c>
      <c r="AD132" s="144">
        <f t="shared" ref="AD132:AD195" si="60">((2.82/100)*AB132)/X132</f>
        <v>1.1401907461647542E-2</v>
      </c>
      <c r="AE132" s="144">
        <f t="shared" ref="AE132:AE195" si="61">((46.01/100)*AC132)/Z132</f>
        <v>0.27452622576973307</v>
      </c>
      <c r="AF132" s="145">
        <f t="shared" ref="AF132:AF195" si="62">S132*AD132</f>
        <v>6.4610789946156974E-2</v>
      </c>
      <c r="AG132" s="145">
        <f t="shared" ref="AG132:AG195" si="63">U132*AE132</f>
        <v>1.0560415143455986</v>
      </c>
      <c r="AH132" s="146">
        <f t="shared" ref="AH132:AH195" si="64">100*AF132/W132</f>
        <v>2.8639534550601495</v>
      </c>
      <c r="AI132" s="146">
        <f t="shared" ref="AI132:AI195" si="65">100*AG132/W132</f>
        <v>46.810350813191427</v>
      </c>
      <c r="AJ132" s="147">
        <f t="shared" ref="AJ132:AJ195" si="66">AG132/AF132</f>
        <v>16.344661862602898</v>
      </c>
      <c r="AK132" s="148">
        <f t="shared" si="59"/>
        <v>1.6883431842712109</v>
      </c>
      <c r="AL132" s="148">
        <f t="shared" ref="AL132:AL195" si="67">V132+(-26.03-AA132)</f>
        <v>-26.330588149172122</v>
      </c>
      <c r="AM132" s="149">
        <v>0.36599999999999999</v>
      </c>
      <c r="AN132" s="150">
        <f t="shared" ref="AN132:AN195" si="68">T132+(1.98-Y132)</f>
        <v>1.6883431842712109</v>
      </c>
      <c r="AO132" s="151">
        <f t="shared" ref="AO132:AO195" si="69">100*0.003676*(AN132/1000+1)/(1+0.003676*(AN132/1000+1))</f>
        <v>0.36686974485059309</v>
      </c>
      <c r="AP132" s="152">
        <f t="shared" ref="AP132:AP195" si="70">AO132-AM132</f>
        <v>8.6974485059310158E-4</v>
      </c>
      <c r="AQ132" s="152">
        <f t="shared" ref="AQ132:AQ195" si="71">(AH132%*W132)/W132*1000</f>
        <v>28.6395345506015</v>
      </c>
      <c r="AR132" s="153">
        <f t="shared" ref="AR132:AR195" si="72">(AQ132*AP132%)*1000</f>
        <v>0.24909087698768873</v>
      </c>
      <c r="AS132" s="153">
        <f t="shared" ref="AS132:AS195" si="73">(((AF132*AP132%)/AF132)*1000)*1000</f>
        <v>8.6974485059310158</v>
      </c>
      <c r="AT132" s="149">
        <v>1.077</v>
      </c>
      <c r="AU132" s="150">
        <f t="shared" ref="AU132:AU195" si="74">V132+(-26.03-AA132)</f>
        <v>-26.330588149172122</v>
      </c>
      <c r="AV132" s="150">
        <f t="shared" ref="AV132:AV195" si="75">100*0.011237*(AU132/1000+1)/(1+0.011237*(AU132/1000+1))</f>
        <v>1.0822710571453518</v>
      </c>
      <c r="AW132" s="154">
        <f t="shared" ref="AW132:AW195" si="76">AV132-AT132</f>
        <v>5.2710571453518096E-3</v>
      </c>
      <c r="AX132" s="154">
        <f t="shared" ref="AX132:AX195" si="77">(AI132%*W132)/W132*1000</f>
        <v>468.10350813191434</v>
      </c>
      <c r="AY132" s="154">
        <f t="shared" ref="AY132:AY195" si="78">(AX132*AW132%)*1000</f>
        <v>24.674003413029759</v>
      </c>
      <c r="AZ132" s="154">
        <f t="shared" ref="AZ132:AZ195" si="79">(((AG132*AW132%)/AG132)*1000)*1000</f>
        <v>52.710571453518099</v>
      </c>
    </row>
    <row r="133" spans="1:52" ht="18" x14ac:dyDescent="0.25">
      <c r="A133" s="104">
        <v>124</v>
      </c>
      <c r="B133">
        <v>4</v>
      </c>
      <c r="C133" t="s">
        <v>463</v>
      </c>
      <c r="D133" t="s">
        <v>32</v>
      </c>
      <c r="E133" t="s">
        <v>457</v>
      </c>
      <c r="F133">
        <v>2</v>
      </c>
      <c r="G133" t="s">
        <v>56</v>
      </c>
      <c r="H133">
        <v>3.3</v>
      </c>
      <c r="Q133" s="141">
        <v>513</v>
      </c>
      <c r="R133" s="141" t="s">
        <v>322</v>
      </c>
      <c r="S133" s="141">
        <v>7.0953685000000002</v>
      </c>
      <c r="T133" s="141">
        <v>27.774836197051894</v>
      </c>
      <c r="U133" s="141">
        <v>4.5502905</v>
      </c>
      <c r="V133" s="141">
        <v>-24.584273764874368</v>
      </c>
      <c r="W133" s="142">
        <v>3.3</v>
      </c>
      <c r="X133" s="158">
        <v>6.1372437857142854</v>
      </c>
      <c r="Y133" s="158">
        <v>2.165951323344959</v>
      </c>
      <c r="Z133" s="158">
        <v>4.1588204642857134</v>
      </c>
      <c r="AA133" s="158">
        <v>-25.525093669069488</v>
      </c>
      <c r="AB133" s="158">
        <v>2.4814285714285718</v>
      </c>
      <c r="AC133" s="158">
        <v>2.4814285714285718</v>
      </c>
      <c r="AD133" s="144">
        <f t="shared" si="60"/>
        <v>1.1401907461647542E-2</v>
      </c>
      <c r="AE133" s="144">
        <f t="shared" si="61"/>
        <v>0.27452622576973307</v>
      </c>
      <c r="AF133" s="145">
        <f t="shared" si="62"/>
        <v>8.0900735043288929E-2</v>
      </c>
      <c r="AG133" s="145">
        <f t="shared" si="63"/>
        <v>1.2491740771208715</v>
      </c>
      <c r="AH133" s="146">
        <f t="shared" si="64"/>
        <v>2.4515374255542102</v>
      </c>
      <c r="AI133" s="146">
        <f t="shared" si="65"/>
        <v>37.853759912753681</v>
      </c>
      <c r="AJ133" s="147">
        <f t="shared" si="66"/>
        <v>15.440824813921093</v>
      </c>
      <c r="AK133" s="148">
        <f t="shared" si="59"/>
        <v>27.588884873706935</v>
      </c>
      <c r="AL133" s="148">
        <f t="shared" si="67"/>
        <v>-25.089180095804881</v>
      </c>
      <c r="AM133" s="149">
        <v>0.36599999999999999</v>
      </c>
      <c r="AN133" s="150">
        <f t="shared" si="68"/>
        <v>27.588884873706935</v>
      </c>
      <c r="AO133" s="151">
        <f t="shared" si="69"/>
        <v>0.37632015602231705</v>
      </c>
      <c r="AP133" s="152">
        <f t="shared" si="70"/>
        <v>1.0320156022317062E-2</v>
      </c>
      <c r="AQ133" s="152">
        <f t="shared" si="71"/>
        <v>24.515374255542103</v>
      </c>
      <c r="AR133" s="153">
        <f t="shared" si="72"/>
        <v>2.5300248726268948</v>
      </c>
      <c r="AS133" s="153">
        <f t="shared" si="73"/>
        <v>103.2015602231706</v>
      </c>
      <c r="AT133" s="149">
        <v>1.077</v>
      </c>
      <c r="AU133" s="150">
        <f t="shared" si="74"/>
        <v>-25.089180095804881</v>
      </c>
      <c r="AV133" s="150">
        <f t="shared" si="75"/>
        <v>1.0836359772170054</v>
      </c>
      <c r="AW133" s="154">
        <f t="shared" si="76"/>
        <v>6.6359772170054843E-3</v>
      </c>
      <c r="AX133" s="154">
        <f t="shared" si="77"/>
        <v>378.53759912753679</v>
      </c>
      <c r="AY133" s="154">
        <f t="shared" si="78"/>
        <v>25.119668835902893</v>
      </c>
      <c r="AZ133" s="154">
        <f t="shared" si="79"/>
        <v>66.359772170054839</v>
      </c>
    </row>
    <row r="134" spans="1:52" ht="18" x14ac:dyDescent="0.25">
      <c r="A134" s="104">
        <v>125</v>
      </c>
      <c r="B134">
        <v>4</v>
      </c>
      <c r="C134" t="s">
        <v>464</v>
      </c>
      <c r="D134" t="s">
        <v>40</v>
      </c>
      <c r="E134" t="s">
        <v>457</v>
      </c>
      <c r="F134">
        <v>2</v>
      </c>
      <c r="G134" t="s">
        <v>57</v>
      </c>
      <c r="H134">
        <v>3.1739999999999999</v>
      </c>
      <c r="Q134" s="155">
        <v>514</v>
      </c>
      <c r="R134" s="155" t="s">
        <v>323</v>
      </c>
      <c r="S134" s="155">
        <v>5.2226869999999996</v>
      </c>
      <c r="T134" s="155">
        <v>2.4763311367783896</v>
      </c>
      <c r="U134" s="155">
        <v>3.6533237500000002</v>
      </c>
      <c r="V134" s="155">
        <v>-28.272322835135334</v>
      </c>
      <c r="W134" s="142">
        <v>3.1739999999999999</v>
      </c>
      <c r="X134" s="158">
        <v>6.1372437857142854</v>
      </c>
      <c r="Y134" s="158">
        <v>2.165951323344959</v>
      </c>
      <c r="Z134" s="158">
        <v>4.1588204642857134</v>
      </c>
      <c r="AA134" s="158">
        <v>-25.525093669069488</v>
      </c>
      <c r="AB134" s="158">
        <v>2.4814285714285718</v>
      </c>
      <c r="AC134" s="158">
        <v>2.4814285714285718</v>
      </c>
      <c r="AD134" s="144">
        <f t="shared" si="60"/>
        <v>1.1401907461647542E-2</v>
      </c>
      <c r="AE134" s="144">
        <f t="shared" si="61"/>
        <v>0.27452622576973307</v>
      </c>
      <c r="AF134" s="145">
        <f t="shared" si="62"/>
        <v>5.9548593875149616E-2</v>
      </c>
      <c r="AG134" s="145">
        <f t="shared" si="63"/>
        <v>1.002933180602428</v>
      </c>
      <c r="AH134" s="146">
        <f t="shared" si="64"/>
        <v>1.8761371731301075</v>
      </c>
      <c r="AI134" s="146">
        <f t="shared" si="65"/>
        <v>31.598398884764588</v>
      </c>
      <c r="AJ134" s="147">
        <f t="shared" si="66"/>
        <v>16.842264700744927</v>
      </c>
      <c r="AK134" s="148">
        <f t="shared" si="59"/>
        <v>2.2903798134334306</v>
      </c>
      <c r="AL134" s="148">
        <f t="shared" si="67"/>
        <v>-28.777229166065847</v>
      </c>
      <c r="AM134" s="149">
        <v>0.36599999999999999</v>
      </c>
      <c r="AN134" s="150">
        <f t="shared" si="68"/>
        <v>2.2903798134334306</v>
      </c>
      <c r="AO134" s="151">
        <f t="shared" si="69"/>
        <v>0.36708943218067014</v>
      </c>
      <c r="AP134" s="152">
        <f t="shared" si="70"/>
        <v>1.0894321806701468E-3</v>
      </c>
      <c r="AQ134" s="152">
        <f t="shared" si="71"/>
        <v>18.761371731301075</v>
      </c>
      <c r="AR134" s="153">
        <f t="shared" si="72"/>
        <v>0.20439242117594578</v>
      </c>
      <c r="AS134" s="153">
        <f t="shared" si="73"/>
        <v>10.894321806701468</v>
      </c>
      <c r="AT134" s="149">
        <v>1.077</v>
      </c>
      <c r="AU134" s="150">
        <f t="shared" si="74"/>
        <v>-28.777229166065847</v>
      </c>
      <c r="AV134" s="150">
        <f t="shared" si="75"/>
        <v>1.0795808809979917</v>
      </c>
      <c r="AW134" s="154">
        <f t="shared" si="76"/>
        <v>2.5808809979916969E-3</v>
      </c>
      <c r="AX134" s="154">
        <f t="shared" si="77"/>
        <v>315.98398884764589</v>
      </c>
      <c r="AY134" s="154">
        <f t="shared" si="78"/>
        <v>8.1551707248650942</v>
      </c>
      <c r="AZ134" s="154">
        <f t="shared" si="79"/>
        <v>25.808809979916969</v>
      </c>
    </row>
    <row r="135" spans="1:52" ht="18" x14ac:dyDescent="0.25">
      <c r="A135" s="104">
        <v>126</v>
      </c>
      <c r="B135">
        <v>4</v>
      </c>
      <c r="C135" t="s">
        <v>456</v>
      </c>
      <c r="D135" t="s">
        <v>28</v>
      </c>
      <c r="E135" t="s">
        <v>465</v>
      </c>
      <c r="F135">
        <v>2</v>
      </c>
      <c r="G135" t="s">
        <v>58</v>
      </c>
      <c r="H135">
        <v>3.3210000000000002</v>
      </c>
      <c r="Q135" s="141">
        <v>515</v>
      </c>
      <c r="R135" s="141" t="s">
        <v>324</v>
      </c>
      <c r="S135" s="141">
        <v>3.3720507500000001</v>
      </c>
      <c r="T135" s="141">
        <v>-0.40016125844354877</v>
      </c>
      <c r="U135" s="141">
        <v>4.3202565000000002</v>
      </c>
      <c r="V135" s="141">
        <v>-28.128826804738733</v>
      </c>
      <c r="W135" s="142">
        <v>3.3210000000000002</v>
      </c>
      <c r="X135" s="158">
        <v>6.1372437857142854</v>
      </c>
      <c r="Y135" s="158">
        <v>2.165951323344959</v>
      </c>
      <c r="Z135" s="158">
        <v>4.1588204642857134</v>
      </c>
      <c r="AA135" s="158">
        <v>-25.525093669069488</v>
      </c>
      <c r="AB135" s="158">
        <v>2.4814285714285718</v>
      </c>
      <c r="AC135" s="158">
        <v>2.4814285714285718</v>
      </c>
      <c r="AD135" s="144">
        <f t="shared" si="60"/>
        <v>1.1401907461647542E-2</v>
      </c>
      <c r="AE135" s="144">
        <f t="shared" si="61"/>
        <v>0.27452622576973307</v>
      </c>
      <c r="AF135" s="145">
        <f t="shared" si="62"/>
        <v>3.8447810607479191E-2</v>
      </c>
      <c r="AG135" s="145">
        <f t="shared" si="63"/>
        <v>1.1860237113021568</v>
      </c>
      <c r="AH135" s="146">
        <f t="shared" si="64"/>
        <v>1.1577178743595058</v>
      </c>
      <c r="AI135" s="146">
        <f t="shared" si="65"/>
        <v>35.712848879920408</v>
      </c>
      <c r="AJ135" s="147">
        <f t="shared" si="66"/>
        <v>30.847626758529692</v>
      </c>
      <c r="AK135" s="148">
        <f t="shared" si="59"/>
        <v>-0.58611258178850778</v>
      </c>
      <c r="AL135" s="148">
        <f t="shared" si="67"/>
        <v>-28.633733135669246</v>
      </c>
      <c r="AM135" s="149">
        <v>0.36599999999999999</v>
      </c>
      <c r="AN135" s="150">
        <f t="shared" si="68"/>
        <v>-0.58611258178850778</v>
      </c>
      <c r="AO135" s="151">
        <f t="shared" si="69"/>
        <v>0.36603977146596062</v>
      </c>
      <c r="AP135" s="152">
        <f t="shared" si="70"/>
        <v>3.9771465960625196E-5</v>
      </c>
      <c r="AQ135" s="152">
        <f t="shared" si="71"/>
        <v>11.577178743595057</v>
      </c>
      <c r="AR135" s="153">
        <f t="shared" si="72"/>
        <v>4.6044137032096441E-3</v>
      </c>
      <c r="AS135" s="153">
        <f t="shared" si="73"/>
        <v>0.39771465960625202</v>
      </c>
      <c r="AT135" s="149">
        <v>1.077</v>
      </c>
      <c r="AU135" s="150">
        <f t="shared" si="74"/>
        <v>-28.633733135669246</v>
      </c>
      <c r="AV135" s="150">
        <f t="shared" si="75"/>
        <v>1.0797386644563298</v>
      </c>
      <c r="AW135" s="154">
        <f t="shared" si="76"/>
        <v>2.7386644563298645E-3</v>
      </c>
      <c r="AX135" s="154">
        <f t="shared" si="77"/>
        <v>357.12848879920404</v>
      </c>
      <c r="AY135" s="154">
        <f t="shared" si="78"/>
        <v>9.7805509861717823</v>
      </c>
      <c r="AZ135" s="154">
        <f t="shared" si="79"/>
        <v>27.386644563298645</v>
      </c>
    </row>
    <row r="136" spans="1:52" ht="18" x14ac:dyDescent="0.25">
      <c r="A136" s="104">
        <v>127</v>
      </c>
      <c r="B136">
        <v>4</v>
      </c>
      <c r="C136" t="s">
        <v>458</v>
      </c>
      <c r="D136" t="s">
        <v>44</v>
      </c>
      <c r="E136" t="s">
        <v>465</v>
      </c>
      <c r="F136">
        <v>2</v>
      </c>
      <c r="G136" t="s">
        <v>59</v>
      </c>
      <c r="H136">
        <v>3.5369999999999999</v>
      </c>
      <c r="Q136" s="155">
        <v>516</v>
      </c>
      <c r="R136" s="155" t="s">
        <v>325</v>
      </c>
      <c r="S136" s="155">
        <v>3.2905647500000001</v>
      </c>
      <c r="T136" s="155">
        <v>-1.4714383794452945</v>
      </c>
      <c r="U136" s="155">
        <v>4.8084920000000002</v>
      </c>
      <c r="V136" s="155">
        <v>-29.341080564355529</v>
      </c>
      <c r="W136" s="142">
        <v>3.5369999999999999</v>
      </c>
      <c r="X136" s="158">
        <v>6.1372437857142854</v>
      </c>
      <c r="Y136" s="158">
        <v>2.165951323344959</v>
      </c>
      <c r="Z136" s="158">
        <v>4.1588204642857134</v>
      </c>
      <c r="AA136" s="158">
        <v>-25.525093669069488</v>
      </c>
      <c r="AB136" s="158">
        <v>2.4814285714285718</v>
      </c>
      <c r="AC136" s="158">
        <v>2.4814285714285718</v>
      </c>
      <c r="AD136" s="144">
        <f t="shared" si="60"/>
        <v>1.1401907461647542E-2</v>
      </c>
      <c r="AE136" s="144">
        <f t="shared" si="61"/>
        <v>0.27452622576973307</v>
      </c>
      <c r="AF136" s="145">
        <f t="shared" si="62"/>
        <v>3.7518714776059385E-2</v>
      </c>
      <c r="AG136" s="145">
        <f t="shared" si="63"/>
        <v>1.3200571604039553</v>
      </c>
      <c r="AH136" s="146">
        <f t="shared" si="64"/>
        <v>1.0607496402617864</v>
      </c>
      <c r="AI136" s="146">
        <f t="shared" si="65"/>
        <v>37.321378580829951</v>
      </c>
      <c r="AJ136" s="147">
        <f t="shared" si="66"/>
        <v>35.183965343244672</v>
      </c>
      <c r="AK136" s="148">
        <f t="shared" si="59"/>
        <v>-1.6573897027902535</v>
      </c>
      <c r="AL136" s="148">
        <f t="shared" si="67"/>
        <v>-29.845986895286043</v>
      </c>
      <c r="AM136" s="149">
        <v>0.36599999999999999</v>
      </c>
      <c r="AN136" s="150">
        <f t="shared" si="68"/>
        <v>-1.6573897027902535</v>
      </c>
      <c r="AO136" s="151">
        <f t="shared" si="69"/>
        <v>0.36564884612609155</v>
      </c>
      <c r="AP136" s="152">
        <f t="shared" si="70"/>
        <v>-3.5115387390843855E-4</v>
      </c>
      <c r="AQ136" s="152">
        <f t="shared" si="71"/>
        <v>10.607496402617864</v>
      </c>
      <c r="AR136" s="153">
        <f t="shared" si="72"/>
        <v>-3.7248634542490888E-2</v>
      </c>
      <c r="AS136" s="153">
        <f t="shared" si="73"/>
        <v>-3.511538739084386</v>
      </c>
      <c r="AT136" s="149">
        <v>1.077</v>
      </c>
      <c r="AU136" s="150">
        <f t="shared" si="74"/>
        <v>-29.845986895286043</v>
      </c>
      <c r="AV136" s="150">
        <f t="shared" si="75"/>
        <v>1.078405694740026</v>
      </c>
      <c r="AW136" s="154">
        <f t="shared" si="76"/>
        <v>1.4056947400260533E-3</v>
      </c>
      <c r="AX136" s="154">
        <f t="shared" si="77"/>
        <v>373.21378580829952</v>
      </c>
      <c r="AY136" s="154">
        <f t="shared" si="78"/>
        <v>5.2462465561593676</v>
      </c>
      <c r="AZ136" s="154">
        <f t="shared" si="79"/>
        <v>14.056947400260535</v>
      </c>
    </row>
    <row r="137" spans="1:52" ht="18" x14ac:dyDescent="0.25">
      <c r="A137" s="104">
        <v>128</v>
      </c>
      <c r="B137">
        <v>4</v>
      </c>
      <c r="C137" t="s">
        <v>459</v>
      </c>
      <c r="D137" t="s">
        <v>24</v>
      </c>
      <c r="E137" t="s">
        <v>465</v>
      </c>
      <c r="F137">
        <v>2</v>
      </c>
      <c r="G137" t="s">
        <v>60</v>
      </c>
      <c r="H137">
        <v>3.1749999999999998</v>
      </c>
      <c r="Q137" s="141">
        <v>517</v>
      </c>
      <c r="R137" s="141" t="s">
        <v>326</v>
      </c>
      <c r="S137" s="141">
        <v>3.8110944999999998</v>
      </c>
      <c r="T137" s="141">
        <v>-0.17965289027007947</v>
      </c>
      <c r="U137" s="141">
        <v>4.3322599999999998</v>
      </c>
      <c r="V137" s="141">
        <v>-27.846505247491201</v>
      </c>
      <c r="W137" s="142">
        <v>3.1749999999999998</v>
      </c>
      <c r="X137" s="158">
        <v>6.1372437857142854</v>
      </c>
      <c r="Y137" s="158">
        <v>2.165951323344959</v>
      </c>
      <c r="Z137" s="158">
        <v>4.1588204642857134</v>
      </c>
      <c r="AA137" s="158">
        <v>-25.525093669069488</v>
      </c>
      <c r="AB137" s="158">
        <v>2.4814285714285718</v>
      </c>
      <c r="AC137" s="158">
        <v>2.4814285714285718</v>
      </c>
      <c r="AD137" s="144">
        <f t="shared" si="60"/>
        <v>1.1401907461647542E-2</v>
      </c>
      <c r="AE137" s="144">
        <f t="shared" si="61"/>
        <v>0.27452622576973307</v>
      </c>
      <c r="AF137" s="145">
        <f t="shared" si="62"/>
        <v>4.3453746816593905E-2</v>
      </c>
      <c r="AG137" s="145">
        <f t="shared" si="63"/>
        <v>1.1893189868531837</v>
      </c>
      <c r="AH137" s="146">
        <f t="shared" si="64"/>
        <v>1.3686219469793357</v>
      </c>
      <c r="AI137" s="146">
        <f t="shared" si="65"/>
        <v>37.45886572765933</v>
      </c>
      <c r="AJ137" s="147">
        <f t="shared" si="66"/>
        <v>27.369768408532551</v>
      </c>
      <c r="AK137" s="148">
        <f t="shared" si="59"/>
        <v>-0.36560421361503848</v>
      </c>
      <c r="AL137" s="148">
        <f t="shared" si="67"/>
        <v>-28.351411578421715</v>
      </c>
      <c r="AM137" s="149">
        <v>0.36599999999999999</v>
      </c>
      <c r="AN137" s="150">
        <f t="shared" si="68"/>
        <v>-0.36560421361503848</v>
      </c>
      <c r="AO137" s="151">
        <f t="shared" si="69"/>
        <v>0.36612023794773302</v>
      </c>
      <c r="AP137" s="152">
        <f t="shared" si="70"/>
        <v>1.2023794773302621E-4</v>
      </c>
      <c r="AQ137" s="152">
        <f t="shared" si="71"/>
        <v>13.686219469793356</v>
      </c>
      <c r="AR137" s="153">
        <f t="shared" si="72"/>
        <v>1.6456029412717392E-2</v>
      </c>
      <c r="AS137" s="153">
        <f t="shared" si="73"/>
        <v>1.2023794773302621</v>
      </c>
      <c r="AT137" s="149">
        <v>1.077</v>
      </c>
      <c r="AU137" s="150">
        <f t="shared" si="74"/>
        <v>-28.351411578421715</v>
      </c>
      <c r="AV137" s="150">
        <f t="shared" si="75"/>
        <v>1.0800490943734344</v>
      </c>
      <c r="AW137" s="154">
        <f t="shared" si="76"/>
        <v>3.04909437343448E-3</v>
      </c>
      <c r="AX137" s="154">
        <f t="shared" si="77"/>
        <v>374.58865727659327</v>
      </c>
      <c r="AY137" s="154">
        <f t="shared" si="78"/>
        <v>11.421561672544373</v>
      </c>
      <c r="AZ137" s="154">
        <f t="shared" si="79"/>
        <v>30.490943734344796</v>
      </c>
    </row>
    <row r="138" spans="1:52" ht="18" x14ac:dyDescent="0.25">
      <c r="A138" s="104">
        <v>129</v>
      </c>
      <c r="B138">
        <v>4</v>
      </c>
      <c r="C138" t="s">
        <v>460</v>
      </c>
      <c r="D138" t="s">
        <v>48</v>
      </c>
      <c r="E138" t="s">
        <v>465</v>
      </c>
      <c r="F138">
        <v>2</v>
      </c>
      <c r="G138" t="s">
        <v>61</v>
      </c>
      <c r="H138">
        <v>3.5760000000000001</v>
      </c>
      <c r="Q138" s="155">
        <v>518</v>
      </c>
      <c r="R138" s="155" t="s">
        <v>327</v>
      </c>
      <c r="S138" s="155">
        <v>3.3492942499999998</v>
      </c>
      <c r="T138" s="155">
        <v>26.633320566478339</v>
      </c>
      <c r="U138" s="155">
        <v>4.4610855000000003</v>
      </c>
      <c r="V138" s="155">
        <v>-27.990727012404154</v>
      </c>
      <c r="W138" s="142">
        <v>3.5760000000000001</v>
      </c>
      <c r="X138" s="158">
        <v>6.1372437857142854</v>
      </c>
      <c r="Y138" s="158">
        <v>2.165951323344959</v>
      </c>
      <c r="Z138" s="158">
        <v>4.1588204642857134</v>
      </c>
      <c r="AA138" s="158">
        <v>-25.525093669069488</v>
      </c>
      <c r="AB138" s="158">
        <v>2.4814285714285718</v>
      </c>
      <c r="AC138" s="158">
        <v>2.4814285714285718</v>
      </c>
      <c r="AD138" s="144">
        <f t="shared" si="60"/>
        <v>1.1401907461647542E-2</v>
      </c>
      <c r="AE138" s="144">
        <f t="shared" si="61"/>
        <v>0.27452622576973307</v>
      </c>
      <c r="AF138" s="145">
        <f t="shared" si="62"/>
        <v>3.8188343100328211E-2</v>
      </c>
      <c r="AG138" s="145">
        <f t="shared" si="63"/>
        <v>1.2246849651510825</v>
      </c>
      <c r="AH138" s="146">
        <f t="shared" si="64"/>
        <v>1.0679066862507889</v>
      </c>
      <c r="AI138" s="146">
        <f t="shared" si="65"/>
        <v>34.247342425925126</v>
      </c>
      <c r="AJ138" s="147">
        <f t="shared" si="66"/>
        <v>32.069602023151326</v>
      </c>
      <c r="AK138" s="148">
        <f t="shared" si="59"/>
        <v>26.44736924313338</v>
      </c>
      <c r="AL138" s="148">
        <f t="shared" si="67"/>
        <v>-28.495633343334667</v>
      </c>
      <c r="AM138" s="149">
        <v>0.36599999999999999</v>
      </c>
      <c r="AN138" s="150">
        <f t="shared" si="68"/>
        <v>26.44736924313338</v>
      </c>
      <c r="AO138" s="151">
        <f t="shared" si="69"/>
        <v>0.3759036854308544</v>
      </c>
      <c r="AP138" s="152">
        <f t="shared" si="70"/>
        <v>9.9036854308544031E-3</v>
      </c>
      <c r="AQ138" s="152">
        <f t="shared" si="71"/>
        <v>10.67906686250789</v>
      </c>
      <c r="AR138" s="153">
        <f t="shared" si="72"/>
        <v>1.0576211890133942</v>
      </c>
      <c r="AS138" s="153">
        <f t="shared" si="73"/>
        <v>99.036854308544036</v>
      </c>
      <c r="AT138" s="149">
        <v>1.077</v>
      </c>
      <c r="AU138" s="150">
        <f t="shared" si="74"/>
        <v>-28.495633343334667</v>
      </c>
      <c r="AV138" s="150">
        <f t="shared" si="75"/>
        <v>1.0798905139156154</v>
      </c>
      <c r="AW138" s="154">
        <f t="shared" si="76"/>
        <v>2.8905139156154558E-3</v>
      </c>
      <c r="AX138" s="154">
        <f t="shared" si="77"/>
        <v>342.47342425925126</v>
      </c>
      <c r="AY138" s="154">
        <f t="shared" si="78"/>
        <v>9.8992419854984153</v>
      </c>
      <c r="AZ138" s="154">
        <f t="shared" si="79"/>
        <v>28.905139156154554</v>
      </c>
    </row>
    <row r="139" spans="1:52" ht="18" x14ac:dyDescent="0.25">
      <c r="A139" s="104">
        <v>130</v>
      </c>
      <c r="B139">
        <v>4</v>
      </c>
      <c r="C139" t="s">
        <v>461</v>
      </c>
      <c r="D139" t="s">
        <v>36</v>
      </c>
      <c r="E139" t="s">
        <v>465</v>
      </c>
      <c r="F139">
        <v>2</v>
      </c>
      <c r="G139" t="s">
        <v>62</v>
      </c>
      <c r="H139">
        <v>3.8660000000000001</v>
      </c>
      <c r="Q139" s="141">
        <v>519</v>
      </c>
      <c r="R139" s="141" t="s">
        <v>328</v>
      </c>
      <c r="S139" s="141">
        <v>4.2489815000000002</v>
      </c>
      <c r="T139" s="141">
        <v>133.06773259664851</v>
      </c>
      <c r="U139" s="141">
        <v>4.3125074999999997</v>
      </c>
      <c r="V139" s="141">
        <v>-26.434965609457056</v>
      </c>
      <c r="W139" s="142">
        <v>3.8660000000000001</v>
      </c>
      <c r="X139" s="158">
        <v>6.1372437857142854</v>
      </c>
      <c r="Y139" s="158">
        <v>2.165951323344959</v>
      </c>
      <c r="Z139" s="158">
        <v>4.1588204642857134</v>
      </c>
      <c r="AA139" s="158">
        <v>-25.525093669069488</v>
      </c>
      <c r="AB139" s="158">
        <v>2.4814285714285718</v>
      </c>
      <c r="AC139" s="158">
        <v>2.4814285714285718</v>
      </c>
      <c r="AD139" s="144">
        <f t="shared" si="60"/>
        <v>1.1401907461647542E-2</v>
      </c>
      <c r="AE139" s="144">
        <f t="shared" si="61"/>
        <v>0.27452622576973307</v>
      </c>
      <c r="AF139" s="145">
        <f t="shared" si="62"/>
        <v>4.8446493869252372E-2</v>
      </c>
      <c r="AG139" s="145">
        <f t="shared" si="63"/>
        <v>1.1838964075786671</v>
      </c>
      <c r="AH139" s="146">
        <f t="shared" si="64"/>
        <v>1.2531426246573298</v>
      </c>
      <c r="AI139" s="146">
        <f t="shared" si="65"/>
        <v>30.623290418485958</v>
      </c>
      <c r="AJ139" s="147">
        <f t="shared" si="66"/>
        <v>24.437194790066179</v>
      </c>
      <c r="AK139" s="148">
        <f t="shared" si="59"/>
        <v>132.88178127330355</v>
      </c>
      <c r="AL139" s="148">
        <f t="shared" si="67"/>
        <v>-26.939871940387569</v>
      </c>
      <c r="AM139" s="149">
        <v>0.36599999999999999</v>
      </c>
      <c r="AN139" s="150">
        <f t="shared" si="68"/>
        <v>132.88178127330355</v>
      </c>
      <c r="AO139" s="151">
        <f t="shared" si="69"/>
        <v>0.41472025132936807</v>
      </c>
      <c r="AP139" s="152">
        <f t="shared" si="70"/>
        <v>4.8720251329368081E-2</v>
      </c>
      <c r="AQ139" s="152">
        <f t="shared" si="71"/>
        <v>12.531426246573298</v>
      </c>
      <c r="AR139" s="153">
        <f t="shared" si="72"/>
        <v>6.1053423624849072</v>
      </c>
      <c r="AS139" s="153">
        <f t="shared" si="73"/>
        <v>487.20251329368079</v>
      </c>
      <c r="AT139" s="149">
        <v>1.077</v>
      </c>
      <c r="AU139" s="150">
        <f t="shared" si="74"/>
        <v>-26.939871940387569</v>
      </c>
      <c r="AV139" s="150">
        <f t="shared" si="75"/>
        <v>1.0816011398032814</v>
      </c>
      <c r="AW139" s="154">
        <f t="shared" si="76"/>
        <v>4.6011398032814732E-3</v>
      </c>
      <c r="AX139" s="154">
        <f t="shared" si="77"/>
        <v>306.23290418485959</v>
      </c>
      <c r="AY139" s="154">
        <f t="shared" si="78"/>
        <v>14.090204045194392</v>
      </c>
      <c r="AZ139" s="154">
        <f t="shared" si="79"/>
        <v>46.011398032814732</v>
      </c>
    </row>
    <row r="140" spans="1:52" ht="18" x14ac:dyDescent="0.25">
      <c r="A140" s="104">
        <v>131</v>
      </c>
      <c r="B140">
        <v>4</v>
      </c>
      <c r="C140" t="s">
        <v>462</v>
      </c>
      <c r="D140" t="s">
        <v>52</v>
      </c>
      <c r="E140" t="s">
        <v>465</v>
      </c>
      <c r="F140">
        <v>2</v>
      </c>
      <c r="G140" t="s">
        <v>63</v>
      </c>
      <c r="H140">
        <v>3.3180000000000001</v>
      </c>
      <c r="Q140" s="155">
        <v>520</v>
      </c>
      <c r="R140" s="155" t="s">
        <v>329</v>
      </c>
      <c r="S140" s="155">
        <v>3.32621375</v>
      </c>
      <c r="T140" s="155">
        <v>148.30828066397169</v>
      </c>
      <c r="U140" s="155">
        <v>4.2710204999999997</v>
      </c>
      <c r="V140" s="155">
        <v>-26.940497055966208</v>
      </c>
      <c r="W140" s="142">
        <v>3.3180000000000001</v>
      </c>
      <c r="X140" s="158">
        <v>6.1372437857142854</v>
      </c>
      <c r="Y140" s="158">
        <v>2.165951323344959</v>
      </c>
      <c r="Z140" s="158">
        <v>4.1588204642857134</v>
      </c>
      <c r="AA140" s="158">
        <v>-25.525093669069488</v>
      </c>
      <c r="AB140" s="158">
        <v>2.4814285714285718</v>
      </c>
      <c r="AC140" s="158">
        <v>2.4814285714285718</v>
      </c>
      <c r="AD140" s="144">
        <f t="shared" si="60"/>
        <v>1.1401907461647542E-2</v>
      </c>
      <c r="AE140" s="144">
        <f t="shared" si="61"/>
        <v>0.27452622576973307</v>
      </c>
      <c r="AF140" s="145">
        <f t="shared" si="62"/>
        <v>3.7925181375159656E-2</v>
      </c>
      <c r="AG140" s="145">
        <f t="shared" si="63"/>
        <v>1.1725071380501582</v>
      </c>
      <c r="AH140" s="146">
        <f t="shared" si="64"/>
        <v>1.1430133024460414</v>
      </c>
      <c r="AI140" s="146">
        <f t="shared" si="65"/>
        <v>35.337767873723877</v>
      </c>
      <c r="AJ140" s="147">
        <f t="shared" si="66"/>
        <v>30.91632249432379</v>
      </c>
      <c r="AK140" s="148">
        <f t="shared" si="59"/>
        <v>148.12232934062672</v>
      </c>
      <c r="AL140" s="148">
        <f t="shared" si="67"/>
        <v>-27.445403386896722</v>
      </c>
      <c r="AM140" s="149">
        <v>0.36599999999999999</v>
      </c>
      <c r="AN140" s="150">
        <f t="shared" si="68"/>
        <v>148.12232934062672</v>
      </c>
      <c r="AO140" s="151">
        <f t="shared" si="69"/>
        <v>0.42027599440515145</v>
      </c>
      <c r="AP140" s="152">
        <f t="shared" si="70"/>
        <v>5.4275994405151462E-2</v>
      </c>
      <c r="AQ140" s="152">
        <f t="shared" si="71"/>
        <v>11.430133024460412</v>
      </c>
      <c r="AR140" s="153">
        <f t="shared" si="72"/>
        <v>6.203818360857503</v>
      </c>
      <c r="AS140" s="153">
        <f t="shared" si="73"/>
        <v>542.75994405151459</v>
      </c>
      <c r="AT140" s="149">
        <v>1.077</v>
      </c>
      <c r="AU140" s="150">
        <f t="shared" si="74"/>
        <v>-27.445403386896722</v>
      </c>
      <c r="AV140" s="150">
        <f t="shared" si="75"/>
        <v>1.0810452929475043</v>
      </c>
      <c r="AW140" s="154">
        <f t="shared" si="76"/>
        <v>4.0452929475043309E-3</v>
      </c>
      <c r="AX140" s="154">
        <f t="shared" si="77"/>
        <v>353.37767873723874</v>
      </c>
      <c r="AY140" s="154">
        <f t="shared" si="78"/>
        <v>14.29516231601203</v>
      </c>
      <c r="AZ140" s="154">
        <f t="shared" si="79"/>
        <v>40.452929475043305</v>
      </c>
    </row>
    <row r="141" spans="1:52" ht="18" x14ac:dyDescent="0.25">
      <c r="A141" s="104">
        <v>132</v>
      </c>
      <c r="B141">
        <v>4</v>
      </c>
      <c r="C141" t="s">
        <v>463</v>
      </c>
      <c r="D141" t="s">
        <v>32</v>
      </c>
      <c r="E141" t="s">
        <v>465</v>
      </c>
      <c r="F141">
        <v>2</v>
      </c>
      <c r="G141" t="s">
        <v>64</v>
      </c>
      <c r="H141">
        <v>3.8319999999999999</v>
      </c>
      <c r="Q141" s="141">
        <v>521</v>
      </c>
      <c r="R141" s="141" t="s">
        <v>330</v>
      </c>
      <c r="S141" s="141">
        <v>3.8966987500000001</v>
      </c>
      <c r="T141" s="141">
        <v>10.374263432774939</v>
      </c>
      <c r="U141" s="141">
        <v>4.4351430000000001</v>
      </c>
      <c r="V141" s="141">
        <v>-28.281156718485601</v>
      </c>
      <c r="W141" s="142">
        <v>3.8319999999999999</v>
      </c>
      <c r="X141" s="158">
        <v>6.1372437857142854</v>
      </c>
      <c r="Y141" s="158">
        <v>2.165951323344959</v>
      </c>
      <c r="Z141" s="158">
        <v>4.1588204642857134</v>
      </c>
      <c r="AA141" s="158">
        <v>-25.525093669069488</v>
      </c>
      <c r="AB141" s="158">
        <v>2.4814285714285718</v>
      </c>
      <c r="AC141" s="158">
        <v>2.4814285714285718</v>
      </c>
      <c r="AD141" s="144">
        <f t="shared" si="60"/>
        <v>1.1401907461647542E-2</v>
      </c>
      <c r="AE141" s="144">
        <f t="shared" si="61"/>
        <v>0.27452622576973307</v>
      </c>
      <c r="AF141" s="145">
        <f t="shared" si="62"/>
        <v>4.4429798553417651E-2</v>
      </c>
      <c r="AG141" s="145">
        <f t="shared" si="63"/>
        <v>1.2175630685390513</v>
      </c>
      <c r="AH141" s="146">
        <f t="shared" si="64"/>
        <v>1.1594415071351161</v>
      </c>
      <c r="AI141" s="146">
        <f t="shared" si="65"/>
        <v>31.773566506760211</v>
      </c>
      <c r="AJ141" s="147">
        <f t="shared" si="66"/>
        <v>27.404199617857444</v>
      </c>
      <c r="AK141" s="148">
        <f t="shared" si="59"/>
        <v>10.18831210942998</v>
      </c>
      <c r="AL141" s="148">
        <f t="shared" si="67"/>
        <v>-28.786063049416114</v>
      </c>
      <c r="AM141" s="149">
        <v>0.36599999999999999</v>
      </c>
      <c r="AN141" s="150">
        <f t="shared" si="68"/>
        <v>10.18831210942998</v>
      </c>
      <c r="AO141" s="151">
        <f t="shared" si="69"/>
        <v>0.36997135258516683</v>
      </c>
      <c r="AP141" s="152">
        <f t="shared" si="70"/>
        <v>3.971352585166843E-3</v>
      </c>
      <c r="AQ141" s="152">
        <f t="shared" si="71"/>
        <v>11.594415071351161</v>
      </c>
      <c r="AR141" s="153">
        <f t="shared" si="72"/>
        <v>0.46045510267107836</v>
      </c>
      <c r="AS141" s="153">
        <f t="shared" si="73"/>
        <v>39.713525851668429</v>
      </c>
      <c r="AT141" s="149">
        <v>1.077</v>
      </c>
      <c r="AU141" s="150">
        <f t="shared" si="74"/>
        <v>-28.786063049416114</v>
      </c>
      <c r="AV141" s="150">
        <f t="shared" si="75"/>
        <v>1.0795711675374742</v>
      </c>
      <c r="AW141" s="154">
        <f t="shared" si="76"/>
        <v>2.5711675374742171E-3</v>
      </c>
      <c r="AX141" s="154">
        <f t="shared" si="77"/>
        <v>317.73566506760216</v>
      </c>
      <c r="AY141" s="154">
        <f t="shared" si="78"/>
        <v>8.169516275195992</v>
      </c>
      <c r="AZ141" s="154">
        <f t="shared" si="79"/>
        <v>25.711675374742171</v>
      </c>
    </row>
    <row r="142" spans="1:52" ht="18" x14ac:dyDescent="0.25">
      <c r="A142" s="104">
        <v>133</v>
      </c>
      <c r="B142">
        <v>4</v>
      </c>
      <c r="C142" t="s">
        <v>464</v>
      </c>
      <c r="D142" t="s">
        <v>40</v>
      </c>
      <c r="E142" t="s">
        <v>465</v>
      </c>
      <c r="F142">
        <v>2</v>
      </c>
      <c r="G142" t="s">
        <v>65</v>
      </c>
      <c r="H142">
        <v>3.6739999999999999</v>
      </c>
      <c r="Q142" s="155">
        <v>522</v>
      </c>
      <c r="R142" s="155" t="s">
        <v>331</v>
      </c>
      <c r="S142" s="155">
        <v>4.6784910000000002</v>
      </c>
      <c r="T142" s="155">
        <v>-0.33342750698516221</v>
      </c>
      <c r="U142" s="155">
        <v>4.8433580000000003</v>
      </c>
      <c r="V142" s="155">
        <v>-28.657931357531197</v>
      </c>
      <c r="W142" s="142">
        <v>3.6739999999999999</v>
      </c>
      <c r="X142" s="158">
        <v>6.1372437857142854</v>
      </c>
      <c r="Y142" s="158">
        <v>2.165951323344959</v>
      </c>
      <c r="Z142" s="158">
        <v>4.1588204642857134</v>
      </c>
      <c r="AA142" s="158">
        <v>-25.525093669069488</v>
      </c>
      <c r="AB142" s="158">
        <v>2.4814285714285718</v>
      </c>
      <c r="AC142" s="158">
        <v>2.4814285714285718</v>
      </c>
      <c r="AD142" s="144">
        <f t="shared" si="60"/>
        <v>1.1401907461647542E-2</v>
      </c>
      <c r="AE142" s="144">
        <f t="shared" si="61"/>
        <v>0.27452622576973307</v>
      </c>
      <c r="AF142" s="145">
        <f t="shared" si="62"/>
        <v>5.3343721442150875E-2</v>
      </c>
      <c r="AG142" s="145">
        <f t="shared" si="63"/>
        <v>1.3296287917916429</v>
      </c>
      <c r="AH142" s="146">
        <f t="shared" si="64"/>
        <v>1.4519249167705734</v>
      </c>
      <c r="AI142" s="146">
        <f t="shared" si="65"/>
        <v>36.190222966566225</v>
      </c>
      <c r="AJ142" s="147">
        <f t="shared" si="66"/>
        <v>24.925684894961293</v>
      </c>
      <c r="AK142" s="148">
        <f t="shared" si="59"/>
        <v>-0.51937883033012122</v>
      </c>
      <c r="AL142" s="148">
        <f t="shared" si="67"/>
        <v>-29.16283768846171</v>
      </c>
      <c r="AM142" s="149">
        <v>0.36599999999999999</v>
      </c>
      <c r="AN142" s="150">
        <f t="shared" si="68"/>
        <v>-0.51937883033012122</v>
      </c>
      <c r="AO142" s="151">
        <f t="shared" si="69"/>
        <v>0.36606412352690115</v>
      </c>
      <c r="AP142" s="152">
        <f t="shared" si="70"/>
        <v>6.4123526901160854E-5</v>
      </c>
      <c r="AQ142" s="152">
        <f t="shared" si="71"/>
        <v>14.519249167705734</v>
      </c>
      <c r="AR142" s="153">
        <f t="shared" si="72"/>
        <v>9.3102546459003597E-3</v>
      </c>
      <c r="AS142" s="153">
        <f t="shared" si="73"/>
        <v>0.64123526901160854</v>
      </c>
      <c r="AT142" s="149">
        <v>1.077</v>
      </c>
      <c r="AU142" s="150">
        <f t="shared" si="74"/>
        <v>-29.16283768846171</v>
      </c>
      <c r="AV142" s="150">
        <f t="shared" si="75"/>
        <v>1.0791568762091541</v>
      </c>
      <c r="AW142" s="154">
        <f t="shared" si="76"/>
        <v>2.1568762091541682E-3</v>
      </c>
      <c r="AX142" s="154">
        <f t="shared" si="77"/>
        <v>361.90222966566228</v>
      </c>
      <c r="AY142" s="154">
        <f t="shared" si="78"/>
        <v>7.8057830920571476</v>
      </c>
      <c r="AZ142" s="154">
        <f t="shared" si="79"/>
        <v>21.568762091541682</v>
      </c>
    </row>
    <row r="143" spans="1:52" ht="18" x14ac:dyDescent="0.25">
      <c r="A143" s="104">
        <v>134</v>
      </c>
      <c r="B143">
        <v>4</v>
      </c>
      <c r="C143" t="s">
        <v>456</v>
      </c>
      <c r="D143" t="s">
        <v>28</v>
      </c>
      <c r="E143" t="s">
        <v>467</v>
      </c>
      <c r="F143">
        <v>2</v>
      </c>
      <c r="G143" t="s">
        <v>66</v>
      </c>
      <c r="H143">
        <v>3.3929999999999998</v>
      </c>
      <c r="Q143" s="141">
        <v>523</v>
      </c>
      <c r="R143" s="141" t="s">
        <v>332</v>
      </c>
      <c r="S143" s="141">
        <v>4.5119435000000001</v>
      </c>
      <c r="T143" s="141">
        <v>0.49967480576047774</v>
      </c>
      <c r="U143" s="141">
        <v>4.5737569999999996</v>
      </c>
      <c r="V143" s="141">
        <v>-29.06916572252376</v>
      </c>
      <c r="W143" s="142">
        <v>3.3929999999999998</v>
      </c>
      <c r="X143" s="158">
        <v>6.1372437857142854</v>
      </c>
      <c r="Y143" s="158">
        <v>2.165951323344959</v>
      </c>
      <c r="Z143" s="158">
        <v>4.1588204642857134</v>
      </c>
      <c r="AA143" s="158">
        <v>-25.525093669069488</v>
      </c>
      <c r="AB143" s="158">
        <v>2.4814285714285718</v>
      </c>
      <c r="AC143" s="158">
        <v>2.4814285714285718</v>
      </c>
      <c r="AD143" s="144">
        <f t="shared" si="60"/>
        <v>1.1401907461647542E-2</v>
      </c>
      <c r="AE143" s="144">
        <f t="shared" si="61"/>
        <v>0.27452622576973307</v>
      </c>
      <c r="AF143" s="145">
        <f t="shared" si="62"/>
        <v>5.1444762259182132E-2</v>
      </c>
      <c r="AG143" s="145">
        <f t="shared" si="63"/>
        <v>1.2556162467978969</v>
      </c>
      <c r="AH143" s="146">
        <f t="shared" si="64"/>
        <v>1.5162028369932843</v>
      </c>
      <c r="AI143" s="146">
        <f t="shared" si="65"/>
        <v>37.006078597049722</v>
      </c>
      <c r="AJ143" s="147">
        <f t="shared" si="66"/>
        <v>24.407076476940816</v>
      </c>
      <c r="AK143" s="148">
        <f t="shared" si="59"/>
        <v>0.31372348241551873</v>
      </c>
      <c r="AL143" s="148">
        <f t="shared" si="67"/>
        <v>-29.574072053454273</v>
      </c>
      <c r="AM143" s="149">
        <v>0.36599999999999999</v>
      </c>
      <c r="AN143" s="150">
        <f t="shared" si="68"/>
        <v>0.31372348241551873</v>
      </c>
      <c r="AO143" s="151">
        <f t="shared" si="69"/>
        <v>0.36636813298215232</v>
      </c>
      <c r="AP143" s="152">
        <f t="shared" si="70"/>
        <v>3.6813298215232493E-4</v>
      </c>
      <c r="AQ143" s="152">
        <f t="shared" si="71"/>
        <v>15.162028369932843</v>
      </c>
      <c r="AR143" s="153">
        <f t="shared" si="72"/>
        <v>5.5816427193015321E-2</v>
      </c>
      <c r="AS143" s="153">
        <f t="shared" si="73"/>
        <v>3.6813298215232493</v>
      </c>
      <c r="AT143" s="149">
        <v>1.077</v>
      </c>
      <c r="AU143" s="150">
        <f t="shared" si="74"/>
        <v>-29.574072053454273</v>
      </c>
      <c r="AV143" s="150">
        <f t="shared" si="75"/>
        <v>1.0787046899258865</v>
      </c>
      <c r="AW143" s="154">
        <f t="shared" si="76"/>
        <v>1.7046899258865711E-3</v>
      </c>
      <c r="AX143" s="154">
        <f t="shared" si="77"/>
        <v>370.06078597049725</v>
      </c>
      <c r="AY143" s="154">
        <f t="shared" si="78"/>
        <v>6.3083889380957316</v>
      </c>
      <c r="AZ143" s="154">
        <f t="shared" si="79"/>
        <v>17.046899258865711</v>
      </c>
    </row>
    <row r="144" spans="1:52" ht="18" x14ac:dyDescent="0.25">
      <c r="A144" s="104">
        <v>135</v>
      </c>
      <c r="B144">
        <v>4</v>
      </c>
      <c r="C144" t="s">
        <v>458</v>
      </c>
      <c r="D144" t="s">
        <v>44</v>
      </c>
      <c r="E144" t="s">
        <v>467</v>
      </c>
      <c r="F144">
        <v>2</v>
      </c>
      <c r="G144" t="s">
        <v>67</v>
      </c>
      <c r="H144">
        <v>3.5129999999999999</v>
      </c>
      <c r="Q144" s="155">
        <v>524</v>
      </c>
      <c r="R144" s="155" t="s">
        <v>333</v>
      </c>
      <c r="S144" s="155">
        <v>3.5531327500000001</v>
      </c>
      <c r="T144" s="155">
        <v>-0.14247496154558281</v>
      </c>
      <c r="U144" s="155">
        <v>4.7235820000000004</v>
      </c>
      <c r="V144" s="155">
        <v>-29.10682837865108</v>
      </c>
      <c r="W144" s="142">
        <v>3.5129999999999999</v>
      </c>
      <c r="X144" s="158">
        <v>6.1372437857142854</v>
      </c>
      <c r="Y144" s="158">
        <v>2.165951323344959</v>
      </c>
      <c r="Z144" s="158">
        <v>4.1588204642857134</v>
      </c>
      <c r="AA144" s="158">
        <v>-25.525093669069488</v>
      </c>
      <c r="AB144" s="158">
        <v>2.4814285714285718</v>
      </c>
      <c r="AC144" s="158">
        <v>2.4814285714285718</v>
      </c>
      <c r="AD144" s="144">
        <f t="shared" si="60"/>
        <v>1.1401907461647542E-2</v>
      </c>
      <c r="AE144" s="144">
        <f t="shared" si="61"/>
        <v>0.27452622576973307</v>
      </c>
      <c r="AF144" s="145">
        <f t="shared" si="62"/>
        <v>4.0512490814449249E-2</v>
      </c>
      <c r="AG144" s="145">
        <f t="shared" si="63"/>
        <v>1.2967471385738474</v>
      </c>
      <c r="AH144" s="146">
        <f t="shared" si="64"/>
        <v>1.1532163624949971</v>
      </c>
      <c r="AI144" s="146">
        <f t="shared" si="65"/>
        <v>36.912813509076216</v>
      </c>
      <c r="AJ144" s="147">
        <f t="shared" si="66"/>
        <v>32.008575935581511</v>
      </c>
      <c r="AK144" s="148">
        <f t="shared" si="59"/>
        <v>-0.32842628489054182</v>
      </c>
      <c r="AL144" s="148">
        <f t="shared" si="67"/>
        <v>-29.611734709581594</v>
      </c>
      <c r="AM144" s="149">
        <v>0.36599999999999999</v>
      </c>
      <c r="AN144" s="150">
        <f t="shared" si="68"/>
        <v>-0.32842628489054182</v>
      </c>
      <c r="AO144" s="151">
        <f t="shared" si="69"/>
        <v>0.36613380466325235</v>
      </c>
      <c r="AP144" s="152">
        <f t="shared" si="70"/>
        <v>1.3380466325235707E-4</v>
      </c>
      <c r="AQ144" s="152">
        <f t="shared" si="71"/>
        <v>11.532163624949971</v>
      </c>
      <c r="AR144" s="153">
        <f t="shared" si="72"/>
        <v>1.5430572704075121E-2</v>
      </c>
      <c r="AS144" s="153">
        <f t="shared" si="73"/>
        <v>1.3380466325235707</v>
      </c>
      <c r="AT144" s="149">
        <v>1.077</v>
      </c>
      <c r="AU144" s="150">
        <f t="shared" si="74"/>
        <v>-29.611734709581594</v>
      </c>
      <c r="AV144" s="150">
        <f t="shared" si="75"/>
        <v>1.0786632765058961</v>
      </c>
      <c r="AW144" s="154">
        <f t="shared" si="76"/>
        <v>1.6632765058961496E-3</v>
      </c>
      <c r="AX144" s="154">
        <f t="shared" si="77"/>
        <v>369.12813509076216</v>
      </c>
      <c r="AY144" s="154">
        <f t="shared" si="78"/>
        <v>6.1396215476172475</v>
      </c>
      <c r="AZ144" s="154">
        <f t="shared" si="79"/>
        <v>16.632765058961496</v>
      </c>
    </row>
    <row r="145" spans="1:52" ht="18" x14ac:dyDescent="0.25">
      <c r="I145" t="s">
        <v>152</v>
      </c>
      <c r="Q145" s="141">
        <v>525</v>
      </c>
      <c r="R145" s="141" t="s">
        <v>334</v>
      </c>
      <c r="S145" s="141">
        <v>6.2137190000000002</v>
      </c>
      <c r="T145" s="141">
        <v>1.9343952204841419</v>
      </c>
      <c r="U145" s="141">
        <v>4.1590737500000001</v>
      </c>
      <c r="V145" s="141">
        <v>-25.893249687943943</v>
      </c>
      <c r="W145" s="141">
        <v>2.4750000000000001</v>
      </c>
      <c r="X145" s="158">
        <v>6.1372437857142854</v>
      </c>
      <c r="Y145" s="158">
        <v>2.165951323344959</v>
      </c>
      <c r="Z145" s="158">
        <v>4.1588204642857134</v>
      </c>
      <c r="AA145" s="158">
        <v>-25.525093669069488</v>
      </c>
      <c r="AB145" s="158">
        <v>2.4814285714285718</v>
      </c>
      <c r="AC145" s="158">
        <v>2.4814285714285718</v>
      </c>
      <c r="AD145" s="144">
        <f t="shared" si="60"/>
        <v>1.1401907461647542E-2</v>
      </c>
      <c r="AE145" s="144">
        <f t="shared" si="61"/>
        <v>0.27452622576973307</v>
      </c>
      <c r="AF145" s="145">
        <f t="shared" si="62"/>
        <v>7.0848249030681112E-2</v>
      </c>
      <c r="AG145" s="145">
        <f t="shared" si="63"/>
        <v>1.1417748192854704</v>
      </c>
      <c r="AH145" s="146">
        <f t="shared" si="64"/>
        <v>2.862555516391156</v>
      </c>
      <c r="AI145" s="146">
        <f t="shared" si="65"/>
        <v>46.132315930726072</v>
      </c>
      <c r="AJ145" s="147">
        <f t="shared" si="66"/>
        <v>16.115780346117241</v>
      </c>
      <c r="AK145" s="148">
        <f t="shared" si="59"/>
        <v>1.7484438971391829</v>
      </c>
      <c r="AL145" s="148">
        <f t="shared" si="67"/>
        <v>-26.398156018874456</v>
      </c>
      <c r="AM145" s="149">
        <v>0.36599999999999999</v>
      </c>
      <c r="AN145" s="150">
        <f t="shared" si="68"/>
        <v>1.7484438971391829</v>
      </c>
      <c r="AO145" s="151">
        <f t="shared" si="69"/>
        <v>0.3668916760599461</v>
      </c>
      <c r="AP145" s="152">
        <f t="shared" si="70"/>
        <v>8.9167605994611154E-4</v>
      </c>
      <c r="AQ145" s="152">
        <f t="shared" si="71"/>
        <v>28.625555163911557</v>
      </c>
      <c r="AR145" s="153">
        <f t="shared" si="72"/>
        <v>0.25524722242326725</v>
      </c>
      <c r="AS145" s="153">
        <f t="shared" si="73"/>
        <v>8.9167605994611154</v>
      </c>
      <c r="AT145" s="149">
        <v>1.077</v>
      </c>
      <c r="AU145" s="150">
        <f t="shared" si="74"/>
        <v>-26.398156018874456</v>
      </c>
      <c r="AV145" s="150">
        <f t="shared" si="75"/>
        <v>1.0821967656316509</v>
      </c>
      <c r="AW145" s="154">
        <f t="shared" si="76"/>
        <v>5.1967656316509458E-3</v>
      </c>
      <c r="AX145" s="154">
        <f t="shared" si="77"/>
        <v>461.32315930726065</v>
      </c>
      <c r="AY145" s="154">
        <f t="shared" si="78"/>
        <v>23.973883393726062</v>
      </c>
      <c r="AZ145" s="154">
        <f t="shared" si="79"/>
        <v>51.967656316509462</v>
      </c>
    </row>
    <row r="146" spans="1:52" ht="18" x14ac:dyDescent="0.25">
      <c r="A146" s="104">
        <v>136</v>
      </c>
      <c r="B146">
        <v>4</v>
      </c>
      <c r="C146" t="s">
        <v>459</v>
      </c>
      <c r="D146" t="s">
        <v>24</v>
      </c>
      <c r="E146" t="s">
        <v>467</v>
      </c>
      <c r="F146">
        <v>2</v>
      </c>
      <c r="G146" t="s">
        <v>116</v>
      </c>
      <c r="H146">
        <v>3.17</v>
      </c>
      <c r="Q146" s="155">
        <v>526</v>
      </c>
      <c r="R146" s="155" t="s">
        <v>335</v>
      </c>
      <c r="S146" s="155">
        <v>4.1769162499999997</v>
      </c>
      <c r="T146" s="155">
        <v>0.4637561032142079</v>
      </c>
      <c r="U146" s="155">
        <v>4.4003465000000004</v>
      </c>
      <c r="V146" s="155">
        <v>-29.395212232535993</v>
      </c>
      <c r="W146" s="142">
        <v>3.17</v>
      </c>
      <c r="X146" s="158">
        <v>6.1372437857142854</v>
      </c>
      <c r="Y146" s="158">
        <v>2.165951323344959</v>
      </c>
      <c r="Z146" s="158">
        <v>4.1588204642857134</v>
      </c>
      <c r="AA146" s="158">
        <v>-25.525093669069488</v>
      </c>
      <c r="AB146" s="158">
        <v>2.4814285714285718</v>
      </c>
      <c r="AC146" s="158">
        <v>2.4814285714285718</v>
      </c>
      <c r="AD146" s="144">
        <f t="shared" si="60"/>
        <v>1.1401907461647542E-2</v>
      </c>
      <c r="AE146" s="144">
        <f t="shared" si="61"/>
        <v>0.27452622576973307</v>
      </c>
      <c r="AF146" s="145">
        <f t="shared" si="62"/>
        <v>4.7624812557551868E-2</v>
      </c>
      <c r="AG146" s="145">
        <f t="shared" si="63"/>
        <v>1.2080105167240549</v>
      </c>
      <c r="AH146" s="146">
        <f t="shared" si="64"/>
        <v>1.5023600175883871</v>
      </c>
      <c r="AI146" s="146">
        <f t="shared" si="65"/>
        <v>38.107587278361358</v>
      </c>
      <c r="AJ146" s="147">
        <f t="shared" si="66"/>
        <v>25.365150052070927</v>
      </c>
      <c r="AK146" s="148">
        <f t="shared" si="59"/>
        <v>0.2778047798692489</v>
      </c>
      <c r="AL146" s="148">
        <f t="shared" si="67"/>
        <v>-29.900118563466506</v>
      </c>
      <c r="AM146" s="149">
        <v>0.36599999999999999</v>
      </c>
      <c r="AN146" s="150">
        <f t="shared" si="68"/>
        <v>0.2778047798692489</v>
      </c>
      <c r="AO146" s="151">
        <f t="shared" si="69"/>
        <v>0.36635502583655305</v>
      </c>
      <c r="AP146" s="152">
        <f t="shared" si="70"/>
        <v>3.5502583655305786E-4</v>
      </c>
      <c r="AQ146" s="152">
        <f t="shared" si="71"/>
        <v>15.023600175883869</v>
      </c>
      <c r="AR146" s="153">
        <f t="shared" si="72"/>
        <v>5.3337662204818378E-2</v>
      </c>
      <c r="AS146" s="153">
        <f t="shared" si="73"/>
        <v>3.5502583655305782</v>
      </c>
      <c r="AT146" s="149">
        <v>1.077</v>
      </c>
      <c r="AU146" s="150">
        <f t="shared" si="74"/>
        <v>-29.900118563466506</v>
      </c>
      <c r="AV146" s="150">
        <f t="shared" si="75"/>
        <v>1.0783461718146172</v>
      </c>
      <c r="AW146" s="154">
        <f t="shared" si="76"/>
        <v>1.3461718146172696E-3</v>
      </c>
      <c r="AX146" s="154">
        <f t="shared" si="77"/>
        <v>381.07587278361359</v>
      </c>
      <c r="AY146" s="154">
        <f t="shared" si="78"/>
        <v>5.1299359917197691</v>
      </c>
      <c r="AZ146" s="154">
        <f t="shared" si="79"/>
        <v>13.461718146172696</v>
      </c>
    </row>
    <row r="147" spans="1:52" ht="18" x14ac:dyDescent="0.25">
      <c r="A147" s="104">
        <v>137</v>
      </c>
      <c r="B147">
        <v>4</v>
      </c>
      <c r="C147" t="s">
        <v>460</v>
      </c>
      <c r="D147" t="s">
        <v>48</v>
      </c>
      <c r="E147" t="s">
        <v>467</v>
      </c>
      <c r="F147">
        <v>2</v>
      </c>
      <c r="G147" t="s">
        <v>117</v>
      </c>
      <c r="H147">
        <v>3.3559999999999999</v>
      </c>
      <c r="Q147" s="141">
        <v>527</v>
      </c>
      <c r="R147" s="141" t="s">
        <v>336</v>
      </c>
      <c r="S147" s="141">
        <v>3.9965329999999999</v>
      </c>
      <c r="T147" s="141">
        <v>41.409251549862923</v>
      </c>
      <c r="U147" s="141">
        <v>4.8174720000000004</v>
      </c>
      <c r="V147" s="141">
        <v>-27.24882186925344</v>
      </c>
      <c r="W147" s="142">
        <v>3.3559999999999999</v>
      </c>
      <c r="X147" s="158">
        <v>6.1372437857142854</v>
      </c>
      <c r="Y147" s="158">
        <v>2.165951323344959</v>
      </c>
      <c r="Z147" s="158">
        <v>4.1588204642857134</v>
      </c>
      <c r="AA147" s="158">
        <v>-25.525093669069488</v>
      </c>
      <c r="AB147" s="158">
        <v>2.4814285714285718</v>
      </c>
      <c r="AC147" s="158">
        <v>2.4814285714285718</v>
      </c>
      <c r="AD147" s="144">
        <f t="shared" si="60"/>
        <v>1.1401907461647542E-2</v>
      </c>
      <c r="AE147" s="144">
        <f t="shared" si="61"/>
        <v>0.27452622576973307</v>
      </c>
      <c r="AF147" s="145">
        <f t="shared" si="62"/>
        <v>4.5568099433420634E-2</v>
      </c>
      <c r="AG147" s="145">
        <f t="shared" si="63"/>
        <v>1.3225224059113676</v>
      </c>
      <c r="AH147" s="146">
        <f t="shared" si="64"/>
        <v>1.3578098758468604</v>
      </c>
      <c r="AI147" s="146">
        <f t="shared" si="65"/>
        <v>39.407699818574727</v>
      </c>
      <c r="AJ147" s="147">
        <f t="shared" si="66"/>
        <v>29.022988063035189</v>
      </c>
      <c r="AK147" s="148">
        <f t="shared" si="59"/>
        <v>41.223300226517964</v>
      </c>
      <c r="AL147" s="148">
        <f t="shared" si="67"/>
        <v>-27.753728200183954</v>
      </c>
      <c r="AM147" s="149">
        <v>0.36599999999999999</v>
      </c>
      <c r="AN147" s="150">
        <f t="shared" si="68"/>
        <v>41.223300226517964</v>
      </c>
      <c r="AO147" s="151">
        <f t="shared" si="69"/>
        <v>0.38129426730384619</v>
      </c>
      <c r="AP147" s="152">
        <f t="shared" si="70"/>
        <v>1.5294267303846198E-2</v>
      </c>
      <c r="AQ147" s="152">
        <f t="shared" si="71"/>
        <v>13.578098758468604</v>
      </c>
      <c r="AR147" s="153">
        <f t="shared" si="72"/>
        <v>2.0766707189004103</v>
      </c>
      <c r="AS147" s="153">
        <f t="shared" si="73"/>
        <v>152.94267303846198</v>
      </c>
      <c r="AT147" s="149">
        <v>1.077</v>
      </c>
      <c r="AU147" s="150">
        <f t="shared" si="74"/>
        <v>-27.753728200183954</v>
      </c>
      <c r="AV147" s="150">
        <f t="shared" si="75"/>
        <v>1.0807062775813912</v>
      </c>
      <c r="AW147" s="154">
        <f t="shared" si="76"/>
        <v>3.706277581391193E-3</v>
      </c>
      <c r="AX147" s="154">
        <f t="shared" si="77"/>
        <v>394.07699818574724</v>
      </c>
      <c r="AY147" s="154">
        <f t="shared" si="78"/>
        <v>14.60558743717773</v>
      </c>
      <c r="AZ147" s="154">
        <f t="shared" si="79"/>
        <v>37.062775813911927</v>
      </c>
    </row>
    <row r="148" spans="1:52" ht="18" x14ac:dyDescent="0.25">
      <c r="A148" s="104">
        <v>138</v>
      </c>
      <c r="B148">
        <v>4</v>
      </c>
      <c r="C148" t="s">
        <v>461</v>
      </c>
      <c r="D148" t="s">
        <v>36</v>
      </c>
      <c r="E148" t="s">
        <v>467</v>
      </c>
      <c r="F148">
        <v>2</v>
      </c>
      <c r="G148" t="s">
        <v>118</v>
      </c>
      <c r="H148">
        <v>3.32</v>
      </c>
      <c r="Q148" s="155">
        <v>528</v>
      </c>
      <c r="R148" s="155" t="s">
        <v>337</v>
      </c>
      <c r="S148" s="155">
        <v>3.93817175</v>
      </c>
      <c r="T148" s="155">
        <v>30.349851134776749</v>
      </c>
      <c r="U148" s="155">
        <v>4.6674709999999999</v>
      </c>
      <c r="V148" s="155">
        <v>-28.582920577187007</v>
      </c>
      <c r="W148" s="142">
        <v>3.32</v>
      </c>
      <c r="X148" s="158">
        <v>6.1372437857142854</v>
      </c>
      <c r="Y148" s="158">
        <v>2.165951323344959</v>
      </c>
      <c r="Z148" s="158">
        <v>4.1588204642857134</v>
      </c>
      <c r="AA148" s="158">
        <v>-25.525093669069488</v>
      </c>
      <c r="AB148" s="158">
        <v>2.4814285714285718</v>
      </c>
      <c r="AC148" s="158">
        <v>2.4814285714285718</v>
      </c>
      <c r="AD148" s="144">
        <f t="shared" si="60"/>
        <v>1.1401907461647542E-2</v>
      </c>
      <c r="AE148" s="144">
        <f t="shared" si="61"/>
        <v>0.27452622576973307</v>
      </c>
      <c r="AF148" s="145">
        <f t="shared" si="62"/>
        <v>4.4902669861574561E-2</v>
      </c>
      <c r="AG148" s="145">
        <f t="shared" si="63"/>
        <v>1.2813431975196818</v>
      </c>
      <c r="AH148" s="146">
        <f t="shared" si="64"/>
        <v>1.352490056071523</v>
      </c>
      <c r="AI148" s="146">
        <f t="shared" si="65"/>
        <v>38.594674624086799</v>
      </c>
      <c r="AJ148" s="147">
        <f t="shared" si="66"/>
        <v>28.536013592728274</v>
      </c>
      <c r="AK148" s="148">
        <f t="shared" si="59"/>
        <v>30.16389981143179</v>
      </c>
      <c r="AL148" s="148">
        <f t="shared" si="67"/>
        <v>-29.08782690811752</v>
      </c>
      <c r="AM148" s="149">
        <v>0.36599999999999999</v>
      </c>
      <c r="AN148" s="150">
        <f t="shared" si="68"/>
        <v>30.16389981143179</v>
      </c>
      <c r="AO148" s="151">
        <f t="shared" si="69"/>
        <v>0.37725961175060679</v>
      </c>
      <c r="AP148" s="152">
        <f t="shared" si="70"/>
        <v>1.1259611750606802E-2</v>
      </c>
      <c r="AQ148" s="152">
        <f t="shared" si="71"/>
        <v>13.524900560715231</v>
      </c>
      <c r="AR148" s="153">
        <f t="shared" si="72"/>
        <v>1.5228512927921773</v>
      </c>
      <c r="AS148" s="153">
        <f t="shared" si="73"/>
        <v>112.59611750606801</v>
      </c>
      <c r="AT148" s="149">
        <v>1.077</v>
      </c>
      <c r="AU148" s="150">
        <f t="shared" si="74"/>
        <v>-29.08782690811752</v>
      </c>
      <c r="AV148" s="150">
        <f t="shared" si="75"/>
        <v>1.0792393563361231</v>
      </c>
      <c r="AW148" s="154">
        <f t="shared" si="76"/>
        <v>2.239356336123155E-3</v>
      </c>
      <c r="AX148" s="154">
        <f t="shared" si="77"/>
        <v>385.94674624086798</v>
      </c>
      <c r="AY148" s="154">
        <f t="shared" si="78"/>
        <v>8.642722916006031</v>
      </c>
      <c r="AZ148" s="154">
        <f t="shared" si="79"/>
        <v>22.39356336123155</v>
      </c>
    </row>
    <row r="149" spans="1:52" ht="18" x14ac:dyDescent="0.25">
      <c r="A149" s="104">
        <v>139</v>
      </c>
      <c r="B149">
        <v>4</v>
      </c>
      <c r="C149" t="s">
        <v>462</v>
      </c>
      <c r="D149" t="s">
        <v>52</v>
      </c>
      <c r="E149" t="s">
        <v>467</v>
      </c>
      <c r="F149">
        <v>2</v>
      </c>
      <c r="G149" t="s">
        <v>68</v>
      </c>
      <c r="H149">
        <v>3.61</v>
      </c>
      <c r="Q149" s="141">
        <v>529</v>
      </c>
      <c r="R149" s="141" t="s">
        <v>338</v>
      </c>
      <c r="S149" s="141">
        <v>5.1224150000000002</v>
      </c>
      <c r="T149" s="141">
        <v>3.306094893583873</v>
      </c>
      <c r="U149" s="141">
        <v>5.0872215000000001</v>
      </c>
      <c r="V149" s="141">
        <v>-27.9691978633787</v>
      </c>
      <c r="W149" s="142">
        <v>3.61</v>
      </c>
      <c r="X149" s="158">
        <v>6.1372437857142854</v>
      </c>
      <c r="Y149" s="158">
        <v>2.165951323344959</v>
      </c>
      <c r="Z149" s="158">
        <v>4.1588204642857134</v>
      </c>
      <c r="AA149" s="158">
        <v>-25.525093669069488</v>
      </c>
      <c r="AB149" s="158">
        <v>2.4814285714285718</v>
      </c>
      <c r="AC149" s="158">
        <v>2.4814285714285718</v>
      </c>
      <c r="AD149" s="144">
        <f t="shared" si="60"/>
        <v>1.1401907461647542E-2</v>
      </c>
      <c r="AE149" s="144">
        <f t="shared" si="61"/>
        <v>0.27452622576973307</v>
      </c>
      <c r="AF149" s="145">
        <f t="shared" si="62"/>
        <v>5.8405301810155297E-2</v>
      </c>
      <c r="AG149" s="145">
        <f t="shared" si="63"/>
        <v>1.3965757180496401</v>
      </c>
      <c r="AH149" s="146">
        <f t="shared" si="64"/>
        <v>1.617875396403194</v>
      </c>
      <c r="AI149" s="146">
        <f t="shared" si="65"/>
        <v>38.686307979214412</v>
      </c>
      <c r="AJ149" s="147">
        <f t="shared" si="66"/>
        <v>23.911796956193601</v>
      </c>
      <c r="AK149" s="148">
        <f t="shared" si="59"/>
        <v>3.120143570238914</v>
      </c>
      <c r="AL149" s="148">
        <f t="shared" si="67"/>
        <v>-28.474104194309213</v>
      </c>
      <c r="AM149" s="149">
        <v>0.36599999999999999</v>
      </c>
      <c r="AN149" s="150">
        <f t="shared" si="68"/>
        <v>3.120143570238914</v>
      </c>
      <c r="AO149" s="151">
        <f t="shared" si="69"/>
        <v>0.36739221712693937</v>
      </c>
      <c r="AP149" s="152">
        <f t="shared" si="70"/>
        <v>1.3922171269393768E-3</v>
      </c>
      <c r="AQ149" s="152">
        <f t="shared" si="71"/>
        <v>16.178753964031941</v>
      </c>
      <c r="AR149" s="153">
        <f t="shared" si="72"/>
        <v>0.22524338361263602</v>
      </c>
      <c r="AS149" s="153">
        <f t="shared" si="73"/>
        <v>13.922171269393768</v>
      </c>
      <c r="AT149" s="149">
        <v>1.077</v>
      </c>
      <c r="AU149" s="150">
        <f t="shared" si="74"/>
        <v>-28.474104194309213</v>
      </c>
      <c r="AV149" s="150">
        <f t="shared" si="75"/>
        <v>1.0799141865351205</v>
      </c>
      <c r="AW149" s="154">
        <f t="shared" si="76"/>
        <v>2.9141865351205443E-3</v>
      </c>
      <c r="AX149" s="154">
        <f t="shared" si="77"/>
        <v>386.86307979214411</v>
      </c>
      <c r="AY149" s="154">
        <f t="shared" si="78"/>
        <v>11.273911780655311</v>
      </c>
      <c r="AZ149" s="154">
        <f t="shared" si="79"/>
        <v>29.141865351205439</v>
      </c>
    </row>
    <row r="150" spans="1:52" ht="18" x14ac:dyDescent="0.25">
      <c r="A150" s="104">
        <v>140</v>
      </c>
      <c r="B150">
        <v>4</v>
      </c>
      <c r="C150" t="s">
        <v>463</v>
      </c>
      <c r="D150" t="s">
        <v>32</v>
      </c>
      <c r="E150" t="s">
        <v>467</v>
      </c>
      <c r="F150">
        <v>2</v>
      </c>
      <c r="G150" t="s">
        <v>69</v>
      </c>
      <c r="H150">
        <v>3.6360000000000001</v>
      </c>
      <c r="Q150" s="155">
        <v>530</v>
      </c>
      <c r="R150" s="155" t="s">
        <v>339</v>
      </c>
      <c r="S150" s="155">
        <v>4.3229610000000003</v>
      </c>
      <c r="T150" s="155">
        <v>1.1585745705086248</v>
      </c>
      <c r="U150" s="155">
        <v>4.7806804999999999</v>
      </c>
      <c r="V150" s="155">
        <v>-29.244443549303895</v>
      </c>
      <c r="W150" s="142">
        <v>3.6360000000000001</v>
      </c>
      <c r="X150" s="158">
        <v>6.1372437857142854</v>
      </c>
      <c r="Y150" s="158">
        <v>2.165951323344959</v>
      </c>
      <c r="Z150" s="158">
        <v>4.1588204642857134</v>
      </c>
      <c r="AA150" s="158">
        <v>-25.525093669069488</v>
      </c>
      <c r="AB150" s="158">
        <v>2.4814285714285718</v>
      </c>
      <c r="AC150" s="158">
        <v>2.4814285714285718</v>
      </c>
      <c r="AD150" s="144">
        <f t="shared" si="60"/>
        <v>1.1401907461647542E-2</v>
      </c>
      <c r="AE150" s="144">
        <f t="shared" si="61"/>
        <v>0.27452622576973307</v>
      </c>
      <c r="AF150" s="145">
        <f t="shared" si="62"/>
        <v>4.9290001282311327E-2</v>
      </c>
      <c r="AG150" s="145">
        <f t="shared" si="63"/>
        <v>1.3124221742759603</v>
      </c>
      <c r="AH150" s="146">
        <f t="shared" si="64"/>
        <v>1.3556105963231937</v>
      </c>
      <c r="AI150" s="146">
        <f t="shared" si="65"/>
        <v>36.095219314520357</v>
      </c>
      <c r="AJ150" s="147">
        <f t="shared" si="66"/>
        <v>26.626539665904787</v>
      </c>
      <c r="AK150" s="148">
        <f t="shared" si="59"/>
        <v>0.97262324716366577</v>
      </c>
      <c r="AL150" s="148">
        <f t="shared" si="67"/>
        <v>-29.749349880234409</v>
      </c>
      <c r="AM150" s="149">
        <v>0.36599999999999999</v>
      </c>
      <c r="AN150" s="150">
        <f t="shared" si="68"/>
        <v>0.97262324716366577</v>
      </c>
      <c r="AO150" s="151">
        <f t="shared" si="69"/>
        <v>0.36660857243464146</v>
      </c>
      <c r="AP150" s="152">
        <f t="shared" si="70"/>
        <v>6.0857243464146338E-4</v>
      </c>
      <c r="AQ150" s="152">
        <f t="shared" si="71"/>
        <v>13.556105963231937</v>
      </c>
      <c r="AR150" s="153">
        <f t="shared" si="72"/>
        <v>8.2498724103017201E-2</v>
      </c>
      <c r="AS150" s="153">
        <f t="shared" si="73"/>
        <v>6.0857243464146338</v>
      </c>
      <c r="AT150" s="149">
        <v>1.077</v>
      </c>
      <c r="AU150" s="150">
        <f t="shared" si="74"/>
        <v>-29.749349880234409</v>
      </c>
      <c r="AV150" s="150">
        <f t="shared" si="75"/>
        <v>1.0785119561650276</v>
      </c>
      <c r="AW150" s="154">
        <f t="shared" si="76"/>
        <v>1.5119561650276392E-3</v>
      </c>
      <c r="AX150" s="154">
        <f t="shared" si="77"/>
        <v>360.95219314520352</v>
      </c>
      <c r="AY150" s="154">
        <f t="shared" si="78"/>
        <v>5.4574389370613767</v>
      </c>
      <c r="AZ150" s="154">
        <f t="shared" si="79"/>
        <v>15.119561650276392</v>
      </c>
    </row>
    <row r="151" spans="1:52" ht="18" x14ac:dyDescent="0.25">
      <c r="A151" s="104">
        <v>141</v>
      </c>
      <c r="B151">
        <v>4</v>
      </c>
      <c r="C151" t="s">
        <v>464</v>
      </c>
      <c r="D151" t="s">
        <v>40</v>
      </c>
      <c r="E151" t="s">
        <v>467</v>
      </c>
      <c r="F151">
        <v>2</v>
      </c>
      <c r="G151" t="s">
        <v>70</v>
      </c>
      <c r="H151">
        <v>3.8410000000000002</v>
      </c>
      <c r="Q151" s="141">
        <v>531</v>
      </c>
      <c r="R151" s="141" t="s">
        <v>340</v>
      </c>
      <c r="S151" s="141">
        <v>5.5294509999999999</v>
      </c>
      <c r="T151" s="141">
        <v>-0.29666164711780185</v>
      </c>
      <c r="U151" s="141">
        <v>5.1768900000000002</v>
      </c>
      <c r="V151" s="141">
        <v>-28.433991285375985</v>
      </c>
      <c r="W151" s="142">
        <v>3.8410000000000002</v>
      </c>
      <c r="X151" s="158">
        <v>6.1372437857142854</v>
      </c>
      <c r="Y151" s="158">
        <v>2.165951323344959</v>
      </c>
      <c r="Z151" s="158">
        <v>4.1588204642857134</v>
      </c>
      <c r="AA151" s="158">
        <v>-25.525093669069488</v>
      </c>
      <c r="AB151" s="158">
        <v>2.4814285714285718</v>
      </c>
      <c r="AC151" s="158">
        <v>2.4814285714285718</v>
      </c>
      <c r="AD151" s="144">
        <f t="shared" si="60"/>
        <v>1.1401907461647542E-2</v>
      </c>
      <c r="AE151" s="144">
        <f t="shared" si="61"/>
        <v>0.27452622576973307</v>
      </c>
      <c r="AF151" s="145">
        <f t="shared" si="62"/>
        <v>6.3046288615714458E-2</v>
      </c>
      <c r="AG151" s="145">
        <f t="shared" si="63"/>
        <v>1.4211920729250735</v>
      </c>
      <c r="AH151" s="146">
        <f t="shared" si="64"/>
        <v>1.6414029840071453</v>
      </c>
      <c r="AI151" s="146">
        <f t="shared" si="65"/>
        <v>37.000574666104491</v>
      </c>
      <c r="AJ151" s="147">
        <f t="shared" si="66"/>
        <v>22.542041793889794</v>
      </c>
      <c r="AK151" s="148">
        <f t="shared" si="59"/>
        <v>-0.48261297046276086</v>
      </c>
      <c r="AL151" s="148">
        <f t="shared" si="67"/>
        <v>-28.938897616306498</v>
      </c>
      <c r="AM151" s="149">
        <v>0.36599999999999999</v>
      </c>
      <c r="AN151" s="150">
        <f t="shared" si="68"/>
        <v>-0.48261297046276086</v>
      </c>
      <c r="AO151" s="151">
        <f t="shared" si="69"/>
        <v>0.36607753988820341</v>
      </c>
      <c r="AP151" s="152">
        <f t="shared" si="70"/>
        <v>7.7539888203415064E-5</v>
      </c>
      <c r="AQ151" s="152">
        <f t="shared" si="71"/>
        <v>16.414029840071453</v>
      </c>
      <c r="AR151" s="153">
        <f t="shared" si="72"/>
        <v>1.2727420387666595E-2</v>
      </c>
      <c r="AS151" s="153">
        <f t="shared" si="73"/>
        <v>0.77539888203415064</v>
      </c>
      <c r="AT151" s="149">
        <v>1.077</v>
      </c>
      <c r="AU151" s="150">
        <f t="shared" si="74"/>
        <v>-28.938897616306498</v>
      </c>
      <c r="AV151" s="150">
        <f t="shared" si="75"/>
        <v>1.0794031151487145</v>
      </c>
      <c r="AW151" s="154">
        <f t="shared" si="76"/>
        <v>2.4031151487144964E-3</v>
      </c>
      <c r="AX151" s="154">
        <f t="shared" si="77"/>
        <v>370.0057466610449</v>
      </c>
      <c r="AY151" s="154">
        <f t="shared" si="78"/>
        <v>8.8916641491257504</v>
      </c>
      <c r="AZ151" s="154">
        <f t="shared" si="79"/>
        <v>24.031151487144967</v>
      </c>
    </row>
    <row r="152" spans="1:52" ht="18" x14ac:dyDescent="0.25">
      <c r="A152" s="104">
        <v>142</v>
      </c>
      <c r="B152">
        <v>3</v>
      </c>
      <c r="C152" t="s">
        <v>458</v>
      </c>
      <c r="D152" t="s">
        <v>28</v>
      </c>
      <c r="E152" t="s">
        <v>466</v>
      </c>
      <c r="F152">
        <v>2</v>
      </c>
      <c r="G152" t="s">
        <v>71</v>
      </c>
      <c r="H152">
        <v>3.4060000000000001</v>
      </c>
      <c r="Q152" s="155">
        <v>532</v>
      </c>
      <c r="R152" s="155" t="s">
        <v>341</v>
      </c>
      <c r="S152" s="155">
        <v>9.8073379999999997</v>
      </c>
      <c r="T152" s="155">
        <v>-0.32935241710078944</v>
      </c>
      <c r="U152" s="155">
        <v>4.9368249999999998</v>
      </c>
      <c r="V152" s="155">
        <v>-26.697015017795064</v>
      </c>
      <c r="W152" s="142">
        <v>3.4060000000000001</v>
      </c>
      <c r="X152" s="158">
        <v>6.1372437857142854</v>
      </c>
      <c r="Y152" s="158">
        <v>2.165951323344959</v>
      </c>
      <c r="Z152" s="158">
        <v>4.1588204642857134</v>
      </c>
      <c r="AA152" s="158">
        <v>-25.525093669069488</v>
      </c>
      <c r="AB152" s="158">
        <v>2.4814285714285718</v>
      </c>
      <c r="AC152" s="158">
        <v>2.4814285714285718</v>
      </c>
      <c r="AD152" s="144">
        <f t="shared" si="60"/>
        <v>1.1401907461647542E-2</v>
      </c>
      <c r="AE152" s="144">
        <f t="shared" si="61"/>
        <v>0.27452622576973307</v>
      </c>
      <c r="AF152" s="145">
        <f t="shared" si="62"/>
        <v>0.11182236032109948</v>
      </c>
      <c r="AG152" s="145">
        <f t="shared" si="63"/>
        <v>1.3552879345356623</v>
      </c>
      <c r="AH152" s="146">
        <f t="shared" si="64"/>
        <v>3.2830992460686867</v>
      </c>
      <c r="AI152" s="146">
        <f t="shared" si="65"/>
        <v>39.791190092062898</v>
      </c>
      <c r="AJ152" s="147">
        <f t="shared" si="66"/>
        <v>12.120008293904135</v>
      </c>
      <c r="AK152" s="148">
        <f t="shared" si="59"/>
        <v>-0.51530374044574845</v>
      </c>
      <c r="AL152" s="148">
        <f t="shared" si="67"/>
        <v>-27.201921348725577</v>
      </c>
      <c r="AM152" s="149">
        <v>0.36599999999999999</v>
      </c>
      <c r="AN152" s="150">
        <f t="shared" si="68"/>
        <v>-0.51530374044574845</v>
      </c>
      <c r="AO152" s="151">
        <f t="shared" si="69"/>
        <v>0.36606561058269066</v>
      </c>
      <c r="AP152" s="152">
        <f t="shared" si="70"/>
        <v>6.5610582690667218E-5</v>
      </c>
      <c r="AQ152" s="152">
        <f t="shared" si="71"/>
        <v>32.830992460686865</v>
      </c>
      <c r="AR152" s="153">
        <f t="shared" si="72"/>
        <v>2.154060545658568E-2</v>
      </c>
      <c r="AS152" s="153">
        <f t="shared" si="73"/>
        <v>0.65610582690667218</v>
      </c>
      <c r="AT152" s="149">
        <v>1.077</v>
      </c>
      <c r="AU152" s="150">
        <f t="shared" si="74"/>
        <v>-27.201921348725577</v>
      </c>
      <c r="AV152" s="150">
        <f t="shared" si="75"/>
        <v>1.0813130094674281</v>
      </c>
      <c r="AW152" s="154">
        <f t="shared" si="76"/>
        <v>4.313009467428186E-3</v>
      </c>
      <c r="AX152" s="154">
        <f t="shared" si="77"/>
        <v>397.91190092062908</v>
      </c>
      <c r="AY152" s="154">
        <f t="shared" si="78"/>
        <v>17.161977958730194</v>
      </c>
      <c r="AZ152" s="154">
        <f t="shared" si="79"/>
        <v>43.130094674281864</v>
      </c>
    </row>
    <row r="153" spans="1:52" ht="18" x14ac:dyDescent="0.25">
      <c r="A153" s="104">
        <v>143</v>
      </c>
      <c r="B153">
        <v>3</v>
      </c>
      <c r="C153" t="s">
        <v>461</v>
      </c>
      <c r="D153" t="s">
        <v>40</v>
      </c>
      <c r="E153" t="s">
        <v>466</v>
      </c>
      <c r="F153">
        <v>2</v>
      </c>
      <c r="G153" t="s">
        <v>72</v>
      </c>
      <c r="H153">
        <v>3.4750000000000001</v>
      </c>
      <c r="I153" t="s">
        <v>469</v>
      </c>
      <c r="Q153" s="141">
        <v>533</v>
      </c>
      <c r="R153" s="141" t="s">
        <v>342</v>
      </c>
      <c r="S153" s="141">
        <v>5.7342554999999997</v>
      </c>
      <c r="T153" s="141">
        <v>-1.2497618306005209</v>
      </c>
      <c r="U153" s="141">
        <v>5.0178415000000003</v>
      </c>
      <c r="V153" s="141">
        <v>-30.312892703001559</v>
      </c>
      <c r="W153" s="142">
        <v>3.4750000000000001</v>
      </c>
      <c r="X153" s="158">
        <v>6.1372437857142854</v>
      </c>
      <c r="Y153" s="158">
        <v>2.165951323344959</v>
      </c>
      <c r="Z153" s="158">
        <v>4.1588204642857134</v>
      </c>
      <c r="AA153" s="158">
        <v>-25.525093669069488</v>
      </c>
      <c r="AB153" s="158">
        <v>2.4814285714285718</v>
      </c>
      <c r="AC153" s="158">
        <v>2.4814285714285718</v>
      </c>
      <c r="AD153" s="144">
        <f t="shared" si="60"/>
        <v>1.1401907461647542E-2</v>
      </c>
      <c r="AE153" s="144">
        <f t="shared" si="61"/>
        <v>0.27452622576973307</v>
      </c>
      <c r="AF153" s="145">
        <f t="shared" si="62"/>
        <v>6.5381450572443461E-2</v>
      </c>
      <c r="AG153" s="145">
        <f t="shared" si="63"/>
        <v>1.3775290885057361</v>
      </c>
      <c r="AH153" s="146">
        <f t="shared" si="64"/>
        <v>1.8814805920127615</v>
      </c>
      <c r="AI153" s="146">
        <f t="shared" si="65"/>
        <v>39.641124849085934</v>
      </c>
      <c r="AJ153" s="147">
        <f t="shared" si="66"/>
        <v>21.069111750272604</v>
      </c>
      <c r="AK153" s="148">
        <f t="shared" si="59"/>
        <v>-1.4357131539454799</v>
      </c>
      <c r="AL153" s="148">
        <f t="shared" si="67"/>
        <v>-30.817799033932072</v>
      </c>
      <c r="AM153" s="149">
        <v>0.36599999999999999</v>
      </c>
      <c r="AN153" s="150">
        <f t="shared" si="68"/>
        <v>-1.4357131539454799</v>
      </c>
      <c r="AO153" s="151">
        <f t="shared" si="69"/>
        <v>0.36572973952720766</v>
      </c>
      <c r="AP153" s="152">
        <f t="shared" si="70"/>
        <v>-2.7026047279232746E-4</v>
      </c>
      <c r="AQ153" s="152">
        <f t="shared" si="71"/>
        <v>18.814805920127618</v>
      </c>
      <c r="AR153" s="153">
        <f t="shared" si="72"/>
        <v>-5.0848983434695717E-2</v>
      </c>
      <c r="AS153" s="153">
        <f t="shared" si="73"/>
        <v>-2.7026047279232746</v>
      </c>
      <c r="AT153" s="149">
        <v>1.077</v>
      </c>
      <c r="AU153" s="150">
        <f t="shared" si="74"/>
        <v>-30.817799033932072</v>
      </c>
      <c r="AV153" s="150">
        <f t="shared" si="75"/>
        <v>1.0773370838241749</v>
      </c>
      <c r="AW153" s="154">
        <f t="shared" si="76"/>
        <v>3.370838241749663E-4</v>
      </c>
      <c r="AX153" s="154">
        <f t="shared" si="77"/>
        <v>396.41124849085935</v>
      </c>
      <c r="AY153" s="154">
        <f t="shared" si="78"/>
        <v>1.336238195872717</v>
      </c>
      <c r="AZ153" s="154">
        <f t="shared" si="79"/>
        <v>3.370838241749663</v>
      </c>
    </row>
    <row r="154" spans="1:52" ht="18" x14ac:dyDescent="0.25">
      <c r="A154" s="104">
        <v>144</v>
      </c>
      <c r="B154">
        <v>3</v>
      </c>
      <c r="C154" t="s">
        <v>462</v>
      </c>
      <c r="D154" t="s">
        <v>48</v>
      </c>
      <c r="E154" t="s">
        <v>466</v>
      </c>
      <c r="F154">
        <v>2</v>
      </c>
      <c r="G154" t="s">
        <v>73</v>
      </c>
      <c r="H154">
        <v>3.3170000000000002</v>
      </c>
      <c r="Q154" s="155">
        <v>534</v>
      </c>
      <c r="R154" s="155" t="s">
        <v>343</v>
      </c>
      <c r="S154" s="155">
        <v>11.867077</v>
      </c>
      <c r="T154" s="155">
        <v>-0.49612311030419465</v>
      </c>
      <c r="U154" s="155">
        <v>4.7619579999999999</v>
      </c>
      <c r="V154" s="155">
        <v>-25.532120490473609</v>
      </c>
      <c r="W154" s="142">
        <v>3.3170000000000002</v>
      </c>
      <c r="X154" s="158">
        <v>6.1372437857142854</v>
      </c>
      <c r="Y154" s="158">
        <v>2.165951323344959</v>
      </c>
      <c r="Z154" s="158">
        <v>4.1588204642857134</v>
      </c>
      <c r="AA154" s="158">
        <v>-25.525093669069488</v>
      </c>
      <c r="AB154" s="158">
        <v>2.4814285714285718</v>
      </c>
      <c r="AC154" s="158">
        <v>2.4814285714285718</v>
      </c>
      <c r="AD154" s="144">
        <f t="shared" si="60"/>
        <v>1.1401907461647542E-2</v>
      </c>
      <c r="AE154" s="144">
        <f t="shared" si="61"/>
        <v>0.27452622576973307</v>
      </c>
      <c r="AF154" s="145">
        <f t="shared" si="62"/>
        <v>0.13530731379424593</v>
      </c>
      <c r="AG154" s="145">
        <f t="shared" si="63"/>
        <v>1.3072823570139864</v>
      </c>
      <c r="AH154" s="146">
        <f t="shared" si="64"/>
        <v>4.0792075307279445</v>
      </c>
      <c r="AI154" s="146">
        <f t="shared" si="65"/>
        <v>39.411587489116258</v>
      </c>
      <c r="AJ154" s="147">
        <f t="shared" si="66"/>
        <v>9.6615794102741237</v>
      </c>
      <c r="AK154" s="148">
        <f t="shared" si="59"/>
        <v>-0.68207443364915366</v>
      </c>
      <c r="AL154" s="148">
        <f t="shared" si="67"/>
        <v>-26.037026821404123</v>
      </c>
      <c r="AM154" s="149">
        <v>0.36599999999999999</v>
      </c>
      <c r="AN154" s="150">
        <f t="shared" si="68"/>
        <v>-0.68207443364915366</v>
      </c>
      <c r="AO154" s="151">
        <f t="shared" si="69"/>
        <v>0.36600475364954982</v>
      </c>
      <c r="AP154" s="152">
        <f t="shared" si="70"/>
        <v>4.7536495498268216E-6</v>
      </c>
      <c r="AQ154" s="152">
        <f t="shared" si="71"/>
        <v>40.792075307279433</v>
      </c>
      <c r="AR154" s="153">
        <f t="shared" si="72"/>
        <v>1.9391123042095068E-3</v>
      </c>
      <c r="AS154" s="153">
        <f t="shared" si="73"/>
        <v>4.7536495498268216E-2</v>
      </c>
      <c r="AT154" s="149">
        <v>1.077</v>
      </c>
      <c r="AU154" s="150">
        <f t="shared" si="74"/>
        <v>-26.037026821404123</v>
      </c>
      <c r="AV154" s="150">
        <f t="shared" si="75"/>
        <v>1.0825938293143818</v>
      </c>
      <c r="AW154" s="154">
        <f t="shared" si="76"/>
        <v>5.593829314381793E-3</v>
      </c>
      <c r="AX154" s="154">
        <f t="shared" si="77"/>
        <v>394.11587489116255</v>
      </c>
      <c r="AY154" s="154">
        <f t="shared" si="78"/>
        <v>22.046169342294121</v>
      </c>
      <c r="AZ154" s="154">
        <f t="shared" si="79"/>
        <v>55.938293143817937</v>
      </c>
    </row>
    <row r="155" spans="1:52" ht="18" x14ac:dyDescent="0.25">
      <c r="A155" s="104">
        <v>145</v>
      </c>
      <c r="B155">
        <v>3</v>
      </c>
      <c r="C155" t="s">
        <v>464</v>
      </c>
      <c r="D155" t="s">
        <v>44</v>
      </c>
      <c r="E155" t="s">
        <v>466</v>
      </c>
      <c r="F155">
        <v>2</v>
      </c>
      <c r="G155" t="s">
        <v>74</v>
      </c>
      <c r="H155">
        <v>3.6920000000000002</v>
      </c>
      <c r="Q155" s="141">
        <v>535</v>
      </c>
      <c r="R155" s="141" t="s">
        <v>344</v>
      </c>
      <c r="S155" s="141">
        <v>8.4009640000000001</v>
      </c>
      <c r="T155" s="141">
        <v>-1.2491006133050764</v>
      </c>
      <c r="U155" s="141">
        <v>5.2940754999999999</v>
      </c>
      <c r="V155" s="141">
        <v>-29.774105894678627</v>
      </c>
      <c r="W155" s="142">
        <v>3.6920000000000002</v>
      </c>
      <c r="X155" s="158">
        <v>6.1372437857142854</v>
      </c>
      <c r="Y155" s="158">
        <v>2.165951323344959</v>
      </c>
      <c r="Z155" s="158">
        <v>4.1588204642857134</v>
      </c>
      <c r="AA155" s="158">
        <v>-25.525093669069488</v>
      </c>
      <c r="AB155" s="158">
        <v>2.4814285714285718</v>
      </c>
      <c r="AC155" s="158">
        <v>2.4814285714285718</v>
      </c>
      <c r="AD155" s="144">
        <f t="shared" si="60"/>
        <v>1.1401907461647542E-2</v>
      </c>
      <c r="AE155" s="144">
        <f t="shared" si="61"/>
        <v>0.27452622576973307</v>
      </c>
      <c r="AF155" s="145">
        <f t="shared" si="62"/>
        <v>9.5787014116632388E-2</v>
      </c>
      <c r="AG155" s="145">
        <f t="shared" si="63"/>
        <v>1.4533625659550125</v>
      </c>
      <c r="AH155" s="146">
        <f t="shared" si="64"/>
        <v>2.59444783631182</v>
      </c>
      <c r="AI155" s="146">
        <f t="shared" si="65"/>
        <v>39.365183259886578</v>
      </c>
      <c r="AJ155" s="147">
        <f t="shared" si="66"/>
        <v>15.172855938335921</v>
      </c>
      <c r="AK155" s="148">
        <f t="shared" si="59"/>
        <v>-1.4350519366500354</v>
      </c>
      <c r="AL155" s="148">
        <f t="shared" si="67"/>
        <v>-30.27901222560914</v>
      </c>
      <c r="AM155" s="149">
        <v>0.36599999999999999</v>
      </c>
      <c r="AN155" s="150">
        <f t="shared" si="68"/>
        <v>-1.4350519366500354</v>
      </c>
      <c r="AO155" s="151">
        <f t="shared" si="69"/>
        <v>0.3657299808160252</v>
      </c>
      <c r="AP155" s="152">
        <f t="shared" si="70"/>
        <v>-2.7001918397479008E-4</v>
      </c>
      <c r="AQ155" s="152">
        <f t="shared" si="71"/>
        <v>25.944478363118197</v>
      </c>
      <c r="AR155" s="153">
        <f t="shared" si="72"/>
        <v>-7.0055068762607725E-2</v>
      </c>
      <c r="AS155" s="153">
        <f t="shared" si="73"/>
        <v>-2.7001918397479008</v>
      </c>
      <c r="AT155" s="149">
        <v>1.077</v>
      </c>
      <c r="AU155" s="150">
        <f t="shared" si="74"/>
        <v>-30.27901222560914</v>
      </c>
      <c r="AV155" s="150">
        <f t="shared" si="75"/>
        <v>1.077929540136622</v>
      </c>
      <c r="AW155" s="154">
        <f t="shared" si="76"/>
        <v>9.2954013662205348E-4</v>
      </c>
      <c r="AX155" s="154">
        <f t="shared" si="77"/>
        <v>393.65183259886578</v>
      </c>
      <c r="AY155" s="154">
        <f t="shared" si="78"/>
        <v>3.659151782554714</v>
      </c>
      <c r="AZ155" s="154">
        <f t="shared" si="79"/>
        <v>9.2954013662205348</v>
      </c>
    </row>
    <row r="156" spans="1:52" ht="18" x14ac:dyDescent="0.25">
      <c r="A156" s="104">
        <v>148</v>
      </c>
      <c r="B156">
        <v>4</v>
      </c>
      <c r="C156" t="s">
        <v>460</v>
      </c>
      <c r="D156" t="s">
        <v>48</v>
      </c>
      <c r="E156" t="s">
        <v>466</v>
      </c>
      <c r="F156">
        <v>2</v>
      </c>
      <c r="G156" t="s">
        <v>75</v>
      </c>
      <c r="H156">
        <v>3.1949999999999998</v>
      </c>
      <c r="Q156" s="155">
        <v>536</v>
      </c>
      <c r="R156" s="155" t="s">
        <v>345</v>
      </c>
      <c r="S156" s="155">
        <v>6.2583025000000001</v>
      </c>
      <c r="T156" s="155">
        <v>-0.85132407192305137</v>
      </c>
      <c r="U156" s="155">
        <v>4.3817624999999998</v>
      </c>
      <c r="V156" s="155">
        <v>-25.158769349806949</v>
      </c>
      <c r="W156" s="142">
        <v>3.1949999999999998</v>
      </c>
      <c r="X156" s="158">
        <v>6.1372437857142854</v>
      </c>
      <c r="Y156" s="158">
        <v>2.165951323344959</v>
      </c>
      <c r="Z156" s="158">
        <v>4.1588204642857134</v>
      </c>
      <c r="AA156" s="158">
        <v>-25.525093669069488</v>
      </c>
      <c r="AB156" s="158">
        <v>2.4814285714285718</v>
      </c>
      <c r="AC156" s="158">
        <v>2.4814285714285718</v>
      </c>
      <c r="AD156" s="144">
        <f t="shared" si="60"/>
        <v>1.1401907461647542E-2</v>
      </c>
      <c r="AE156" s="144">
        <f t="shared" si="61"/>
        <v>0.27452622576973307</v>
      </c>
      <c r="AF156" s="145">
        <f t="shared" si="62"/>
        <v>7.1356585971997469E-2</v>
      </c>
      <c r="AG156" s="145">
        <f t="shared" si="63"/>
        <v>1.2029087213443499</v>
      </c>
      <c r="AH156" s="146">
        <f t="shared" si="64"/>
        <v>2.2333829725194825</v>
      </c>
      <c r="AI156" s="146">
        <f t="shared" si="65"/>
        <v>37.649725237694838</v>
      </c>
      <c r="AJ156" s="147">
        <f t="shared" si="66"/>
        <v>16.857711239385928</v>
      </c>
      <c r="AK156" s="148">
        <f t="shared" si="59"/>
        <v>-1.0372753952680105</v>
      </c>
      <c r="AL156" s="148">
        <f t="shared" si="67"/>
        <v>-25.663675680737462</v>
      </c>
      <c r="AM156" s="149">
        <v>0.36599999999999999</v>
      </c>
      <c r="AN156" s="150">
        <f t="shared" si="68"/>
        <v>-1.0372753952680105</v>
      </c>
      <c r="AO156" s="151">
        <f t="shared" si="69"/>
        <v>0.36587513565682739</v>
      </c>
      <c r="AP156" s="152">
        <f t="shared" si="70"/>
        <v>-1.2486434317260375E-4</v>
      </c>
      <c r="AQ156" s="152">
        <f t="shared" si="71"/>
        <v>22.333829725194825</v>
      </c>
      <c r="AR156" s="153">
        <f t="shared" si="72"/>
        <v>-2.7886989791652252E-2</v>
      </c>
      <c r="AS156" s="153">
        <f t="shared" si="73"/>
        <v>-1.2486434317260375</v>
      </c>
      <c r="AT156" s="149">
        <v>1.077</v>
      </c>
      <c r="AU156" s="150">
        <f t="shared" si="74"/>
        <v>-25.663675680737462</v>
      </c>
      <c r="AV156" s="150">
        <f t="shared" si="75"/>
        <v>1.0830043277444235</v>
      </c>
      <c r="AW156" s="154">
        <f t="shared" si="76"/>
        <v>6.0043277444234988E-3</v>
      </c>
      <c r="AX156" s="154">
        <f t="shared" si="77"/>
        <v>376.49725237694838</v>
      </c>
      <c r="AY156" s="154">
        <f t="shared" si="78"/>
        <v>22.606128981461271</v>
      </c>
      <c r="AZ156" s="154">
        <f t="shared" si="79"/>
        <v>60.043277444234995</v>
      </c>
    </row>
    <row r="157" spans="1:52" ht="18" x14ac:dyDescent="0.25">
      <c r="A157" s="104">
        <v>149</v>
      </c>
      <c r="B157">
        <v>4</v>
      </c>
      <c r="C157" t="s">
        <v>462</v>
      </c>
      <c r="D157" t="s">
        <v>52</v>
      </c>
      <c r="E157" t="s">
        <v>466</v>
      </c>
      <c r="F157">
        <v>2</v>
      </c>
      <c r="G157" t="s">
        <v>76</v>
      </c>
      <c r="H157">
        <v>3.9369999999999998</v>
      </c>
      <c r="Q157" s="141">
        <v>537</v>
      </c>
      <c r="R157" s="141" t="s">
        <v>346</v>
      </c>
      <c r="S157" s="141">
        <v>11.288175000000001</v>
      </c>
      <c r="T157" s="141">
        <v>0.28964947516884609</v>
      </c>
      <c r="U157" s="141">
        <v>5.2763739999999997</v>
      </c>
      <c r="V157" s="141">
        <v>-25.452117359960234</v>
      </c>
      <c r="W157" s="142">
        <v>3.9369999999999998</v>
      </c>
      <c r="X157" s="158">
        <v>6.1372437857142854</v>
      </c>
      <c r="Y157" s="158">
        <v>2.165951323344959</v>
      </c>
      <c r="Z157" s="158">
        <v>4.1588204642857134</v>
      </c>
      <c r="AA157" s="158">
        <v>-25.525093669069488</v>
      </c>
      <c r="AB157" s="158">
        <v>2.4814285714285718</v>
      </c>
      <c r="AC157" s="158">
        <v>2.4814285714285718</v>
      </c>
      <c r="AD157" s="144">
        <f t="shared" si="60"/>
        <v>1.1401907461647542E-2</v>
      </c>
      <c r="AE157" s="144">
        <f t="shared" si="61"/>
        <v>0.27452622576973307</v>
      </c>
      <c r="AF157" s="145">
        <f t="shared" si="62"/>
        <v>0.12870672676088327</v>
      </c>
      <c r="AG157" s="145">
        <f t="shared" si="63"/>
        <v>1.4485030399695495</v>
      </c>
      <c r="AH157" s="146">
        <f t="shared" si="64"/>
        <v>3.2691573980412314</v>
      </c>
      <c r="AI157" s="146">
        <f t="shared" si="65"/>
        <v>36.792050799328159</v>
      </c>
      <c r="AJ157" s="147">
        <f t="shared" si="66"/>
        <v>11.254291647558087</v>
      </c>
      <c r="AK157" s="148">
        <f t="shared" si="59"/>
        <v>0.10369815182388709</v>
      </c>
      <c r="AL157" s="148">
        <f t="shared" si="67"/>
        <v>-25.957023690890747</v>
      </c>
      <c r="AM157" s="149">
        <v>0.36599999999999999</v>
      </c>
      <c r="AN157" s="150">
        <f t="shared" si="68"/>
        <v>0.10369815182388709</v>
      </c>
      <c r="AO157" s="151">
        <f t="shared" si="69"/>
        <v>0.36629149228669666</v>
      </c>
      <c r="AP157" s="152">
        <f t="shared" si="70"/>
        <v>2.9149228669667071E-4</v>
      </c>
      <c r="AQ157" s="152">
        <f t="shared" si="71"/>
        <v>32.691573980412315</v>
      </c>
      <c r="AR157" s="153">
        <f t="shared" si="72"/>
        <v>9.5293416552637678E-2</v>
      </c>
      <c r="AS157" s="153">
        <f t="shared" si="73"/>
        <v>2.9149228669667071</v>
      </c>
      <c r="AT157" s="149">
        <v>1.077</v>
      </c>
      <c r="AU157" s="150">
        <f t="shared" si="74"/>
        <v>-25.957023690890747</v>
      </c>
      <c r="AV157" s="150">
        <f t="shared" si="75"/>
        <v>1.0826817927969614</v>
      </c>
      <c r="AW157" s="154">
        <f t="shared" si="76"/>
        <v>5.6817927969614601E-3</v>
      </c>
      <c r="AX157" s="154">
        <f t="shared" si="77"/>
        <v>367.9205079932816</v>
      </c>
      <c r="AY157" s="154">
        <f t="shared" si="78"/>
        <v>20.904480921706288</v>
      </c>
      <c r="AZ157" s="154">
        <f t="shared" si="79"/>
        <v>56.817927969614601</v>
      </c>
    </row>
    <row r="158" spans="1:52" ht="18" x14ac:dyDescent="0.25">
      <c r="I158" t="s">
        <v>152</v>
      </c>
      <c r="Q158" s="155">
        <v>538</v>
      </c>
      <c r="R158" s="155" t="s">
        <v>347</v>
      </c>
      <c r="S158" s="155">
        <v>5.9468540000000001</v>
      </c>
      <c r="T158" s="155">
        <v>2.0267312326736535</v>
      </c>
      <c r="U158" s="155">
        <v>4.0057404999999999</v>
      </c>
      <c r="V158" s="155">
        <v>-25.80174184691754</v>
      </c>
      <c r="W158" s="155">
        <v>2.3679999999999999</v>
      </c>
      <c r="X158" s="158">
        <v>6.1372437857142854</v>
      </c>
      <c r="Y158" s="158">
        <v>2.165951323344959</v>
      </c>
      <c r="Z158" s="158">
        <v>4.1588204642857134</v>
      </c>
      <c r="AA158" s="158">
        <v>-25.525093669069488</v>
      </c>
      <c r="AB158" s="158">
        <v>2.4814285714285718</v>
      </c>
      <c r="AC158" s="158">
        <v>2.4814285714285718</v>
      </c>
      <c r="AD158" s="144">
        <f t="shared" si="60"/>
        <v>1.1401907461647542E-2</v>
      </c>
      <c r="AE158" s="144">
        <f t="shared" si="61"/>
        <v>0.27452622576973307</v>
      </c>
      <c r="AF158" s="145">
        <f t="shared" si="62"/>
        <v>6.7805478995928536E-2</v>
      </c>
      <c r="AG158" s="145">
        <f t="shared" si="63"/>
        <v>1.0996808208779634</v>
      </c>
      <c r="AH158" s="146">
        <f t="shared" si="64"/>
        <v>2.8634070521929282</v>
      </c>
      <c r="AI158" s="146">
        <f t="shared" si="65"/>
        <v>46.439223854643721</v>
      </c>
      <c r="AJ158" s="147">
        <f t="shared" si="66"/>
        <v>16.218170524892169</v>
      </c>
      <c r="AK158" s="148">
        <f t="shared" si="59"/>
        <v>1.8407799093286945</v>
      </c>
      <c r="AL158" s="148">
        <f t="shared" si="67"/>
        <v>-26.306648177848054</v>
      </c>
      <c r="AM158" s="149">
        <v>0.36599999999999999</v>
      </c>
      <c r="AN158" s="150">
        <f t="shared" si="68"/>
        <v>1.8407799093286945</v>
      </c>
      <c r="AO158" s="151">
        <f t="shared" si="69"/>
        <v>0.36692537015751903</v>
      </c>
      <c r="AP158" s="152">
        <f t="shared" si="70"/>
        <v>9.2537015751903429E-4</v>
      </c>
      <c r="AQ158" s="152">
        <f t="shared" si="71"/>
        <v>28.634070521929281</v>
      </c>
      <c r="AR158" s="153">
        <f t="shared" si="72"/>
        <v>0.26497114349288831</v>
      </c>
      <c r="AS158" s="153">
        <f t="shared" si="73"/>
        <v>9.2537015751903429</v>
      </c>
      <c r="AT158" s="149">
        <v>1.077</v>
      </c>
      <c r="AU158" s="150">
        <f t="shared" si="74"/>
        <v>-26.306648177848054</v>
      </c>
      <c r="AV158" s="150">
        <f t="shared" si="75"/>
        <v>1.082297379344149</v>
      </c>
      <c r="AW158" s="154">
        <f t="shared" si="76"/>
        <v>5.2973793441490891E-3</v>
      </c>
      <c r="AX158" s="154">
        <f t="shared" si="77"/>
        <v>464.39223854643717</v>
      </c>
      <c r="AY158" s="154">
        <f t="shared" si="78"/>
        <v>24.600618520590526</v>
      </c>
      <c r="AZ158" s="154">
        <f t="shared" si="79"/>
        <v>52.973793441490891</v>
      </c>
    </row>
    <row r="159" spans="1:52" ht="18" x14ac:dyDescent="0.25">
      <c r="A159" s="104">
        <v>150</v>
      </c>
      <c r="B159">
        <v>4</v>
      </c>
      <c r="C159" t="s">
        <v>464</v>
      </c>
      <c r="D159" t="s">
        <v>40</v>
      </c>
      <c r="E159" t="s">
        <v>466</v>
      </c>
      <c r="F159">
        <v>2</v>
      </c>
      <c r="G159" t="s">
        <v>77</v>
      </c>
      <c r="H159">
        <v>3.6659999999999999</v>
      </c>
      <c r="Q159" s="141">
        <v>539</v>
      </c>
      <c r="R159" s="141" t="s">
        <v>348</v>
      </c>
      <c r="S159" s="141">
        <v>10.347804999999999</v>
      </c>
      <c r="T159" s="141">
        <v>-0.48571330794413003</v>
      </c>
      <c r="U159" s="141">
        <v>5.2280715000000004</v>
      </c>
      <c r="V159" s="141">
        <v>-26.751294626160227</v>
      </c>
      <c r="W159" s="142">
        <v>3.6659999999999999</v>
      </c>
      <c r="X159" s="158">
        <v>6.1372437857142854</v>
      </c>
      <c r="Y159" s="158">
        <v>2.165951323344959</v>
      </c>
      <c r="Z159" s="158">
        <v>4.1588204642857134</v>
      </c>
      <c r="AA159" s="158">
        <v>-25.525093669069488</v>
      </c>
      <c r="AB159" s="158">
        <v>2.4814285714285718</v>
      </c>
      <c r="AC159" s="158">
        <v>2.4814285714285718</v>
      </c>
      <c r="AD159" s="144">
        <f t="shared" si="60"/>
        <v>1.1401907461647542E-2</v>
      </c>
      <c r="AE159" s="144">
        <f t="shared" si="61"/>
        <v>0.27452622576973307</v>
      </c>
      <c r="AF159" s="145">
        <f t="shared" si="62"/>
        <v>0.11798471504117373</v>
      </c>
      <c r="AG159" s="145">
        <f t="shared" si="63"/>
        <v>1.435242736949307</v>
      </c>
      <c r="AH159" s="146">
        <f t="shared" si="64"/>
        <v>3.2183501102338714</v>
      </c>
      <c r="AI159" s="146">
        <f t="shared" si="65"/>
        <v>39.150101935332984</v>
      </c>
      <c r="AJ159" s="147">
        <f t="shared" si="66"/>
        <v>12.164649772205179</v>
      </c>
      <c r="AK159" s="148">
        <f t="shared" si="59"/>
        <v>-0.67166463128908904</v>
      </c>
      <c r="AL159" s="148">
        <f t="shared" si="67"/>
        <v>-27.256200957090741</v>
      </c>
      <c r="AM159" s="149">
        <v>0.36599999999999999</v>
      </c>
      <c r="AN159" s="150">
        <f t="shared" si="68"/>
        <v>-0.67166463128908904</v>
      </c>
      <c r="AO159" s="151">
        <f t="shared" si="69"/>
        <v>0.36600855233262103</v>
      </c>
      <c r="AP159" s="152">
        <f t="shared" si="70"/>
        <v>8.5523326210368289E-6</v>
      </c>
      <c r="AQ159" s="152">
        <f t="shared" si="71"/>
        <v>32.183501102338717</v>
      </c>
      <c r="AR159" s="153">
        <f t="shared" si="72"/>
        <v>2.7524400633670617E-3</v>
      </c>
      <c r="AS159" s="153">
        <f t="shared" si="73"/>
        <v>8.5523326210368289E-2</v>
      </c>
      <c r="AT159" s="149">
        <v>1.077</v>
      </c>
      <c r="AU159" s="150">
        <f t="shared" si="74"/>
        <v>-27.256200957090741</v>
      </c>
      <c r="AV159" s="150">
        <f t="shared" si="75"/>
        <v>1.0812533273758764</v>
      </c>
      <c r="AW159" s="154">
        <f t="shared" si="76"/>
        <v>4.25332737587647E-3</v>
      </c>
      <c r="AX159" s="154">
        <f t="shared" si="77"/>
        <v>391.50101935332981</v>
      </c>
      <c r="AY159" s="154">
        <f t="shared" si="78"/>
        <v>16.651820032990614</v>
      </c>
      <c r="AZ159" s="154">
        <f t="shared" si="79"/>
        <v>42.5332737587647</v>
      </c>
    </row>
    <row r="160" spans="1:52" ht="18" x14ac:dyDescent="0.25">
      <c r="A160" s="104">
        <v>151</v>
      </c>
      <c r="B160">
        <v>4</v>
      </c>
      <c r="C160" t="s">
        <v>456</v>
      </c>
      <c r="D160" t="s">
        <v>28</v>
      </c>
      <c r="E160" t="s">
        <v>468</v>
      </c>
      <c r="F160">
        <v>2</v>
      </c>
      <c r="G160" t="s">
        <v>78</v>
      </c>
      <c r="H160">
        <v>3.484</v>
      </c>
      <c r="Q160" s="155">
        <v>540</v>
      </c>
      <c r="R160" s="155" t="s">
        <v>349</v>
      </c>
      <c r="S160" s="155">
        <v>4.821053</v>
      </c>
      <c r="T160" s="155">
        <v>-1.3437752465531749</v>
      </c>
      <c r="U160" s="155">
        <v>5.4838044999999997</v>
      </c>
      <c r="V160" s="155">
        <v>-29.547820387542135</v>
      </c>
      <c r="W160" s="142">
        <v>3.484</v>
      </c>
      <c r="X160" s="158">
        <v>6.1372437857142854</v>
      </c>
      <c r="Y160" s="158">
        <v>2.165951323344959</v>
      </c>
      <c r="Z160" s="158">
        <v>4.1588204642857134</v>
      </c>
      <c r="AA160" s="158">
        <v>-25.525093669069488</v>
      </c>
      <c r="AB160" s="158">
        <v>2.4814285714285718</v>
      </c>
      <c r="AC160" s="158">
        <v>2.4814285714285718</v>
      </c>
      <c r="AD160" s="144">
        <f t="shared" si="60"/>
        <v>1.1401907461647542E-2</v>
      </c>
      <c r="AE160" s="144">
        <f t="shared" si="61"/>
        <v>0.27452622576973307</v>
      </c>
      <c r="AF160" s="145">
        <f t="shared" si="62"/>
        <v>5.4969200173698267E-2</v>
      </c>
      <c r="AG160" s="145">
        <f t="shared" si="63"/>
        <v>1.5054481522440781</v>
      </c>
      <c r="AH160" s="146">
        <f t="shared" si="64"/>
        <v>1.5777611990154496</v>
      </c>
      <c r="AI160" s="146">
        <f t="shared" si="65"/>
        <v>43.210337320438526</v>
      </c>
      <c r="AJ160" s="147">
        <f t="shared" si="66"/>
        <v>27.387121287684423</v>
      </c>
      <c r="AK160" s="148">
        <f t="shared" si="59"/>
        <v>-1.5297265698981339</v>
      </c>
      <c r="AL160" s="148">
        <f t="shared" si="67"/>
        <v>-30.052726718472648</v>
      </c>
      <c r="AM160" s="149">
        <v>0.36599999999999999</v>
      </c>
      <c r="AN160" s="150">
        <f t="shared" si="68"/>
        <v>-1.5297265698981339</v>
      </c>
      <c r="AO160" s="151">
        <f t="shared" si="69"/>
        <v>0.3656954325089386</v>
      </c>
      <c r="AP160" s="152">
        <f t="shared" si="70"/>
        <v>-3.0456749106139158E-4</v>
      </c>
      <c r="AQ160" s="152">
        <f t="shared" si="71"/>
        <v>15.777611990154497</v>
      </c>
      <c r="AR160" s="153">
        <f t="shared" si="72"/>
        <v>-4.8053476987814842E-2</v>
      </c>
      <c r="AS160" s="153">
        <f t="shared" si="73"/>
        <v>-3.0456749106139163</v>
      </c>
      <c r="AT160" s="149">
        <v>1.077</v>
      </c>
      <c r="AU160" s="150">
        <f t="shared" si="74"/>
        <v>-30.052726718472648</v>
      </c>
      <c r="AV160" s="150">
        <f t="shared" si="75"/>
        <v>1.0781783642260534</v>
      </c>
      <c r="AW160" s="154">
        <f t="shared" si="76"/>
        <v>1.178364226053441E-3</v>
      </c>
      <c r="AX160" s="154">
        <f t="shared" si="77"/>
        <v>432.10337320438526</v>
      </c>
      <c r="AY160" s="154">
        <f t="shared" si="78"/>
        <v>5.0917515694106665</v>
      </c>
      <c r="AZ160" s="154">
        <f t="shared" si="79"/>
        <v>11.78364226053441</v>
      </c>
    </row>
    <row r="161" spans="1:52" ht="18" x14ac:dyDescent="0.25">
      <c r="A161" s="104">
        <v>152</v>
      </c>
      <c r="B161">
        <v>4</v>
      </c>
      <c r="C161" t="s">
        <v>458</v>
      </c>
      <c r="D161" t="s">
        <v>44</v>
      </c>
      <c r="E161" t="s">
        <v>468</v>
      </c>
      <c r="F161">
        <v>2</v>
      </c>
      <c r="G161" t="s">
        <v>79</v>
      </c>
      <c r="H161">
        <v>3.8359999999999999</v>
      </c>
      <c r="Q161" s="141">
        <v>541</v>
      </c>
      <c r="R161" s="141" t="s">
        <v>350</v>
      </c>
      <c r="S161" s="141">
        <v>6.4899434999999999</v>
      </c>
      <c r="T161" s="141">
        <v>-6.0346100827882392</v>
      </c>
      <c r="U161" s="141">
        <v>5.9834540000000001</v>
      </c>
      <c r="V161" s="141">
        <v>-29.812395807918794</v>
      </c>
      <c r="W161" s="142">
        <v>3.8359999999999999</v>
      </c>
      <c r="X161" s="158">
        <v>6.1372437857142854</v>
      </c>
      <c r="Y161" s="158">
        <v>2.165951323344959</v>
      </c>
      <c r="Z161" s="158">
        <v>4.1588204642857134</v>
      </c>
      <c r="AA161" s="158">
        <v>-25.525093669069488</v>
      </c>
      <c r="AB161" s="158">
        <v>2.4814285714285718</v>
      </c>
      <c r="AC161" s="158">
        <v>2.4814285714285718</v>
      </c>
      <c r="AD161" s="144">
        <f t="shared" si="60"/>
        <v>1.1401907461647542E-2</v>
      </c>
      <c r="AE161" s="144">
        <f t="shared" si="61"/>
        <v>0.27452622576973307</v>
      </c>
      <c r="AF161" s="145">
        <f t="shared" si="62"/>
        <v>7.3997735218320967E-2</v>
      </c>
      <c r="AG161" s="145">
        <f t="shared" si="63"/>
        <v>1.6426150436868123</v>
      </c>
      <c r="AH161" s="146">
        <f t="shared" si="64"/>
        <v>1.9290337648154579</v>
      </c>
      <c r="AI161" s="146">
        <f t="shared" si="65"/>
        <v>42.821038677966961</v>
      </c>
      <c r="AJ161" s="147">
        <f t="shared" si="66"/>
        <v>22.198179969163707</v>
      </c>
      <c r="AK161" s="148">
        <f t="shared" si="59"/>
        <v>-6.2205614061331982</v>
      </c>
      <c r="AL161" s="148">
        <f t="shared" si="67"/>
        <v>-30.317302138849307</v>
      </c>
      <c r="AM161" s="149">
        <v>0.36599999999999999</v>
      </c>
      <c r="AN161" s="150">
        <f t="shared" si="68"/>
        <v>-6.2205614061331982</v>
      </c>
      <c r="AO161" s="151">
        <f t="shared" si="69"/>
        <v>0.36398364089836033</v>
      </c>
      <c r="AP161" s="152">
        <f t="shared" si="70"/>
        <v>-2.0163591016396643E-3</v>
      </c>
      <c r="AQ161" s="152">
        <f t="shared" si="71"/>
        <v>19.29033764815458</v>
      </c>
      <c r="AR161" s="153">
        <f t="shared" si="72"/>
        <v>-0.38896247890558761</v>
      </c>
      <c r="AS161" s="153">
        <f t="shared" si="73"/>
        <v>-20.163591016396644</v>
      </c>
      <c r="AT161" s="149">
        <v>1.077</v>
      </c>
      <c r="AU161" s="150">
        <f t="shared" si="74"/>
        <v>-30.317302138849307</v>
      </c>
      <c r="AV161" s="150">
        <f t="shared" si="75"/>
        <v>1.0778874363318443</v>
      </c>
      <c r="AW161" s="154">
        <f t="shared" si="76"/>
        <v>8.8743633184429349E-4</v>
      </c>
      <c r="AX161" s="154">
        <f t="shared" si="77"/>
        <v>428.21038677966959</v>
      </c>
      <c r="AY161" s="154">
        <f t="shared" si="78"/>
        <v>3.8000945490137612</v>
      </c>
      <c r="AZ161" s="154">
        <f t="shared" si="79"/>
        <v>8.8743633184429349</v>
      </c>
    </row>
    <row r="162" spans="1:52" ht="18" x14ac:dyDescent="0.25">
      <c r="A162" s="104">
        <v>153</v>
      </c>
      <c r="B162">
        <v>4</v>
      </c>
      <c r="C162" t="s">
        <v>459</v>
      </c>
      <c r="D162" t="s">
        <v>24</v>
      </c>
      <c r="E162" t="s">
        <v>468</v>
      </c>
      <c r="F162">
        <v>2</v>
      </c>
      <c r="G162" t="s">
        <v>80</v>
      </c>
      <c r="H162">
        <v>3.4860000000000002</v>
      </c>
      <c r="Q162" s="155">
        <v>542</v>
      </c>
      <c r="R162" s="155" t="s">
        <v>351</v>
      </c>
      <c r="S162" s="155">
        <v>7.6823854999999996</v>
      </c>
      <c r="T162" s="155">
        <v>-1.118280110280212</v>
      </c>
      <c r="U162" s="155">
        <v>5.5504059999999997</v>
      </c>
      <c r="V162" s="155">
        <v>-28.934965909333165</v>
      </c>
      <c r="W162" s="142">
        <v>3.4860000000000002</v>
      </c>
      <c r="X162" s="158">
        <v>6.1372437857142854</v>
      </c>
      <c r="Y162" s="158">
        <v>2.165951323344959</v>
      </c>
      <c r="Z162" s="158">
        <v>4.1588204642857134</v>
      </c>
      <c r="AA162" s="158">
        <v>-25.525093669069488</v>
      </c>
      <c r="AB162" s="158">
        <v>2.4814285714285718</v>
      </c>
      <c r="AC162" s="158">
        <v>2.4814285714285718</v>
      </c>
      <c r="AD162" s="144">
        <f t="shared" si="60"/>
        <v>1.1401907461647542E-2</v>
      </c>
      <c r="AE162" s="144">
        <f t="shared" si="61"/>
        <v>0.27452622576973307</v>
      </c>
      <c r="AF162" s="145">
        <f t="shared" si="62"/>
        <v>8.7593848555702888E-2</v>
      </c>
      <c r="AG162" s="145">
        <f t="shared" si="63"/>
        <v>1.523732010669681</v>
      </c>
      <c r="AH162" s="146">
        <f t="shared" si="64"/>
        <v>2.5127323165720852</v>
      </c>
      <c r="AI162" s="146">
        <f t="shared" si="65"/>
        <v>43.710040466714887</v>
      </c>
      <c r="AJ162" s="147">
        <f t="shared" si="66"/>
        <v>17.395422575829691</v>
      </c>
      <c r="AK162" s="148">
        <f t="shared" si="59"/>
        <v>-1.304231433625171</v>
      </c>
      <c r="AL162" s="148">
        <f t="shared" si="67"/>
        <v>-29.439872240263679</v>
      </c>
      <c r="AM162" s="149">
        <v>0.36599999999999999</v>
      </c>
      <c r="AN162" s="150">
        <f t="shared" si="68"/>
        <v>-1.304231433625171</v>
      </c>
      <c r="AO162" s="151">
        <f t="shared" si="69"/>
        <v>0.36577771929700953</v>
      </c>
      <c r="AP162" s="152">
        <f t="shared" si="70"/>
        <v>-2.2228070299046276E-4</v>
      </c>
      <c r="AQ162" s="152">
        <f t="shared" si="71"/>
        <v>25.127323165720849</v>
      </c>
      <c r="AR162" s="153">
        <f t="shared" si="72"/>
        <v>-5.5853190575449706E-2</v>
      </c>
      <c r="AS162" s="153">
        <f t="shared" si="73"/>
        <v>-2.2228070299046276</v>
      </c>
      <c r="AT162" s="149">
        <v>1.077</v>
      </c>
      <c r="AU162" s="150">
        <f t="shared" si="74"/>
        <v>-29.439872240263679</v>
      </c>
      <c r="AV162" s="150">
        <f t="shared" si="75"/>
        <v>1.0788522542025596</v>
      </c>
      <c r="AW162" s="154">
        <f t="shared" si="76"/>
        <v>1.8522542025596334E-3</v>
      </c>
      <c r="AX162" s="154">
        <f t="shared" si="77"/>
        <v>437.10040466714895</v>
      </c>
      <c r="AY162" s="154">
        <f t="shared" si="78"/>
        <v>8.0962106148524295</v>
      </c>
      <c r="AZ162" s="154">
        <f t="shared" si="79"/>
        <v>18.522542025596334</v>
      </c>
    </row>
    <row r="163" spans="1:52" ht="18" x14ac:dyDescent="0.25">
      <c r="A163" s="104">
        <v>154</v>
      </c>
      <c r="B163">
        <v>4</v>
      </c>
      <c r="C163" t="s">
        <v>460</v>
      </c>
      <c r="D163" t="s">
        <v>48</v>
      </c>
      <c r="E163" t="s">
        <v>468</v>
      </c>
      <c r="F163">
        <v>2</v>
      </c>
      <c r="G163" t="s">
        <v>81</v>
      </c>
      <c r="H163">
        <v>4.1040000000000001</v>
      </c>
      <c r="Q163" s="141">
        <v>543</v>
      </c>
      <c r="R163" s="141" t="s">
        <v>352</v>
      </c>
      <c r="S163" s="141">
        <v>6.7613295000000004</v>
      </c>
      <c r="T163" s="141">
        <v>1.4743720124485937</v>
      </c>
      <c r="U163" s="141">
        <v>6.4207879999999999</v>
      </c>
      <c r="V163" s="141">
        <v>-29.13018552759311</v>
      </c>
      <c r="W163" s="142">
        <v>4.1040000000000001</v>
      </c>
      <c r="X163" s="158">
        <v>6.1372437857142854</v>
      </c>
      <c r="Y163" s="158">
        <v>2.165951323344959</v>
      </c>
      <c r="Z163" s="158">
        <v>4.1588204642857134</v>
      </c>
      <c r="AA163" s="158">
        <v>-25.525093669069488</v>
      </c>
      <c r="AB163" s="158">
        <v>2.4814285714285718</v>
      </c>
      <c r="AC163" s="158">
        <v>2.4814285714285718</v>
      </c>
      <c r="AD163" s="144">
        <f t="shared" si="60"/>
        <v>1.1401907461647542E-2</v>
      </c>
      <c r="AE163" s="144">
        <f t="shared" si="61"/>
        <v>0.27452622576973307</v>
      </c>
      <c r="AF163" s="145">
        <f t="shared" si="62"/>
        <v>7.7092053276707651E-2</v>
      </c>
      <c r="AG163" s="145">
        <f t="shared" si="63"/>
        <v>1.7626746961075928</v>
      </c>
      <c r="AH163" s="146">
        <f t="shared" si="64"/>
        <v>1.8784613371517458</v>
      </c>
      <c r="AI163" s="146">
        <f t="shared" si="65"/>
        <v>42.950163160516389</v>
      </c>
      <c r="AJ163" s="147">
        <f t="shared" si="66"/>
        <v>22.864544673376365</v>
      </c>
      <c r="AK163" s="148">
        <f t="shared" si="59"/>
        <v>1.2884206891036347</v>
      </c>
      <c r="AL163" s="148">
        <f t="shared" si="67"/>
        <v>-29.635091858523623</v>
      </c>
      <c r="AM163" s="149">
        <v>0.36599999999999999</v>
      </c>
      <c r="AN163" s="150">
        <f t="shared" si="68"/>
        <v>1.2884206891036347</v>
      </c>
      <c r="AO163" s="151">
        <f t="shared" si="69"/>
        <v>0.36672380983043495</v>
      </c>
      <c r="AP163" s="152">
        <f t="shared" si="70"/>
        <v>7.2380983043496272E-4</v>
      </c>
      <c r="AQ163" s="152">
        <f t="shared" si="71"/>
        <v>18.784613371517459</v>
      </c>
      <c r="AR163" s="153">
        <f t="shared" si="72"/>
        <v>0.13596487819224387</v>
      </c>
      <c r="AS163" s="153">
        <f t="shared" si="73"/>
        <v>7.2380983043496272</v>
      </c>
      <c r="AT163" s="149">
        <v>1.077</v>
      </c>
      <c r="AU163" s="150">
        <f t="shared" si="74"/>
        <v>-29.635091858523623</v>
      </c>
      <c r="AV163" s="150">
        <f t="shared" si="75"/>
        <v>1.0786375932383181</v>
      </c>
      <c r="AW163" s="154">
        <f t="shared" si="76"/>
        <v>1.6375932383181357E-3</v>
      </c>
      <c r="AX163" s="154">
        <f t="shared" si="77"/>
        <v>429.50163160516394</v>
      </c>
      <c r="AY163" s="154">
        <f t="shared" si="78"/>
        <v>7.0334896776322342</v>
      </c>
      <c r="AZ163" s="154">
        <f t="shared" si="79"/>
        <v>16.375932383181357</v>
      </c>
    </row>
    <row r="164" spans="1:52" ht="18" x14ac:dyDescent="0.25">
      <c r="A164" s="104">
        <v>155</v>
      </c>
      <c r="B164">
        <v>4</v>
      </c>
      <c r="C164" t="s">
        <v>461</v>
      </c>
      <c r="D164" t="s">
        <v>36</v>
      </c>
      <c r="E164" t="s">
        <v>468</v>
      </c>
      <c r="F164">
        <v>2</v>
      </c>
      <c r="G164" t="s">
        <v>82</v>
      </c>
      <c r="H164">
        <v>3.8889999999999998</v>
      </c>
      <c r="Q164" s="155">
        <v>544</v>
      </c>
      <c r="R164" s="155" t="s">
        <v>353</v>
      </c>
      <c r="S164" s="155">
        <v>5.8005374999999999</v>
      </c>
      <c r="T164" s="155">
        <v>-3.2213393086368254</v>
      </c>
      <c r="U164" s="155">
        <v>6.1104304999999997</v>
      </c>
      <c r="V164" s="155">
        <v>-28.548926851717987</v>
      </c>
      <c r="W164" s="142">
        <v>3.8889999999999998</v>
      </c>
      <c r="X164" s="158">
        <v>6.1372437857142854</v>
      </c>
      <c r="Y164" s="158">
        <v>2.165951323344959</v>
      </c>
      <c r="Z164" s="158">
        <v>4.1588204642857134</v>
      </c>
      <c r="AA164" s="158">
        <v>-25.525093669069488</v>
      </c>
      <c r="AB164" s="158">
        <v>2.4814285714285718</v>
      </c>
      <c r="AC164" s="158">
        <v>2.4814285714285718</v>
      </c>
      <c r="AD164" s="144">
        <f t="shared" si="60"/>
        <v>1.1401907461647542E-2</v>
      </c>
      <c r="AE164" s="144">
        <f t="shared" si="61"/>
        <v>0.27452622576973307</v>
      </c>
      <c r="AF164" s="145">
        <f t="shared" si="62"/>
        <v>6.6137191802816381E-2</v>
      </c>
      <c r="AG164" s="145">
        <f t="shared" si="63"/>
        <v>1.6774734229932629</v>
      </c>
      <c r="AH164" s="146">
        <f t="shared" si="64"/>
        <v>1.7006220571565025</v>
      </c>
      <c r="AI164" s="146">
        <f t="shared" si="65"/>
        <v>43.133798482727251</v>
      </c>
      <c r="AJ164" s="147">
        <f t="shared" si="66"/>
        <v>25.363541711818332</v>
      </c>
      <c r="AK164" s="148">
        <f t="shared" si="59"/>
        <v>-3.4072906319817844</v>
      </c>
      <c r="AL164" s="148">
        <f t="shared" si="67"/>
        <v>-29.0538331826485</v>
      </c>
      <c r="AM164" s="149">
        <v>0.36599999999999999</v>
      </c>
      <c r="AN164" s="150">
        <f t="shared" si="68"/>
        <v>-3.4072906319817844</v>
      </c>
      <c r="AO164" s="151">
        <f t="shared" si="69"/>
        <v>0.36501027402319097</v>
      </c>
      <c r="AP164" s="152">
        <f t="shared" si="70"/>
        <v>-9.8972597680901941E-4</v>
      </c>
      <c r="AQ164" s="152">
        <f t="shared" si="71"/>
        <v>17.006220571565024</v>
      </c>
      <c r="AR164" s="153">
        <f t="shared" si="72"/>
        <v>-0.16831498267021833</v>
      </c>
      <c r="AS164" s="153">
        <f t="shared" si="73"/>
        <v>-9.8972597680901941</v>
      </c>
      <c r="AT164" s="149">
        <v>1.077</v>
      </c>
      <c r="AU164" s="150">
        <f t="shared" si="74"/>
        <v>-29.0538331826485</v>
      </c>
      <c r="AV164" s="150">
        <f t="shared" si="75"/>
        <v>1.0792767350086643</v>
      </c>
      <c r="AW164" s="154">
        <f t="shared" si="76"/>
        <v>2.2767350086643212E-3</v>
      </c>
      <c r="AX164" s="154">
        <f t="shared" si="77"/>
        <v>431.33798482727246</v>
      </c>
      <c r="AY164" s="154">
        <f t="shared" si="78"/>
        <v>9.8204229062297106</v>
      </c>
      <c r="AZ164" s="154">
        <f t="shared" si="79"/>
        <v>22.767350086643216</v>
      </c>
    </row>
    <row r="165" spans="1:52" ht="18" x14ac:dyDescent="0.25">
      <c r="I165" t="s">
        <v>152</v>
      </c>
      <c r="Q165" s="141">
        <v>545</v>
      </c>
      <c r="R165" s="141" t="s">
        <v>354</v>
      </c>
      <c r="S165" s="141">
        <v>6.6809684999999996</v>
      </c>
      <c r="T165" s="141">
        <v>-1.9303713162257736</v>
      </c>
      <c r="U165" s="141">
        <v>4.4889409999999996</v>
      </c>
      <c r="V165" s="141">
        <v>-31.727614385707607</v>
      </c>
      <c r="W165" s="141">
        <v>2.7330000000000001</v>
      </c>
      <c r="X165" s="158">
        <v>6.1372437857142854</v>
      </c>
      <c r="Y165" s="158">
        <v>2.165951323344959</v>
      </c>
      <c r="Z165" s="158">
        <v>4.1588204642857134</v>
      </c>
      <c r="AA165" s="158">
        <v>-25.525093669069488</v>
      </c>
      <c r="AB165" s="158">
        <v>2.4814285714285718</v>
      </c>
      <c r="AC165" s="158">
        <v>2.4814285714285718</v>
      </c>
      <c r="AD165" s="144">
        <f t="shared" si="60"/>
        <v>1.1401907461647542E-2</v>
      </c>
      <c r="AE165" s="144">
        <f t="shared" si="61"/>
        <v>0.27452622576973307</v>
      </c>
      <c r="AF165" s="145">
        <f t="shared" si="62"/>
        <v>7.6175784591182183E-2</v>
      </c>
      <c r="AG165" s="145">
        <f t="shared" si="63"/>
        <v>1.2323320304330112</v>
      </c>
      <c r="AH165" s="146">
        <f t="shared" si="64"/>
        <v>2.7872588580747228</v>
      </c>
      <c r="AI165" s="146">
        <f t="shared" si="65"/>
        <v>45.090817066703664</v>
      </c>
      <c r="AJ165" s="147">
        <f t="shared" si="66"/>
        <v>16.177477357754203</v>
      </c>
      <c r="AK165" s="148">
        <f t="shared" si="59"/>
        <v>-2.1163226395707326</v>
      </c>
      <c r="AL165" s="148">
        <f t="shared" si="67"/>
        <v>-32.23252071663812</v>
      </c>
      <c r="AM165" s="149">
        <v>0.36599999999999999</v>
      </c>
      <c r="AN165" s="150">
        <f t="shared" si="68"/>
        <v>-2.1163226395707326</v>
      </c>
      <c r="AO165" s="151">
        <f t="shared" si="69"/>
        <v>0.36548137356809068</v>
      </c>
      <c r="AP165" s="152">
        <f t="shared" si="70"/>
        <v>-5.1862643190930813E-4</v>
      </c>
      <c r="AQ165" s="152">
        <f t="shared" si="71"/>
        <v>27.87258858074723</v>
      </c>
      <c r="AR165" s="153">
        <f t="shared" si="72"/>
        <v>-0.1445546116370906</v>
      </c>
      <c r="AS165" s="153">
        <f t="shared" si="73"/>
        <v>-5.1862643190930813</v>
      </c>
      <c r="AT165" s="149">
        <v>1.077</v>
      </c>
      <c r="AU165" s="150">
        <f t="shared" si="74"/>
        <v>-32.23252071663812</v>
      </c>
      <c r="AV165" s="150">
        <f t="shared" si="75"/>
        <v>1.0757814054383201</v>
      </c>
      <c r="AW165" s="154">
        <f t="shared" si="76"/>
        <v>-1.218594561679831E-3</v>
      </c>
      <c r="AX165" s="154">
        <f t="shared" si="77"/>
        <v>450.90817066703664</v>
      </c>
      <c r="AY165" s="154">
        <f t="shared" si="78"/>
        <v>-5.4947424459185195</v>
      </c>
      <c r="AZ165" s="154">
        <f t="shared" si="79"/>
        <v>-12.18594561679831</v>
      </c>
    </row>
    <row r="166" spans="1:52" ht="18" x14ac:dyDescent="0.25">
      <c r="A166" s="104">
        <v>156</v>
      </c>
      <c r="B166">
        <v>4</v>
      </c>
      <c r="C166" t="s">
        <v>462</v>
      </c>
      <c r="D166" t="s">
        <v>52</v>
      </c>
      <c r="E166" t="s">
        <v>468</v>
      </c>
      <c r="F166">
        <v>2</v>
      </c>
      <c r="G166" t="s">
        <v>120</v>
      </c>
      <c r="H166">
        <v>3.9969999999999999</v>
      </c>
      <c r="Q166" s="155">
        <v>546</v>
      </c>
      <c r="R166" s="155" t="s">
        <v>355</v>
      </c>
      <c r="S166" s="155">
        <v>5.5462755000000001</v>
      </c>
      <c r="T166" s="155">
        <v>10.603658368531493</v>
      </c>
      <c r="U166" s="155">
        <v>6.3366495</v>
      </c>
      <c r="V166" s="155">
        <v>-34.646076354612823</v>
      </c>
      <c r="W166" s="142">
        <v>3.9969999999999999</v>
      </c>
      <c r="X166" s="158">
        <v>6.1372437857142854</v>
      </c>
      <c r="Y166" s="158">
        <v>2.165951323344959</v>
      </c>
      <c r="Z166" s="158">
        <v>4.1588204642857134</v>
      </c>
      <c r="AA166" s="158">
        <v>-25.525093669069488</v>
      </c>
      <c r="AB166" s="158">
        <v>2.4814285714285718</v>
      </c>
      <c r="AC166" s="158">
        <v>2.4814285714285718</v>
      </c>
      <c r="AD166" s="144">
        <f t="shared" si="60"/>
        <v>1.1401907461647542E-2</v>
      </c>
      <c r="AE166" s="144">
        <f t="shared" si="61"/>
        <v>0.27452622576973307</v>
      </c>
      <c r="AF166" s="145">
        <f t="shared" si="62"/>
        <v>6.3238120007802961E-2</v>
      </c>
      <c r="AG166" s="145">
        <f t="shared" si="63"/>
        <v>1.7395764712606663</v>
      </c>
      <c r="AH166" s="146">
        <f t="shared" si="64"/>
        <v>1.5821396048987482</v>
      </c>
      <c r="AI166" s="146">
        <f t="shared" si="65"/>
        <v>43.522053321507791</v>
      </c>
      <c r="AJ166" s="147">
        <f t="shared" si="66"/>
        <v>27.508352099113946</v>
      </c>
      <c r="AK166" s="148">
        <f t="shared" si="59"/>
        <v>10.417707045186534</v>
      </c>
      <c r="AL166" s="148">
        <f t="shared" si="67"/>
        <v>-35.15098268554334</v>
      </c>
      <c r="AM166" s="149">
        <v>0.36599999999999999</v>
      </c>
      <c r="AN166" s="150">
        <f t="shared" si="68"/>
        <v>10.417707045186534</v>
      </c>
      <c r="AO166" s="151">
        <f t="shared" si="69"/>
        <v>0.37005505528650184</v>
      </c>
      <c r="AP166" s="152">
        <f t="shared" si="70"/>
        <v>4.0550552865018519E-3</v>
      </c>
      <c r="AQ166" s="152">
        <f t="shared" si="71"/>
        <v>15.821396048987483</v>
      </c>
      <c r="AR166" s="153">
        <f t="shared" si="72"/>
        <v>0.64156635688286201</v>
      </c>
      <c r="AS166" s="153">
        <f t="shared" si="73"/>
        <v>40.550552865018517</v>
      </c>
      <c r="AT166" s="149">
        <v>1.077</v>
      </c>
      <c r="AU166" s="150">
        <f t="shared" si="74"/>
        <v>-35.15098268554334</v>
      </c>
      <c r="AV166" s="150">
        <f t="shared" si="75"/>
        <v>1.0725720060489563</v>
      </c>
      <c r="AW166" s="154">
        <f t="shared" si="76"/>
        <v>-4.4279939510436517E-3</v>
      </c>
      <c r="AX166" s="154">
        <f t="shared" si="77"/>
        <v>435.22053321507792</v>
      </c>
      <c r="AY166" s="154">
        <f t="shared" si="78"/>
        <v>-19.271538884463578</v>
      </c>
      <c r="AZ166" s="154">
        <f t="shared" si="79"/>
        <v>-44.27993951043652</v>
      </c>
    </row>
    <row r="167" spans="1:52" ht="18" x14ac:dyDescent="0.25">
      <c r="A167" s="104">
        <v>157</v>
      </c>
      <c r="B167">
        <v>4</v>
      </c>
      <c r="C167" t="s">
        <v>464</v>
      </c>
      <c r="D167" t="s">
        <v>40</v>
      </c>
      <c r="E167" t="s">
        <v>468</v>
      </c>
      <c r="F167">
        <v>2</v>
      </c>
      <c r="G167" t="s">
        <v>121</v>
      </c>
      <c r="H167">
        <v>3.7290000000000001</v>
      </c>
      <c r="Q167" s="141">
        <v>547</v>
      </c>
      <c r="R167" s="141" t="s">
        <v>356</v>
      </c>
      <c r="S167" s="141">
        <v>6.7409245000000002</v>
      </c>
      <c r="T167" s="141">
        <v>-5.2086105141875141</v>
      </c>
      <c r="U167" s="141">
        <v>5.8902074999999998</v>
      </c>
      <c r="V167" s="141">
        <v>-33.611664552952185</v>
      </c>
      <c r="W167" s="142">
        <v>3.7290000000000001</v>
      </c>
      <c r="X167" s="158">
        <v>6.1372437857142854</v>
      </c>
      <c r="Y167" s="158">
        <v>2.165951323344959</v>
      </c>
      <c r="Z167" s="158">
        <v>4.1588204642857134</v>
      </c>
      <c r="AA167" s="158">
        <v>-25.525093669069488</v>
      </c>
      <c r="AB167" s="158">
        <v>2.4814285714285718</v>
      </c>
      <c r="AC167" s="158">
        <v>2.4814285714285718</v>
      </c>
      <c r="AD167" s="144">
        <f t="shared" si="60"/>
        <v>1.1401907461647542E-2</v>
      </c>
      <c r="AE167" s="144">
        <f t="shared" si="61"/>
        <v>0.27452622576973307</v>
      </c>
      <c r="AF167" s="145">
        <f t="shared" si="62"/>
        <v>7.685939735495273E-2</v>
      </c>
      <c r="AG167" s="145">
        <f t="shared" si="63"/>
        <v>1.617016433975575</v>
      </c>
      <c r="AH167" s="146">
        <f t="shared" si="64"/>
        <v>2.0611262363891854</v>
      </c>
      <c r="AI167" s="146">
        <f t="shared" si="65"/>
        <v>43.363272565716684</v>
      </c>
      <c r="AJ167" s="147">
        <f t="shared" si="66"/>
        <v>21.038630143141194</v>
      </c>
      <c r="AK167" s="148">
        <f t="shared" si="59"/>
        <v>-5.3945618375324731</v>
      </c>
      <c r="AL167" s="148">
        <f t="shared" si="67"/>
        <v>-34.116570883882702</v>
      </c>
      <c r="AM167" s="149">
        <v>0.36599999999999999</v>
      </c>
      <c r="AN167" s="150">
        <f t="shared" si="68"/>
        <v>-5.3945618375324731</v>
      </c>
      <c r="AO167" s="151">
        <f t="shared" si="69"/>
        <v>0.36428507106933872</v>
      </c>
      <c r="AP167" s="152">
        <f t="shared" si="70"/>
        <v>-1.7149289306612747E-3</v>
      </c>
      <c r="AQ167" s="152">
        <f t="shared" si="71"/>
        <v>20.611262363891854</v>
      </c>
      <c r="AR167" s="153">
        <f t="shared" si="72"/>
        <v>-0.35346850125288032</v>
      </c>
      <c r="AS167" s="153">
        <f t="shared" si="73"/>
        <v>-17.149289306612747</v>
      </c>
      <c r="AT167" s="149">
        <v>1.077</v>
      </c>
      <c r="AU167" s="150">
        <f t="shared" si="74"/>
        <v>-34.116570883882702</v>
      </c>
      <c r="AV167" s="150">
        <f t="shared" si="75"/>
        <v>1.0737095607506806</v>
      </c>
      <c r="AW167" s="154">
        <f t="shared" si="76"/>
        <v>-3.2904392493193768E-3</v>
      </c>
      <c r="AX167" s="154">
        <f t="shared" si="77"/>
        <v>433.63272565716682</v>
      </c>
      <c r="AY167" s="154">
        <f t="shared" si="78"/>
        <v>-14.268421402916834</v>
      </c>
      <c r="AZ167" s="154">
        <f t="shared" si="79"/>
        <v>-32.904392493193768</v>
      </c>
    </row>
    <row r="168" spans="1:52" ht="18" x14ac:dyDescent="0.25">
      <c r="A168" s="104">
        <v>158</v>
      </c>
      <c r="B168">
        <v>4</v>
      </c>
      <c r="C168" t="s">
        <v>458</v>
      </c>
      <c r="D168" t="s">
        <v>44</v>
      </c>
      <c r="E168" t="s">
        <v>470</v>
      </c>
      <c r="F168">
        <v>2</v>
      </c>
      <c r="G168" t="s">
        <v>122</v>
      </c>
      <c r="H168">
        <v>3.7090000000000001</v>
      </c>
      <c r="Q168" s="155">
        <v>548</v>
      </c>
      <c r="R168" s="155" t="s">
        <v>357</v>
      </c>
      <c r="S168" s="155">
        <v>3.2489967499999999</v>
      </c>
      <c r="T168" s="155">
        <v>1.6544645279781278</v>
      </c>
      <c r="U168" s="155">
        <v>5.8033535000000001</v>
      </c>
      <c r="V168" s="155">
        <v>-36.333271045563514</v>
      </c>
      <c r="W168" s="142">
        <v>3.7090000000000001</v>
      </c>
      <c r="X168" s="158">
        <v>6.1372437857142854</v>
      </c>
      <c r="Y168" s="158">
        <v>2.165951323344959</v>
      </c>
      <c r="Z168" s="158">
        <v>4.1588204642857134</v>
      </c>
      <c r="AA168" s="158">
        <v>-25.525093669069488</v>
      </c>
      <c r="AB168" s="158">
        <v>2.4814285714285718</v>
      </c>
      <c r="AC168" s="158">
        <v>2.4814285714285718</v>
      </c>
      <c r="AD168" s="144">
        <f t="shared" si="60"/>
        <v>1.1401907461647542E-2</v>
      </c>
      <c r="AE168" s="144">
        <f t="shared" si="61"/>
        <v>0.27452622576973307</v>
      </c>
      <c r="AF168" s="145">
        <f t="shared" si="62"/>
        <v>3.7044760286693616E-2</v>
      </c>
      <c r="AG168" s="145">
        <f t="shared" si="63"/>
        <v>1.5931727331625707</v>
      </c>
      <c r="AH168" s="146">
        <f t="shared" si="64"/>
        <v>0.9987802719518365</v>
      </c>
      <c r="AI168" s="146">
        <f t="shared" si="65"/>
        <v>42.954239233285804</v>
      </c>
      <c r="AJ168" s="147">
        <f t="shared" si="66"/>
        <v>43.006695706297613</v>
      </c>
      <c r="AK168" s="148">
        <f t="shared" si="59"/>
        <v>1.4685132046331688</v>
      </c>
      <c r="AL168" s="148">
        <f t="shared" si="67"/>
        <v>-36.838177376494031</v>
      </c>
      <c r="AM168" s="149">
        <v>0.36599999999999999</v>
      </c>
      <c r="AN168" s="150">
        <f t="shared" si="68"/>
        <v>1.4685132046331688</v>
      </c>
      <c r="AO168" s="151">
        <f t="shared" si="69"/>
        <v>0.36678952712906659</v>
      </c>
      <c r="AP168" s="152">
        <f t="shared" si="70"/>
        <v>7.8952712906660283E-4</v>
      </c>
      <c r="AQ168" s="152">
        <f t="shared" si="71"/>
        <v>9.9878027195183652</v>
      </c>
      <c r="AR168" s="153">
        <f t="shared" si="72"/>
        <v>7.8856412068249435E-2</v>
      </c>
      <c r="AS168" s="153">
        <f t="shared" si="73"/>
        <v>7.8952712906660283</v>
      </c>
      <c r="AT168" s="149">
        <v>1.077</v>
      </c>
      <c r="AU168" s="150">
        <f t="shared" si="74"/>
        <v>-36.838177376494031</v>
      </c>
      <c r="AV168" s="150">
        <f t="shared" si="75"/>
        <v>1.0707165222672606</v>
      </c>
      <c r="AW168" s="154">
        <f t="shared" si="76"/>
        <v>-6.2834777327394065E-3</v>
      </c>
      <c r="AX168" s="154">
        <f t="shared" si="77"/>
        <v>429.54239233285807</v>
      </c>
      <c r="AY168" s="154">
        <f t="shared" si="78"/>
        <v>-26.990200574911277</v>
      </c>
      <c r="AZ168" s="154">
        <f t="shared" si="79"/>
        <v>-62.834777327394065</v>
      </c>
    </row>
    <row r="169" spans="1:52" ht="18" x14ac:dyDescent="0.25">
      <c r="A169" s="104">
        <v>159</v>
      </c>
      <c r="B169">
        <v>4</v>
      </c>
      <c r="C169" t="s">
        <v>459</v>
      </c>
      <c r="D169" t="s">
        <v>24</v>
      </c>
      <c r="E169" t="s">
        <v>470</v>
      </c>
      <c r="F169">
        <v>2</v>
      </c>
      <c r="G169" t="s">
        <v>83</v>
      </c>
      <c r="H169">
        <v>3.82</v>
      </c>
      <c r="Q169" s="141">
        <v>549</v>
      </c>
      <c r="R169" s="141" t="s">
        <v>358</v>
      </c>
      <c r="S169" s="141">
        <v>7.7447765000000004</v>
      </c>
      <c r="T169" s="141">
        <v>0.4114110642596952</v>
      </c>
      <c r="U169" s="141">
        <v>5.7969805000000001</v>
      </c>
      <c r="V169" s="141">
        <v>-37.690145639188955</v>
      </c>
      <c r="W169" s="142">
        <v>3.82</v>
      </c>
      <c r="X169" s="158">
        <v>6.1372437857142854</v>
      </c>
      <c r="Y169" s="158">
        <v>2.165951323344959</v>
      </c>
      <c r="Z169" s="158">
        <v>4.1588204642857134</v>
      </c>
      <c r="AA169" s="158">
        <v>-25.525093669069488</v>
      </c>
      <c r="AB169" s="158">
        <v>2.4814285714285718</v>
      </c>
      <c r="AC169" s="158">
        <v>2.4814285714285718</v>
      </c>
      <c r="AD169" s="144">
        <f t="shared" si="60"/>
        <v>1.1401907461647542E-2</v>
      </c>
      <c r="AE169" s="144">
        <f t="shared" si="61"/>
        <v>0.27452622576973307</v>
      </c>
      <c r="AF169" s="145">
        <f t="shared" si="62"/>
        <v>8.8305224964142545E-2</v>
      </c>
      <c r="AG169" s="145">
        <f t="shared" si="63"/>
        <v>1.5914231775257401</v>
      </c>
      <c r="AH169" s="146">
        <f t="shared" si="64"/>
        <v>2.311655103773365</v>
      </c>
      <c r="AI169" s="146">
        <f t="shared" si="65"/>
        <v>41.66029260538587</v>
      </c>
      <c r="AJ169" s="147">
        <f t="shared" si="66"/>
        <v>18.021846138458486</v>
      </c>
      <c r="AK169" s="148">
        <f t="shared" si="59"/>
        <v>0.2254597409147362</v>
      </c>
      <c r="AL169" s="148">
        <f t="shared" si="67"/>
        <v>-38.195051970119465</v>
      </c>
      <c r="AM169" s="149">
        <v>0.36599999999999999</v>
      </c>
      <c r="AN169" s="150">
        <f t="shared" si="68"/>
        <v>0.2254597409147362</v>
      </c>
      <c r="AO169" s="151">
        <f t="shared" si="69"/>
        <v>0.36633592452664665</v>
      </c>
      <c r="AP169" s="152">
        <f t="shared" si="70"/>
        <v>3.3592452664665817E-4</v>
      </c>
      <c r="AQ169" s="152">
        <f t="shared" si="71"/>
        <v>23.11655103773365</v>
      </c>
      <c r="AR169" s="153">
        <f t="shared" si="72"/>
        <v>7.7654164650539925E-2</v>
      </c>
      <c r="AS169" s="153">
        <f t="shared" si="73"/>
        <v>3.3592452664665817</v>
      </c>
      <c r="AT169" s="149">
        <v>1.077</v>
      </c>
      <c r="AU169" s="150">
        <f t="shared" si="74"/>
        <v>-38.195051970119465</v>
      </c>
      <c r="AV169" s="150">
        <f t="shared" si="75"/>
        <v>1.0692242558355818</v>
      </c>
      <c r="AW169" s="154">
        <f t="shared" si="76"/>
        <v>-7.7757441644181746E-3</v>
      </c>
      <c r="AX169" s="154">
        <f t="shared" si="77"/>
        <v>416.60292605385865</v>
      </c>
      <c r="AY169" s="154">
        <f t="shared" si="78"/>
        <v>-32.393977711428285</v>
      </c>
      <c r="AZ169" s="154">
        <f t="shared" si="79"/>
        <v>-77.757441644181739</v>
      </c>
    </row>
    <row r="170" spans="1:52" ht="18" x14ac:dyDescent="0.25">
      <c r="A170" s="104">
        <v>160</v>
      </c>
      <c r="B170">
        <v>4</v>
      </c>
      <c r="C170" t="s">
        <v>460</v>
      </c>
      <c r="D170" t="s">
        <v>48</v>
      </c>
      <c r="E170" t="s">
        <v>470</v>
      </c>
      <c r="F170">
        <v>2</v>
      </c>
      <c r="G170" t="s">
        <v>84</v>
      </c>
      <c r="H170">
        <v>3.4630000000000001</v>
      </c>
      <c r="Q170" s="155">
        <v>550</v>
      </c>
      <c r="R170" s="155" t="s">
        <v>359</v>
      </c>
      <c r="S170" s="155">
        <v>4.4896254999999998</v>
      </c>
      <c r="T170" s="155">
        <v>-3.4757460563790756</v>
      </c>
      <c r="U170" s="155">
        <v>5.5309689999999998</v>
      </c>
      <c r="V170" s="155">
        <v>-36.94176592943731</v>
      </c>
      <c r="W170" s="142">
        <v>3.4630000000000001</v>
      </c>
      <c r="X170" s="158">
        <v>6.1372437857142854</v>
      </c>
      <c r="Y170" s="158">
        <v>2.165951323344959</v>
      </c>
      <c r="Z170" s="158">
        <v>4.1588204642857134</v>
      </c>
      <c r="AA170" s="158">
        <v>-25.525093669069488</v>
      </c>
      <c r="AB170" s="158">
        <v>2.4814285714285718</v>
      </c>
      <c r="AC170" s="158">
        <v>2.4814285714285718</v>
      </c>
      <c r="AD170" s="144">
        <f t="shared" si="60"/>
        <v>1.1401907461647542E-2</v>
      </c>
      <c r="AE170" s="144">
        <f t="shared" si="61"/>
        <v>0.27452622576973307</v>
      </c>
      <c r="AF170" s="145">
        <f t="shared" si="62"/>
        <v>5.1190294488453074E-2</v>
      </c>
      <c r="AG170" s="145">
        <f t="shared" si="63"/>
        <v>1.5183960444193947</v>
      </c>
      <c r="AH170" s="146">
        <f t="shared" si="64"/>
        <v>1.4782065979917143</v>
      </c>
      <c r="AI170" s="146">
        <f t="shared" si="65"/>
        <v>43.846261750487855</v>
      </c>
      <c r="AJ170" s="147">
        <f t="shared" si="66"/>
        <v>29.661795455423629</v>
      </c>
      <c r="AK170" s="148">
        <f t="shared" si="59"/>
        <v>-3.6616973797240346</v>
      </c>
      <c r="AL170" s="148">
        <f t="shared" si="67"/>
        <v>-37.446672260367819</v>
      </c>
      <c r="AM170" s="149">
        <v>0.36599999999999999</v>
      </c>
      <c r="AN170" s="150">
        <f t="shared" si="68"/>
        <v>-3.6616973797240346</v>
      </c>
      <c r="AO170" s="151">
        <f>100*0.003676*(AN170/1000+1)/(1+0.003676*(AN170/1000+1))</f>
        <v>0.36491743548486194</v>
      </c>
      <c r="AP170" s="152">
        <f t="shared" si="70"/>
        <v>-1.0825645151380514E-3</v>
      </c>
      <c r="AQ170" s="152">
        <f t="shared" si="71"/>
        <v>14.782065979917142</v>
      </c>
      <c r="AR170" s="153">
        <f t="shared" si="72"/>
        <v>-0.16002540090287684</v>
      </c>
      <c r="AS170" s="153">
        <f t="shared" si="73"/>
        <v>-10.825645151380513</v>
      </c>
      <c r="AT170" s="149">
        <v>1.077</v>
      </c>
      <c r="AU170" s="150">
        <f t="shared" si="74"/>
        <v>-37.446672260367819</v>
      </c>
      <c r="AV170" s="150">
        <f t="shared" si="75"/>
        <v>1.0700473160348958</v>
      </c>
      <c r="AW170" s="154">
        <f t="shared" si="76"/>
        <v>-6.9526839651041783E-3</v>
      </c>
      <c r="AX170" s="154">
        <f t="shared" si="77"/>
        <v>438.46261750487855</v>
      </c>
      <c r="AY170" s="154">
        <f t="shared" si="78"/>
        <v>-30.484920100237758</v>
      </c>
      <c r="AZ170" s="154">
        <f t="shared" si="79"/>
        <v>-69.526839651041783</v>
      </c>
    </row>
    <row r="171" spans="1:52" ht="18" x14ac:dyDescent="0.25">
      <c r="A171" s="104">
        <v>161</v>
      </c>
      <c r="B171">
        <v>4</v>
      </c>
      <c r="C171" t="s">
        <v>461</v>
      </c>
      <c r="D171" t="s">
        <v>36</v>
      </c>
      <c r="E171" t="s">
        <v>470</v>
      </c>
      <c r="F171">
        <v>2</v>
      </c>
      <c r="G171" t="s">
        <v>85</v>
      </c>
      <c r="H171">
        <v>3.109</v>
      </c>
      <c r="Q171" s="141">
        <v>551</v>
      </c>
      <c r="R171" s="141" t="s">
        <v>360</v>
      </c>
      <c r="S171" s="141">
        <v>2.9857127499999998</v>
      </c>
      <c r="T171" s="141">
        <v>13.800782153060531</v>
      </c>
      <c r="U171" s="141">
        <v>4.9332384999999999</v>
      </c>
      <c r="V171" s="141">
        <v>-37.661005841484887</v>
      </c>
      <c r="W171" s="142">
        <v>3.109</v>
      </c>
      <c r="X171" s="158">
        <v>6.1372437857142854</v>
      </c>
      <c r="Y171" s="158">
        <v>2.165951323344959</v>
      </c>
      <c r="Z171" s="158">
        <v>4.1588204642857134</v>
      </c>
      <c r="AA171" s="158">
        <v>-25.525093669069488</v>
      </c>
      <c r="AB171" s="158">
        <v>2.4814285714285718</v>
      </c>
      <c r="AC171" s="158">
        <v>2.4814285714285718</v>
      </c>
      <c r="AD171" s="144">
        <f t="shared" si="60"/>
        <v>1.1401907461647542E-2</v>
      </c>
      <c r="AE171" s="144">
        <f t="shared" si="61"/>
        <v>0.27452622576973307</v>
      </c>
      <c r="AF171" s="145">
        <f t="shared" si="62"/>
        <v>3.4042820482561201E-2</v>
      </c>
      <c r="AG171" s="145">
        <f t="shared" si="63"/>
        <v>1.3543033462269394</v>
      </c>
      <c r="AH171" s="146">
        <f t="shared" si="64"/>
        <v>1.0949765353027083</v>
      </c>
      <c r="AI171" s="146">
        <f t="shared" si="65"/>
        <v>43.56073805811964</v>
      </c>
      <c r="AJ171" s="147">
        <f t="shared" si="66"/>
        <v>39.782348437336317</v>
      </c>
      <c r="AK171" s="148">
        <f t="shared" si="59"/>
        <v>13.614830829715572</v>
      </c>
      <c r="AL171" s="148">
        <f t="shared" si="67"/>
        <v>-38.165912172415403</v>
      </c>
      <c r="AM171" s="149">
        <v>0.36599999999999999</v>
      </c>
      <c r="AN171" s="150">
        <f t="shared" si="68"/>
        <v>13.614830829715572</v>
      </c>
      <c r="AO171" s="151">
        <f t="shared" si="69"/>
        <v>0.3712216221862471</v>
      </c>
      <c r="AP171" s="152">
        <f t="shared" si="70"/>
        <v>5.2216221862471102E-3</v>
      </c>
      <c r="AQ171" s="152">
        <f t="shared" si="71"/>
        <v>10.949765353027084</v>
      </c>
      <c r="AR171" s="153">
        <f t="shared" si="72"/>
        <v>0.57175537701566137</v>
      </c>
      <c r="AS171" s="153">
        <f t="shared" si="73"/>
        <v>52.216221862471102</v>
      </c>
      <c r="AT171" s="149">
        <v>1.077</v>
      </c>
      <c r="AU171" s="150">
        <f t="shared" si="74"/>
        <v>-38.165912172415403</v>
      </c>
      <c r="AV171" s="150">
        <f t="shared" si="75"/>
        <v>1.0692563037374165</v>
      </c>
      <c r="AW171" s="154">
        <f t="shared" si="76"/>
        <v>-7.7436962625834216E-3</v>
      </c>
      <c r="AX171" s="154">
        <f t="shared" si="77"/>
        <v>435.60738058119642</v>
      </c>
      <c r="AY171" s="154">
        <f t="shared" si="78"/>
        <v>-33.732112449603648</v>
      </c>
      <c r="AZ171" s="154">
        <f t="shared" si="79"/>
        <v>-77.436962625834212</v>
      </c>
    </row>
    <row r="172" spans="1:52" ht="18" x14ac:dyDescent="0.25">
      <c r="I172" t="s">
        <v>152</v>
      </c>
      <c r="Q172" s="155">
        <v>552</v>
      </c>
      <c r="R172" s="155" t="s">
        <v>361</v>
      </c>
      <c r="S172" s="155">
        <v>6.8797505000000001</v>
      </c>
      <c r="T172" s="155">
        <v>1.9088428826788766</v>
      </c>
      <c r="U172" s="155">
        <v>4.6356175000000004</v>
      </c>
      <c r="V172" s="155">
        <v>-34.890712382799478</v>
      </c>
      <c r="W172" s="155">
        <v>2.8079999999999998</v>
      </c>
      <c r="X172" s="158">
        <v>6.1372437857142854</v>
      </c>
      <c r="Y172" s="158">
        <v>2.165951323344959</v>
      </c>
      <c r="Z172" s="158">
        <v>4.1588204642857134</v>
      </c>
      <c r="AA172" s="158">
        <v>-25.525093669069488</v>
      </c>
      <c r="AB172" s="158">
        <v>2.4814285714285718</v>
      </c>
      <c r="AC172" s="158">
        <v>2.4814285714285718</v>
      </c>
      <c r="AD172" s="144">
        <f t="shared" si="60"/>
        <v>1.1401907461647542E-2</v>
      </c>
      <c r="AE172" s="144">
        <f t="shared" si="61"/>
        <v>0.27452622576973307</v>
      </c>
      <c r="AF172" s="145">
        <f t="shared" si="62"/>
        <v>7.8442278560223413E-2</v>
      </c>
      <c r="AG172" s="145">
        <f t="shared" si="63"/>
        <v>1.2725985763871257</v>
      </c>
      <c r="AH172" s="146">
        <f t="shared" si="64"/>
        <v>2.7935284387543953</v>
      </c>
      <c r="AI172" s="146">
        <f t="shared" si="65"/>
        <v>45.320462122048639</v>
      </c>
      <c r="AJ172" s="147">
        <f t="shared" si="66"/>
        <v>16.223375961855808</v>
      </c>
      <c r="AK172" s="148">
        <f t="shared" si="59"/>
        <v>1.7228915593339176</v>
      </c>
      <c r="AL172" s="148">
        <f t="shared" si="67"/>
        <v>-35.395618713729988</v>
      </c>
      <c r="AM172" s="149">
        <v>0.36599999999999999</v>
      </c>
      <c r="AN172" s="150">
        <f t="shared" si="68"/>
        <v>1.7228915593339176</v>
      </c>
      <c r="AO172" s="151">
        <f t="shared" si="69"/>
        <v>0.36688235181781631</v>
      </c>
      <c r="AP172" s="152">
        <f t="shared" si="70"/>
        <v>8.8235181781631811E-4</v>
      </c>
      <c r="AQ172" s="152">
        <f t="shared" si="71"/>
        <v>27.935284387543952</v>
      </c>
      <c r="AR172" s="153">
        <f t="shared" si="72"/>
        <v>0.24648748960565217</v>
      </c>
      <c r="AS172" s="153">
        <f t="shared" si="73"/>
        <v>8.8235181781631802</v>
      </c>
      <c r="AT172" s="149">
        <v>1.077</v>
      </c>
      <c r="AU172" s="150">
        <f t="shared" si="74"/>
        <v>-35.395618713729988</v>
      </c>
      <c r="AV172" s="150">
        <f t="shared" si="75"/>
        <v>1.0723029731353122</v>
      </c>
      <c r="AW172" s="154">
        <f t="shared" si="76"/>
        <v>-4.6970268646877589E-3</v>
      </c>
      <c r="AX172" s="154">
        <f t="shared" si="77"/>
        <v>453.20462122048639</v>
      </c>
      <c r="AY172" s="154">
        <f t="shared" si="78"/>
        <v>-21.287142810732647</v>
      </c>
      <c r="AZ172" s="154">
        <f t="shared" si="79"/>
        <v>-46.970268646877585</v>
      </c>
    </row>
    <row r="173" spans="1:52" ht="18" x14ac:dyDescent="0.25">
      <c r="A173" s="104">
        <v>162</v>
      </c>
      <c r="B173">
        <v>4</v>
      </c>
      <c r="C173" t="s">
        <v>462</v>
      </c>
      <c r="D173" t="s">
        <v>52</v>
      </c>
      <c r="E173" t="s">
        <v>470</v>
      </c>
      <c r="F173">
        <v>2</v>
      </c>
      <c r="G173" t="s">
        <v>86</v>
      </c>
      <c r="H173">
        <v>3.407</v>
      </c>
      <c r="Q173" s="141">
        <v>553</v>
      </c>
      <c r="R173" s="141" t="s">
        <v>362</v>
      </c>
      <c r="S173" s="141">
        <v>3.6865732499999999</v>
      </c>
      <c r="T173" s="141">
        <v>-3.1285631936648906</v>
      </c>
      <c r="U173" s="141">
        <v>5.5581699999999996</v>
      </c>
      <c r="V173" s="141">
        <v>-39.04089863228964</v>
      </c>
      <c r="W173" s="142">
        <v>3.407</v>
      </c>
      <c r="X173" s="158">
        <v>6.1372437857142854</v>
      </c>
      <c r="Y173" s="158">
        <v>2.165951323344959</v>
      </c>
      <c r="Z173" s="158">
        <v>4.1588204642857134</v>
      </c>
      <c r="AA173" s="158">
        <v>-25.525093669069488</v>
      </c>
      <c r="AB173" s="158">
        <v>2.4814285714285718</v>
      </c>
      <c r="AC173" s="158">
        <v>2.4814285714285718</v>
      </c>
      <c r="AD173" s="144">
        <f t="shared" si="60"/>
        <v>1.1401907461647542E-2</v>
      </c>
      <c r="AE173" s="144">
        <f t="shared" si="61"/>
        <v>0.27452622576973307</v>
      </c>
      <c r="AF173" s="145">
        <f t="shared" si="62"/>
        <v>4.203396704708523E-2</v>
      </c>
      <c r="AG173" s="145">
        <f t="shared" si="63"/>
        <v>1.5258634322865572</v>
      </c>
      <c r="AH173" s="146">
        <f t="shared" si="64"/>
        <v>1.2337530685965727</v>
      </c>
      <c r="AI173" s="146">
        <f t="shared" si="65"/>
        <v>44.786129506503002</v>
      </c>
      <c r="AJ173" s="147">
        <f t="shared" si="66"/>
        <v>36.300723902108246</v>
      </c>
      <c r="AK173" s="148">
        <f t="shared" si="59"/>
        <v>-3.3145145170098496</v>
      </c>
      <c r="AL173" s="148">
        <f t="shared" si="67"/>
        <v>-39.545804963220149</v>
      </c>
      <c r="AM173" s="149">
        <v>0.36599999999999999</v>
      </c>
      <c r="AN173" s="150">
        <f t="shared" si="68"/>
        <v>-3.3145145170098496</v>
      </c>
      <c r="AO173" s="151">
        <f t="shared" si="69"/>
        <v>0.36504412999607644</v>
      </c>
      <c r="AP173" s="152">
        <f t="shared" si="70"/>
        <v>-9.5587000392355348E-4</v>
      </c>
      <c r="AQ173" s="152">
        <f t="shared" si="71"/>
        <v>12.337530685965728</v>
      </c>
      <c r="AR173" s="153">
        <f t="shared" si="72"/>
        <v>-0.11793075505201023</v>
      </c>
      <c r="AS173" s="153">
        <f t="shared" si="73"/>
        <v>-9.5587000392355357</v>
      </c>
      <c r="AT173" s="149">
        <v>1.077</v>
      </c>
      <c r="AU173" s="150">
        <f t="shared" si="74"/>
        <v>-39.545804963220149</v>
      </c>
      <c r="AV173" s="150">
        <f t="shared" si="75"/>
        <v>1.0677386771150912</v>
      </c>
      <c r="AW173" s="154">
        <f t="shared" si="76"/>
        <v>-9.2613228849087736E-3</v>
      </c>
      <c r="AX173" s="154">
        <f t="shared" si="77"/>
        <v>447.86129506503005</v>
      </c>
      <c r="AY173" s="154">
        <f t="shared" si="78"/>
        <v>-41.477880612506439</v>
      </c>
      <c r="AZ173" s="154">
        <f t="shared" si="79"/>
        <v>-92.613228849087733</v>
      </c>
    </row>
    <row r="174" spans="1:52" ht="18" x14ac:dyDescent="0.25">
      <c r="A174" s="104">
        <v>163</v>
      </c>
      <c r="B174">
        <v>4</v>
      </c>
      <c r="C174" t="s">
        <v>464</v>
      </c>
      <c r="D174" t="s">
        <v>40</v>
      </c>
      <c r="E174" t="s">
        <v>470</v>
      </c>
      <c r="F174">
        <v>2</v>
      </c>
      <c r="G174" t="s">
        <v>87</v>
      </c>
      <c r="H174">
        <v>3.093</v>
      </c>
      <c r="Q174" s="155">
        <v>554</v>
      </c>
      <c r="R174" s="155" t="s">
        <v>363</v>
      </c>
      <c r="S174" s="155">
        <v>3.0630012500000001</v>
      </c>
      <c r="T174" s="155">
        <v>-3.8064704580860309</v>
      </c>
      <c r="U174" s="155">
        <v>4.9914885</v>
      </c>
      <c r="V174" s="155">
        <v>-38.735476662563734</v>
      </c>
      <c r="W174" s="142">
        <v>3.093</v>
      </c>
      <c r="X174" s="158">
        <v>6.1372437857142854</v>
      </c>
      <c r="Y174" s="158">
        <v>2.165951323344959</v>
      </c>
      <c r="Z174" s="158">
        <v>4.1588204642857134</v>
      </c>
      <c r="AA174" s="158">
        <v>-25.525093669069488</v>
      </c>
      <c r="AB174" s="158">
        <v>2.4814285714285718</v>
      </c>
      <c r="AC174" s="158">
        <v>2.4814285714285718</v>
      </c>
      <c r="AD174" s="144">
        <f t="shared" si="60"/>
        <v>1.1401907461647542E-2</v>
      </c>
      <c r="AE174" s="144">
        <f t="shared" si="61"/>
        <v>0.27452622576973307</v>
      </c>
      <c r="AF174" s="145">
        <f t="shared" si="62"/>
        <v>3.4924056807410751E-2</v>
      </c>
      <c r="AG174" s="145">
        <f t="shared" si="63"/>
        <v>1.3702944988780263</v>
      </c>
      <c r="AH174" s="146">
        <f t="shared" si="64"/>
        <v>1.1291321308571209</v>
      </c>
      <c r="AI174" s="146">
        <f t="shared" si="65"/>
        <v>44.303087580925521</v>
      </c>
      <c r="AJ174" s="147">
        <f t="shared" si="66"/>
        <v>39.236406767820142</v>
      </c>
      <c r="AK174" s="148">
        <f t="shared" si="59"/>
        <v>-3.9924217814309899</v>
      </c>
      <c r="AL174" s="148">
        <f t="shared" si="67"/>
        <v>-39.240382993494251</v>
      </c>
      <c r="AM174" s="149">
        <v>0.36599999999999999</v>
      </c>
      <c r="AN174" s="150">
        <f t="shared" si="68"/>
        <v>-3.9924217814309899</v>
      </c>
      <c r="AO174" s="151">
        <f t="shared" si="69"/>
        <v>0.3647967467212257</v>
      </c>
      <c r="AP174" s="152">
        <f t="shared" si="70"/>
        <v>-1.2032532787742967E-3</v>
      </c>
      <c r="AQ174" s="152">
        <f t="shared" si="71"/>
        <v>11.291321308571209</v>
      </c>
      <c r="AR174" s="153">
        <f t="shared" si="72"/>
        <v>-0.13586319386232387</v>
      </c>
      <c r="AS174" s="153">
        <f t="shared" si="73"/>
        <v>-12.032532787742966</v>
      </c>
      <c r="AT174" s="149">
        <v>1.077</v>
      </c>
      <c r="AU174" s="150">
        <f t="shared" si="74"/>
        <v>-39.240382993494251</v>
      </c>
      <c r="AV174" s="150">
        <f t="shared" si="75"/>
        <v>1.0680745887540481</v>
      </c>
      <c r="AW174" s="154">
        <f t="shared" si="76"/>
        <v>-8.9254112459518087E-3</v>
      </c>
      <c r="AX174" s="154">
        <f t="shared" si="77"/>
        <v>443.03087580925524</v>
      </c>
      <c r="AY174" s="154">
        <f t="shared" si="78"/>
        <v>-39.542327612518051</v>
      </c>
      <c r="AZ174" s="154">
        <f t="shared" si="79"/>
        <v>-89.254112459518083</v>
      </c>
    </row>
    <row r="175" spans="1:52" ht="18" x14ac:dyDescent="0.25">
      <c r="A175" s="104">
        <v>164</v>
      </c>
      <c r="B175">
        <v>5</v>
      </c>
      <c r="C175" t="s">
        <v>456</v>
      </c>
      <c r="D175" t="s">
        <v>52</v>
      </c>
      <c r="E175" t="s">
        <v>457</v>
      </c>
      <c r="F175">
        <v>2</v>
      </c>
      <c r="G175" t="s">
        <v>88</v>
      </c>
      <c r="H175">
        <v>3.3</v>
      </c>
      <c r="I175" t="s">
        <v>469</v>
      </c>
      <c r="Q175" s="141">
        <v>555</v>
      </c>
      <c r="R175" s="141" t="s">
        <v>364</v>
      </c>
      <c r="S175" s="141">
        <v>5.6418644999999996</v>
      </c>
      <c r="T175" s="141">
        <v>0.59939008560785656</v>
      </c>
      <c r="U175" s="141">
        <v>4.1389695</v>
      </c>
      <c r="V175" s="141">
        <v>-38.157326927563332</v>
      </c>
      <c r="W175" s="142">
        <v>3.3</v>
      </c>
      <c r="X175" s="158">
        <v>6.1372437857142854</v>
      </c>
      <c r="Y175" s="158">
        <v>2.165951323344959</v>
      </c>
      <c r="Z175" s="158">
        <v>4.1588204642857134</v>
      </c>
      <c r="AA175" s="158">
        <v>-25.525093669069488</v>
      </c>
      <c r="AB175" s="158">
        <v>2.4814285714285718</v>
      </c>
      <c r="AC175" s="158">
        <v>2.4814285714285718</v>
      </c>
      <c r="AD175" s="144">
        <f t="shared" si="60"/>
        <v>1.1401907461647542E-2</v>
      </c>
      <c r="AE175" s="144">
        <f t="shared" si="61"/>
        <v>0.27452622576973307</v>
      </c>
      <c r="AF175" s="145">
        <f t="shared" si="62"/>
        <v>6.4328016940154373E-2</v>
      </c>
      <c r="AG175" s="145">
        <f t="shared" si="63"/>
        <v>1.1362556754110391</v>
      </c>
      <c r="AH175" s="146">
        <f t="shared" si="64"/>
        <v>1.9493338466713448</v>
      </c>
      <c r="AI175" s="146">
        <f t="shared" si="65"/>
        <v>34.43199016397088</v>
      </c>
      <c r="AJ175" s="147">
        <f t="shared" si="66"/>
        <v>17.663464994857843</v>
      </c>
      <c r="AK175" s="148">
        <f t="shared" si="59"/>
        <v>0.41343876226289755</v>
      </c>
      <c r="AL175" s="148">
        <f t="shared" si="67"/>
        <v>-38.662233258493842</v>
      </c>
      <c r="AM175" s="149">
        <v>0.36599999999999999</v>
      </c>
      <c r="AN175" s="150">
        <f t="shared" si="68"/>
        <v>0.41343876226289755</v>
      </c>
      <c r="AO175" s="151">
        <f t="shared" si="69"/>
        <v>0.366404520210797</v>
      </c>
      <c r="AP175" s="152">
        <f t="shared" si="70"/>
        <v>4.0452021079701028E-4</v>
      </c>
      <c r="AQ175" s="152">
        <f t="shared" si="71"/>
        <v>19.49333846671345</v>
      </c>
      <c r="AR175" s="153">
        <f t="shared" si="72"/>
        <v>7.8854493856923932E-2</v>
      </c>
      <c r="AS175" s="153">
        <f t="shared" si="73"/>
        <v>4.0452021079701028</v>
      </c>
      <c r="AT175" s="149">
        <v>1.077</v>
      </c>
      <c r="AU175" s="150">
        <f t="shared" si="74"/>
        <v>-38.662233258493842</v>
      </c>
      <c r="AV175" s="150">
        <f t="shared" si="75"/>
        <v>1.0687104477841092</v>
      </c>
      <c r="AW175" s="154">
        <f t="shared" si="76"/>
        <v>-8.2895522158907831E-3</v>
      </c>
      <c r="AX175" s="154">
        <f t="shared" si="77"/>
        <v>344.3199016397088</v>
      </c>
      <c r="AY175" s="154">
        <f t="shared" si="78"/>
        <v>-28.542578036127445</v>
      </c>
      <c r="AZ175" s="154">
        <f t="shared" si="79"/>
        <v>-82.895522158907823</v>
      </c>
    </row>
    <row r="176" spans="1:52" ht="18" x14ac:dyDescent="0.25">
      <c r="A176" s="104">
        <v>165</v>
      </c>
      <c r="B176">
        <v>5</v>
      </c>
      <c r="C176" t="s">
        <v>458</v>
      </c>
      <c r="D176" t="s">
        <v>48</v>
      </c>
      <c r="E176" t="s">
        <v>457</v>
      </c>
      <c r="F176">
        <v>2</v>
      </c>
      <c r="G176" t="s">
        <v>89</v>
      </c>
      <c r="H176">
        <v>3.3050000000000002</v>
      </c>
      <c r="Q176" s="155">
        <v>556</v>
      </c>
      <c r="R176" s="155" t="s">
        <v>365</v>
      </c>
      <c r="S176" s="155">
        <v>5.0515344999999998</v>
      </c>
      <c r="T176" s="155">
        <v>1.3962801832243326</v>
      </c>
      <c r="U176" s="155">
        <v>4.4588210000000004</v>
      </c>
      <c r="V176" s="155">
        <v>-38.516468051946482</v>
      </c>
      <c r="W176" s="142">
        <v>3.3050000000000002</v>
      </c>
      <c r="X176" s="158">
        <v>6.1372437857142854</v>
      </c>
      <c r="Y176" s="158">
        <v>2.165951323344959</v>
      </c>
      <c r="Z176" s="158">
        <v>4.1588204642857134</v>
      </c>
      <c r="AA176" s="158">
        <v>-25.525093669069488</v>
      </c>
      <c r="AB176" s="158">
        <v>2.4814285714285718</v>
      </c>
      <c r="AC176" s="158">
        <v>2.4814285714285718</v>
      </c>
      <c r="AD176" s="144">
        <f t="shared" si="60"/>
        <v>1.1401907461647542E-2</v>
      </c>
      <c r="AE176" s="144">
        <f t="shared" si="61"/>
        <v>0.27452622576973307</v>
      </c>
      <c r="AF176" s="145">
        <f t="shared" si="62"/>
        <v>5.7597128908319986E-2</v>
      </c>
      <c r="AG176" s="145">
        <f t="shared" si="63"/>
        <v>1.224063300512827</v>
      </c>
      <c r="AH176" s="146">
        <f t="shared" si="64"/>
        <v>1.7427270471503777</v>
      </c>
      <c r="AI176" s="146">
        <f t="shared" si="65"/>
        <v>37.036711059389617</v>
      </c>
      <c r="AJ176" s="147">
        <f t="shared" si="66"/>
        <v>21.252158288327621</v>
      </c>
      <c r="AK176" s="148">
        <f t="shared" si="59"/>
        <v>1.2103288598793736</v>
      </c>
      <c r="AL176" s="148">
        <f t="shared" si="67"/>
        <v>-39.021374382876999</v>
      </c>
      <c r="AM176" s="149">
        <v>0.36599999999999999</v>
      </c>
      <c r="AN176" s="150">
        <f t="shared" si="68"/>
        <v>1.2103288598793736</v>
      </c>
      <c r="AO176" s="151">
        <f t="shared" si="69"/>
        <v>0.36669531342735251</v>
      </c>
      <c r="AP176" s="152">
        <f t="shared" si="70"/>
        <v>6.9531342735251744E-4</v>
      </c>
      <c r="AQ176" s="152">
        <f t="shared" si="71"/>
        <v>17.427270471503778</v>
      </c>
      <c r="AR176" s="153">
        <f t="shared" si="72"/>
        <v>0.12117415160940614</v>
      </c>
      <c r="AS176" s="153">
        <f t="shared" si="73"/>
        <v>6.9531342735251744</v>
      </c>
      <c r="AT176" s="149">
        <v>1.077</v>
      </c>
      <c r="AU176" s="150">
        <f t="shared" si="74"/>
        <v>-39.021374382876999</v>
      </c>
      <c r="AV176" s="150">
        <f t="shared" si="75"/>
        <v>1.0683154591554151</v>
      </c>
      <c r="AW176" s="154">
        <f t="shared" si="76"/>
        <v>-8.6845408445848093E-3</v>
      </c>
      <c r="AX176" s="154">
        <f t="shared" si="77"/>
        <v>370.36711059389609</v>
      </c>
      <c r="AY176" s="154">
        <f t="shared" si="78"/>
        <v>-32.164682994435502</v>
      </c>
      <c r="AZ176" s="154">
        <f t="shared" si="79"/>
        <v>-86.845408445848093</v>
      </c>
    </row>
    <row r="177" spans="1:52" ht="18" x14ac:dyDescent="0.25">
      <c r="A177" s="104">
        <v>166</v>
      </c>
      <c r="B177">
        <v>5</v>
      </c>
      <c r="C177" t="s">
        <v>459</v>
      </c>
      <c r="D177" t="s">
        <v>44</v>
      </c>
      <c r="E177" t="s">
        <v>457</v>
      </c>
      <c r="F177">
        <v>2</v>
      </c>
      <c r="G177" t="s">
        <v>90</v>
      </c>
      <c r="H177">
        <v>3.4689999999999999</v>
      </c>
      <c r="Q177" s="141">
        <v>557</v>
      </c>
      <c r="R177" s="141" t="s">
        <v>366</v>
      </c>
      <c r="S177" s="141">
        <v>5.7833589999999999</v>
      </c>
      <c r="T177" s="141">
        <v>2.9015812561014682</v>
      </c>
      <c r="U177" s="141">
        <v>4.0668034999999998</v>
      </c>
      <c r="V177" s="141">
        <v>-27.128266789050297</v>
      </c>
      <c r="W177" s="142">
        <v>3.4689999999999999</v>
      </c>
      <c r="X177" s="158">
        <v>6.1372437857142854</v>
      </c>
      <c r="Y177" s="158">
        <v>2.165951323344959</v>
      </c>
      <c r="Z177" s="158">
        <v>4.1588204642857134</v>
      </c>
      <c r="AA177" s="158">
        <v>-25.525093669069488</v>
      </c>
      <c r="AB177" s="158">
        <v>2.4814285714285718</v>
      </c>
      <c r="AC177" s="158">
        <v>2.4814285714285718</v>
      </c>
      <c r="AD177" s="144">
        <f t="shared" si="60"/>
        <v>1.1401907461647542E-2</v>
      </c>
      <c r="AE177" s="144">
        <f t="shared" si="61"/>
        <v>0.27452622576973307</v>
      </c>
      <c r="AF177" s="145">
        <f t="shared" si="62"/>
        <v>6.5941324135486465E-2</v>
      </c>
      <c r="AG177" s="145">
        <f t="shared" si="63"/>
        <v>1.1164442158021406</v>
      </c>
      <c r="AH177" s="146">
        <f t="shared" si="64"/>
        <v>1.9008741463097856</v>
      </c>
      <c r="AI177" s="146">
        <f t="shared" si="65"/>
        <v>32.183459665671393</v>
      </c>
      <c r="AJ177" s="147">
        <f t="shared" si="66"/>
        <v>16.930873476368724</v>
      </c>
      <c r="AK177" s="148">
        <f t="shared" si="59"/>
        <v>2.7156299327565092</v>
      </c>
      <c r="AL177" s="148">
        <f t="shared" si="67"/>
        <v>-27.63317311998081</v>
      </c>
      <c r="AM177" s="149">
        <v>0.36599999999999999</v>
      </c>
      <c r="AN177" s="150">
        <f t="shared" si="68"/>
        <v>2.7156299327565092</v>
      </c>
      <c r="AO177" s="151">
        <f t="shared" si="69"/>
        <v>0.36724460830668815</v>
      </c>
      <c r="AP177" s="152">
        <f t="shared" si="70"/>
        <v>1.2446083066881553E-3</v>
      </c>
      <c r="AQ177" s="152">
        <f t="shared" si="71"/>
        <v>19.008741463097856</v>
      </c>
      <c r="AR177" s="153">
        <f t="shared" si="72"/>
        <v>0.23658437524659151</v>
      </c>
      <c r="AS177" s="153">
        <f t="shared" si="73"/>
        <v>12.446083066881553</v>
      </c>
      <c r="AT177" s="149">
        <v>1.077</v>
      </c>
      <c r="AU177" s="150">
        <f t="shared" si="74"/>
        <v>-27.63317311998081</v>
      </c>
      <c r="AV177" s="150">
        <f t="shared" si="75"/>
        <v>1.0808388329521981</v>
      </c>
      <c r="AW177" s="154">
        <f t="shared" si="76"/>
        <v>3.8388329521981124E-3</v>
      </c>
      <c r="AX177" s="154">
        <f t="shared" si="77"/>
        <v>321.83459665671393</v>
      </c>
      <c r="AY177" s="154">
        <f t="shared" si="78"/>
        <v>12.354692548031821</v>
      </c>
      <c r="AZ177" s="154">
        <f t="shared" si="79"/>
        <v>38.38832952198112</v>
      </c>
    </row>
    <row r="178" spans="1:52" ht="18" x14ac:dyDescent="0.25">
      <c r="A178" s="104">
        <v>167</v>
      </c>
      <c r="B178">
        <v>5</v>
      </c>
      <c r="C178" t="s">
        <v>460</v>
      </c>
      <c r="D178" t="s">
        <v>32</v>
      </c>
      <c r="E178" t="s">
        <v>457</v>
      </c>
      <c r="F178">
        <v>2</v>
      </c>
      <c r="G178" t="s">
        <v>91</v>
      </c>
      <c r="H178">
        <v>3.24</v>
      </c>
      <c r="Q178" s="155">
        <v>558</v>
      </c>
      <c r="R178" s="155" t="s">
        <v>367</v>
      </c>
      <c r="S178" s="155">
        <v>3.8232842499999999</v>
      </c>
      <c r="T178" s="155">
        <v>-0.60952250295332744</v>
      </c>
      <c r="U178" s="155">
        <v>4.0587992499999999</v>
      </c>
      <c r="V178" s="155">
        <v>-25.585239694804319</v>
      </c>
      <c r="W178" s="142">
        <v>3.24</v>
      </c>
      <c r="X178" s="158">
        <v>6.1372437857142854</v>
      </c>
      <c r="Y178" s="158">
        <v>2.165951323344959</v>
      </c>
      <c r="Z178" s="158">
        <v>4.1588204642857134</v>
      </c>
      <c r="AA178" s="158">
        <v>-25.525093669069488</v>
      </c>
      <c r="AB178" s="158">
        <v>2.4814285714285718</v>
      </c>
      <c r="AC178" s="158">
        <v>2.4814285714285718</v>
      </c>
      <c r="AD178" s="144">
        <f>((2.82/100)*AB178)/X178</f>
        <v>1.1401907461647542E-2</v>
      </c>
      <c r="AE178" s="144">
        <f t="shared" si="61"/>
        <v>0.27452622576973307</v>
      </c>
      <c r="AF178" s="145">
        <f>S178*AD178</f>
        <v>4.3592733218074525E-2</v>
      </c>
      <c r="AG178" s="145">
        <f t="shared" si="63"/>
        <v>1.1142468392595233</v>
      </c>
      <c r="AH178" s="146">
        <f t="shared" si="64"/>
        <v>1.3454547289529173</v>
      </c>
      <c r="AI178" s="146">
        <f t="shared" si="65"/>
        <v>34.390334545047011</v>
      </c>
      <c r="AJ178" s="147">
        <f t="shared" si="66"/>
        <v>25.560380297455897</v>
      </c>
      <c r="AK178" s="148">
        <f t="shared" si="59"/>
        <v>-0.79547382629828645</v>
      </c>
      <c r="AL178" s="148">
        <f t="shared" si="67"/>
        <v>-26.090146025734832</v>
      </c>
      <c r="AM178" s="149">
        <v>0.36599999999999999</v>
      </c>
      <c r="AN178" s="150">
        <f t="shared" si="68"/>
        <v>-0.79547382629828645</v>
      </c>
      <c r="AO178" s="151">
        <f t="shared" si="69"/>
        <v>0.36596337259988454</v>
      </c>
      <c r="AP178" s="152">
        <f t="shared" si="70"/>
        <v>-3.6627400115452069E-5</v>
      </c>
      <c r="AQ178" s="152">
        <f>(AH178%*W178)/W178*1000</f>
        <v>13.454547289529172</v>
      </c>
      <c r="AR178" s="153">
        <f>(AQ178*AP178%)*1000</f>
        <v>-4.9280508694585614E-3</v>
      </c>
      <c r="AS178" s="153">
        <f>(((AF178*AP178%)/AF178)*1000)*1000</f>
        <v>-0.36627400115452069</v>
      </c>
      <c r="AT178" s="149">
        <v>1.077</v>
      </c>
      <c r="AU178" s="150">
        <f>V178+(-26.03-AA178)</f>
        <v>-26.090146025734832</v>
      </c>
      <c r="AV178" s="150">
        <f t="shared" si="75"/>
        <v>1.0825354246358554</v>
      </c>
      <c r="AW178" s="154">
        <f t="shared" si="76"/>
        <v>5.5354246358554349E-3</v>
      </c>
      <c r="AX178" s="154">
        <f t="shared" si="77"/>
        <v>343.90334545047011</v>
      </c>
      <c r="AY178" s="154">
        <f t="shared" si="78"/>
        <v>19.036510507596343</v>
      </c>
      <c r="AZ178" s="154">
        <f t="shared" si="79"/>
        <v>55.354246358554349</v>
      </c>
    </row>
    <row r="179" spans="1:52" ht="18" x14ac:dyDescent="0.25">
      <c r="A179" s="104">
        <v>168</v>
      </c>
      <c r="B179">
        <v>5</v>
      </c>
      <c r="C179" t="s">
        <v>462</v>
      </c>
      <c r="D179" t="s">
        <v>28</v>
      </c>
      <c r="E179" t="s">
        <v>457</v>
      </c>
      <c r="F179">
        <v>2</v>
      </c>
      <c r="G179" t="s">
        <v>92</v>
      </c>
      <c r="H179">
        <v>3.2069999999999999</v>
      </c>
      <c r="Q179" s="141">
        <v>559</v>
      </c>
      <c r="R179" s="141" t="s">
        <v>368</v>
      </c>
      <c r="S179" s="141">
        <v>5.7117054999999999</v>
      </c>
      <c r="T179" s="141">
        <v>1.2662556877109239</v>
      </c>
      <c r="U179" s="141">
        <v>4.1820812500000004</v>
      </c>
      <c r="V179" s="141">
        <v>-27.342993681416523</v>
      </c>
      <c r="W179" s="142">
        <v>3.2069999999999999</v>
      </c>
      <c r="X179" s="158">
        <v>6.1372437857142854</v>
      </c>
      <c r="Y179" s="158">
        <v>2.165951323344959</v>
      </c>
      <c r="Z179" s="158">
        <v>4.1588204642857134</v>
      </c>
      <c r="AA179" s="158">
        <v>-25.525093669069488</v>
      </c>
      <c r="AB179" s="158">
        <v>2.4814285714285718</v>
      </c>
      <c r="AC179" s="158">
        <v>2.4814285714285718</v>
      </c>
      <c r="AD179" s="144">
        <f t="shared" si="60"/>
        <v>1.1401907461647542E-2</v>
      </c>
      <c r="AE179" s="144">
        <f t="shared" si="61"/>
        <v>0.27452622576973307</v>
      </c>
      <c r="AF179" s="145">
        <f t="shared" si="62"/>
        <v>6.5124337559183301E-2</v>
      </c>
      <c r="AG179" s="145">
        <f t="shared" si="63"/>
        <v>1.1480909814248677</v>
      </c>
      <c r="AH179" s="146">
        <f t="shared" si="64"/>
        <v>2.0306934068968912</v>
      </c>
      <c r="AI179" s="146">
        <f t="shared" si="65"/>
        <v>35.799531693946605</v>
      </c>
      <c r="AJ179" s="147">
        <f t="shared" si="66"/>
        <v>17.629215504595535</v>
      </c>
      <c r="AK179" s="148">
        <f t="shared" si="59"/>
        <v>1.0803043643659649</v>
      </c>
      <c r="AL179" s="148">
        <f t="shared" si="67"/>
        <v>-27.847900012347036</v>
      </c>
      <c r="AM179" s="149">
        <v>0.36599999999999999</v>
      </c>
      <c r="AN179" s="150">
        <f t="shared" si="68"/>
        <v>1.0803043643659649</v>
      </c>
      <c r="AO179" s="151">
        <f t="shared" si="69"/>
        <v>0.36664786629625329</v>
      </c>
      <c r="AP179" s="152">
        <f t="shared" si="70"/>
        <v>6.4786629625329661E-4</v>
      </c>
      <c r="AQ179" s="152">
        <f t="shared" si="71"/>
        <v>20.306934068968914</v>
      </c>
      <c r="AR179" s="153">
        <f>(AQ179*AP179%)*1000</f>
        <v>0.13156178163522778</v>
      </c>
      <c r="AS179" s="153">
        <f t="shared" si="73"/>
        <v>6.4786629625329661</v>
      </c>
      <c r="AT179" s="149">
        <v>1.077</v>
      </c>
      <c r="AU179" s="150">
        <f t="shared" si="74"/>
        <v>-27.847900012347036</v>
      </c>
      <c r="AV179" s="150">
        <f t="shared" si="75"/>
        <v>1.0806027314740487</v>
      </c>
      <c r="AW179" s="154">
        <f t="shared" si="76"/>
        <v>3.6027314740487704E-3</v>
      </c>
      <c r="AX179" s="154">
        <f t="shared" si="77"/>
        <v>357.99531693946608</v>
      </c>
      <c r="AY179" s="154">
        <f t="shared" si="78"/>
        <v>12.897609958998794</v>
      </c>
      <c r="AZ179" s="154">
        <f t="shared" si="79"/>
        <v>36.027314740487704</v>
      </c>
    </row>
    <row r="180" spans="1:52" ht="18" x14ac:dyDescent="0.25">
      <c r="A180" s="104">
        <v>169</v>
      </c>
      <c r="B180">
        <v>5</v>
      </c>
      <c r="C180" t="s">
        <v>463</v>
      </c>
      <c r="D180" t="s">
        <v>40</v>
      </c>
      <c r="E180" t="s">
        <v>457</v>
      </c>
      <c r="F180">
        <v>2</v>
      </c>
      <c r="G180" t="s">
        <v>93</v>
      </c>
      <c r="H180">
        <v>3.0790000000000002</v>
      </c>
      <c r="Q180" s="155">
        <v>560</v>
      </c>
      <c r="R180" s="155" t="s">
        <v>369</v>
      </c>
      <c r="S180" s="155">
        <v>5.1472984999999998</v>
      </c>
      <c r="T180" s="155">
        <v>1.5631690426883449</v>
      </c>
      <c r="U180" s="155">
        <v>3.7905582500000001</v>
      </c>
      <c r="V180" s="155">
        <v>-27.318321904180564</v>
      </c>
      <c r="W180" s="142">
        <v>3.0790000000000002</v>
      </c>
      <c r="X180" s="158">
        <v>6.1372437857142854</v>
      </c>
      <c r="Y180" s="158">
        <v>2.165951323344959</v>
      </c>
      <c r="Z180" s="158">
        <v>4.1588204642857134</v>
      </c>
      <c r="AA180" s="158">
        <v>-25.525093669069488</v>
      </c>
      <c r="AB180" s="158">
        <v>2.4814285714285718</v>
      </c>
      <c r="AC180" s="158">
        <v>2.4814285714285718</v>
      </c>
      <c r="AD180" s="144">
        <f t="shared" si="60"/>
        <v>1.1401907461647542E-2</v>
      </c>
      <c r="AE180" s="144">
        <f t="shared" si="61"/>
        <v>0.27452622576973307</v>
      </c>
      <c r="AF180" s="145">
        <f t="shared" si="62"/>
        <v>5.8689021174477198E-2</v>
      </c>
      <c r="AG180" s="145">
        <f t="shared" si="63"/>
        <v>1.0406076499328243</v>
      </c>
      <c r="AH180" s="146">
        <f t="shared" si="64"/>
        <v>1.9061065662382979</v>
      </c>
      <c r="AI180" s="146">
        <f t="shared" si="65"/>
        <v>33.796935691225215</v>
      </c>
      <c r="AJ180" s="147">
        <f t="shared" si="66"/>
        <v>17.730874175583729</v>
      </c>
      <c r="AK180" s="148">
        <f t="shared" si="59"/>
        <v>1.3772177193433859</v>
      </c>
      <c r="AL180" s="148">
        <f t="shared" si="67"/>
        <v>-27.823228235111078</v>
      </c>
      <c r="AM180" s="149">
        <v>0.36599999999999999</v>
      </c>
      <c r="AN180" s="150">
        <f t="shared" si="68"/>
        <v>1.3772177193433859</v>
      </c>
      <c r="AO180" s="151">
        <f t="shared" si="69"/>
        <v>0.36675621263678104</v>
      </c>
      <c r="AP180" s="152">
        <f t="shared" si="70"/>
        <v>7.5621263678105066E-4</v>
      </c>
      <c r="AQ180" s="152">
        <f t="shared" si="71"/>
        <v>19.06106566238298</v>
      </c>
      <c r="AR180" s="153">
        <f t="shared" si="72"/>
        <v>0.14414218724407377</v>
      </c>
      <c r="AS180" s="153">
        <f t="shared" si="73"/>
        <v>7.5621263678105066</v>
      </c>
      <c r="AT180" s="149">
        <v>1.077</v>
      </c>
      <c r="AU180" s="150">
        <f t="shared" si="74"/>
        <v>-27.823228235111078</v>
      </c>
      <c r="AV180" s="150">
        <f t="shared" si="75"/>
        <v>1.0806298592143873</v>
      </c>
      <c r="AW180" s="154">
        <f t="shared" si="76"/>
        <v>3.6298592143872987E-3</v>
      </c>
      <c r="AX180" s="154">
        <f t="shared" si="77"/>
        <v>337.96935691225218</v>
      </c>
      <c r="AY180" s="154">
        <f t="shared" si="78"/>
        <v>12.267811843684882</v>
      </c>
      <c r="AZ180" s="154">
        <f t="shared" si="79"/>
        <v>36.298592143872987</v>
      </c>
    </row>
    <row r="181" spans="1:52" ht="18" x14ac:dyDescent="0.25">
      <c r="A181" s="104">
        <v>170</v>
      </c>
      <c r="B181">
        <v>5</v>
      </c>
      <c r="C181" t="s">
        <v>464</v>
      </c>
      <c r="D181" t="s">
        <v>36</v>
      </c>
      <c r="E181" t="s">
        <v>457</v>
      </c>
      <c r="F181">
        <v>2</v>
      </c>
      <c r="G181" t="s">
        <v>94</v>
      </c>
      <c r="H181">
        <v>3.2429999999999999</v>
      </c>
      <c r="Q181" s="141">
        <v>561</v>
      </c>
      <c r="R181" s="141" t="s">
        <v>370</v>
      </c>
      <c r="S181" s="141">
        <v>5.0864744999999996</v>
      </c>
      <c r="T181" s="141">
        <v>1.3010568607279365</v>
      </c>
      <c r="U181" s="141">
        <v>4.4917930000000004</v>
      </c>
      <c r="V181" s="141">
        <v>-24.223650145606779</v>
      </c>
      <c r="W181" s="142">
        <v>3.2429999999999999</v>
      </c>
      <c r="X181" s="158">
        <v>6.1372437857142854</v>
      </c>
      <c r="Y181" s="158">
        <v>2.165951323344959</v>
      </c>
      <c r="Z181" s="158">
        <v>4.1588204642857134</v>
      </c>
      <c r="AA181" s="158">
        <v>-25.525093669069488</v>
      </c>
      <c r="AB181" s="158">
        <v>2.4814285714285718</v>
      </c>
      <c r="AC181" s="158">
        <v>2.4814285714285718</v>
      </c>
      <c r="AD181" s="144">
        <f t="shared" si="60"/>
        <v>1.1401907461647542E-2</v>
      </c>
      <c r="AE181" s="144">
        <f t="shared" si="61"/>
        <v>0.27452622576973307</v>
      </c>
      <c r="AF181" s="145">
        <f t="shared" si="62"/>
        <v>5.7995511555029945E-2</v>
      </c>
      <c r="AG181" s="145">
        <f t="shared" si="63"/>
        <v>1.2331149792289067</v>
      </c>
      <c r="AH181" s="146">
        <f t="shared" si="64"/>
        <v>1.7883290642932455</v>
      </c>
      <c r="AI181" s="146">
        <f t="shared" si="65"/>
        <v>38.02389698516518</v>
      </c>
      <c r="AJ181" s="147">
        <f t="shared" si="66"/>
        <v>21.262248511401548</v>
      </c>
      <c r="AK181" s="148">
        <f t="shared" si="59"/>
        <v>1.1151055373829775</v>
      </c>
      <c r="AL181" s="148">
        <f t="shared" si="67"/>
        <v>-24.728556476537292</v>
      </c>
      <c r="AM181" s="149">
        <v>0.36599999999999999</v>
      </c>
      <c r="AN181" s="150">
        <f t="shared" si="68"/>
        <v>1.1151055373829775</v>
      </c>
      <c r="AO181" s="151">
        <f t="shared" si="69"/>
        <v>0.36666056556793969</v>
      </c>
      <c r="AP181" s="152">
        <f t="shared" si="70"/>
        <v>6.6056556793969712E-4</v>
      </c>
      <c r="AQ181" s="152">
        <f t="shared" si="71"/>
        <v>17.883290642932455</v>
      </c>
      <c r="AR181" s="153">
        <f t="shared" si="72"/>
        <v>0.11813086040179348</v>
      </c>
      <c r="AS181" s="153">
        <f t="shared" si="73"/>
        <v>6.6056556793969712</v>
      </c>
      <c r="AT181" s="149">
        <v>1.077</v>
      </c>
      <c r="AU181" s="150">
        <f t="shared" si="74"/>
        <v>-24.728556476537292</v>
      </c>
      <c r="AV181" s="150">
        <f t="shared" si="75"/>
        <v>1.0840324734778193</v>
      </c>
      <c r="AW181" s="154">
        <f t="shared" si="76"/>
        <v>7.0324734778193232E-3</v>
      </c>
      <c r="AX181" s="154">
        <f t="shared" si="77"/>
        <v>380.2389698516518</v>
      </c>
      <c r="AY181" s="154">
        <f t="shared" si="78"/>
        <v>26.740204707150824</v>
      </c>
      <c r="AZ181" s="154">
        <f t="shared" si="79"/>
        <v>70.324734778193232</v>
      </c>
    </row>
    <row r="182" spans="1:52" ht="18" x14ac:dyDescent="0.25">
      <c r="A182" s="104">
        <v>171</v>
      </c>
      <c r="B182">
        <v>5</v>
      </c>
      <c r="C182" t="s">
        <v>456</v>
      </c>
      <c r="D182" t="s">
        <v>52</v>
      </c>
      <c r="E182" t="s">
        <v>465</v>
      </c>
      <c r="F182">
        <v>2</v>
      </c>
      <c r="G182" t="s">
        <v>95</v>
      </c>
      <c r="H182">
        <v>3.056</v>
      </c>
      <c r="Q182" s="155">
        <v>562</v>
      </c>
      <c r="R182" s="155" t="s">
        <v>371</v>
      </c>
      <c r="S182" s="155">
        <v>2.60027125</v>
      </c>
      <c r="T182" s="155">
        <v>-1.6061196573946224</v>
      </c>
      <c r="U182" s="155">
        <v>3.9260442499999999</v>
      </c>
      <c r="V182" s="155">
        <v>-26.429427537394215</v>
      </c>
      <c r="W182" s="142">
        <v>3.056</v>
      </c>
      <c r="X182" s="158">
        <v>6.1372437857142854</v>
      </c>
      <c r="Y182" s="158">
        <v>2.165951323344959</v>
      </c>
      <c r="Z182" s="158">
        <v>4.1588204642857134</v>
      </c>
      <c r="AA182" s="158">
        <v>-25.525093669069488</v>
      </c>
      <c r="AB182" s="158">
        <v>2.4814285714285718</v>
      </c>
      <c r="AC182" s="158">
        <v>2.4814285714285718</v>
      </c>
      <c r="AD182" s="144">
        <f t="shared" si="60"/>
        <v>1.1401907461647542E-2</v>
      </c>
      <c r="AE182" s="144">
        <f t="shared" si="61"/>
        <v>0.27452622576973307</v>
      </c>
      <c r="AF182" s="145">
        <f t="shared" si="62"/>
        <v>2.9648052167682584E-2</v>
      </c>
      <c r="AG182" s="145">
        <f t="shared" si="63"/>
        <v>1.0778021101574624</v>
      </c>
      <c r="AH182" s="146">
        <f t="shared" si="64"/>
        <v>0.97015877512050341</v>
      </c>
      <c r="AI182" s="146">
        <f t="shared" si="65"/>
        <v>35.268393656985026</v>
      </c>
      <c r="AJ182" s="147">
        <f t="shared" si="66"/>
        <v>36.353218216888614</v>
      </c>
      <c r="AK182" s="148">
        <f t="shared" si="59"/>
        <v>-1.7920709807395814</v>
      </c>
      <c r="AL182" s="148">
        <f t="shared" si="67"/>
        <v>-26.934333868324728</v>
      </c>
      <c r="AM182" s="149">
        <v>0.36599999999999999</v>
      </c>
      <c r="AN182" s="150">
        <f t="shared" si="68"/>
        <v>-1.7920709807395814</v>
      </c>
      <c r="AO182" s="151">
        <f t="shared" si="69"/>
        <v>0.36559969865913339</v>
      </c>
      <c r="AP182" s="152">
        <f t="shared" si="70"/>
        <v>-4.0030134086660452E-4</v>
      </c>
      <c r="AQ182" s="152">
        <f t="shared" si="71"/>
        <v>9.7015877512050341</v>
      </c>
      <c r="AR182" s="153">
        <f t="shared" si="72"/>
        <v>-3.8835585853424011E-2</v>
      </c>
      <c r="AS182" s="153">
        <f t="shared" si="73"/>
        <v>-4.0030134086660452</v>
      </c>
      <c r="AT182" s="149">
        <v>1.077</v>
      </c>
      <c r="AU182" s="150">
        <f t="shared" si="74"/>
        <v>-26.934333868324728</v>
      </c>
      <c r="AV182" s="150">
        <f t="shared" si="75"/>
        <v>1.0816072290435794</v>
      </c>
      <c r="AW182" s="154">
        <f t="shared" si="76"/>
        <v>4.6072290435794638E-3</v>
      </c>
      <c r="AX182" s="154">
        <f t="shared" si="77"/>
        <v>352.68393656985023</v>
      </c>
      <c r="AY182" s="154">
        <f t="shared" si="78"/>
        <v>16.248956757685512</v>
      </c>
      <c r="AZ182" s="154">
        <f t="shared" si="79"/>
        <v>46.072290435794642</v>
      </c>
    </row>
    <row r="183" spans="1:52" ht="18" x14ac:dyDescent="0.25">
      <c r="A183" s="104">
        <v>172</v>
      </c>
      <c r="B183">
        <v>5</v>
      </c>
      <c r="C183" t="s">
        <v>458</v>
      </c>
      <c r="D183" t="s">
        <v>48</v>
      </c>
      <c r="E183" t="s">
        <v>465</v>
      </c>
      <c r="F183">
        <v>2</v>
      </c>
      <c r="G183" t="s">
        <v>96</v>
      </c>
      <c r="H183">
        <v>3.698</v>
      </c>
      <c r="Q183" s="141">
        <v>563</v>
      </c>
      <c r="R183" s="141" t="s">
        <v>372</v>
      </c>
      <c r="S183" s="141">
        <v>3.3304635</v>
      </c>
      <c r="T183" s="141">
        <v>16.229357056580934</v>
      </c>
      <c r="U183" s="141">
        <v>4.6309490000000002</v>
      </c>
      <c r="V183" s="141">
        <v>-27.043513118851475</v>
      </c>
      <c r="W183" s="142">
        <v>3.698</v>
      </c>
      <c r="X183" s="158">
        <v>6.1372437857142854</v>
      </c>
      <c r="Y183" s="158">
        <v>2.165951323344959</v>
      </c>
      <c r="Z183" s="158">
        <v>4.1588204642857134</v>
      </c>
      <c r="AA183" s="158">
        <v>-25.525093669069488</v>
      </c>
      <c r="AB183" s="158">
        <v>2.4814285714285718</v>
      </c>
      <c r="AC183" s="158">
        <v>2.4814285714285718</v>
      </c>
      <c r="AD183" s="144">
        <f t="shared" si="60"/>
        <v>1.1401907461647542E-2</v>
      </c>
      <c r="AE183" s="144">
        <f t="shared" si="61"/>
        <v>0.27452622576973307</v>
      </c>
      <c r="AF183" s="145">
        <f t="shared" si="62"/>
        <v>3.7973636631394789E-2</v>
      </c>
      <c r="AG183" s="145">
        <f t="shared" si="63"/>
        <v>1.2713169507021196</v>
      </c>
      <c r="AH183" s="146">
        <f t="shared" si="64"/>
        <v>1.0268695681826605</v>
      </c>
      <c r="AI183" s="146">
        <f t="shared" si="65"/>
        <v>34.378500559819351</v>
      </c>
      <c r="AJ183" s="147">
        <f t="shared" si="66"/>
        <v>33.47893600611998</v>
      </c>
      <c r="AK183" s="148">
        <f t="shared" si="59"/>
        <v>16.043405733235975</v>
      </c>
      <c r="AL183" s="148">
        <f t="shared" si="67"/>
        <v>-27.548419449781989</v>
      </c>
      <c r="AM183" s="149">
        <v>0.36599999999999999</v>
      </c>
      <c r="AN183" s="150">
        <f t="shared" si="68"/>
        <v>16.043405733235975</v>
      </c>
      <c r="AO183" s="151">
        <f t="shared" si="69"/>
        <v>0.37210774262334778</v>
      </c>
      <c r="AP183" s="152">
        <f t="shared" si="70"/>
        <v>6.1077426233477894E-3</v>
      </c>
      <c r="AQ183" s="152">
        <f t="shared" si="71"/>
        <v>10.268695681826607</v>
      </c>
      <c r="AR183" s="153">
        <f t="shared" si="72"/>
        <v>0.62718550302079756</v>
      </c>
      <c r="AS183" s="153">
        <f t="shared" si="73"/>
        <v>61.077426233477901</v>
      </c>
      <c r="AT183" s="149">
        <v>1.077</v>
      </c>
      <c r="AU183" s="150">
        <f t="shared" si="74"/>
        <v>-27.548419449781989</v>
      </c>
      <c r="AV183" s="150">
        <f t="shared" si="75"/>
        <v>1.0809320229573223</v>
      </c>
      <c r="AW183" s="154">
        <f t="shared" si="76"/>
        <v>3.932022957322312E-3</v>
      </c>
      <c r="AX183" s="154">
        <f t="shared" si="77"/>
        <v>343.78500559819355</v>
      </c>
      <c r="AY183" s="154">
        <f t="shared" si="78"/>
        <v>13.517705343952764</v>
      </c>
      <c r="AZ183" s="154">
        <f t="shared" si="79"/>
        <v>39.320229573223116</v>
      </c>
    </row>
    <row r="184" spans="1:52" ht="18" x14ac:dyDescent="0.25">
      <c r="A184" s="104">
        <v>173</v>
      </c>
      <c r="B184">
        <v>5</v>
      </c>
      <c r="C184" t="s">
        <v>459</v>
      </c>
      <c r="D184" t="s">
        <v>44</v>
      </c>
      <c r="E184" t="s">
        <v>465</v>
      </c>
      <c r="F184">
        <v>2</v>
      </c>
      <c r="G184" t="s">
        <v>97</v>
      </c>
      <c r="H184">
        <v>3.0139999999999998</v>
      </c>
      <c r="Q184" s="155">
        <v>564</v>
      </c>
      <c r="R184" s="155" t="s">
        <v>373</v>
      </c>
      <c r="S184" s="155">
        <v>2.4826172500000001</v>
      </c>
      <c r="T184" s="155">
        <v>-1.3520234709073597</v>
      </c>
      <c r="U184" s="155">
        <v>3.8144167499999999</v>
      </c>
      <c r="V184" s="155">
        <v>-28.481389568173444</v>
      </c>
      <c r="W184" s="142">
        <v>3.0139999999999998</v>
      </c>
      <c r="X184" s="158">
        <v>6.1372437857142854</v>
      </c>
      <c r="Y184" s="158">
        <v>2.165951323344959</v>
      </c>
      <c r="Z184" s="158">
        <v>4.1588204642857134</v>
      </c>
      <c r="AA184" s="158">
        <v>-25.525093669069488</v>
      </c>
      <c r="AB184" s="158">
        <v>2.4814285714285718</v>
      </c>
      <c r="AC184" s="158">
        <v>2.4814285714285718</v>
      </c>
      <c r="AD184" s="144">
        <f t="shared" si="60"/>
        <v>1.1401907461647542E-2</v>
      </c>
      <c r="AE184" s="144">
        <f t="shared" si="61"/>
        <v>0.27452622576973307</v>
      </c>
      <c r="AF184" s="145">
        <f t="shared" si="62"/>
        <v>2.8306572147189905E-2</v>
      </c>
      <c r="AG184" s="145">
        <f t="shared" si="63"/>
        <v>1.0471574338903515</v>
      </c>
      <c r="AH184" s="146">
        <f t="shared" si="64"/>
        <v>0.93916961337723648</v>
      </c>
      <c r="AI184" s="146">
        <f t="shared" si="65"/>
        <v>34.743113267762162</v>
      </c>
      <c r="AJ184" s="147">
        <f t="shared" si="66"/>
        <v>36.993438429962161</v>
      </c>
      <c r="AK184" s="148">
        <f t="shared" si="59"/>
        <v>-1.5379747942523188</v>
      </c>
      <c r="AL184" s="148">
        <f t="shared" si="67"/>
        <v>-28.986295899103958</v>
      </c>
      <c r="AM184" s="149">
        <v>0.36599999999999999</v>
      </c>
      <c r="AN184" s="150">
        <f t="shared" si="68"/>
        <v>-1.5379747942523188</v>
      </c>
      <c r="AO184" s="151">
        <f t="shared" si="69"/>
        <v>0.36569242259714335</v>
      </c>
      <c r="AP184" s="152">
        <f t="shared" si="70"/>
        <v>-3.0757740285664026E-4</v>
      </c>
      <c r="AQ184" s="152">
        <f t="shared" si="71"/>
        <v>9.3916961337723652</v>
      </c>
      <c r="AR184" s="153">
        <f t="shared" si="72"/>
        <v>-2.8886735052444535E-2</v>
      </c>
      <c r="AS184" s="153">
        <f t="shared" si="73"/>
        <v>-3.0757740285664026</v>
      </c>
      <c r="AT184" s="149">
        <v>1.077</v>
      </c>
      <c r="AU184" s="150">
        <f t="shared" si="74"/>
        <v>-28.986295899103958</v>
      </c>
      <c r="AV184" s="150">
        <f t="shared" si="75"/>
        <v>1.0793509972768345</v>
      </c>
      <c r="AW184" s="154">
        <f t="shared" si="76"/>
        <v>2.3509972768345211E-3</v>
      </c>
      <c r="AX184" s="154">
        <f t="shared" si="77"/>
        <v>347.43113267762163</v>
      </c>
      <c r="AY184" s="154">
        <f t="shared" si="78"/>
        <v>8.1680964681262171</v>
      </c>
      <c r="AZ184" s="154">
        <f t="shared" si="79"/>
        <v>23.509972768345211</v>
      </c>
    </row>
    <row r="185" spans="1:52" ht="18" x14ac:dyDescent="0.25">
      <c r="I185" t="s">
        <v>152</v>
      </c>
      <c r="Q185" s="141">
        <v>565</v>
      </c>
      <c r="R185" s="141" t="s">
        <v>374</v>
      </c>
      <c r="S185" s="141">
        <v>7.0482889999999996</v>
      </c>
      <c r="T185" s="141">
        <v>2.3281316928067368</v>
      </c>
      <c r="U185" s="141">
        <v>4.7131474999999998</v>
      </c>
      <c r="V185" s="141">
        <v>-24.866322270291796</v>
      </c>
      <c r="W185" s="141">
        <v>2.8809999999999998</v>
      </c>
      <c r="X185" s="158">
        <v>6.1372437857142854</v>
      </c>
      <c r="Y185" s="158">
        <v>2.165951323344959</v>
      </c>
      <c r="Z185" s="158">
        <v>4.1588204642857134</v>
      </c>
      <c r="AA185" s="158">
        <v>-25.525093669069488</v>
      </c>
      <c r="AB185" s="158">
        <v>2.4814285714285718</v>
      </c>
      <c r="AC185" s="158">
        <v>2.4814285714285718</v>
      </c>
      <c r="AD185" s="144">
        <f t="shared" si="60"/>
        <v>1.1401907461647542E-2</v>
      </c>
      <c r="AE185" s="144">
        <f t="shared" si="61"/>
        <v>0.27452622576973307</v>
      </c>
      <c r="AF185" s="145">
        <f t="shared" si="62"/>
        <v>8.0363938940948287E-2</v>
      </c>
      <c r="AG185" s="145">
        <f t="shared" si="63"/>
        <v>1.293882594671053</v>
      </c>
      <c r="AH185" s="146">
        <f t="shared" si="64"/>
        <v>2.7894459889256611</v>
      </c>
      <c r="AI185" s="146">
        <f t="shared" si="65"/>
        <v>44.910884924368389</v>
      </c>
      <c r="AJ185" s="147">
        <f t="shared" si="66"/>
        <v>16.100288409479315</v>
      </c>
      <c r="AK185" s="148">
        <f t="shared" si="59"/>
        <v>2.1421803694617778</v>
      </c>
      <c r="AL185" s="148">
        <f t="shared" si="67"/>
        <v>-25.37122860122231</v>
      </c>
      <c r="AM185" s="149">
        <v>0.36599999999999999</v>
      </c>
      <c r="AN185" s="150">
        <f t="shared" si="68"/>
        <v>2.1421803694617778</v>
      </c>
      <c r="AO185" s="151">
        <f t="shared" si="69"/>
        <v>0.36703535326840564</v>
      </c>
      <c r="AP185" s="152">
        <f t="shared" si="70"/>
        <v>1.0353532684056477E-3</v>
      </c>
      <c r="AQ185" s="152">
        <f t="shared" si="71"/>
        <v>27.894459889256609</v>
      </c>
      <c r="AR185" s="153">
        <f t="shared" si="72"/>
        <v>0.28880620216752073</v>
      </c>
      <c r="AS185" s="153">
        <f t="shared" si="73"/>
        <v>10.353532684056477</v>
      </c>
      <c r="AT185" s="149">
        <v>1.077</v>
      </c>
      <c r="AU185" s="150">
        <f t="shared" si="74"/>
        <v>-25.37122860122231</v>
      </c>
      <c r="AV185" s="150">
        <f t="shared" si="75"/>
        <v>1.0833258700286408</v>
      </c>
      <c r="AW185" s="154">
        <f t="shared" si="76"/>
        <v>6.3258700286408232E-3</v>
      </c>
      <c r="AX185" s="154">
        <f t="shared" si="77"/>
        <v>449.10884924368395</v>
      </c>
      <c r="AY185" s="154">
        <f t="shared" si="78"/>
        <v>28.410042090279902</v>
      </c>
      <c r="AZ185" s="154">
        <f t="shared" si="79"/>
        <v>63.258700286408228</v>
      </c>
    </row>
    <row r="186" spans="1:52" ht="18" x14ac:dyDescent="0.25">
      <c r="A186" s="104">
        <v>174</v>
      </c>
      <c r="B186">
        <v>5</v>
      </c>
      <c r="C186" t="s">
        <v>460</v>
      </c>
      <c r="D186" t="s">
        <v>32</v>
      </c>
      <c r="E186" t="s">
        <v>465</v>
      </c>
      <c r="F186">
        <v>2</v>
      </c>
      <c r="G186" t="s">
        <v>123</v>
      </c>
      <c r="H186">
        <v>3.2320000000000002</v>
      </c>
      <c r="Q186" s="155">
        <v>566</v>
      </c>
      <c r="R186" s="155" t="s">
        <v>375</v>
      </c>
      <c r="S186" s="155">
        <v>2.2279577499999998</v>
      </c>
      <c r="T186" s="155">
        <v>32.1929148592994</v>
      </c>
      <c r="U186" s="155">
        <v>4.3186675000000001</v>
      </c>
      <c r="V186" s="155">
        <v>-26.498976364553865</v>
      </c>
      <c r="W186" s="142">
        <v>3.2320000000000002</v>
      </c>
      <c r="X186" s="158">
        <v>6.1372437857142854</v>
      </c>
      <c r="Y186" s="158">
        <v>2.165951323344959</v>
      </c>
      <c r="Z186" s="158">
        <v>4.1588204642857134</v>
      </c>
      <c r="AA186" s="158">
        <v>-25.525093669069488</v>
      </c>
      <c r="AB186" s="158">
        <v>2.4814285714285718</v>
      </c>
      <c r="AC186" s="158">
        <v>2.4814285714285718</v>
      </c>
      <c r="AD186" s="144">
        <f t="shared" si="60"/>
        <v>1.1401907461647542E-2</v>
      </c>
      <c r="AE186" s="144">
        <f t="shared" si="61"/>
        <v>0.27452622576973307</v>
      </c>
      <c r="AF186" s="145">
        <f t="shared" si="62"/>
        <v>2.5402968093960469E-2</v>
      </c>
      <c r="AG186" s="145">
        <f t="shared" si="63"/>
        <v>1.1855874891294087</v>
      </c>
      <c r="AH186" s="146">
        <f t="shared" si="64"/>
        <v>0.78598292369927181</v>
      </c>
      <c r="AI186" s="146">
        <f t="shared" si="65"/>
        <v>36.682781223063387</v>
      </c>
      <c r="AJ186" s="147">
        <f t="shared" si="66"/>
        <v>46.671219077399108</v>
      </c>
      <c r="AK186" s="148">
        <f t="shared" si="59"/>
        <v>32.006963535954441</v>
      </c>
      <c r="AL186" s="148">
        <f t="shared" si="67"/>
        <v>-27.003882695484378</v>
      </c>
      <c r="AM186" s="149">
        <v>0.36599999999999999</v>
      </c>
      <c r="AN186" s="150">
        <f t="shared" si="68"/>
        <v>32.006963535954441</v>
      </c>
      <c r="AO186" s="151">
        <f t="shared" si="69"/>
        <v>0.3779320151350879</v>
      </c>
      <c r="AP186" s="152">
        <f t="shared" si="70"/>
        <v>1.1932015135087903E-2</v>
      </c>
      <c r="AQ186" s="152">
        <f t="shared" si="71"/>
        <v>7.8598292369927174</v>
      </c>
      <c r="AR186" s="153">
        <f t="shared" si="72"/>
        <v>0.93783601415003504</v>
      </c>
      <c r="AS186" s="153">
        <f t="shared" si="73"/>
        <v>119.32015135087903</v>
      </c>
      <c r="AT186" s="149">
        <v>1.077</v>
      </c>
      <c r="AU186" s="150">
        <f t="shared" si="74"/>
        <v>-27.003882695484378</v>
      </c>
      <c r="AV186" s="150">
        <f t="shared" si="75"/>
        <v>1.0815307584203131</v>
      </c>
      <c r="AW186" s="154">
        <f t="shared" si="76"/>
        <v>4.5307584203131412E-3</v>
      </c>
      <c r="AX186" s="154">
        <f t="shared" si="77"/>
        <v>366.82781223063387</v>
      </c>
      <c r="AY186" s="154">
        <f t="shared" si="78"/>
        <v>16.620081990689926</v>
      </c>
      <c r="AZ186" s="154">
        <f t="shared" si="79"/>
        <v>45.307584203131412</v>
      </c>
    </row>
    <row r="187" spans="1:52" ht="18" x14ac:dyDescent="0.25">
      <c r="A187" s="104">
        <v>175</v>
      </c>
      <c r="B187">
        <v>5</v>
      </c>
      <c r="C187" t="s">
        <v>461</v>
      </c>
      <c r="D187" t="s">
        <v>24</v>
      </c>
      <c r="E187" t="s">
        <v>465</v>
      </c>
      <c r="F187">
        <v>2</v>
      </c>
      <c r="G187" t="s">
        <v>124</v>
      </c>
      <c r="H187">
        <v>3.3570000000000002</v>
      </c>
      <c r="Q187" s="141">
        <v>567</v>
      </c>
      <c r="R187" s="141" t="s">
        <v>376</v>
      </c>
      <c r="S187" s="141">
        <v>2.2849217500000001</v>
      </c>
      <c r="T187" s="141">
        <v>-0.25983720690921641</v>
      </c>
      <c r="U187" s="141">
        <v>4.5311620000000001</v>
      </c>
      <c r="V187" s="141">
        <v>-27.862691736406976</v>
      </c>
      <c r="W187" s="142">
        <v>3.3570000000000002</v>
      </c>
      <c r="X187" s="158">
        <v>6.1372437857142854</v>
      </c>
      <c r="Y187" s="158">
        <v>2.165951323344959</v>
      </c>
      <c r="Z187" s="158">
        <v>4.1588204642857134</v>
      </c>
      <c r="AA187" s="158">
        <v>-25.525093669069488</v>
      </c>
      <c r="AB187" s="158">
        <v>2.4814285714285718</v>
      </c>
      <c r="AC187" s="158">
        <v>2.4814285714285718</v>
      </c>
      <c r="AD187" s="144">
        <f t="shared" si="60"/>
        <v>1.1401907461647542E-2</v>
      </c>
      <c r="AE187" s="144">
        <f t="shared" si="61"/>
        <v>0.27452622576973307</v>
      </c>
      <c r="AF187" s="145">
        <f t="shared" si="62"/>
        <v>2.6052466350605763E-2</v>
      </c>
      <c r="AG187" s="145">
        <f t="shared" si="63"/>
        <v>1.2439228022112352</v>
      </c>
      <c r="AH187" s="146">
        <f t="shared" si="64"/>
        <v>0.77606393656853623</v>
      </c>
      <c r="AI187" s="146">
        <f t="shared" si="65"/>
        <v>37.054596431672181</v>
      </c>
      <c r="AJ187" s="147">
        <f t="shared" si="66"/>
        <v>47.746834617149865</v>
      </c>
      <c r="AK187" s="148">
        <f t="shared" si="59"/>
        <v>-0.44578853025417542</v>
      </c>
      <c r="AL187" s="148">
        <f t="shared" si="67"/>
        <v>-28.367598067337489</v>
      </c>
      <c r="AM187" s="149">
        <v>0.36599999999999999</v>
      </c>
      <c r="AN187" s="150">
        <f t="shared" si="68"/>
        <v>-0.44578853025417542</v>
      </c>
      <c r="AO187" s="151">
        <f t="shared" si="69"/>
        <v>0.3660909776226457</v>
      </c>
      <c r="AP187" s="152">
        <f t="shared" si="70"/>
        <v>9.0977622645704859E-5</v>
      </c>
      <c r="AQ187" s="152">
        <f t="shared" si="71"/>
        <v>7.7606393656853623</v>
      </c>
      <c r="AR187" s="153">
        <f t="shared" si="72"/>
        <v>7.0604451970072519E-3</v>
      </c>
      <c r="AS187" s="153">
        <f t="shared" si="73"/>
        <v>0.90977622645704848</v>
      </c>
      <c r="AT187" s="149">
        <v>1.077</v>
      </c>
      <c r="AU187" s="150">
        <f t="shared" si="74"/>
        <v>-28.367598067337489</v>
      </c>
      <c r="AV187" s="150">
        <f t="shared" si="75"/>
        <v>1.0800312963859313</v>
      </c>
      <c r="AW187" s="154">
        <f t="shared" si="76"/>
        <v>3.0312963859313591E-3</v>
      </c>
      <c r="AX187" s="154">
        <f t="shared" si="77"/>
        <v>370.54596431672184</v>
      </c>
      <c r="AY187" s="154">
        <f t="shared" si="78"/>
        <v>11.232346424547291</v>
      </c>
      <c r="AZ187" s="154">
        <f t="shared" si="79"/>
        <v>30.312963859313594</v>
      </c>
    </row>
    <row r="188" spans="1:52" ht="18" x14ac:dyDescent="0.25">
      <c r="A188" s="104">
        <v>176</v>
      </c>
      <c r="B188">
        <v>5</v>
      </c>
      <c r="C188" t="s">
        <v>462</v>
      </c>
      <c r="D188" t="s">
        <v>28</v>
      </c>
      <c r="E188" t="s">
        <v>465</v>
      </c>
      <c r="F188">
        <v>2</v>
      </c>
      <c r="G188" t="s">
        <v>125</v>
      </c>
      <c r="H188">
        <v>3.605</v>
      </c>
      <c r="Q188" s="155">
        <v>568</v>
      </c>
      <c r="R188" s="155" t="s">
        <v>377</v>
      </c>
      <c r="S188" s="155">
        <v>3.42463425</v>
      </c>
      <c r="T188" s="155">
        <v>-0.9720093633447946</v>
      </c>
      <c r="U188" s="155">
        <v>5.0105164999999996</v>
      </c>
      <c r="V188" s="155">
        <v>-41.788991251859144</v>
      </c>
      <c r="W188" s="142">
        <v>3.605</v>
      </c>
      <c r="X188" s="158">
        <v>6.1372437857142854</v>
      </c>
      <c r="Y188" s="158">
        <v>2.165951323344959</v>
      </c>
      <c r="Z188" s="158">
        <v>4.1588204642857134</v>
      </c>
      <c r="AA188" s="158">
        <v>-25.525093669069488</v>
      </c>
      <c r="AB188" s="158">
        <v>2.4814285714285718</v>
      </c>
      <c r="AC188" s="158">
        <v>2.4814285714285718</v>
      </c>
      <c r="AD188" s="144">
        <f t="shared" si="60"/>
        <v>1.1401907461647542E-2</v>
      </c>
      <c r="AE188" s="144">
        <f t="shared" si="61"/>
        <v>0.27452622576973307</v>
      </c>
      <c r="AF188" s="145">
        <f t="shared" si="62"/>
        <v>3.9047362808488736E-2</v>
      </c>
      <c r="AG188" s="145">
        <f t="shared" si="63"/>
        <v>1.3755181839019726</v>
      </c>
      <c r="AH188" s="146">
        <f t="shared" si="64"/>
        <v>1.0831445994032938</v>
      </c>
      <c r="AI188" s="146">
        <f t="shared" si="65"/>
        <v>38.155844213646951</v>
      </c>
      <c r="AJ188" s="147">
        <f t="shared" si="66"/>
        <v>35.226916364322065</v>
      </c>
      <c r="AK188" s="148">
        <f t="shared" si="59"/>
        <v>-1.1579606866897536</v>
      </c>
      <c r="AL188" s="148">
        <f t="shared" si="67"/>
        <v>-42.293897582789654</v>
      </c>
      <c r="AM188" s="149">
        <v>0.36599999999999999</v>
      </c>
      <c r="AN188" s="150">
        <f t="shared" si="68"/>
        <v>-1.1579606866897536</v>
      </c>
      <c r="AO188" s="151">
        <f t="shared" si="69"/>
        <v>0.36583109576341327</v>
      </c>
      <c r="AP188" s="152">
        <f t="shared" si="70"/>
        <v>-1.6890423658671994E-4</v>
      </c>
      <c r="AQ188" s="152">
        <f t="shared" si="71"/>
        <v>10.831445994032938</v>
      </c>
      <c r="AR188" s="153">
        <f t="shared" si="72"/>
        <v>-1.8294771167524194E-2</v>
      </c>
      <c r="AS188" s="153">
        <f t="shared" si="73"/>
        <v>-1.6890423658671991</v>
      </c>
      <c r="AT188" s="149">
        <v>1.077</v>
      </c>
      <c r="AU188" s="150">
        <f t="shared" si="74"/>
        <v>-42.293897582789654</v>
      </c>
      <c r="AV188" s="150">
        <f t="shared" si="75"/>
        <v>1.0647161452595217</v>
      </c>
      <c r="AW188" s="154">
        <f t="shared" si="76"/>
        <v>-1.2283854740478217E-2</v>
      </c>
      <c r="AX188" s="154">
        <f t="shared" si="77"/>
        <v>381.55844213646952</v>
      </c>
      <c r="AY188" s="154">
        <f t="shared" si="78"/>
        <v>-46.870084782075551</v>
      </c>
      <c r="AZ188" s="154">
        <f t="shared" si="79"/>
        <v>-122.83854740478219</v>
      </c>
    </row>
    <row r="189" spans="1:52" ht="18" x14ac:dyDescent="0.25">
      <c r="A189" s="104">
        <v>177</v>
      </c>
      <c r="B189">
        <v>5</v>
      </c>
      <c r="C189" t="s">
        <v>463</v>
      </c>
      <c r="D189" t="s">
        <v>40</v>
      </c>
      <c r="E189" t="s">
        <v>465</v>
      </c>
      <c r="F189">
        <v>2</v>
      </c>
      <c r="G189" t="s">
        <v>98</v>
      </c>
      <c r="H189">
        <v>3.5289999999999999</v>
      </c>
      <c r="Q189" s="141">
        <v>569</v>
      </c>
      <c r="R189" s="141" t="s">
        <v>378</v>
      </c>
      <c r="S189" s="141">
        <v>2.7671429999999999</v>
      </c>
      <c r="T189" s="141">
        <v>-2.6848622220012635</v>
      </c>
      <c r="U189" s="141">
        <v>4.434437</v>
      </c>
      <c r="V189" s="141">
        <v>-27.150080561933382</v>
      </c>
      <c r="W189" s="142">
        <v>3.5289999999999999</v>
      </c>
      <c r="X189" s="158">
        <v>6.1372437857142854</v>
      </c>
      <c r="Y189" s="158">
        <v>2.165951323344959</v>
      </c>
      <c r="Z189" s="158">
        <v>4.1588204642857134</v>
      </c>
      <c r="AA189" s="158">
        <v>-25.525093669069488</v>
      </c>
      <c r="AB189" s="158">
        <v>2.4814285714285718</v>
      </c>
      <c r="AC189" s="158">
        <v>2.4814285714285718</v>
      </c>
      <c r="AD189" s="144">
        <f t="shared" si="60"/>
        <v>1.1401907461647542E-2</v>
      </c>
      <c r="AE189" s="144">
        <f t="shared" si="61"/>
        <v>0.27452622576973307</v>
      </c>
      <c r="AF189" s="145">
        <f t="shared" si="62"/>
        <v>3.1550708419145763E-2</v>
      </c>
      <c r="AG189" s="145">
        <f t="shared" si="63"/>
        <v>1.2173692530236577</v>
      </c>
      <c r="AH189" s="146">
        <f t="shared" si="64"/>
        <v>0.89404104333085199</v>
      </c>
      <c r="AI189" s="146">
        <f t="shared" si="65"/>
        <v>34.496153386898776</v>
      </c>
      <c r="AJ189" s="147">
        <f t="shared" si="66"/>
        <v>38.584529920885309</v>
      </c>
      <c r="AK189" s="148">
        <f t="shared" si="59"/>
        <v>-2.8708135453462225</v>
      </c>
      <c r="AL189" s="148">
        <f t="shared" si="67"/>
        <v>-27.654986892863896</v>
      </c>
      <c r="AM189" s="149">
        <v>0.36599999999999999</v>
      </c>
      <c r="AN189" s="150">
        <f t="shared" si="68"/>
        <v>-2.8708135453462225</v>
      </c>
      <c r="AO189" s="151">
        <f t="shared" si="69"/>
        <v>0.36520604557697783</v>
      </c>
      <c r="AP189" s="152">
        <f t="shared" si="70"/>
        <v>-7.9395442302215846E-4</v>
      </c>
      <c r="AQ189" s="152">
        <f t="shared" si="71"/>
        <v>8.9404104333085197</v>
      </c>
      <c r="AR189" s="153">
        <f t="shared" si="72"/>
        <v>-7.0982784071587521E-2</v>
      </c>
      <c r="AS189" s="153">
        <f t="shared" si="73"/>
        <v>-7.9395442302215846</v>
      </c>
      <c r="AT189" s="149">
        <v>1.077</v>
      </c>
      <c r="AU189" s="150">
        <f t="shared" si="74"/>
        <v>-27.654986892863896</v>
      </c>
      <c r="AV189" s="150">
        <f t="shared" si="75"/>
        <v>1.0808148478196373</v>
      </c>
      <c r="AW189" s="154">
        <f t="shared" si="76"/>
        <v>3.8148478196373681E-3</v>
      </c>
      <c r="AX189" s="154">
        <f t="shared" si="77"/>
        <v>344.96153386898777</v>
      </c>
      <c r="AY189" s="154">
        <f t="shared" si="78"/>
        <v>13.159757553388701</v>
      </c>
      <c r="AZ189" s="154">
        <f t="shared" si="79"/>
        <v>38.148478196373681</v>
      </c>
    </row>
    <row r="190" spans="1:52" ht="18" x14ac:dyDescent="0.25">
      <c r="A190" s="104">
        <v>178</v>
      </c>
      <c r="B190">
        <v>5</v>
      </c>
      <c r="C190" t="s">
        <v>464</v>
      </c>
      <c r="D190" t="s">
        <v>36</v>
      </c>
      <c r="E190" t="s">
        <v>465</v>
      </c>
      <c r="F190">
        <v>2</v>
      </c>
      <c r="G190" t="s">
        <v>99</v>
      </c>
      <c r="H190">
        <v>3.1509999999999998</v>
      </c>
      <c r="Q190" s="155">
        <v>570</v>
      </c>
      <c r="R190" s="155" t="s">
        <v>379</v>
      </c>
      <c r="S190" s="155">
        <v>2.4287372500000002</v>
      </c>
      <c r="T190" s="155">
        <v>1.259796082003295</v>
      </c>
      <c r="U190" s="155">
        <v>3.8993182499999999</v>
      </c>
      <c r="V190" s="155">
        <v>-27.607536510818449</v>
      </c>
      <c r="W190" s="142">
        <v>3.1509999999999998</v>
      </c>
      <c r="X190" s="158">
        <v>6.1372437857142854</v>
      </c>
      <c r="Y190" s="158">
        <v>2.165951323344959</v>
      </c>
      <c r="Z190" s="158">
        <v>4.1588204642857134</v>
      </c>
      <c r="AA190" s="158">
        <v>-25.525093669069488</v>
      </c>
      <c r="AB190" s="158">
        <v>2.4814285714285718</v>
      </c>
      <c r="AC190" s="158">
        <v>2.4814285714285718</v>
      </c>
      <c r="AD190" s="144">
        <f t="shared" si="60"/>
        <v>1.1401907461647542E-2</v>
      </c>
      <c r="AE190" s="144">
        <f t="shared" si="61"/>
        <v>0.27452622576973307</v>
      </c>
      <c r="AF190" s="145">
        <f t="shared" si="62"/>
        <v>2.7692237373156334E-2</v>
      </c>
      <c r="AG190" s="145">
        <f t="shared" si="63"/>
        <v>1.0704651222475403</v>
      </c>
      <c r="AH190" s="146">
        <f t="shared" si="64"/>
        <v>0.87883965005256537</v>
      </c>
      <c r="AI190" s="146">
        <f t="shared" si="65"/>
        <v>33.97223491740845</v>
      </c>
      <c r="AJ190" s="147">
        <f t="shared" si="66"/>
        <v>38.655783128784073</v>
      </c>
      <c r="AK190" s="148">
        <f t="shared" si="59"/>
        <v>1.073844758658336</v>
      </c>
      <c r="AL190" s="148">
        <f t="shared" si="67"/>
        <v>-28.112442841748962</v>
      </c>
      <c r="AM190" s="149">
        <v>0.36599999999999999</v>
      </c>
      <c r="AN190" s="150">
        <f t="shared" si="68"/>
        <v>1.073844758658336</v>
      </c>
      <c r="AO190" s="151">
        <f t="shared" si="69"/>
        <v>0.36664550912569971</v>
      </c>
      <c r="AP190" s="152">
        <f t="shared" si="70"/>
        <v>6.4550912569971697E-4</v>
      </c>
      <c r="AQ190" s="152">
        <f t="shared" si="71"/>
        <v>8.7883965005256535</v>
      </c>
      <c r="AR190" s="153">
        <f t="shared" si="72"/>
        <v>5.6729901413567665E-2</v>
      </c>
      <c r="AS190" s="153">
        <f t="shared" si="73"/>
        <v>6.4550912569971697</v>
      </c>
      <c r="AT190" s="149">
        <v>1.077</v>
      </c>
      <c r="AU190" s="150">
        <f t="shared" si="74"/>
        <v>-28.112442841748962</v>
      </c>
      <c r="AV190" s="150">
        <f t="shared" si="75"/>
        <v>1.0803118536752343</v>
      </c>
      <c r="AW190" s="154">
        <f t="shared" si="76"/>
        <v>3.3118536752343442E-3</v>
      </c>
      <c r="AX190" s="154">
        <f t="shared" si="77"/>
        <v>339.72234917408457</v>
      </c>
      <c r="AY190" s="154">
        <f t="shared" si="78"/>
        <v>11.251107106714372</v>
      </c>
      <c r="AZ190" s="154">
        <f t="shared" si="79"/>
        <v>33.118536752343445</v>
      </c>
    </row>
    <row r="191" spans="1:52" ht="18" x14ac:dyDescent="0.25">
      <c r="A191" s="104">
        <v>179</v>
      </c>
      <c r="B191">
        <v>5</v>
      </c>
      <c r="C191" t="s">
        <v>459</v>
      </c>
      <c r="D191" t="s">
        <v>44</v>
      </c>
      <c r="E191" t="s">
        <v>466</v>
      </c>
      <c r="F191">
        <v>2</v>
      </c>
      <c r="G191" t="s">
        <v>100</v>
      </c>
      <c r="H191">
        <v>3.3889999999999998</v>
      </c>
      <c r="Q191" s="141">
        <v>571</v>
      </c>
      <c r="R191" s="141" t="s">
        <v>380</v>
      </c>
      <c r="S191" s="141">
        <v>7.8811660000000003</v>
      </c>
      <c r="T191" s="141">
        <v>-0.67123122777389965</v>
      </c>
      <c r="U191" s="141">
        <v>5.0325040000000003</v>
      </c>
      <c r="V191" s="141">
        <v>-27.517829739214491</v>
      </c>
      <c r="W191" s="142">
        <v>3.3889999999999998</v>
      </c>
      <c r="X191" s="158">
        <v>6.1372437857142854</v>
      </c>
      <c r="Y191" s="158">
        <v>2.165951323344959</v>
      </c>
      <c r="Z191" s="158">
        <v>4.1588204642857134</v>
      </c>
      <c r="AA191" s="158">
        <v>-25.525093669069488</v>
      </c>
      <c r="AB191" s="158">
        <v>2.4814285714285718</v>
      </c>
      <c r="AC191" s="158">
        <v>2.4814285714285718</v>
      </c>
      <c r="AD191" s="144">
        <f t="shared" si="60"/>
        <v>1.1401907461647542E-2</v>
      </c>
      <c r="AE191" s="144">
        <f t="shared" si="61"/>
        <v>0.27452622576973307</v>
      </c>
      <c r="AF191" s="145">
        <f t="shared" si="62"/>
        <v>8.9860325421882922E-2</v>
      </c>
      <c r="AG191" s="145">
        <f t="shared" si="63"/>
        <v>1.3815543292910848</v>
      </c>
      <c r="AH191" s="146">
        <f t="shared" si="64"/>
        <v>2.6515292246055746</v>
      </c>
      <c r="AI191" s="146">
        <f t="shared" si="65"/>
        <v>40.765840344971522</v>
      </c>
      <c r="AJ191" s="147">
        <f t="shared" si="66"/>
        <v>15.37446390055746</v>
      </c>
      <c r="AK191" s="148">
        <f t="shared" si="59"/>
        <v>-0.85718255111885866</v>
      </c>
      <c r="AL191" s="148">
        <f t="shared" si="67"/>
        <v>-28.022736070145005</v>
      </c>
      <c r="AM191" s="149">
        <v>0.36599999999999999</v>
      </c>
      <c r="AN191" s="150">
        <f t="shared" si="68"/>
        <v>-0.85718255111885866</v>
      </c>
      <c r="AO191" s="151">
        <f t="shared" si="69"/>
        <v>0.36594085419493871</v>
      </c>
      <c r="AP191" s="152">
        <f t="shared" si="70"/>
        <v>-5.9145805061278089E-5</v>
      </c>
      <c r="AQ191" s="152">
        <f t="shared" si="71"/>
        <v>26.515292246055743</v>
      </c>
      <c r="AR191" s="153">
        <f t="shared" si="72"/>
        <v>-1.5682683063280311E-2</v>
      </c>
      <c r="AS191" s="153">
        <f t="shared" si="73"/>
        <v>-0.59145805061278089</v>
      </c>
      <c r="AT191" s="149">
        <v>1.077</v>
      </c>
      <c r="AU191" s="150">
        <f t="shared" si="74"/>
        <v>-28.022736070145005</v>
      </c>
      <c r="AV191" s="150">
        <f t="shared" si="75"/>
        <v>1.080410490856339</v>
      </c>
      <c r="AW191" s="154">
        <f t="shared" si="76"/>
        <v>3.4104908563390435E-3</v>
      </c>
      <c r="AX191" s="154">
        <f t="shared" si="77"/>
        <v>407.65840344971519</v>
      </c>
      <c r="AY191" s="154">
        <f t="shared" si="78"/>
        <v>13.903152574750266</v>
      </c>
      <c r="AZ191" s="154">
        <f t="shared" si="79"/>
        <v>34.104908563390438</v>
      </c>
    </row>
    <row r="192" spans="1:52" ht="18" x14ac:dyDescent="0.25">
      <c r="A192" s="104">
        <v>180</v>
      </c>
      <c r="B192">
        <v>5</v>
      </c>
      <c r="C192" t="s">
        <v>460</v>
      </c>
      <c r="D192" t="s">
        <v>32</v>
      </c>
      <c r="E192" t="s">
        <v>466</v>
      </c>
      <c r="F192">
        <v>2</v>
      </c>
      <c r="G192" t="s">
        <v>101</v>
      </c>
      <c r="H192">
        <v>3.5449999999999999</v>
      </c>
      <c r="Q192" s="155">
        <v>572</v>
      </c>
      <c r="R192" s="155" t="s">
        <v>381</v>
      </c>
      <c r="S192" s="155">
        <v>1.646776</v>
      </c>
      <c r="T192" s="155">
        <v>-1.008670751334559</v>
      </c>
      <c r="U192" s="155">
        <v>5.0289760000000001</v>
      </c>
      <c r="V192" s="155">
        <v>-29.205430526885561</v>
      </c>
      <c r="W192" s="142">
        <v>3.5449999999999999</v>
      </c>
      <c r="X192" s="158">
        <v>6.1372437857142854</v>
      </c>
      <c r="Y192" s="158">
        <v>2.165951323344959</v>
      </c>
      <c r="Z192" s="158">
        <v>4.1588204642857134</v>
      </c>
      <c r="AA192" s="158">
        <v>-25.525093669069488</v>
      </c>
      <c r="AB192" s="158">
        <v>2.4814285714285718</v>
      </c>
      <c r="AC192" s="158">
        <v>2.4814285714285718</v>
      </c>
      <c r="AD192" s="144">
        <f t="shared" si="60"/>
        <v>1.1401907461647542E-2</v>
      </c>
      <c r="AE192" s="144">
        <f t="shared" si="61"/>
        <v>0.27452622576973307</v>
      </c>
      <c r="AF192" s="145">
        <f t="shared" si="62"/>
        <v>1.8776387562062093E-2</v>
      </c>
      <c r="AG192" s="145">
        <f t="shared" si="63"/>
        <v>1.3805858007665692</v>
      </c>
      <c r="AH192" s="146">
        <f t="shared" si="64"/>
        <v>0.52965832333038343</v>
      </c>
      <c r="AI192" s="146">
        <f t="shared" si="65"/>
        <v>38.944592405262881</v>
      </c>
      <c r="AJ192" s="147">
        <f t="shared" si="66"/>
        <v>73.527764390422931</v>
      </c>
      <c r="AK192" s="148">
        <f t="shared" si="59"/>
        <v>-1.194622074679518</v>
      </c>
      <c r="AL192" s="148">
        <f t="shared" si="67"/>
        <v>-29.710336857816074</v>
      </c>
      <c r="AM192" s="149">
        <v>0.36599999999999999</v>
      </c>
      <c r="AN192" s="150">
        <f t="shared" si="68"/>
        <v>-1.194622074679518</v>
      </c>
      <c r="AO192" s="151">
        <f t="shared" si="69"/>
        <v>0.36581771745914016</v>
      </c>
      <c r="AP192" s="152">
        <f t="shared" si="70"/>
        <v>-1.8228254085983497E-4</v>
      </c>
      <c r="AQ192" s="152">
        <f t="shared" si="71"/>
        <v>5.2965832333038341</v>
      </c>
      <c r="AR192" s="153">
        <f t="shared" si="72"/>
        <v>-9.6547464964222285E-3</v>
      </c>
      <c r="AS192" s="153">
        <f t="shared" si="73"/>
        <v>-1.8228254085983495</v>
      </c>
      <c r="AT192" s="149">
        <v>1.077</v>
      </c>
      <c r="AU192" s="150">
        <f t="shared" si="74"/>
        <v>-29.710336857816074</v>
      </c>
      <c r="AV192" s="150">
        <f t="shared" si="75"/>
        <v>1.0785548545627339</v>
      </c>
      <c r="AW192" s="154">
        <f t="shared" si="76"/>
        <v>1.5548545627339649E-3</v>
      </c>
      <c r="AX192" s="154">
        <f t="shared" si="77"/>
        <v>389.44592405262881</v>
      </c>
      <c r="AY192" s="154">
        <f t="shared" si="78"/>
        <v>6.0553177195137504</v>
      </c>
      <c r="AZ192" s="154">
        <f t="shared" si="79"/>
        <v>15.548545627339649</v>
      </c>
    </row>
    <row r="193" spans="1:52" ht="18" x14ac:dyDescent="0.25">
      <c r="A193" s="104">
        <v>181</v>
      </c>
      <c r="B193">
        <v>5</v>
      </c>
      <c r="C193" t="s">
        <v>456</v>
      </c>
      <c r="D193" t="s">
        <v>52</v>
      </c>
      <c r="E193" t="s">
        <v>466</v>
      </c>
      <c r="F193">
        <v>2</v>
      </c>
      <c r="G193" t="s">
        <v>102</v>
      </c>
      <c r="H193">
        <v>3.718</v>
      </c>
      <c r="Q193" s="141">
        <v>573</v>
      </c>
      <c r="R193" s="141" t="s">
        <v>382</v>
      </c>
      <c r="S193" s="141">
        <v>11.832649999999999</v>
      </c>
      <c r="T193" s="141">
        <v>-0.93272051652569243</v>
      </c>
      <c r="U193" s="141">
        <v>5.1885325</v>
      </c>
      <c r="V193" s="141">
        <v>-22.264244685396534</v>
      </c>
      <c r="W193" s="142">
        <v>3.718</v>
      </c>
      <c r="X193" s="158">
        <v>6.1372437857142854</v>
      </c>
      <c r="Y193" s="158">
        <v>2.165951323344959</v>
      </c>
      <c r="Z193" s="158">
        <v>4.1588204642857134</v>
      </c>
      <c r="AA193" s="158">
        <v>-25.525093669069488</v>
      </c>
      <c r="AB193" s="158">
        <v>2.4814285714285718</v>
      </c>
      <c r="AC193" s="158">
        <v>2.4814285714285718</v>
      </c>
      <c r="AD193" s="144">
        <f t="shared" si="60"/>
        <v>1.1401907461647542E-2</v>
      </c>
      <c r="AE193" s="144">
        <f t="shared" si="61"/>
        <v>0.27452622576973307</v>
      </c>
      <c r="AF193" s="145">
        <f t="shared" si="62"/>
        <v>0.13491478032606377</v>
      </c>
      <c r="AG193" s="145">
        <f t="shared" si="63"/>
        <v>1.4243882445085976</v>
      </c>
      <c r="AH193" s="146">
        <f t="shared" si="64"/>
        <v>3.6286923164621778</v>
      </c>
      <c r="AI193" s="146">
        <f t="shared" si="65"/>
        <v>38.31060367155991</v>
      </c>
      <c r="AJ193" s="147">
        <f t="shared" si="66"/>
        <v>10.557688646611719</v>
      </c>
      <c r="AK193" s="148">
        <f t="shared" si="59"/>
        <v>-1.1186718398706514</v>
      </c>
      <c r="AL193" s="148">
        <f t="shared" si="67"/>
        <v>-22.769151016327047</v>
      </c>
      <c r="AM193" s="149">
        <v>0.36599999999999999</v>
      </c>
      <c r="AN193" s="150">
        <f t="shared" si="68"/>
        <v>-1.1186718398706514</v>
      </c>
      <c r="AO193" s="151">
        <f t="shared" si="69"/>
        <v>0.36584543286383142</v>
      </c>
      <c r="AP193" s="152">
        <f t="shared" si="70"/>
        <v>-1.5456713616857076E-4</v>
      </c>
      <c r="AQ193" s="152">
        <f t="shared" si="71"/>
        <v>36.286923164621783</v>
      </c>
      <c r="AR193" s="153">
        <f t="shared" si="72"/>
        <v>-5.608765793924559E-2</v>
      </c>
      <c r="AS193" s="153">
        <f t="shared" si="73"/>
        <v>-1.5456713616857076</v>
      </c>
      <c r="AT193" s="149">
        <v>1.077</v>
      </c>
      <c r="AU193" s="150">
        <f t="shared" si="74"/>
        <v>-22.769151016327047</v>
      </c>
      <c r="AV193" s="150">
        <f t="shared" si="75"/>
        <v>1.086186733107654</v>
      </c>
      <c r="AW193" s="154">
        <f t="shared" si="76"/>
        <v>9.1867331076540548E-3</v>
      </c>
      <c r="AX193" s="154">
        <f t="shared" si="77"/>
        <v>383.10603671559915</v>
      </c>
      <c r="AY193" s="154">
        <f t="shared" si="78"/>
        <v>35.194929112373252</v>
      </c>
      <c r="AZ193" s="154">
        <f t="shared" si="79"/>
        <v>91.867331076540552</v>
      </c>
    </row>
    <row r="194" spans="1:52" ht="18" x14ac:dyDescent="0.25">
      <c r="A194" s="104">
        <v>182</v>
      </c>
      <c r="B194">
        <v>5</v>
      </c>
      <c r="C194" t="s">
        <v>456</v>
      </c>
      <c r="D194" t="s">
        <v>52</v>
      </c>
      <c r="E194" t="s">
        <v>467</v>
      </c>
      <c r="F194">
        <v>2</v>
      </c>
      <c r="G194" t="s">
        <v>103</v>
      </c>
      <c r="H194">
        <v>3.3530000000000002</v>
      </c>
      <c r="Q194" s="155">
        <v>574</v>
      </c>
      <c r="R194" s="155" t="s">
        <v>383</v>
      </c>
      <c r="S194" s="155">
        <v>2.6765032500000001</v>
      </c>
      <c r="T194" s="155">
        <v>80.342458368238837</v>
      </c>
      <c r="U194" s="155">
        <v>4.7023029999999997</v>
      </c>
      <c r="V194" s="155">
        <v>-46.725003148458214</v>
      </c>
      <c r="W194" s="142">
        <v>3.3530000000000002</v>
      </c>
      <c r="X194" s="158">
        <v>6.1372437857142854</v>
      </c>
      <c r="Y194" s="158">
        <v>2.165951323344959</v>
      </c>
      <c r="Z194" s="158">
        <v>4.1588204642857134</v>
      </c>
      <c r="AA194" s="158">
        <v>-25.525093669069488</v>
      </c>
      <c r="AB194" s="158">
        <v>2.4814285714285718</v>
      </c>
      <c r="AC194" s="158">
        <v>2.4814285714285718</v>
      </c>
      <c r="AD194" s="144">
        <f t="shared" si="60"/>
        <v>1.1401907461647542E-2</v>
      </c>
      <c r="AE194" s="144">
        <f t="shared" si="61"/>
        <v>0.27452622576973307</v>
      </c>
      <c r="AF194" s="145">
        <f t="shared" si="62"/>
        <v>3.05172423772989E-2</v>
      </c>
      <c r="AG194" s="145">
        <f t="shared" si="63"/>
        <v>1.2909054950156931</v>
      </c>
      <c r="AH194" s="146">
        <f t="shared" si="64"/>
        <v>0.91014740164923646</v>
      </c>
      <c r="AI194" s="146">
        <f t="shared" si="65"/>
        <v>38.500014763366927</v>
      </c>
      <c r="AJ194" s="147">
        <f t="shared" si="66"/>
        <v>42.300856645421185</v>
      </c>
      <c r="AK194" s="148">
        <f t="shared" si="59"/>
        <v>80.156507044893885</v>
      </c>
      <c r="AL194" s="148">
        <f t="shared" si="67"/>
        <v>-47.229909479388724</v>
      </c>
      <c r="AM194" s="149">
        <v>0.36599999999999999</v>
      </c>
      <c r="AN194" s="150">
        <f t="shared" si="68"/>
        <v>80.156507044893885</v>
      </c>
      <c r="AO194" s="151">
        <f t="shared" si="69"/>
        <v>0.395495157040407</v>
      </c>
      <c r="AP194" s="152">
        <f t="shared" si="70"/>
        <v>2.9495157040407005E-2</v>
      </c>
      <c r="AQ194" s="152">
        <f t="shared" si="71"/>
        <v>9.1014740164923644</v>
      </c>
      <c r="AR194" s="153">
        <f t="shared" si="72"/>
        <v>2.6844940541562621</v>
      </c>
      <c r="AS194" s="153">
        <f t="shared" si="73"/>
        <v>294.95157040407003</v>
      </c>
      <c r="AT194" s="149">
        <v>1.077</v>
      </c>
      <c r="AU194" s="150">
        <f t="shared" si="74"/>
        <v>-47.229909479388724</v>
      </c>
      <c r="AV194" s="150">
        <f t="shared" si="75"/>
        <v>1.0592867329948936</v>
      </c>
      <c r="AW194" s="154">
        <f t="shared" si="76"/>
        <v>-1.7713267005106337E-2</v>
      </c>
      <c r="AX194" s="154">
        <f t="shared" si="77"/>
        <v>385.00014763366931</v>
      </c>
      <c r="AY194" s="154">
        <f t="shared" si="78"/>
        <v>-68.196104120405423</v>
      </c>
      <c r="AZ194" s="154">
        <f t="shared" si="79"/>
        <v>-177.13267005106337</v>
      </c>
    </row>
    <row r="195" spans="1:52" ht="18" x14ac:dyDescent="0.25">
      <c r="A195" s="104">
        <v>183</v>
      </c>
      <c r="B195">
        <v>5</v>
      </c>
      <c r="C195" t="s">
        <v>458</v>
      </c>
      <c r="D195" t="s">
        <v>48</v>
      </c>
      <c r="E195" t="s">
        <v>467</v>
      </c>
      <c r="F195">
        <v>2</v>
      </c>
      <c r="G195" t="s">
        <v>104</v>
      </c>
      <c r="H195">
        <v>3.3250000000000002</v>
      </c>
      <c r="Q195" s="141">
        <v>575</v>
      </c>
      <c r="R195" s="141" t="s">
        <v>384</v>
      </c>
      <c r="S195" s="141">
        <v>2.4939174999999998</v>
      </c>
      <c r="T195" s="141">
        <v>84.500063531829156</v>
      </c>
      <c r="U195" s="141">
        <v>4.8187575000000002</v>
      </c>
      <c r="V195" s="141">
        <v>-26.554250882768844</v>
      </c>
      <c r="W195" s="142">
        <v>3.3250000000000002</v>
      </c>
      <c r="X195" s="158">
        <v>6.1372437857142854</v>
      </c>
      <c r="Y195" s="158">
        <v>2.165951323344959</v>
      </c>
      <c r="Z195" s="158">
        <v>4.1588204642857134</v>
      </c>
      <c r="AA195" s="158">
        <v>-25.525093669069488</v>
      </c>
      <c r="AB195" s="158">
        <v>2.4814285714285718</v>
      </c>
      <c r="AC195" s="158">
        <v>2.4814285714285718</v>
      </c>
      <c r="AD195" s="144">
        <f t="shared" si="60"/>
        <v>1.1401907461647542E-2</v>
      </c>
      <c r="AE195" s="144">
        <f t="shared" si="61"/>
        <v>0.27452622576973307</v>
      </c>
      <c r="AF195" s="145">
        <f t="shared" si="62"/>
        <v>2.8435416551983384E-2</v>
      </c>
      <c r="AG195" s="145">
        <f t="shared" si="63"/>
        <v>1.3228753093745946</v>
      </c>
      <c r="AH195" s="146">
        <f t="shared" si="64"/>
        <v>0.85520049780401153</v>
      </c>
      <c r="AI195" s="146">
        <f t="shared" si="65"/>
        <v>39.785723590213365</v>
      </c>
      <c r="AJ195" s="147">
        <f t="shared" si="66"/>
        <v>46.522100597901158</v>
      </c>
      <c r="AK195" s="148">
        <f t="shared" ref="AK195:AK258" si="80">T195+(1.98-Y195)</f>
        <v>84.314112208484204</v>
      </c>
      <c r="AL195" s="148">
        <f t="shared" si="67"/>
        <v>-27.059157213699358</v>
      </c>
      <c r="AM195" s="149">
        <v>0.36599999999999999</v>
      </c>
      <c r="AN195" s="150">
        <f t="shared" si="68"/>
        <v>84.314112208484204</v>
      </c>
      <c r="AO195" s="151">
        <f t="shared" si="69"/>
        <v>0.39701140453549777</v>
      </c>
      <c r="AP195" s="152">
        <f t="shared" si="70"/>
        <v>3.1011404535497777E-2</v>
      </c>
      <c r="AQ195" s="152">
        <f t="shared" si="71"/>
        <v>8.5520049780401166</v>
      </c>
      <c r="AR195" s="153">
        <f t="shared" si="72"/>
        <v>2.6520968596359284</v>
      </c>
      <c r="AS195" s="153">
        <f t="shared" si="73"/>
        <v>310.11404535497775</v>
      </c>
      <c r="AT195" s="149">
        <v>1.077</v>
      </c>
      <c r="AU195" s="150">
        <f t="shared" si="74"/>
        <v>-27.059157213699358</v>
      </c>
      <c r="AV195" s="150">
        <f t="shared" si="75"/>
        <v>1.0814699826618146</v>
      </c>
      <c r="AW195" s="154">
        <f t="shared" si="76"/>
        <v>4.4699826618146421E-3</v>
      </c>
      <c r="AX195" s="154">
        <f t="shared" si="77"/>
        <v>397.85723590213365</v>
      </c>
      <c r="AY195" s="154">
        <f t="shared" si="78"/>
        <v>17.784149463600354</v>
      </c>
      <c r="AZ195" s="154">
        <f t="shared" si="79"/>
        <v>44.699826618146417</v>
      </c>
    </row>
    <row r="196" spans="1:52" ht="18" x14ac:dyDescent="0.25">
      <c r="A196" s="104">
        <v>184</v>
      </c>
      <c r="B196">
        <v>5</v>
      </c>
      <c r="C196" t="s">
        <v>459</v>
      </c>
      <c r="D196" t="s">
        <v>44</v>
      </c>
      <c r="E196" t="s">
        <v>467</v>
      </c>
      <c r="F196">
        <v>2</v>
      </c>
      <c r="G196" t="s">
        <v>105</v>
      </c>
      <c r="H196">
        <v>3.1339999999999999</v>
      </c>
      <c r="Q196" s="155">
        <v>576</v>
      </c>
      <c r="R196" s="155" t="s">
        <v>385</v>
      </c>
      <c r="S196" s="155">
        <v>2.9740190000000002</v>
      </c>
      <c r="T196" s="155">
        <v>-1.1243018385932917</v>
      </c>
      <c r="U196" s="155">
        <v>4.1578547500000003</v>
      </c>
      <c r="V196" s="155">
        <v>-27.762389675738188</v>
      </c>
      <c r="W196" s="142">
        <v>3.1339999999999999</v>
      </c>
      <c r="X196" s="158">
        <v>6.1372437857142854</v>
      </c>
      <c r="Y196" s="158">
        <v>2.165951323344959</v>
      </c>
      <c r="Z196" s="158">
        <v>4.1588204642857134</v>
      </c>
      <c r="AA196" s="158">
        <v>-25.525093669069488</v>
      </c>
      <c r="AB196" s="158">
        <v>2.4814285714285718</v>
      </c>
      <c r="AC196" s="158">
        <v>2.4814285714285718</v>
      </c>
      <c r="AD196" s="144">
        <f t="shared" ref="AD196:AD259" si="81">((2.82/100)*AB196)/X196</f>
        <v>1.1401907461647542E-2</v>
      </c>
      <c r="AE196" s="144">
        <f t="shared" ref="AE196:AE259" si="82">((46.01/100)*AC196)/Z196</f>
        <v>0.27452622576973307</v>
      </c>
      <c r="AF196" s="145">
        <f t="shared" ref="AF196:AF259" si="83">S196*AD196</f>
        <v>3.3909489427181562E-2</v>
      </c>
      <c r="AG196" s="145">
        <f t="shared" ref="AG196:AG259" si="84">U196*AE196</f>
        <v>1.141440171816257</v>
      </c>
      <c r="AH196" s="146">
        <f t="shared" ref="AH196:AH259" si="85">100*AF196/W196</f>
        <v>1.0819875375616326</v>
      </c>
      <c r="AI196" s="146">
        <f t="shared" ref="AI196:AI259" si="86">100*AG196/W196</f>
        <v>36.421192463824411</v>
      </c>
      <c r="AJ196" s="147">
        <f t="shared" ref="AJ196:AJ259" si="87">AG196/AF196</f>
        <v>33.661378897120407</v>
      </c>
      <c r="AK196" s="148">
        <f t="shared" si="80"/>
        <v>-1.3102531619382507</v>
      </c>
      <c r="AL196" s="148">
        <f t="shared" ref="AL196:AL259" si="88">V196+(-26.03-AA196)</f>
        <v>-28.267296006668701</v>
      </c>
      <c r="AM196" s="149">
        <v>0.36599999999999999</v>
      </c>
      <c r="AN196" s="150">
        <f t="shared" ref="AN196:AN259" si="89">T196+(1.98-Y196)</f>
        <v>-1.3102531619382507</v>
      </c>
      <c r="AO196" s="151">
        <f t="shared" ref="AO196:AO259" si="90">100*0.003676*(AN196/1000+1)/(1+0.003676*(AN196/1000+1))</f>
        <v>0.36577552187363532</v>
      </c>
      <c r="AP196" s="152">
        <f t="shared" ref="AP196:AP259" si="91">AO196-AM196</f>
        <v>-2.2447812636466891E-4</v>
      </c>
      <c r="AQ196" s="152">
        <f t="shared" ref="AQ196:AQ259" si="92">(AH196%*W196)/W196*1000</f>
        <v>10.819875375616325</v>
      </c>
      <c r="AR196" s="153">
        <f t="shared" ref="AR196:AR259" si="93">(AQ196*AP196%)*1000</f>
        <v>-2.4288253518175706E-2</v>
      </c>
      <c r="AS196" s="153">
        <f t="shared" ref="AS196:AS259" si="94">(((AF196*AP196%)/AF196)*1000)*1000</f>
        <v>-2.2447812636466891</v>
      </c>
      <c r="AT196" s="149">
        <v>1.077</v>
      </c>
      <c r="AU196" s="150">
        <f t="shared" ref="AU196:AU259" si="95">V196+(-26.03-AA196)</f>
        <v>-28.267296006668701</v>
      </c>
      <c r="AV196" s="150">
        <f t="shared" ref="AV196:AV259" si="96">100*0.011237*(AU196/1000+1)/(1+0.011237*(AU196/1000+1))</f>
        <v>1.0801415842415916</v>
      </c>
      <c r="AW196" s="154">
        <f t="shared" ref="AW196:AW259" si="97">AV196-AT196</f>
        <v>3.1415842415916106E-3</v>
      </c>
      <c r="AX196" s="154">
        <f t="shared" ref="AX196:AX259" si="98">(AI196%*W196)/W196*1000</f>
        <v>364.21192463824411</v>
      </c>
      <c r="AY196" s="154">
        <f t="shared" ref="AY196:AY259" si="99">(AX196*AW196%)*1000</f>
        <v>11.442024430432591</v>
      </c>
      <c r="AZ196" s="154">
        <f t="shared" ref="AZ196:AZ259" si="100">(((AG196*AW196%)/AG196)*1000)*1000</f>
        <v>31.415842415916106</v>
      </c>
    </row>
    <row r="197" spans="1:52" ht="18" x14ac:dyDescent="0.25">
      <c r="A197" s="104">
        <v>185</v>
      </c>
      <c r="B197">
        <v>5</v>
      </c>
      <c r="C197" t="s">
        <v>460</v>
      </c>
      <c r="D197" t="s">
        <v>32</v>
      </c>
      <c r="E197" t="s">
        <v>467</v>
      </c>
      <c r="F197">
        <v>2</v>
      </c>
      <c r="G197" t="s">
        <v>106</v>
      </c>
      <c r="H197">
        <v>3.5419999999999998</v>
      </c>
      <c r="Q197" s="141">
        <v>577</v>
      </c>
      <c r="R197" s="141" t="s">
        <v>386</v>
      </c>
      <c r="S197" s="141">
        <v>4.9763019999999996</v>
      </c>
      <c r="T197" s="141">
        <v>-0.45914068950516917</v>
      </c>
      <c r="U197" s="141">
        <v>5.0095409999999996</v>
      </c>
      <c r="V197" s="141">
        <v>-27.991872367012494</v>
      </c>
      <c r="W197" s="142">
        <v>3.5419999999999998</v>
      </c>
      <c r="X197" s="158">
        <v>6.1372437857142854</v>
      </c>
      <c r="Y197" s="158">
        <v>2.165951323344959</v>
      </c>
      <c r="Z197" s="158">
        <v>4.1588204642857134</v>
      </c>
      <c r="AA197" s="158">
        <v>-25.525093669069488</v>
      </c>
      <c r="AB197" s="158">
        <v>2.4814285714285718</v>
      </c>
      <c r="AC197" s="158">
        <v>2.4814285714285718</v>
      </c>
      <c r="AD197" s="144">
        <f t="shared" si="81"/>
        <v>1.1401907461647542E-2</v>
      </c>
      <c r="AE197" s="144">
        <f t="shared" si="82"/>
        <v>0.27452622576973307</v>
      </c>
      <c r="AF197" s="145">
        <f t="shared" si="83"/>
        <v>5.6739334905211582E-2</v>
      </c>
      <c r="AG197" s="145">
        <f t="shared" si="84"/>
        <v>1.3752503835687342</v>
      </c>
      <c r="AH197" s="146">
        <f t="shared" si="85"/>
        <v>1.6019010419314392</v>
      </c>
      <c r="AI197" s="146">
        <f t="shared" si="86"/>
        <v>38.826944764786397</v>
      </c>
      <c r="AJ197" s="147">
        <f t="shared" si="87"/>
        <v>24.238042019107553</v>
      </c>
      <c r="AK197" s="148">
        <f t="shared" si="80"/>
        <v>-0.64509201285012818</v>
      </c>
      <c r="AL197" s="148">
        <f t="shared" si="88"/>
        <v>-28.496778697943007</v>
      </c>
      <c r="AM197" s="149">
        <v>0.36599999999999999</v>
      </c>
      <c r="AN197" s="150">
        <f t="shared" si="89"/>
        <v>-0.64509201285012818</v>
      </c>
      <c r="AO197" s="151">
        <f t="shared" si="90"/>
        <v>0.36601824905294827</v>
      </c>
      <c r="AP197" s="152">
        <f t="shared" si="91"/>
        <v>1.8249052948282607E-5</v>
      </c>
      <c r="AQ197" s="152">
        <f t="shared" si="92"/>
        <v>16.019010419314391</v>
      </c>
      <c r="AR197" s="153">
        <f t="shared" si="93"/>
        <v>2.9233176932115905E-3</v>
      </c>
      <c r="AS197" s="153">
        <f t="shared" si="94"/>
        <v>0.18249052948282607</v>
      </c>
      <c r="AT197" s="149">
        <v>1.077</v>
      </c>
      <c r="AU197" s="150">
        <f t="shared" si="95"/>
        <v>-28.496778697943007</v>
      </c>
      <c r="AV197" s="150">
        <f t="shared" si="96"/>
        <v>1.0798892545276741</v>
      </c>
      <c r="AW197" s="154">
        <f t="shared" si="97"/>
        <v>2.8892545276741899E-3</v>
      </c>
      <c r="AX197" s="154">
        <f t="shared" si="98"/>
        <v>388.26944764786396</v>
      </c>
      <c r="AY197" s="154">
        <f t="shared" si="99"/>
        <v>11.218092595741478</v>
      </c>
      <c r="AZ197" s="154">
        <f t="shared" si="100"/>
        <v>28.892545276741899</v>
      </c>
    </row>
    <row r="198" spans="1:52" ht="18" x14ac:dyDescent="0.25">
      <c r="I198" t="s">
        <v>152</v>
      </c>
      <c r="Q198" s="155">
        <v>578</v>
      </c>
      <c r="R198" s="155" t="s">
        <v>387</v>
      </c>
      <c r="S198" s="155">
        <v>5.8182185000000004</v>
      </c>
      <c r="T198" s="155">
        <v>2.2435791775781313</v>
      </c>
      <c r="U198" s="155">
        <v>4.0831549999999996</v>
      </c>
      <c r="V198" s="155">
        <v>-25.657798962592516</v>
      </c>
      <c r="W198" s="155">
        <v>2.4209999999999998</v>
      </c>
      <c r="X198" s="158">
        <v>6.1372437857142854</v>
      </c>
      <c r="Y198" s="158">
        <v>2.165951323344959</v>
      </c>
      <c r="Z198" s="158">
        <v>4.1588204642857134</v>
      </c>
      <c r="AA198" s="158">
        <v>-25.525093669069488</v>
      </c>
      <c r="AB198" s="158">
        <v>2.4814285714285718</v>
      </c>
      <c r="AC198" s="158">
        <v>2.4814285714285718</v>
      </c>
      <c r="AD198" s="144">
        <f t="shared" si="81"/>
        <v>1.1401907461647542E-2</v>
      </c>
      <c r="AE198" s="144">
        <f t="shared" si="82"/>
        <v>0.27452622576973307</v>
      </c>
      <c r="AF198" s="145">
        <f t="shared" si="83"/>
        <v>6.6338788928645781E-2</v>
      </c>
      <c r="AG198" s="145">
        <f t="shared" si="84"/>
        <v>1.1209331313828144</v>
      </c>
      <c r="AH198" s="146">
        <f t="shared" si="85"/>
        <v>2.7401399805305982</v>
      </c>
      <c r="AI198" s="146">
        <f t="shared" si="86"/>
        <v>46.300418479257097</v>
      </c>
      <c r="AJ198" s="147">
        <f t="shared" si="87"/>
        <v>16.897099713238564</v>
      </c>
      <c r="AK198" s="148">
        <f t="shared" si="80"/>
        <v>2.0576278542331723</v>
      </c>
      <c r="AL198" s="148">
        <f t="shared" si="88"/>
        <v>-26.162705293523029</v>
      </c>
      <c r="AM198" s="149">
        <v>0.36599999999999999</v>
      </c>
      <c r="AN198" s="150">
        <f t="shared" si="89"/>
        <v>2.0576278542331723</v>
      </c>
      <c r="AO198" s="151">
        <f t="shared" si="90"/>
        <v>0.36700449949575914</v>
      </c>
      <c r="AP198" s="152">
        <f t="shared" si="91"/>
        <v>1.004499495759148E-3</v>
      </c>
      <c r="AQ198" s="152">
        <f t="shared" si="92"/>
        <v>27.401399805305985</v>
      </c>
      <c r="AR198" s="153">
        <f t="shared" si="93"/>
        <v>0.27524692287524682</v>
      </c>
      <c r="AS198" s="153">
        <f t="shared" si="94"/>
        <v>10.044994957591481</v>
      </c>
      <c r="AT198" s="149">
        <v>1.077</v>
      </c>
      <c r="AU198" s="150">
        <f t="shared" si="95"/>
        <v>-26.162705293523029</v>
      </c>
      <c r="AV198" s="150">
        <f t="shared" si="96"/>
        <v>1.0824556454546201</v>
      </c>
      <c r="AW198" s="154">
        <f t="shared" si="97"/>
        <v>5.4556454546201838E-3</v>
      </c>
      <c r="AX198" s="154">
        <f t="shared" si="98"/>
        <v>463.00418479257104</v>
      </c>
      <c r="AY198" s="154">
        <f t="shared" si="99"/>
        <v>25.259866762337136</v>
      </c>
      <c r="AZ198" s="154">
        <f t="shared" si="100"/>
        <v>54.556454546201834</v>
      </c>
    </row>
    <row r="199" spans="1:52" ht="18" x14ac:dyDescent="0.25">
      <c r="A199" s="104">
        <v>186</v>
      </c>
      <c r="B199">
        <v>5</v>
      </c>
      <c r="C199" t="s">
        <v>461</v>
      </c>
      <c r="D199" t="s">
        <v>24</v>
      </c>
      <c r="E199" t="s">
        <v>467</v>
      </c>
      <c r="F199">
        <v>2</v>
      </c>
      <c r="G199" t="s">
        <v>107</v>
      </c>
      <c r="H199">
        <v>3.6579999999999999</v>
      </c>
      <c r="Q199" s="141">
        <v>579</v>
      </c>
      <c r="R199" s="141" t="s">
        <v>388</v>
      </c>
      <c r="S199" s="141">
        <v>5.3229100000000003</v>
      </c>
      <c r="T199" s="141">
        <v>0.57552815773929122</v>
      </c>
      <c r="U199" s="141">
        <v>5.2480339999999996</v>
      </c>
      <c r="V199" s="141">
        <v>-27.76967153904398</v>
      </c>
      <c r="W199" s="142">
        <v>3.6579999999999999</v>
      </c>
      <c r="X199" s="158">
        <v>6.1372437857142854</v>
      </c>
      <c r="Y199" s="158">
        <v>2.165951323344959</v>
      </c>
      <c r="Z199" s="158">
        <v>4.1588204642857134</v>
      </c>
      <c r="AA199" s="158">
        <v>-25.525093669069488</v>
      </c>
      <c r="AB199" s="158">
        <v>2.4814285714285718</v>
      </c>
      <c r="AC199" s="158">
        <v>2.4814285714285718</v>
      </c>
      <c r="AD199" s="144">
        <f t="shared" si="81"/>
        <v>1.1401907461647542E-2</v>
      </c>
      <c r="AE199" s="144">
        <f t="shared" si="82"/>
        <v>0.27452622576973307</v>
      </c>
      <c r="AF199" s="145">
        <f t="shared" si="83"/>
        <v>6.069132724667832E-2</v>
      </c>
      <c r="AG199" s="145">
        <f t="shared" si="84"/>
        <v>1.4407229667312351</v>
      </c>
      <c r="AH199" s="146">
        <f t="shared" si="85"/>
        <v>1.6591396185532619</v>
      </c>
      <c r="AI199" s="146">
        <f t="shared" si="86"/>
        <v>39.38553763617373</v>
      </c>
      <c r="AJ199" s="147">
        <f t="shared" si="87"/>
        <v>23.738531221692583</v>
      </c>
      <c r="AK199" s="148">
        <f t="shared" si="80"/>
        <v>0.38957683439433222</v>
      </c>
      <c r="AL199" s="148">
        <f t="shared" si="88"/>
        <v>-28.274577869974493</v>
      </c>
      <c r="AM199" s="149">
        <v>0.36599999999999999</v>
      </c>
      <c r="AN199" s="150">
        <f t="shared" si="89"/>
        <v>0.38957683439433222</v>
      </c>
      <c r="AO199" s="151">
        <f t="shared" si="90"/>
        <v>0.3663958127269954</v>
      </c>
      <c r="AP199" s="152">
        <f t="shared" si="91"/>
        <v>3.9581272699540371E-4</v>
      </c>
      <c r="AQ199" s="152">
        <f t="shared" si="92"/>
        <v>16.59139618553262</v>
      </c>
      <c r="AR199" s="153">
        <f t="shared" si="93"/>
        <v>6.5670857688568049E-2</v>
      </c>
      <c r="AS199" s="153">
        <f t="shared" si="94"/>
        <v>3.9581272699540371</v>
      </c>
      <c r="AT199" s="149">
        <v>1.077</v>
      </c>
      <c r="AU199" s="150">
        <f t="shared" si="95"/>
        <v>-28.274577869974493</v>
      </c>
      <c r="AV199" s="150">
        <f t="shared" si="96"/>
        <v>1.0801335774244489</v>
      </c>
      <c r="AW199" s="154">
        <f t="shared" si="97"/>
        <v>3.1335774244489745E-3</v>
      </c>
      <c r="AX199" s="154">
        <f t="shared" si="98"/>
        <v>393.85537636173729</v>
      </c>
      <c r="AY199" s="154">
        <f t="shared" si="99"/>
        <v>12.341763158649943</v>
      </c>
      <c r="AZ199" s="154">
        <f t="shared" si="100"/>
        <v>31.335774244489745</v>
      </c>
    </row>
    <row r="200" spans="1:52" ht="18" x14ac:dyDescent="0.25">
      <c r="A200" s="104">
        <v>187</v>
      </c>
      <c r="B200">
        <v>5</v>
      </c>
      <c r="C200" t="s">
        <v>462</v>
      </c>
      <c r="D200" t="s">
        <v>28</v>
      </c>
      <c r="E200" t="s">
        <v>467</v>
      </c>
      <c r="F200">
        <v>2</v>
      </c>
      <c r="G200" t="s">
        <v>108</v>
      </c>
      <c r="H200">
        <v>3.5649999999999999</v>
      </c>
      <c r="Q200" s="155">
        <v>580</v>
      </c>
      <c r="R200" s="155" t="s">
        <v>389</v>
      </c>
      <c r="S200" s="155">
        <v>5.6723100000000004</v>
      </c>
      <c r="T200" s="155">
        <v>2.0724168947386463</v>
      </c>
      <c r="U200" s="155">
        <v>5.1285375000000002</v>
      </c>
      <c r="V200" s="155">
        <v>-28.219819496383764</v>
      </c>
      <c r="W200" s="142">
        <v>3.5649999999999999</v>
      </c>
      <c r="X200" s="158">
        <v>6.1372437857142854</v>
      </c>
      <c r="Y200" s="158">
        <v>2.165951323344959</v>
      </c>
      <c r="Z200" s="158">
        <v>4.1588204642857134</v>
      </c>
      <c r="AA200" s="158">
        <v>-25.525093669069488</v>
      </c>
      <c r="AB200" s="158">
        <v>2.4814285714285718</v>
      </c>
      <c r="AC200" s="158">
        <v>2.4814285714285718</v>
      </c>
      <c r="AD200" s="144">
        <f t="shared" si="81"/>
        <v>1.1401907461647542E-2</v>
      </c>
      <c r="AE200" s="144">
        <f t="shared" si="82"/>
        <v>0.27452622576973307</v>
      </c>
      <c r="AF200" s="145">
        <f t="shared" si="83"/>
        <v>6.467515371377798E-2</v>
      </c>
      <c r="AG200" s="145">
        <f t="shared" si="84"/>
        <v>1.4079180435935426</v>
      </c>
      <c r="AH200" s="146">
        <f t="shared" si="85"/>
        <v>1.8141698096431413</v>
      </c>
      <c r="AI200" s="146">
        <f t="shared" si="86"/>
        <v>39.492792246663186</v>
      </c>
      <c r="AJ200" s="147">
        <f t="shared" si="87"/>
        <v>21.769071471006164</v>
      </c>
      <c r="AK200" s="148">
        <f t="shared" si="80"/>
        <v>1.8864655713936873</v>
      </c>
      <c r="AL200" s="148">
        <f t="shared" si="88"/>
        <v>-28.724725827314277</v>
      </c>
      <c r="AM200" s="149">
        <v>0.36599999999999999</v>
      </c>
      <c r="AN200" s="150">
        <f t="shared" si="89"/>
        <v>1.8864655713936873</v>
      </c>
      <c r="AO200" s="151">
        <f t="shared" si="90"/>
        <v>0.36694204118695428</v>
      </c>
      <c r="AP200" s="152">
        <f t="shared" si="91"/>
        <v>9.4204118695428996E-4</v>
      </c>
      <c r="AQ200" s="152">
        <f t="shared" si="92"/>
        <v>18.141698096431412</v>
      </c>
      <c r="AR200" s="153">
        <f t="shared" si="93"/>
        <v>0.17090226808128631</v>
      </c>
      <c r="AS200" s="153">
        <f t="shared" si="94"/>
        <v>9.4204118695428996</v>
      </c>
      <c r="AT200" s="149">
        <v>1.077</v>
      </c>
      <c r="AU200" s="150">
        <f t="shared" si="95"/>
        <v>-28.724725827314277</v>
      </c>
      <c r="AV200" s="150">
        <f t="shared" si="96"/>
        <v>1.079638611979947</v>
      </c>
      <c r="AW200" s="154">
        <f t="shared" si="97"/>
        <v>2.6386119799470809E-3</v>
      </c>
      <c r="AX200" s="154">
        <f t="shared" si="98"/>
        <v>394.92792246663191</v>
      </c>
      <c r="AY200" s="154">
        <f t="shared" si="99"/>
        <v>10.420615474360668</v>
      </c>
      <c r="AZ200" s="154">
        <f t="shared" si="100"/>
        <v>26.386119799470812</v>
      </c>
    </row>
    <row r="201" spans="1:52" ht="18" x14ac:dyDescent="0.25">
      <c r="A201" s="104">
        <v>188</v>
      </c>
      <c r="B201">
        <v>5</v>
      </c>
      <c r="C201" t="s">
        <v>463</v>
      </c>
      <c r="D201" t="s">
        <v>40</v>
      </c>
      <c r="E201" t="s">
        <v>467</v>
      </c>
      <c r="F201">
        <v>2</v>
      </c>
      <c r="G201" t="s">
        <v>109</v>
      </c>
      <c r="H201">
        <v>3.419</v>
      </c>
      <c r="Q201" s="141">
        <v>581</v>
      </c>
      <c r="R201" s="141" t="s">
        <v>390</v>
      </c>
      <c r="S201" s="141">
        <v>3.3662972500000001</v>
      </c>
      <c r="T201" s="141">
        <v>-0.73080047820488492</v>
      </c>
      <c r="U201" s="141">
        <v>4.2581170000000004</v>
      </c>
      <c r="V201" s="141">
        <v>-27.9206398233393</v>
      </c>
      <c r="W201" s="142">
        <v>3.419</v>
      </c>
      <c r="X201" s="158">
        <v>6.1372437857142854</v>
      </c>
      <c r="Y201" s="158">
        <v>2.165951323344959</v>
      </c>
      <c r="Z201" s="158">
        <v>4.1588204642857134</v>
      </c>
      <c r="AA201" s="158">
        <v>-25.525093669069488</v>
      </c>
      <c r="AB201" s="158">
        <v>2.4814285714285718</v>
      </c>
      <c r="AC201" s="158">
        <v>2.4814285714285718</v>
      </c>
      <c r="AD201" s="144">
        <f t="shared" si="81"/>
        <v>1.1401907461647542E-2</v>
      </c>
      <c r="AE201" s="144">
        <f t="shared" si="82"/>
        <v>0.27452622576973307</v>
      </c>
      <c r="AF201" s="145">
        <f t="shared" si="83"/>
        <v>3.8382209732898603E-2</v>
      </c>
      <c r="AG201" s="145">
        <f t="shared" si="84"/>
        <v>1.1689647888959385</v>
      </c>
      <c r="AH201" s="146">
        <f t="shared" si="85"/>
        <v>1.1226150843199358</v>
      </c>
      <c r="AI201" s="146">
        <f t="shared" si="86"/>
        <v>34.190254135593406</v>
      </c>
      <c r="AJ201" s="147">
        <f t="shared" si="87"/>
        <v>30.455901237337617</v>
      </c>
      <c r="AK201" s="148">
        <f t="shared" si="80"/>
        <v>-0.91675180154984393</v>
      </c>
      <c r="AL201" s="148">
        <f t="shared" si="88"/>
        <v>-28.425546154269814</v>
      </c>
      <c r="AM201" s="149">
        <v>0.36599999999999999</v>
      </c>
      <c r="AN201" s="150">
        <f t="shared" si="89"/>
        <v>-0.91675180154984393</v>
      </c>
      <c r="AO201" s="151">
        <f t="shared" si="90"/>
        <v>0.36591911650544234</v>
      </c>
      <c r="AP201" s="152">
        <f t="shared" si="91"/>
        <v>-8.088349455764865E-5</v>
      </c>
      <c r="AQ201" s="152">
        <f t="shared" si="92"/>
        <v>11.226150843199356</v>
      </c>
      <c r="AR201" s="153">
        <f t="shared" si="93"/>
        <v>-9.0801031062925797E-3</v>
      </c>
      <c r="AS201" s="153">
        <f t="shared" si="94"/>
        <v>-0.8088349455764865</v>
      </c>
      <c r="AT201" s="149">
        <v>1.077</v>
      </c>
      <c r="AU201" s="150">
        <f t="shared" si="95"/>
        <v>-28.425546154269814</v>
      </c>
      <c r="AV201" s="150">
        <f t="shared" si="96"/>
        <v>1.0799675790360901</v>
      </c>
      <c r="AW201" s="154">
        <f t="shared" si="97"/>
        <v>2.9675790360901289E-3</v>
      </c>
      <c r="AX201" s="154">
        <f t="shared" si="98"/>
        <v>341.90254135593415</v>
      </c>
      <c r="AY201" s="154">
        <f t="shared" si="99"/>
        <v>10.146228141138083</v>
      </c>
      <c r="AZ201" s="154">
        <f t="shared" si="100"/>
        <v>29.675790360901289</v>
      </c>
    </row>
    <row r="202" spans="1:52" ht="18" x14ac:dyDescent="0.25">
      <c r="A202" s="104">
        <v>189</v>
      </c>
      <c r="B202">
        <v>5</v>
      </c>
      <c r="C202" t="s">
        <v>456</v>
      </c>
      <c r="D202" t="s">
        <v>52</v>
      </c>
      <c r="E202" t="s">
        <v>468</v>
      </c>
      <c r="F202">
        <v>2</v>
      </c>
      <c r="G202" t="s">
        <v>110</v>
      </c>
      <c r="H202">
        <v>3.75</v>
      </c>
      <c r="Q202" s="155">
        <v>582</v>
      </c>
      <c r="R202" s="155" t="s">
        <v>391</v>
      </c>
      <c r="S202" s="155">
        <v>5.0935350000000001</v>
      </c>
      <c r="T202" s="155">
        <v>-3.0163443929762392</v>
      </c>
      <c r="U202" s="155">
        <v>6.0860810000000001</v>
      </c>
      <c r="V202" s="155">
        <v>-29.182302500365626</v>
      </c>
      <c r="W202" s="142">
        <v>3.75</v>
      </c>
      <c r="X202" s="158">
        <v>6.1372437857142854</v>
      </c>
      <c r="Y202" s="158">
        <v>2.165951323344959</v>
      </c>
      <c r="Z202" s="158">
        <v>4.1588204642857134</v>
      </c>
      <c r="AA202" s="158">
        <v>-25.525093669069488</v>
      </c>
      <c r="AB202" s="158">
        <v>2.4814285714285718</v>
      </c>
      <c r="AC202" s="158">
        <v>2.4814285714285718</v>
      </c>
      <c r="AD202" s="144">
        <f t="shared" si="81"/>
        <v>1.1401907461647542E-2</v>
      </c>
      <c r="AE202" s="144">
        <f t="shared" si="82"/>
        <v>0.27452622576973307</v>
      </c>
      <c r="AF202" s="145">
        <f t="shared" si="83"/>
        <v>5.8076014722662918E-2</v>
      </c>
      <c r="AG202" s="145">
        <f t="shared" si="84"/>
        <v>1.6707888466588827</v>
      </c>
      <c r="AH202" s="146">
        <f t="shared" si="85"/>
        <v>1.5486937259376778</v>
      </c>
      <c r="AI202" s="146">
        <f t="shared" si="86"/>
        <v>44.554369244236874</v>
      </c>
      <c r="AJ202" s="147">
        <f t="shared" si="87"/>
        <v>28.768999640171476</v>
      </c>
      <c r="AK202" s="148">
        <f t="shared" si="80"/>
        <v>-3.2022957163211982</v>
      </c>
      <c r="AL202" s="148">
        <f t="shared" si="88"/>
        <v>-29.68720883129614</v>
      </c>
      <c r="AM202" s="149">
        <v>0.36599999999999999</v>
      </c>
      <c r="AN202" s="150">
        <f t="shared" si="89"/>
        <v>-3.2022957163211982</v>
      </c>
      <c r="AO202" s="151">
        <f t="shared" si="90"/>
        <v>0.36508508098677006</v>
      </c>
      <c r="AP202" s="152">
        <f t="shared" si="91"/>
        <v>-9.1491901322993119E-4</v>
      </c>
      <c r="AQ202" s="152">
        <f t="shared" si="92"/>
        <v>15.486937259376777</v>
      </c>
      <c r="AR202" s="153">
        <f t="shared" si="93"/>
        <v>-0.14169293355302856</v>
      </c>
      <c r="AS202" s="153">
        <f t="shared" si="94"/>
        <v>-9.1491901322993119</v>
      </c>
      <c r="AT202" s="149">
        <v>1.077</v>
      </c>
      <c r="AU202" s="150">
        <f t="shared" si="95"/>
        <v>-29.68720883129614</v>
      </c>
      <c r="AV202" s="150">
        <f t="shared" si="96"/>
        <v>1.078580285932389</v>
      </c>
      <c r="AW202" s="154">
        <f t="shared" si="97"/>
        <v>1.5802859323890139E-3</v>
      </c>
      <c r="AX202" s="154">
        <f t="shared" si="98"/>
        <v>445.54369244236875</v>
      </c>
      <c r="AY202" s="154">
        <f t="shared" si="99"/>
        <v>7.0408642943133284</v>
      </c>
      <c r="AZ202" s="154">
        <f t="shared" si="100"/>
        <v>15.802859323890139</v>
      </c>
    </row>
    <row r="203" spans="1:52" ht="18" x14ac:dyDescent="0.25">
      <c r="A203" s="104">
        <v>190</v>
      </c>
      <c r="B203">
        <v>5</v>
      </c>
      <c r="C203" t="s">
        <v>458</v>
      </c>
      <c r="D203" t="s">
        <v>48</v>
      </c>
      <c r="E203" t="s">
        <v>468</v>
      </c>
      <c r="F203">
        <v>2</v>
      </c>
      <c r="G203" t="s">
        <v>111</v>
      </c>
      <c r="H203">
        <v>3.14</v>
      </c>
      <c r="Q203" s="141">
        <v>583</v>
      </c>
      <c r="R203" s="141" t="s">
        <v>392</v>
      </c>
      <c r="S203" s="141">
        <v>4.8914255000000004</v>
      </c>
      <c r="T203" s="141">
        <v>-2.0909137745806605</v>
      </c>
      <c r="U203" s="141">
        <v>5.185441</v>
      </c>
      <c r="V203" s="141">
        <v>-28.581983932154486</v>
      </c>
      <c r="W203" s="142">
        <v>3.14</v>
      </c>
      <c r="X203" s="158">
        <v>6.1372437857142854</v>
      </c>
      <c r="Y203" s="158">
        <v>2.165951323344959</v>
      </c>
      <c r="Z203" s="158">
        <v>4.1588204642857134</v>
      </c>
      <c r="AA203" s="158">
        <v>-25.525093669069488</v>
      </c>
      <c r="AB203" s="158">
        <v>2.4814285714285718</v>
      </c>
      <c r="AC203" s="158">
        <v>2.4814285714285718</v>
      </c>
      <c r="AD203" s="144">
        <f t="shared" si="81"/>
        <v>1.1401907461647542E-2</v>
      </c>
      <c r="AE203" s="144">
        <f t="shared" si="82"/>
        <v>0.27452622576973307</v>
      </c>
      <c r="AF203" s="145">
        <f t="shared" si="83"/>
        <v>5.5771580906543064E-2</v>
      </c>
      <c r="AG203" s="145">
        <f t="shared" si="84"/>
        <v>1.4235395466816303</v>
      </c>
      <c r="AH203" s="146">
        <f t="shared" si="85"/>
        <v>1.7761649970236644</v>
      </c>
      <c r="AI203" s="146">
        <f t="shared" si="86"/>
        <v>45.335654352918162</v>
      </c>
      <c r="AJ203" s="147">
        <f t="shared" si="87"/>
        <v>25.524461088292767</v>
      </c>
      <c r="AK203" s="148">
        <f t="shared" si="80"/>
        <v>-2.2768650979256195</v>
      </c>
      <c r="AL203" s="148">
        <f t="shared" si="88"/>
        <v>-29.086890263084999</v>
      </c>
      <c r="AM203" s="149">
        <v>0.36599999999999999</v>
      </c>
      <c r="AN203" s="150">
        <f t="shared" si="89"/>
        <v>-2.2768650979256195</v>
      </c>
      <c r="AO203" s="151">
        <f t="shared" si="90"/>
        <v>0.36542278871828904</v>
      </c>
      <c r="AP203" s="152">
        <f t="shared" si="91"/>
        <v>-5.7721128171095426E-4</v>
      </c>
      <c r="AQ203" s="152">
        <f t="shared" si="92"/>
        <v>17.761649970236647</v>
      </c>
      <c r="AR203" s="153">
        <f t="shared" si="93"/>
        <v>-0.10252224744621628</v>
      </c>
      <c r="AS203" s="153">
        <f t="shared" si="94"/>
        <v>-5.7721128171095426</v>
      </c>
      <c r="AT203" s="149">
        <v>1.077</v>
      </c>
      <c r="AU203" s="150">
        <f t="shared" si="95"/>
        <v>-29.086890263084999</v>
      </c>
      <c r="AV203" s="150">
        <f t="shared" si="96"/>
        <v>1.0792403862485653</v>
      </c>
      <c r="AW203" s="154">
        <f t="shared" si="97"/>
        <v>2.2403862485653736E-3</v>
      </c>
      <c r="AX203" s="154">
        <f t="shared" si="98"/>
        <v>453.35654352918169</v>
      </c>
      <c r="AY203" s="154">
        <f t="shared" si="99"/>
        <v>10.15693765819908</v>
      </c>
      <c r="AZ203" s="154">
        <f t="shared" si="100"/>
        <v>22.403862485653736</v>
      </c>
    </row>
    <row r="204" spans="1:52" ht="18" x14ac:dyDescent="0.25">
      <c r="A204" s="104">
        <v>191</v>
      </c>
      <c r="B204">
        <v>5</v>
      </c>
      <c r="C204" t="s">
        <v>459</v>
      </c>
      <c r="D204" t="s">
        <v>44</v>
      </c>
      <c r="E204" t="s">
        <v>468</v>
      </c>
      <c r="F204">
        <v>2</v>
      </c>
      <c r="G204" t="s">
        <v>112</v>
      </c>
      <c r="H204">
        <v>4.0620000000000003</v>
      </c>
      <c r="Q204" s="155">
        <v>584</v>
      </c>
      <c r="R204" s="155" t="s">
        <v>393</v>
      </c>
      <c r="S204" s="155">
        <v>6.3468024999999999</v>
      </c>
      <c r="T204" s="155">
        <v>-7.4845607636536773</v>
      </c>
      <c r="U204" s="155">
        <v>6.3827464999999997</v>
      </c>
      <c r="V204" s="155">
        <v>-29.646856569443123</v>
      </c>
      <c r="W204" s="142">
        <v>4.0620000000000003</v>
      </c>
      <c r="X204" s="158">
        <v>6.1372437857142854</v>
      </c>
      <c r="Y204" s="158">
        <v>2.165951323344959</v>
      </c>
      <c r="Z204" s="158">
        <v>4.1588204642857134</v>
      </c>
      <c r="AA204" s="158">
        <v>-25.525093669069488</v>
      </c>
      <c r="AB204" s="158">
        <v>2.4814285714285718</v>
      </c>
      <c r="AC204" s="158">
        <v>2.4814285714285718</v>
      </c>
      <c r="AD204" s="144">
        <f t="shared" si="81"/>
        <v>1.1401907461647542E-2</v>
      </c>
      <c r="AE204" s="144">
        <f t="shared" si="82"/>
        <v>0.27452622576973307</v>
      </c>
      <c r="AF204" s="145">
        <f t="shared" si="83"/>
        <v>7.2365654782353281E-2</v>
      </c>
      <c r="AG204" s="145">
        <f t="shared" si="84"/>
        <v>1.7522313066899735</v>
      </c>
      <c r="AH204" s="146">
        <f t="shared" si="85"/>
        <v>1.7815276903582786</v>
      </c>
      <c r="AI204" s="146">
        <f t="shared" si="86"/>
        <v>43.137156737813228</v>
      </c>
      <c r="AJ204" s="147">
        <f t="shared" si="87"/>
        <v>24.213576343086771</v>
      </c>
      <c r="AK204" s="148">
        <f t="shared" si="80"/>
        <v>-7.6705120869986363</v>
      </c>
      <c r="AL204" s="148">
        <f t="shared" si="88"/>
        <v>-30.151762900373637</v>
      </c>
      <c r="AM204" s="149">
        <v>0.36599999999999999</v>
      </c>
      <c r="AN204" s="150">
        <f t="shared" si="89"/>
        <v>-7.6705120869986363</v>
      </c>
      <c r="AO204" s="151">
        <f t="shared" si="90"/>
        <v>0.36345450923585815</v>
      </c>
      <c r="AP204" s="152">
        <f t="shared" si="91"/>
        <v>-2.5454907641418445E-3</v>
      </c>
      <c r="AQ204" s="152">
        <f t="shared" si="92"/>
        <v>17.815276903582788</v>
      </c>
      <c r="AR204" s="153">
        <f t="shared" si="93"/>
        <v>-0.45348622818699502</v>
      </c>
      <c r="AS204" s="153">
        <f t="shared" si="94"/>
        <v>-25.454907641418444</v>
      </c>
      <c r="AT204" s="149">
        <v>1.077</v>
      </c>
      <c r="AU204" s="150">
        <f t="shared" si="95"/>
        <v>-30.151762900373637</v>
      </c>
      <c r="AV204" s="150">
        <f t="shared" si="96"/>
        <v>1.0780694639556054</v>
      </c>
      <c r="AW204" s="154">
        <f t="shared" si="97"/>
        <v>1.0694639556054764E-3</v>
      </c>
      <c r="AX204" s="154">
        <f t="shared" si="98"/>
        <v>431.37156737813228</v>
      </c>
      <c r="AY204" s="154">
        <f t="shared" si="99"/>
        <v>4.6133634278395164</v>
      </c>
      <c r="AZ204" s="154">
        <f t="shared" si="100"/>
        <v>10.694639556054764</v>
      </c>
    </row>
    <row r="205" spans="1:52" ht="18" x14ac:dyDescent="0.25">
      <c r="A205" s="104">
        <v>192</v>
      </c>
      <c r="B205">
        <v>5</v>
      </c>
      <c r="C205" t="s">
        <v>460</v>
      </c>
      <c r="D205" t="s">
        <v>32</v>
      </c>
      <c r="E205" t="s">
        <v>468</v>
      </c>
      <c r="F205">
        <v>2</v>
      </c>
      <c r="G205" t="s">
        <v>126</v>
      </c>
      <c r="H205">
        <v>3.89</v>
      </c>
      <c r="Q205" s="141">
        <v>585</v>
      </c>
      <c r="R205" s="141" t="s">
        <v>394</v>
      </c>
      <c r="S205" s="141">
        <v>4.9781614999999997</v>
      </c>
      <c r="T205" s="141">
        <v>13.332311547943865</v>
      </c>
      <c r="U205" s="141">
        <v>6.1808994999999998</v>
      </c>
      <c r="V205" s="141">
        <v>-29.517841777447625</v>
      </c>
      <c r="W205" s="142">
        <v>3.89</v>
      </c>
      <c r="X205" s="158">
        <v>6.1372437857142854</v>
      </c>
      <c r="Y205" s="158">
        <v>2.165951323344959</v>
      </c>
      <c r="Z205" s="158">
        <v>4.1588204642857134</v>
      </c>
      <c r="AA205" s="158">
        <v>-25.525093669069488</v>
      </c>
      <c r="AB205" s="158">
        <v>2.4814285714285718</v>
      </c>
      <c r="AC205" s="158">
        <v>2.4814285714285718</v>
      </c>
      <c r="AD205" s="144">
        <f t="shared" si="81"/>
        <v>1.1401907461647542E-2</v>
      </c>
      <c r="AE205" s="144">
        <f t="shared" si="82"/>
        <v>0.27452622576973307</v>
      </c>
      <c r="AF205" s="145">
        <f t="shared" si="83"/>
        <v>5.676053675213652E-2</v>
      </c>
      <c r="AG205" s="145">
        <f t="shared" si="84"/>
        <v>1.6968190115970301</v>
      </c>
      <c r="AH205" s="146">
        <f t="shared" si="85"/>
        <v>1.4591397622657203</v>
      </c>
      <c r="AI205" s="146">
        <f t="shared" si="86"/>
        <v>43.620026005065043</v>
      </c>
      <c r="AJ205" s="147">
        <f t="shared" si="87"/>
        <v>29.894344005356153</v>
      </c>
      <c r="AK205" s="148">
        <f t="shared" si="80"/>
        <v>13.146360224598906</v>
      </c>
      <c r="AL205" s="148">
        <f t="shared" si="88"/>
        <v>-30.022748108378138</v>
      </c>
      <c r="AM205" s="149">
        <v>0.36599999999999999</v>
      </c>
      <c r="AN205" s="150">
        <f t="shared" si="89"/>
        <v>13.146360224598906</v>
      </c>
      <c r="AO205" s="151">
        <f t="shared" si="90"/>
        <v>0.37105068828537358</v>
      </c>
      <c r="AP205" s="152">
        <f t="shared" si="91"/>
        <v>5.0506882853735835E-3</v>
      </c>
      <c r="AQ205" s="152">
        <f t="shared" si="92"/>
        <v>14.591397622657203</v>
      </c>
      <c r="AR205" s="153">
        <f t="shared" si="93"/>
        <v>0.73696601039982701</v>
      </c>
      <c r="AS205" s="153">
        <f t="shared" si="94"/>
        <v>50.506882853735831</v>
      </c>
      <c r="AT205" s="149">
        <v>1.077</v>
      </c>
      <c r="AU205" s="150">
        <f t="shared" si="95"/>
        <v>-30.022748108378138</v>
      </c>
      <c r="AV205" s="150">
        <f t="shared" si="96"/>
        <v>1.0782113286841171</v>
      </c>
      <c r="AW205" s="154">
        <f t="shared" si="97"/>
        <v>1.2113286841171078E-3</v>
      </c>
      <c r="AX205" s="154">
        <f t="shared" si="98"/>
        <v>436.20026005065046</v>
      </c>
      <c r="AY205" s="154">
        <f t="shared" si="99"/>
        <v>5.2838188701869457</v>
      </c>
      <c r="AZ205" s="154">
        <f t="shared" si="100"/>
        <v>12.113286841171078</v>
      </c>
    </row>
    <row r="206" spans="1:52" ht="18" x14ac:dyDescent="0.25">
      <c r="A206" s="104">
        <v>193</v>
      </c>
      <c r="B206">
        <v>5</v>
      </c>
      <c r="C206" t="s">
        <v>461</v>
      </c>
      <c r="D206" t="s">
        <v>24</v>
      </c>
      <c r="E206" t="s">
        <v>468</v>
      </c>
      <c r="F206">
        <v>2</v>
      </c>
      <c r="G206" t="s">
        <v>127</v>
      </c>
      <c r="H206">
        <v>3.3250000000000002</v>
      </c>
      <c r="Q206" s="155">
        <v>586</v>
      </c>
      <c r="R206" s="155" t="s">
        <v>395</v>
      </c>
      <c r="S206" s="155">
        <v>6.7917734999999997</v>
      </c>
      <c r="T206" s="155">
        <v>-0.97493396593884285</v>
      </c>
      <c r="U206" s="155">
        <v>5.3395004999999998</v>
      </c>
      <c r="V206" s="155">
        <v>-29.009169973418011</v>
      </c>
      <c r="W206" s="142">
        <v>3.3250000000000002</v>
      </c>
      <c r="X206" s="158">
        <v>6.1372437857142854</v>
      </c>
      <c r="Y206" s="158">
        <v>2.165951323344959</v>
      </c>
      <c r="Z206" s="158">
        <v>4.1588204642857134</v>
      </c>
      <c r="AA206" s="158">
        <v>-25.525093669069488</v>
      </c>
      <c r="AB206" s="158">
        <v>2.4814285714285718</v>
      </c>
      <c r="AC206" s="158">
        <v>2.4814285714285718</v>
      </c>
      <c r="AD206" s="144">
        <f t="shared" si="81"/>
        <v>1.1401907461647542E-2</v>
      </c>
      <c r="AE206" s="144">
        <f t="shared" si="82"/>
        <v>0.27452622576973307</v>
      </c>
      <c r="AF206" s="145">
        <f t="shared" si="83"/>
        <v>7.7439172947470047E-2</v>
      </c>
      <c r="AG206" s="145">
        <f t="shared" si="84"/>
        <v>1.4658329197606026</v>
      </c>
      <c r="AH206" s="146">
        <f t="shared" si="85"/>
        <v>2.328997682630678</v>
      </c>
      <c r="AI206" s="146">
        <f t="shared" si="86"/>
        <v>44.085200594303835</v>
      </c>
      <c r="AJ206" s="147">
        <f t="shared" si="87"/>
        <v>18.928829737824461</v>
      </c>
      <c r="AK206" s="148">
        <f t="shared" si="80"/>
        <v>-1.1608852892838017</v>
      </c>
      <c r="AL206" s="148">
        <f t="shared" si="88"/>
        <v>-29.514076304348524</v>
      </c>
      <c r="AM206" s="149">
        <v>0.36599999999999999</v>
      </c>
      <c r="AN206" s="150">
        <f t="shared" si="89"/>
        <v>-1.1608852892838017</v>
      </c>
      <c r="AO206" s="151">
        <f t="shared" si="90"/>
        <v>0.36583002853108271</v>
      </c>
      <c r="AP206" s="152">
        <f t="shared" si="91"/>
        <v>-1.6997146891728487E-4</v>
      </c>
      <c r="AQ206" s="152">
        <f t="shared" si="92"/>
        <v>23.289976826306781</v>
      </c>
      <c r="AR206" s="153">
        <f t="shared" si="93"/>
        <v>-3.9586315722168877E-2</v>
      </c>
      <c r="AS206" s="153">
        <f t="shared" si="94"/>
        <v>-1.699714689172849</v>
      </c>
      <c r="AT206" s="149">
        <v>1.077</v>
      </c>
      <c r="AU206" s="150">
        <f t="shared" si="95"/>
        <v>-29.514076304348524</v>
      </c>
      <c r="AV206" s="150">
        <f t="shared" si="96"/>
        <v>1.0787706604843563</v>
      </c>
      <c r="AW206" s="154">
        <f t="shared" si="97"/>
        <v>1.7706604843563678E-3</v>
      </c>
      <c r="AX206" s="154">
        <f t="shared" si="98"/>
        <v>440.85200594303836</v>
      </c>
      <c r="AY206" s="154">
        <f t="shared" si="99"/>
        <v>7.8059922637257664</v>
      </c>
      <c r="AZ206" s="154">
        <f t="shared" si="100"/>
        <v>17.706604843563678</v>
      </c>
    </row>
    <row r="207" spans="1:52" ht="18" x14ac:dyDescent="0.25">
      <c r="A207" s="104">
        <v>194</v>
      </c>
      <c r="B207">
        <v>5</v>
      </c>
      <c r="C207" t="s">
        <v>462</v>
      </c>
      <c r="D207" t="s">
        <v>28</v>
      </c>
      <c r="E207" t="s">
        <v>468</v>
      </c>
      <c r="F207">
        <v>2</v>
      </c>
      <c r="G207" t="s">
        <v>128</v>
      </c>
      <c r="H207">
        <v>3.9980000000000002</v>
      </c>
      <c r="Q207" s="141">
        <v>587</v>
      </c>
      <c r="R207" s="141" t="s">
        <v>396</v>
      </c>
      <c r="S207" s="141">
        <v>7.586246</v>
      </c>
      <c r="T207" s="141">
        <v>-3.4774624513634556</v>
      </c>
      <c r="U207" s="141">
        <v>6.1127425000000004</v>
      </c>
      <c r="V207" s="141">
        <v>-27.483076458131137</v>
      </c>
      <c r="W207" s="142">
        <v>3.9980000000000002</v>
      </c>
      <c r="X207" s="158">
        <v>6.1372437857142854</v>
      </c>
      <c r="Y207" s="158">
        <v>2.165951323344959</v>
      </c>
      <c r="Z207" s="158">
        <v>4.1588204642857134</v>
      </c>
      <c r="AA207" s="158">
        <v>-25.525093669069488</v>
      </c>
      <c r="AB207" s="158">
        <v>2.4814285714285718</v>
      </c>
      <c r="AC207" s="158">
        <v>2.4814285714285718</v>
      </c>
      <c r="AD207" s="144">
        <f t="shared" si="81"/>
        <v>1.1401907461647542E-2</v>
      </c>
      <c r="AE207" s="144">
        <f t="shared" si="82"/>
        <v>0.27452622576973307</v>
      </c>
      <c r="AF207" s="145">
        <f t="shared" si="83"/>
        <v>8.6497674873293823E-2</v>
      </c>
      <c r="AG207" s="145">
        <f t="shared" si="84"/>
        <v>1.6781081276272427</v>
      </c>
      <c r="AH207" s="146">
        <f t="shared" si="85"/>
        <v>2.1635236336491701</v>
      </c>
      <c r="AI207" s="146">
        <f t="shared" si="86"/>
        <v>41.973690035698915</v>
      </c>
      <c r="AJ207" s="147">
        <f t="shared" si="87"/>
        <v>19.400615451056002</v>
      </c>
      <c r="AK207" s="148">
        <f t="shared" si="80"/>
        <v>-3.6634137747084146</v>
      </c>
      <c r="AL207" s="148">
        <f t="shared" si="88"/>
        <v>-27.98798278906165</v>
      </c>
      <c r="AM207" s="149">
        <v>0.36599999999999999</v>
      </c>
      <c r="AN207" s="150">
        <f t="shared" si="89"/>
        <v>-3.6634137747084146</v>
      </c>
      <c r="AO207" s="151">
        <f t="shared" si="90"/>
        <v>0.36491680913452956</v>
      </c>
      <c r="AP207" s="152">
        <f t="shared" si="91"/>
        <v>-1.0831908654704292E-3</v>
      </c>
      <c r="AQ207" s="152">
        <f t="shared" si="92"/>
        <v>21.635236336491701</v>
      </c>
      <c r="AR207" s="153">
        <f t="shared" si="93"/>
        <v>-0.23435090371981721</v>
      </c>
      <c r="AS207" s="153">
        <f t="shared" si="94"/>
        <v>-10.831908654704293</v>
      </c>
      <c r="AT207" s="149">
        <v>1.077</v>
      </c>
      <c r="AU207" s="150">
        <f t="shared" si="95"/>
        <v>-27.98798278906165</v>
      </c>
      <c r="AV207" s="150">
        <f t="shared" si="96"/>
        <v>1.0804487038125794</v>
      </c>
      <c r="AW207" s="154">
        <f t="shared" si="97"/>
        <v>3.4487038125794456E-3</v>
      </c>
      <c r="AX207" s="154">
        <f t="shared" si="98"/>
        <v>419.73690035698911</v>
      </c>
      <c r="AY207" s="154">
        <f t="shared" si="99"/>
        <v>14.475482485414272</v>
      </c>
      <c r="AZ207" s="154">
        <f t="shared" si="100"/>
        <v>34.487038125794456</v>
      </c>
    </row>
    <row r="208" spans="1:52" ht="18" x14ac:dyDescent="0.25">
      <c r="A208" s="104">
        <v>195</v>
      </c>
      <c r="B208">
        <v>5</v>
      </c>
      <c r="C208" t="s">
        <v>463</v>
      </c>
      <c r="D208" t="s">
        <v>40</v>
      </c>
      <c r="E208" t="s">
        <v>468</v>
      </c>
      <c r="F208">
        <v>2</v>
      </c>
      <c r="G208" t="s">
        <v>113</v>
      </c>
      <c r="H208">
        <v>3.294</v>
      </c>
      <c r="Q208" s="155">
        <v>588</v>
      </c>
      <c r="R208" s="155" t="s">
        <v>397</v>
      </c>
      <c r="S208" s="155">
        <v>4.0714845000000004</v>
      </c>
      <c r="T208" s="155">
        <v>-4.5548967112399747</v>
      </c>
      <c r="U208" s="155">
        <v>5.2171135</v>
      </c>
      <c r="V208" s="155">
        <v>-28.196421447789589</v>
      </c>
      <c r="W208" s="142">
        <v>3.294</v>
      </c>
      <c r="X208" s="158">
        <v>6.1372437857142854</v>
      </c>
      <c r="Y208" s="158">
        <v>2.165951323344959</v>
      </c>
      <c r="Z208" s="158">
        <v>4.1588204642857134</v>
      </c>
      <c r="AA208" s="158">
        <v>-25.525093669069488</v>
      </c>
      <c r="AB208" s="158">
        <v>2.4814285714285718</v>
      </c>
      <c r="AC208" s="158">
        <v>2.4814285714285718</v>
      </c>
      <c r="AD208" s="144">
        <f t="shared" si="81"/>
        <v>1.1401907461647542E-2</v>
      </c>
      <c r="AE208" s="144">
        <f t="shared" si="82"/>
        <v>0.27452622576973307</v>
      </c>
      <c r="AF208" s="145">
        <f t="shared" si="83"/>
        <v>4.642268950053232E-2</v>
      </c>
      <c r="AG208" s="145">
        <f t="shared" si="84"/>
        <v>1.4322344785673222</v>
      </c>
      <c r="AH208" s="146">
        <f t="shared" si="85"/>
        <v>1.4093105495000704</v>
      </c>
      <c r="AI208" s="146">
        <f t="shared" si="86"/>
        <v>43.48009953149127</v>
      </c>
      <c r="AJ208" s="147">
        <f t="shared" si="87"/>
        <v>30.852035803546002</v>
      </c>
      <c r="AK208" s="148">
        <f t="shared" si="80"/>
        <v>-4.7408480345849338</v>
      </c>
      <c r="AL208" s="148">
        <f t="shared" si="88"/>
        <v>-28.701327778720103</v>
      </c>
      <c r="AM208" s="149">
        <v>0.36599999999999999</v>
      </c>
      <c r="AN208" s="150">
        <f t="shared" si="89"/>
        <v>-4.7408480345849338</v>
      </c>
      <c r="AO208" s="151">
        <f t="shared" si="90"/>
        <v>0.36452362808916916</v>
      </c>
      <c r="AP208" s="152">
        <f t="shared" si="91"/>
        <v>-1.4763719108308315E-3</v>
      </c>
      <c r="AQ208" s="152">
        <f t="shared" si="92"/>
        <v>14.093105495000703</v>
      </c>
      <c r="AR208" s="153">
        <f t="shared" si="93"/>
        <v>-0.20806665089194679</v>
      </c>
      <c r="AS208" s="153">
        <f t="shared" si="94"/>
        <v>-14.763719108308315</v>
      </c>
      <c r="AT208" s="149">
        <v>1.077</v>
      </c>
      <c r="AU208" s="150">
        <f t="shared" si="95"/>
        <v>-28.701327778720103</v>
      </c>
      <c r="AV208" s="150">
        <f t="shared" si="96"/>
        <v>1.0796643396996242</v>
      </c>
      <c r="AW208" s="154">
        <f t="shared" si="97"/>
        <v>2.6643396996242075E-3</v>
      </c>
      <c r="AX208" s="154">
        <f t="shared" si="98"/>
        <v>434.80099531491265</v>
      </c>
      <c r="AY208" s="154">
        <f t="shared" si="99"/>
        <v>11.584575532536409</v>
      </c>
      <c r="AZ208" s="154">
        <f t="shared" si="100"/>
        <v>26.643396996242071</v>
      </c>
    </row>
    <row r="209" spans="1:52" ht="18" x14ac:dyDescent="0.25">
      <c r="A209" s="104">
        <v>196</v>
      </c>
      <c r="B209">
        <v>5</v>
      </c>
      <c r="C209" t="s">
        <v>464</v>
      </c>
      <c r="D209" t="s">
        <v>36</v>
      </c>
      <c r="E209" t="s">
        <v>468</v>
      </c>
      <c r="F209">
        <v>2</v>
      </c>
      <c r="G209" t="s">
        <v>114</v>
      </c>
      <c r="H209">
        <v>3.323</v>
      </c>
      <c r="Q209" s="141">
        <v>589</v>
      </c>
      <c r="R209" s="141" t="s">
        <v>398</v>
      </c>
      <c r="S209" s="141">
        <v>5.9615239999999998</v>
      </c>
      <c r="T209" s="141">
        <v>-1.9325612526806117</v>
      </c>
      <c r="U209" s="141">
        <v>5.1960600000000001</v>
      </c>
      <c r="V209" s="141">
        <v>-29.550258772135656</v>
      </c>
      <c r="W209" s="142">
        <v>3.323</v>
      </c>
      <c r="X209" s="158">
        <v>6.1372437857142854</v>
      </c>
      <c r="Y209" s="158">
        <v>2.165951323344959</v>
      </c>
      <c r="Z209" s="158">
        <v>4.1588204642857134</v>
      </c>
      <c r="AA209" s="158">
        <v>-25.525093669069488</v>
      </c>
      <c r="AB209" s="158">
        <v>2.4814285714285718</v>
      </c>
      <c r="AC209" s="158">
        <v>2.4814285714285718</v>
      </c>
      <c r="AD209" s="144">
        <f t="shared" si="81"/>
        <v>1.1401907461647542E-2</v>
      </c>
      <c r="AE209" s="144">
        <f t="shared" si="82"/>
        <v>0.27452622576973307</v>
      </c>
      <c r="AF209" s="145">
        <f t="shared" si="83"/>
        <v>6.7972744978390898E-2</v>
      </c>
      <c r="AG209" s="145">
        <f t="shared" si="84"/>
        <v>1.4264547406730792</v>
      </c>
      <c r="AH209" s="146">
        <f t="shared" si="85"/>
        <v>2.0455234721152844</v>
      </c>
      <c r="AI209" s="146">
        <f t="shared" si="86"/>
        <v>42.926715036806478</v>
      </c>
      <c r="AJ209" s="147">
        <f t="shared" si="87"/>
        <v>20.985686853260979</v>
      </c>
      <c r="AK209" s="148">
        <f t="shared" si="80"/>
        <v>-2.1185125760255707</v>
      </c>
      <c r="AL209" s="148">
        <f t="shared" si="88"/>
        <v>-30.05516510306617</v>
      </c>
      <c r="AM209" s="149">
        <v>0.36599999999999999</v>
      </c>
      <c r="AN209" s="150">
        <f t="shared" si="89"/>
        <v>-2.1185125760255707</v>
      </c>
      <c r="AO209" s="151">
        <f t="shared" si="90"/>
        <v>0.36548057442109128</v>
      </c>
      <c r="AP209" s="152">
        <f t="shared" si="91"/>
        <v>-5.1942557890871655E-4</v>
      </c>
      <c r="AQ209" s="152">
        <f t="shared" si="92"/>
        <v>20.455234721152845</v>
      </c>
      <c r="AR209" s="153">
        <f t="shared" si="93"/>
        <v>-0.10624972136748495</v>
      </c>
      <c r="AS209" s="153">
        <f t="shared" si="94"/>
        <v>-5.1942557890871655</v>
      </c>
      <c r="AT209" s="149">
        <v>1.077</v>
      </c>
      <c r="AU209" s="150">
        <f t="shared" si="95"/>
        <v>-30.05516510306617</v>
      </c>
      <c r="AV209" s="150">
        <f t="shared" si="96"/>
        <v>1.0781756829791451</v>
      </c>
      <c r="AW209" s="154">
        <f t="shared" si="97"/>
        <v>1.1756829791451651E-3</v>
      </c>
      <c r="AX209" s="154">
        <f t="shared" si="98"/>
        <v>429.26715036806479</v>
      </c>
      <c r="AY209" s="154">
        <f t="shared" si="99"/>
        <v>5.0468208219388195</v>
      </c>
      <c r="AZ209" s="154">
        <f t="shared" si="100"/>
        <v>11.756829791451652</v>
      </c>
    </row>
    <row r="210" spans="1:52" ht="18" x14ac:dyDescent="0.25">
      <c r="A210" s="104">
        <v>197</v>
      </c>
      <c r="B210">
        <v>5</v>
      </c>
      <c r="C210" t="s">
        <v>456</v>
      </c>
      <c r="D210" t="s">
        <v>52</v>
      </c>
      <c r="E210" t="s">
        <v>470</v>
      </c>
      <c r="F210">
        <v>2</v>
      </c>
      <c r="G210" t="s">
        <v>115</v>
      </c>
      <c r="H210">
        <v>3.3540000000000001</v>
      </c>
      <c r="Q210" s="155">
        <v>590</v>
      </c>
      <c r="R210" s="155" t="s">
        <v>399</v>
      </c>
      <c r="S210" s="155">
        <v>3.4768569999999999</v>
      </c>
      <c r="T210" s="155">
        <v>0.28944076659527529</v>
      </c>
      <c r="U210" s="155">
        <v>5.3437225000000002</v>
      </c>
      <c r="V210" s="155">
        <v>-29.443687062617705</v>
      </c>
      <c r="W210" s="142">
        <v>3.3540000000000001</v>
      </c>
      <c r="X210" s="158">
        <v>6.1372437857142854</v>
      </c>
      <c r="Y210" s="158">
        <v>2.165951323344959</v>
      </c>
      <c r="Z210" s="158">
        <v>4.1588204642857134</v>
      </c>
      <c r="AA210" s="158">
        <v>-25.525093669069488</v>
      </c>
      <c r="AB210" s="158">
        <v>2.4814285714285718</v>
      </c>
      <c r="AC210" s="158">
        <v>2.4814285714285718</v>
      </c>
      <c r="AD210" s="144">
        <f t="shared" si="81"/>
        <v>1.1401907461647542E-2</v>
      </c>
      <c r="AE210" s="144">
        <f t="shared" si="82"/>
        <v>0.27452622576973307</v>
      </c>
      <c r="AF210" s="145">
        <f t="shared" si="83"/>
        <v>3.9642801771381485E-2</v>
      </c>
      <c r="AG210" s="145">
        <f t="shared" si="84"/>
        <v>1.4669919694858025</v>
      </c>
      <c r="AH210" s="146">
        <f t="shared" si="85"/>
        <v>1.1819559263977784</v>
      </c>
      <c r="AI210" s="146">
        <f t="shared" si="86"/>
        <v>43.738579889260656</v>
      </c>
      <c r="AJ210" s="147">
        <f t="shared" si="87"/>
        <v>37.005254521259339</v>
      </c>
      <c r="AK210" s="148">
        <f t="shared" si="80"/>
        <v>0.10348944325031628</v>
      </c>
      <c r="AL210" s="148">
        <f t="shared" si="88"/>
        <v>-29.948593393548219</v>
      </c>
      <c r="AM210" s="149">
        <v>0.36599999999999999</v>
      </c>
      <c r="AN210" s="150">
        <f t="shared" si="89"/>
        <v>0.10348944325031628</v>
      </c>
      <c r="AO210" s="151">
        <f t="shared" si="90"/>
        <v>0.36629141612644261</v>
      </c>
      <c r="AP210" s="152">
        <f t="shared" si="91"/>
        <v>2.9141612644262294E-4</v>
      </c>
      <c r="AQ210" s="152">
        <f t="shared" si="92"/>
        <v>11.819559263977784</v>
      </c>
      <c r="AR210" s="153">
        <f t="shared" si="93"/>
        <v>3.4444101769674246E-2</v>
      </c>
      <c r="AS210" s="153">
        <f t="shared" si="94"/>
        <v>2.9141612644262294</v>
      </c>
      <c r="AT210" s="149">
        <v>1.077</v>
      </c>
      <c r="AU210" s="150">
        <f t="shared" si="95"/>
        <v>-29.948593393548219</v>
      </c>
      <c r="AV210" s="150">
        <f t="shared" si="96"/>
        <v>1.0782928690607385</v>
      </c>
      <c r="AW210" s="154">
        <f t="shared" si="97"/>
        <v>1.2928690607385551E-3</v>
      </c>
      <c r="AX210" s="154">
        <f t="shared" si="98"/>
        <v>437.3857988926066</v>
      </c>
      <c r="AY210" s="154">
        <f t="shared" si="99"/>
        <v>5.6548256699466677</v>
      </c>
      <c r="AZ210" s="154">
        <f t="shared" si="100"/>
        <v>12.928690607385553</v>
      </c>
    </row>
    <row r="211" spans="1:52" ht="18" x14ac:dyDescent="0.25">
      <c r="I211" t="s">
        <v>152</v>
      </c>
      <c r="Q211" s="159">
        <v>591</v>
      </c>
      <c r="R211" s="159" t="s">
        <v>400</v>
      </c>
      <c r="S211" s="159">
        <v>5.7925870000000002</v>
      </c>
      <c r="T211" s="159">
        <v>2.8362195499104015</v>
      </c>
      <c r="U211" s="159">
        <v>4.03041625</v>
      </c>
      <c r="V211" s="159">
        <v>-24.795090520878603</v>
      </c>
      <c r="W211" s="141">
        <v>2.4180000000000001</v>
      </c>
      <c r="X211" s="158">
        <v>6.1372437857142854</v>
      </c>
      <c r="Y211" s="158">
        <v>2.165951323344959</v>
      </c>
      <c r="Z211" s="158">
        <v>4.1588204642857134</v>
      </c>
      <c r="AA211" s="158">
        <v>-25.525093669069488</v>
      </c>
      <c r="AB211" s="158">
        <v>2.4814285714285718</v>
      </c>
      <c r="AC211" s="158">
        <v>2.4814285714285718</v>
      </c>
      <c r="AD211" s="144">
        <f t="shared" si="81"/>
        <v>1.1401907461647542E-2</v>
      </c>
      <c r="AE211" s="144">
        <f t="shared" si="82"/>
        <v>0.27452622576973307</v>
      </c>
      <c r="AF211" s="145">
        <f t="shared" si="83"/>
        <v>6.6046540937542558E-2</v>
      </c>
      <c r="AG211" s="145">
        <f t="shared" si="84"/>
        <v>1.1064549613935009</v>
      </c>
      <c r="AH211" s="146">
        <f t="shared" si="85"/>
        <v>2.7314533059364168</v>
      </c>
      <c r="AI211" s="146">
        <f t="shared" si="86"/>
        <v>45.759096831823854</v>
      </c>
      <c r="AJ211" s="147">
        <f t="shared" si="87"/>
        <v>16.752655713488899</v>
      </c>
      <c r="AK211" s="148">
        <f t="shared" si="80"/>
        <v>2.6502682265654425</v>
      </c>
      <c r="AL211" s="148">
        <f t="shared" si="88"/>
        <v>-25.299996851809116</v>
      </c>
      <c r="AM211" s="149">
        <v>0.36599999999999999</v>
      </c>
      <c r="AN211" s="150">
        <f t="shared" si="89"/>
        <v>2.6502682265654425</v>
      </c>
      <c r="AO211" s="151">
        <f t="shared" si="90"/>
        <v>0.3672207574891882</v>
      </c>
      <c r="AP211" s="152">
        <f t="shared" si="91"/>
        <v>1.2207574891882067E-3</v>
      </c>
      <c r="AQ211" s="152">
        <f t="shared" si="92"/>
        <v>27.314533059364166</v>
      </c>
      <c r="AR211" s="153">
        <f t="shared" si="93"/>
        <v>0.33344420795897667</v>
      </c>
      <c r="AS211" s="153">
        <f t="shared" si="94"/>
        <v>12.207574891882068</v>
      </c>
      <c r="AT211" s="149">
        <v>1.077</v>
      </c>
      <c r="AU211" s="150">
        <f t="shared" si="95"/>
        <v>-25.299996851809116</v>
      </c>
      <c r="AV211" s="150">
        <f t="shared" si="96"/>
        <v>1.0834041882216834</v>
      </c>
      <c r="AW211" s="154">
        <f t="shared" si="97"/>
        <v>6.4041882216834267E-3</v>
      </c>
      <c r="AX211" s="154">
        <f t="shared" si="98"/>
        <v>457.59096831823854</v>
      </c>
      <c r="AY211" s="154">
        <f t="shared" si="99"/>
        <v>29.304986896523776</v>
      </c>
      <c r="AZ211" s="154">
        <f t="shared" si="100"/>
        <v>64.041882216834267</v>
      </c>
    </row>
    <row r="212" spans="1:52" ht="18" x14ac:dyDescent="0.25">
      <c r="A212" s="104">
        <v>198</v>
      </c>
      <c r="B212">
        <v>5</v>
      </c>
      <c r="C212" t="s">
        <v>458</v>
      </c>
      <c r="D212" t="s">
        <v>48</v>
      </c>
      <c r="E212" t="s">
        <v>470</v>
      </c>
      <c r="F212">
        <v>3</v>
      </c>
      <c r="G212" t="s">
        <v>25</v>
      </c>
      <c r="H212">
        <v>3.1920000000000002</v>
      </c>
      <c r="Q212" s="157">
        <v>595</v>
      </c>
      <c r="R212" s="141" t="s">
        <v>401</v>
      </c>
      <c r="S212" s="141">
        <v>5.3077094999999996</v>
      </c>
      <c r="T212" s="141">
        <v>-5.3589047799802945</v>
      </c>
      <c r="U212" s="141">
        <v>5.1718454999999999</v>
      </c>
      <c r="V212" s="141">
        <v>-27.858187153133763</v>
      </c>
      <c r="W212" s="142">
        <v>3.1920000000000002</v>
      </c>
      <c r="X212" s="160">
        <v>6.0076442500000002</v>
      </c>
      <c r="Y212" s="160">
        <v>1.7773530247112701</v>
      </c>
      <c r="Z212" s="160">
        <v>4.1612238125000003</v>
      </c>
      <c r="AA212" s="160">
        <v>-24.63598008754283</v>
      </c>
      <c r="AB212" s="160">
        <v>2.5109999999999997</v>
      </c>
      <c r="AC212" s="160">
        <v>2.5109999999999997</v>
      </c>
      <c r="AD212" s="144">
        <f t="shared" si="81"/>
        <v>1.1786683274396614E-2</v>
      </c>
      <c r="AE212" s="144">
        <f t="shared" si="82"/>
        <v>0.27763733748940228</v>
      </c>
      <c r="AF212" s="145">
        <f t="shared" si="83"/>
        <v>6.2560290789006004E-2</v>
      </c>
      <c r="AG212" s="145">
        <f t="shared" si="84"/>
        <v>1.4358974145265464</v>
      </c>
      <c r="AH212" s="146">
        <f t="shared" si="85"/>
        <v>1.9599088593046994</v>
      </c>
      <c r="AI212" s="146">
        <f t="shared" si="86"/>
        <v>44.984254841057215</v>
      </c>
      <c r="AJ212" s="147">
        <f t="shared" si="87"/>
        <v>22.952217715376779</v>
      </c>
      <c r="AK212" s="148">
        <f t="shared" si="80"/>
        <v>-5.156257804691565</v>
      </c>
      <c r="AL212" s="148">
        <f t="shared" si="88"/>
        <v>-29.252207065590934</v>
      </c>
      <c r="AM212" s="149">
        <v>0.36599999999999999</v>
      </c>
      <c r="AN212" s="150">
        <f t="shared" si="89"/>
        <v>-5.156257804691565</v>
      </c>
      <c r="AO212" s="151">
        <f t="shared" si="90"/>
        <v>0.36437203448685673</v>
      </c>
      <c r="AP212" s="152">
        <f t="shared" si="91"/>
        <v>-1.6279655131432591E-3</v>
      </c>
      <c r="AQ212" s="152">
        <f t="shared" si="92"/>
        <v>19.599088593046993</v>
      </c>
      <c r="AR212" s="153">
        <f t="shared" si="93"/>
        <v>-0.31906640318519941</v>
      </c>
      <c r="AS212" s="153">
        <f t="shared" si="94"/>
        <v>-16.279655131432591</v>
      </c>
      <c r="AT212" s="149">
        <v>1.077</v>
      </c>
      <c r="AU212" s="150">
        <f t="shared" si="95"/>
        <v>-29.252207065590934</v>
      </c>
      <c r="AV212" s="150">
        <f t="shared" si="96"/>
        <v>1.0790586075202051</v>
      </c>
      <c r="AW212" s="154">
        <f t="shared" si="97"/>
        <v>2.0586075202051468E-3</v>
      </c>
      <c r="AX212" s="154">
        <f t="shared" si="98"/>
        <v>449.84254841057214</v>
      </c>
      <c r="AY212" s="154">
        <f t="shared" si="99"/>
        <v>9.2604925306625159</v>
      </c>
      <c r="AZ212" s="154">
        <f t="shared" si="100"/>
        <v>20.586075202051468</v>
      </c>
    </row>
    <row r="213" spans="1:52" ht="18" x14ac:dyDescent="0.25">
      <c r="A213" s="104">
        <v>199</v>
      </c>
      <c r="B213">
        <v>5</v>
      </c>
      <c r="C213" t="s">
        <v>459</v>
      </c>
      <c r="D213" t="s">
        <v>44</v>
      </c>
      <c r="E213" t="s">
        <v>470</v>
      </c>
      <c r="F213">
        <v>3</v>
      </c>
      <c r="G213" t="s">
        <v>26</v>
      </c>
      <c r="H213">
        <v>3.6539999999999999</v>
      </c>
      <c r="Q213" s="155">
        <v>596</v>
      </c>
      <c r="R213" s="155" t="s">
        <v>402</v>
      </c>
      <c r="S213" s="155">
        <v>4.8783985000000003</v>
      </c>
      <c r="T213" s="155">
        <v>-6.425620198247203</v>
      </c>
      <c r="U213" s="155">
        <v>5.6701275000000004</v>
      </c>
      <c r="V213" s="155">
        <v>-29.314864093661775</v>
      </c>
      <c r="W213" s="142">
        <v>3.6539999999999999</v>
      </c>
      <c r="X213" s="160">
        <v>6.0076442500000002</v>
      </c>
      <c r="Y213" s="160">
        <v>1.7773530247112701</v>
      </c>
      <c r="Z213" s="160">
        <v>4.1612238125000003</v>
      </c>
      <c r="AA213" s="160">
        <v>-24.63598008754283</v>
      </c>
      <c r="AB213" s="160">
        <v>2.5109999999999997</v>
      </c>
      <c r="AC213" s="160">
        <v>2.5109999999999997</v>
      </c>
      <c r="AD213" s="144">
        <f t="shared" si="81"/>
        <v>1.1786683274396614E-2</v>
      </c>
      <c r="AE213" s="144">
        <f t="shared" si="82"/>
        <v>0.27763733748940228</v>
      </c>
      <c r="AF213" s="145">
        <f t="shared" si="83"/>
        <v>5.7500138005791533E-2</v>
      </c>
      <c r="AG213" s="145">
        <f t="shared" si="84"/>
        <v>1.574239102325441</v>
      </c>
      <c r="AH213" s="146">
        <f t="shared" si="85"/>
        <v>1.5736217297698833</v>
      </c>
      <c r="AI213" s="146">
        <f t="shared" si="86"/>
        <v>43.08262458471377</v>
      </c>
      <c r="AJ213" s="147">
        <f t="shared" si="87"/>
        <v>27.378005634819178</v>
      </c>
      <c r="AK213" s="148">
        <f t="shared" si="80"/>
        <v>-6.2229732229584727</v>
      </c>
      <c r="AL213" s="148">
        <f t="shared" si="88"/>
        <v>-30.708884006118947</v>
      </c>
      <c r="AM213" s="149">
        <v>0.36599999999999999</v>
      </c>
      <c r="AN213" s="150">
        <f t="shared" si="89"/>
        <v>-6.2229732229584727</v>
      </c>
      <c r="AO213" s="151">
        <f t="shared" si="90"/>
        <v>0.36398276075678226</v>
      </c>
      <c r="AP213" s="152">
        <f t="shared" si="91"/>
        <v>-2.0172392432177277E-3</v>
      </c>
      <c r="AQ213" s="152">
        <f t="shared" si="92"/>
        <v>15.736217297698834</v>
      </c>
      <c r="AR213" s="153">
        <f t="shared" si="93"/>
        <v>-0.31743715072719719</v>
      </c>
      <c r="AS213" s="153">
        <f t="shared" si="94"/>
        <v>-20.172392432177276</v>
      </c>
      <c r="AT213" s="149">
        <v>1.077</v>
      </c>
      <c r="AU213" s="150">
        <f t="shared" si="95"/>
        <v>-30.708884006118947</v>
      </c>
      <c r="AV213" s="150">
        <f t="shared" si="96"/>
        <v>1.0774568486422638</v>
      </c>
      <c r="AW213" s="154">
        <f t="shared" si="97"/>
        <v>4.5684864226380739E-4</v>
      </c>
      <c r="AX213" s="154">
        <f t="shared" si="98"/>
        <v>430.82624584713767</v>
      </c>
      <c r="AY213" s="154">
        <f t="shared" si="99"/>
        <v>1.9682238546687814</v>
      </c>
      <c r="AZ213" s="154">
        <f t="shared" si="100"/>
        <v>4.5684864226380739</v>
      </c>
    </row>
    <row r="214" spans="1:52" ht="18" x14ac:dyDescent="0.25">
      <c r="A214" s="104">
        <v>200</v>
      </c>
      <c r="B214">
        <v>5</v>
      </c>
      <c r="C214" t="s">
        <v>460</v>
      </c>
      <c r="D214" t="s">
        <v>32</v>
      </c>
      <c r="E214" t="s">
        <v>470</v>
      </c>
      <c r="F214">
        <v>3</v>
      </c>
      <c r="G214" t="s">
        <v>27</v>
      </c>
      <c r="H214">
        <v>3.1949999999999998</v>
      </c>
      <c r="Q214" s="141">
        <v>597</v>
      </c>
      <c r="R214" s="141" t="s">
        <v>403</v>
      </c>
      <c r="S214" s="141">
        <v>6.9538909999999996</v>
      </c>
      <c r="T214" s="141">
        <v>0.19190428134561455</v>
      </c>
      <c r="U214" s="141">
        <v>5.1949670000000001</v>
      </c>
      <c r="V214" s="141">
        <v>-27.775027846239496</v>
      </c>
      <c r="W214" s="142">
        <v>3.1949999999999998</v>
      </c>
      <c r="X214" s="160">
        <v>6.0076442500000002</v>
      </c>
      <c r="Y214" s="160">
        <v>1.7773530247112701</v>
      </c>
      <c r="Z214" s="160">
        <v>4.1612238125000003</v>
      </c>
      <c r="AA214" s="160">
        <v>-24.63598008754283</v>
      </c>
      <c r="AB214" s="160">
        <v>2.5109999999999997</v>
      </c>
      <c r="AC214" s="160">
        <v>2.5109999999999997</v>
      </c>
      <c r="AD214" s="144">
        <f t="shared" si="81"/>
        <v>1.1786683274396614E-2</v>
      </c>
      <c r="AE214" s="144">
        <f t="shared" si="82"/>
        <v>0.27763733748940228</v>
      </c>
      <c r="AF214" s="145">
        <f t="shared" si="83"/>
        <v>8.1963310741677134E-2</v>
      </c>
      <c r="AG214" s="145">
        <f t="shared" si="84"/>
        <v>1.4423168062253078</v>
      </c>
      <c r="AH214" s="146">
        <f t="shared" si="85"/>
        <v>2.5653618385501451</v>
      </c>
      <c r="AI214" s="146">
        <f t="shared" si="86"/>
        <v>45.142936032091015</v>
      </c>
      <c r="AJ214" s="147">
        <f t="shared" si="87"/>
        <v>17.597102815563929</v>
      </c>
      <c r="AK214" s="148">
        <f t="shared" si="80"/>
        <v>0.39455125663434443</v>
      </c>
      <c r="AL214" s="148">
        <f t="shared" si="88"/>
        <v>-29.169047758696667</v>
      </c>
      <c r="AM214" s="149">
        <v>0.36599999999999999</v>
      </c>
      <c r="AN214" s="150">
        <f t="shared" si="89"/>
        <v>0.39455125663434443</v>
      </c>
      <c r="AO214" s="151">
        <f t="shared" si="90"/>
        <v>0.3663976279493158</v>
      </c>
      <c r="AP214" s="152">
        <f t="shared" si="91"/>
        <v>3.9762794931580414E-4</v>
      </c>
      <c r="AQ214" s="152">
        <f t="shared" si="92"/>
        <v>25.653618385501453</v>
      </c>
      <c r="AR214" s="153">
        <f t="shared" si="93"/>
        <v>0.10200595671157153</v>
      </c>
      <c r="AS214" s="153">
        <f t="shared" si="94"/>
        <v>3.9762794931580414</v>
      </c>
      <c r="AT214" s="149">
        <v>1.077</v>
      </c>
      <c r="AU214" s="150">
        <f t="shared" si="95"/>
        <v>-29.169047758696667</v>
      </c>
      <c r="AV214" s="150">
        <f t="shared" si="96"/>
        <v>1.0791500477527436</v>
      </c>
      <c r="AW214" s="154">
        <f t="shared" si="97"/>
        <v>2.1500477527436335E-3</v>
      </c>
      <c r="AX214" s="154">
        <f t="shared" si="98"/>
        <v>451.42936032091012</v>
      </c>
      <c r="AY214" s="154">
        <f t="shared" si="99"/>
        <v>9.7059468168046887</v>
      </c>
      <c r="AZ214" s="154">
        <f t="shared" si="100"/>
        <v>21.500477527436335</v>
      </c>
    </row>
    <row r="215" spans="1:52" ht="18" x14ac:dyDescent="0.25">
      <c r="A215" s="104">
        <v>201</v>
      </c>
      <c r="B215">
        <v>5</v>
      </c>
      <c r="C215" t="s">
        <v>462</v>
      </c>
      <c r="D215" t="s">
        <v>28</v>
      </c>
      <c r="E215" t="s">
        <v>470</v>
      </c>
      <c r="F215">
        <v>3</v>
      </c>
      <c r="G215" t="s">
        <v>29</v>
      </c>
      <c r="H215">
        <v>3.2050000000000001</v>
      </c>
      <c r="Q215" s="155">
        <v>598</v>
      </c>
      <c r="R215" s="155" t="s">
        <v>404</v>
      </c>
      <c r="S215" s="155">
        <v>6.0793505000000003</v>
      </c>
      <c r="T215" s="155">
        <v>-2.0795333062378019</v>
      </c>
      <c r="U215" s="155">
        <v>5.1804385000000002</v>
      </c>
      <c r="V215" s="155">
        <v>-28.135920106686068</v>
      </c>
      <c r="W215" s="142">
        <v>3.2050000000000001</v>
      </c>
      <c r="X215" s="160">
        <v>6.0076442500000002</v>
      </c>
      <c r="Y215" s="160">
        <v>1.7773530247112701</v>
      </c>
      <c r="Z215" s="160">
        <v>4.1612238125000003</v>
      </c>
      <c r="AA215" s="160">
        <v>-24.63598008754283</v>
      </c>
      <c r="AB215" s="160">
        <v>2.5109999999999997</v>
      </c>
      <c r="AC215" s="160">
        <v>2.5109999999999997</v>
      </c>
      <c r="AD215" s="144">
        <f t="shared" si="81"/>
        <v>1.1786683274396614E-2</v>
      </c>
      <c r="AE215" s="144">
        <f t="shared" si="82"/>
        <v>0.27763733748940228</v>
      </c>
      <c r="AF215" s="145">
        <f t="shared" si="83"/>
        <v>7.1655378857544694E-2</v>
      </c>
      <c r="AG215" s="145">
        <f t="shared" si="84"/>
        <v>1.4382831521675929</v>
      </c>
      <c r="AH215" s="146">
        <f t="shared" si="85"/>
        <v>2.2357372498453882</v>
      </c>
      <c r="AI215" s="146">
        <f t="shared" si="86"/>
        <v>44.876229396804774</v>
      </c>
      <c r="AJ215" s="147">
        <f t="shared" si="87"/>
        <v>20.072228702146539</v>
      </c>
      <c r="AK215" s="148">
        <f t="shared" si="80"/>
        <v>-1.876886330949072</v>
      </c>
      <c r="AL215" s="148">
        <f t="shared" si="88"/>
        <v>-29.52994001914324</v>
      </c>
      <c r="AM215" s="149">
        <v>0.36599999999999999</v>
      </c>
      <c r="AN215" s="150">
        <f t="shared" si="89"/>
        <v>-1.876886330949072</v>
      </c>
      <c r="AO215" s="151">
        <f t="shared" si="90"/>
        <v>0.36556874808429096</v>
      </c>
      <c r="AP215" s="152">
        <f t="shared" si="91"/>
        <v>-4.3125191570902999E-4</v>
      </c>
      <c r="AQ215" s="152">
        <f t="shared" si="92"/>
        <v>22.357372498453884</v>
      </c>
      <c r="AR215" s="153">
        <f t="shared" si="93"/>
        <v>-9.6416597201786206E-2</v>
      </c>
      <c r="AS215" s="153">
        <f t="shared" si="94"/>
        <v>-4.3125191570902999</v>
      </c>
      <c r="AT215" s="149">
        <v>1.077</v>
      </c>
      <c r="AU215" s="150">
        <f t="shared" si="95"/>
        <v>-29.52994001914324</v>
      </c>
      <c r="AV215" s="150">
        <f t="shared" si="96"/>
        <v>1.0787532169549958</v>
      </c>
      <c r="AW215" s="154">
        <f t="shared" si="97"/>
        <v>1.7532169549958621E-3</v>
      </c>
      <c r="AX215" s="154">
        <f t="shared" si="98"/>
        <v>448.76229396804774</v>
      </c>
      <c r="AY215" s="154">
        <f t="shared" si="99"/>
        <v>7.8677766254761865</v>
      </c>
      <c r="AZ215" s="154">
        <f t="shared" si="100"/>
        <v>17.532169549958621</v>
      </c>
    </row>
    <row r="216" spans="1:52" ht="18" x14ac:dyDescent="0.25">
      <c r="A216" s="104">
        <v>202</v>
      </c>
      <c r="B216">
        <v>5</v>
      </c>
      <c r="C216" t="s">
        <v>463</v>
      </c>
      <c r="D216" t="s">
        <v>40</v>
      </c>
      <c r="E216" t="s">
        <v>470</v>
      </c>
      <c r="F216">
        <v>3</v>
      </c>
      <c r="G216" t="s">
        <v>30</v>
      </c>
      <c r="H216">
        <v>3.9820000000000002</v>
      </c>
      <c r="Q216" s="141">
        <v>599</v>
      </c>
      <c r="R216" s="141" t="s">
        <v>405</v>
      </c>
      <c r="S216" s="141">
        <v>6.1702940000000002</v>
      </c>
      <c r="T216" s="141">
        <v>-4.205043857256638</v>
      </c>
      <c r="U216" s="141">
        <v>6.0767980000000001</v>
      </c>
      <c r="V216" s="141">
        <v>-26.78290988225887</v>
      </c>
      <c r="W216" s="142">
        <v>3.9820000000000002</v>
      </c>
      <c r="X216" s="160">
        <v>6.0076442500000002</v>
      </c>
      <c r="Y216" s="160">
        <v>1.7773530247112701</v>
      </c>
      <c r="Z216" s="160">
        <v>4.1612238125000003</v>
      </c>
      <c r="AA216" s="160">
        <v>-24.63598008754283</v>
      </c>
      <c r="AB216" s="160">
        <v>2.5109999999999997</v>
      </c>
      <c r="AC216" s="160">
        <v>2.5109999999999997</v>
      </c>
      <c r="AD216" s="144">
        <f t="shared" si="81"/>
        <v>1.1786683274396614E-2</v>
      </c>
      <c r="AE216" s="144">
        <f t="shared" si="82"/>
        <v>0.27763733748940228</v>
      </c>
      <c r="AF216" s="145">
        <f t="shared" si="83"/>
        <v>7.2727301087909785E-2</v>
      </c>
      <c r="AG216" s="145">
        <f t="shared" si="84"/>
        <v>1.6871460171809249</v>
      </c>
      <c r="AH216" s="146">
        <f t="shared" si="85"/>
        <v>1.8264013331971316</v>
      </c>
      <c r="AI216" s="146">
        <f t="shared" si="86"/>
        <v>42.369312335030763</v>
      </c>
      <c r="AJ216" s="147">
        <f t="shared" si="87"/>
        <v>23.198248689877435</v>
      </c>
      <c r="AK216" s="148">
        <f t="shared" si="80"/>
        <v>-4.0023968819679077</v>
      </c>
      <c r="AL216" s="148">
        <f t="shared" si="88"/>
        <v>-28.176929794716042</v>
      </c>
      <c r="AM216" s="149">
        <v>0.36599999999999999</v>
      </c>
      <c r="AN216" s="150">
        <f t="shared" si="89"/>
        <v>-4.0023968819679077</v>
      </c>
      <c r="AO216" s="151">
        <f t="shared" si="90"/>
        <v>0.36479310657841502</v>
      </c>
      <c r="AP216" s="152">
        <f t="shared" si="91"/>
        <v>-1.2068934215849758E-3</v>
      </c>
      <c r="AQ216" s="152">
        <f t="shared" si="92"/>
        <v>18.264013331971316</v>
      </c>
      <c r="AR216" s="153">
        <f t="shared" si="93"/>
        <v>-0.22042717542096477</v>
      </c>
      <c r="AS216" s="153">
        <f t="shared" si="94"/>
        <v>-12.068934215849758</v>
      </c>
      <c r="AT216" s="149">
        <v>1.077</v>
      </c>
      <c r="AU216" s="150">
        <f t="shared" si="95"/>
        <v>-28.176929794716042</v>
      </c>
      <c r="AV216" s="150">
        <f t="shared" si="96"/>
        <v>1.0802409468524035</v>
      </c>
      <c r="AW216" s="154">
        <f t="shared" si="97"/>
        <v>3.2409468524035034E-3</v>
      </c>
      <c r="AX216" s="154">
        <f t="shared" si="98"/>
        <v>423.69312335030764</v>
      </c>
      <c r="AY216" s="154">
        <f t="shared" si="99"/>
        <v>13.731668945071888</v>
      </c>
      <c r="AZ216" s="154">
        <f t="shared" si="100"/>
        <v>32.409468524035034</v>
      </c>
    </row>
    <row r="217" spans="1:52" ht="18" x14ac:dyDescent="0.25">
      <c r="A217" s="104">
        <v>203</v>
      </c>
      <c r="B217">
        <v>5</v>
      </c>
      <c r="C217" t="s">
        <v>463</v>
      </c>
      <c r="D217" t="s">
        <v>40</v>
      </c>
      <c r="E217" t="s">
        <v>466</v>
      </c>
      <c r="F217">
        <v>3</v>
      </c>
      <c r="G217" t="s">
        <v>31</v>
      </c>
      <c r="H217">
        <v>3.4729999999999999</v>
      </c>
      <c r="Q217" s="155">
        <v>600</v>
      </c>
      <c r="R217" s="155" t="s">
        <v>406</v>
      </c>
      <c r="S217" s="155">
        <v>6.2023074999999999</v>
      </c>
      <c r="T217" s="155">
        <v>-0.45256592001540752</v>
      </c>
      <c r="U217" s="155">
        <v>4.8512445</v>
      </c>
      <c r="V217" s="155">
        <v>-26.514503922286686</v>
      </c>
      <c r="W217" s="142">
        <v>3.4729999999999999</v>
      </c>
      <c r="X217" s="160">
        <v>6.0076442500000002</v>
      </c>
      <c r="Y217" s="160">
        <v>1.7773530247112701</v>
      </c>
      <c r="Z217" s="160">
        <v>4.1612238125000003</v>
      </c>
      <c r="AA217" s="160">
        <v>-24.63598008754283</v>
      </c>
      <c r="AB217" s="160">
        <v>2.5109999999999997</v>
      </c>
      <c r="AC217" s="160">
        <v>2.5109999999999997</v>
      </c>
      <c r="AD217" s="144">
        <f t="shared" si="81"/>
        <v>1.1786683274396614E-2</v>
      </c>
      <c r="AE217" s="144">
        <f t="shared" si="82"/>
        <v>0.27763733748940228</v>
      </c>
      <c r="AF217" s="145">
        <f t="shared" si="83"/>
        <v>7.3104634072914676E-2</v>
      </c>
      <c r="AG217" s="145">
        <f t="shared" si="84"/>
        <v>1.3468866064901066</v>
      </c>
      <c r="AH217" s="146">
        <f t="shared" si="85"/>
        <v>2.1049419543021792</v>
      </c>
      <c r="AI217" s="146">
        <f t="shared" si="86"/>
        <v>38.781647177947214</v>
      </c>
      <c r="AJ217" s="147">
        <f t="shared" si="87"/>
        <v>18.424093404895778</v>
      </c>
      <c r="AK217" s="148">
        <f t="shared" si="80"/>
        <v>-0.24991894472667764</v>
      </c>
      <c r="AL217" s="148">
        <f t="shared" si="88"/>
        <v>-27.908523834743857</v>
      </c>
      <c r="AM217" s="149">
        <v>0.36599999999999999</v>
      </c>
      <c r="AN217" s="150">
        <f t="shared" si="89"/>
        <v>-0.24991894472667764</v>
      </c>
      <c r="AO217" s="151">
        <f t="shared" si="90"/>
        <v>0.36616245301283612</v>
      </c>
      <c r="AP217" s="152">
        <f t="shared" si="91"/>
        <v>1.624530128361279E-4</v>
      </c>
      <c r="AQ217" s="152">
        <f t="shared" si="92"/>
        <v>21.049419543021795</v>
      </c>
      <c r="AR217" s="153">
        <f t="shared" si="93"/>
        <v>3.4195416232155607E-2</v>
      </c>
      <c r="AS217" s="153">
        <f t="shared" si="94"/>
        <v>1.624530128361279</v>
      </c>
      <c r="AT217" s="149">
        <v>1.077</v>
      </c>
      <c r="AU217" s="150">
        <f t="shared" si="95"/>
        <v>-27.908523834743857</v>
      </c>
      <c r="AV217" s="150">
        <f t="shared" si="96"/>
        <v>1.0805360727629301</v>
      </c>
      <c r="AW217" s="154">
        <f t="shared" si="97"/>
        <v>3.5360727629301092E-3</v>
      </c>
      <c r="AX217" s="154">
        <f t="shared" si="98"/>
        <v>387.81647177947218</v>
      </c>
      <c r="AY217" s="154">
        <f t="shared" si="99"/>
        <v>13.713472628750448</v>
      </c>
      <c r="AZ217" s="154">
        <f t="shared" si="100"/>
        <v>35.360727629301095</v>
      </c>
    </row>
    <row r="218" spans="1:52" ht="18" x14ac:dyDescent="0.25">
      <c r="A218" s="104">
        <v>204</v>
      </c>
      <c r="B218">
        <v>6</v>
      </c>
      <c r="C218" t="s">
        <v>456</v>
      </c>
      <c r="D218" t="s">
        <v>40</v>
      </c>
      <c r="E218" t="s">
        <v>457</v>
      </c>
      <c r="F218">
        <v>3</v>
      </c>
      <c r="G218" t="s">
        <v>33</v>
      </c>
      <c r="H218">
        <v>3.4529999999999998</v>
      </c>
      <c r="Q218" s="141">
        <v>601</v>
      </c>
      <c r="R218" s="141" t="s">
        <v>407</v>
      </c>
      <c r="S218" s="141">
        <v>7.5982640000000004</v>
      </c>
      <c r="T218" s="141">
        <v>1.3256097308264851</v>
      </c>
      <c r="U218" s="141">
        <v>4.6766009999999998</v>
      </c>
      <c r="V218" s="141">
        <v>-26.220386439366383</v>
      </c>
      <c r="W218" s="142">
        <v>3.4529999999999998</v>
      </c>
      <c r="X218" s="160">
        <v>6.0076442500000002</v>
      </c>
      <c r="Y218" s="160">
        <v>1.7773530247112701</v>
      </c>
      <c r="Z218" s="160">
        <v>4.1612238125000003</v>
      </c>
      <c r="AA218" s="160">
        <v>-24.63598008754283</v>
      </c>
      <c r="AB218" s="160">
        <v>2.5109999999999997</v>
      </c>
      <c r="AC218" s="160">
        <v>2.5109999999999997</v>
      </c>
      <c r="AD218" s="144">
        <f t="shared" si="81"/>
        <v>1.1786683274396614E-2</v>
      </c>
      <c r="AE218" s="144">
        <f t="shared" si="82"/>
        <v>0.27763733748940228</v>
      </c>
      <c r="AF218" s="145">
        <f t="shared" si="83"/>
        <v>8.9558331203249922E-2</v>
      </c>
      <c r="AG218" s="145">
        <f t="shared" si="84"/>
        <v>1.2983990501402762</v>
      </c>
      <c r="AH218" s="146">
        <f t="shared" si="85"/>
        <v>2.5936383203953066</v>
      </c>
      <c r="AI218" s="146">
        <f t="shared" si="86"/>
        <v>37.602057635107919</v>
      </c>
      <c r="AJ218" s="147">
        <f t="shared" si="87"/>
        <v>14.497803082033752</v>
      </c>
      <c r="AK218" s="148">
        <f t="shared" si="80"/>
        <v>1.528256706115215</v>
      </c>
      <c r="AL218" s="148">
        <f t="shared" si="88"/>
        <v>-27.614406351823554</v>
      </c>
      <c r="AM218" s="149">
        <v>0.36599999999999999</v>
      </c>
      <c r="AN218" s="150">
        <f t="shared" si="89"/>
        <v>1.528256706115215</v>
      </c>
      <c r="AO218" s="151">
        <f t="shared" si="90"/>
        <v>0.36681132802438909</v>
      </c>
      <c r="AP218" s="152">
        <f t="shared" si="91"/>
        <v>8.113280243891019E-4</v>
      </c>
      <c r="AQ218" s="152">
        <f t="shared" si="92"/>
        <v>25.936383203953067</v>
      </c>
      <c r="AR218" s="153">
        <f t="shared" si="93"/>
        <v>0.21042914544661925</v>
      </c>
      <c r="AS218" s="153">
        <f t="shared" si="94"/>
        <v>8.113280243891019</v>
      </c>
      <c r="AT218" s="149">
        <v>1.077</v>
      </c>
      <c r="AU218" s="150">
        <f t="shared" si="95"/>
        <v>-27.614406351823554</v>
      </c>
      <c r="AV218" s="150">
        <f t="shared" si="96"/>
        <v>1.0808594677695389</v>
      </c>
      <c r="AW218" s="154">
        <f t="shared" si="97"/>
        <v>3.8594677695389379E-3</v>
      </c>
      <c r="AX218" s="154">
        <f t="shared" si="98"/>
        <v>376.02057635107917</v>
      </c>
      <c r="AY218" s="154">
        <f t="shared" si="99"/>
        <v>14.512392951104454</v>
      </c>
      <c r="AZ218" s="154">
        <f t="shared" si="100"/>
        <v>38.594677695389379</v>
      </c>
    </row>
    <row r="219" spans="1:52" ht="18" x14ac:dyDescent="0.25">
      <c r="A219" s="104">
        <v>205</v>
      </c>
      <c r="B219">
        <v>6</v>
      </c>
      <c r="C219" t="s">
        <v>458</v>
      </c>
      <c r="D219" t="s">
        <v>32</v>
      </c>
      <c r="E219" t="s">
        <v>457</v>
      </c>
      <c r="F219">
        <v>3</v>
      </c>
      <c r="G219" t="s">
        <v>34</v>
      </c>
      <c r="H219">
        <v>3.0790000000000002</v>
      </c>
      <c r="Q219" s="155">
        <v>602</v>
      </c>
      <c r="R219" s="155" t="s">
        <v>408</v>
      </c>
      <c r="S219" s="155">
        <v>4.5352030000000001</v>
      </c>
      <c r="T219" s="155">
        <v>2.7122892476477949</v>
      </c>
      <c r="U219" s="155">
        <v>4.1463590000000003</v>
      </c>
      <c r="V219" s="155">
        <v>-25.21419215904028</v>
      </c>
      <c r="W219" s="142">
        <v>3.0790000000000002</v>
      </c>
      <c r="X219" s="160">
        <v>6.0076442500000002</v>
      </c>
      <c r="Y219" s="160">
        <v>1.7773530247112701</v>
      </c>
      <c r="Z219" s="160">
        <v>4.1612238125000003</v>
      </c>
      <c r="AA219" s="160">
        <v>-24.63598008754283</v>
      </c>
      <c r="AB219" s="160">
        <v>2.5109999999999997</v>
      </c>
      <c r="AC219" s="160">
        <v>2.5109999999999997</v>
      </c>
      <c r="AD219" s="144">
        <f t="shared" si="81"/>
        <v>1.1786683274396614E-2</v>
      </c>
      <c r="AE219" s="144">
        <f t="shared" si="82"/>
        <v>0.27763733748940228</v>
      </c>
      <c r="AF219" s="145">
        <f t="shared" si="83"/>
        <v>5.345500134609335E-2</v>
      </c>
      <c r="AG219" s="145">
        <f t="shared" si="84"/>
        <v>1.1511840730352207</v>
      </c>
      <c r="AH219" s="146">
        <f t="shared" si="85"/>
        <v>1.736115665673704</v>
      </c>
      <c r="AI219" s="146">
        <f t="shared" si="86"/>
        <v>37.388245308061734</v>
      </c>
      <c r="AJ219" s="147">
        <f t="shared" si="87"/>
        <v>21.535572800417722</v>
      </c>
      <c r="AK219" s="148">
        <f t="shared" si="80"/>
        <v>2.9149362229365248</v>
      </c>
      <c r="AL219" s="148">
        <f t="shared" si="88"/>
        <v>-26.608212071497451</v>
      </c>
      <c r="AM219" s="149">
        <v>0.36599999999999999</v>
      </c>
      <c r="AN219" s="150">
        <f t="shared" si="89"/>
        <v>2.9149362229365248</v>
      </c>
      <c r="AO219" s="151">
        <f t="shared" si="90"/>
        <v>0.36731733611051692</v>
      </c>
      <c r="AP219" s="152">
        <f t="shared" si="91"/>
        <v>1.3173361105169312E-3</v>
      </c>
      <c r="AQ219" s="152">
        <f t="shared" si="92"/>
        <v>17.361156656737037</v>
      </c>
      <c r="AR219" s="153">
        <f t="shared" si="93"/>
        <v>0.22870478584261097</v>
      </c>
      <c r="AS219" s="153">
        <f t="shared" si="94"/>
        <v>13.173361105169313</v>
      </c>
      <c r="AT219" s="149">
        <v>1.077</v>
      </c>
      <c r="AU219" s="150">
        <f t="shared" si="95"/>
        <v>-26.608212071497451</v>
      </c>
      <c r="AV219" s="150">
        <f t="shared" si="96"/>
        <v>1.0819658062964377</v>
      </c>
      <c r="AW219" s="154">
        <f t="shared" si="97"/>
        <v>4.9658062964377248E-3</v>
      </c>
      <c r="AX219" s="154">
        <f t="shared" si="98"/>
        <v>373.88245308061732</v>
      </c>
      <c r="AY219" s="154">
        <f t="shared" si="99"/>
        <v>18.566278396353116</v>
      </c>
      <c r="AZ219" s="154">
        <f t="shared" si="100"/>
        <v>49.658062964377251</v>
      </c>
    </row>
    <row r="220" spans="1:52" ht="18" x14ac:dyDescent="0.25">
      <c r="A220" s="104">
        <v>206</v>
      </c>
      <c r="B220">
        <v>6</v>
      </c>
      <c r="C220" t="s">
        <v>459</v>
      </c>
      <c r="D220" t="s">
        <v>48</v>
      </c>
      <c r="E220" t="s">
        <v>457</v>
      </c>
      <c r="F220">
        <v>3</v>
      </c>
      <c r="G220" t="s">
        <v>35</v>
      </c>
      <c r="H220">
        <v>2.8690000000000002</v>
      </c>
      <c r="Q220" s="141">
        <v>603</v>
      </c>
      <c r="R220" s="141" t="s">
        <v>409</v>
      </c>
      <c r="S220" s="141">
        <v>3.14529725</v>
      </c>
      <c r="T220" s="141">
        <v>1.0235115047893957</v>
      </c>
      <c r="U220" s="141">
        <v>3.3346995000000001</v>
      </c>
      <c r="V220" s="141">
        <v>-26.703497439137781</v>
      </c>
      <c r="W220" s="142">
        <v>2.8690000000000002</v>
      </c>
      <c r="X220" s="160">
        <v>6.0076442500000002</v>
      </c>
      <c r="Y220" s="160">
        <v>1.7773530247112701</v>
      </c>
      <c r="Z220" s="160">
        <v>4.1612238125000003</v>
      </c>
      <c r="AA220" s="160">
        <v>-24.63598008754283</v>
      </c>
      <c r="AB220" s="160">
        <v>2.5109999999999997</v>
      </c>
      <c r="AC220" s="160">
        <v>2.5109999999999997</v>
      </c>
      <c r="AD220" s="144">
        <f t="shared" si="81"/>
        <v>1.1786683274396614E-2</v>
      </c>
      <c r="AE220" s="144">
        <f t="shared" si="82"/>
        <v>0.27763733748940228</v>
      </c>
      <c r="AF220" s="145">
        <f t="shared" si="83"/>
        <v>3.7072622489580667E-2</v>
      </c>
      <c r="AG220" s="145">
        <f t="shared" si="84"/>
        <v>0.92583709050724106</v>
      </c>
      <c r="AH220" s="146">
        <f t="shared" si="85"/>
        <v>1.2921792432757289</v>
      </c>
      <c r="AI220" s="146">
        <f t="shared" si="86"/>
        <v>32.270376106909758</v>
      </c>
      <c r="AJ220" s="147">
        <f t="shared" si="87"/>
        <v>24.973606622176497</v>
      </c>
      <c r="AK220" s="148">
        <f t="shared" si="80"/>
        <v>1.2261584800781256</v>
      </c>
      <c r="AL220" s="148">
        <f t="shared" si="88"/>
        <v>-28.097517351594952</v>
      </c>
      <c r="AM220" s="149">
        <v>0.36599999999999999</v>
      </c>
      <c r="AN220" s="150">
        <f t="shared" si="89"/>
        <v>1.2261584800781256</v>
      </c>
      <c r="AO220" s="151">
        <f t="shared" si="90"/>
        <v>0.36670108979787897</v>
      </c>
      <c r="AP220" s="152">
        <f t="shared" si="91"/>
        <v>7.0108979787897319E-4</v>
      </c>
      <c r="AQ220" s="152">
        <f t="shared" si="92"/>
        <v>12.921792432757288</v>
      </c>
      <c r="AR220" s="153">
        <f t="shared" si="93"/>
        <v>9.0593368449158537E-2</v>
      </c>
      <c r="AS220" s="153">
        <f t="shared" si="94"/>
        <v>7.0108979787897319</v>
      </c>
      <c r="AT220" s="149">
        <v>1.077</v>
      </c>
      <c r="AU220" s="150">
        <f t="shared" si="95"/>
        <v>-28.097517351594952</v>
      </c>
      <c r="AV220" s="150">
        <f t="shared" si="96"/>
        <v>1.0803282650282775</v>
      </c>
      <c r="AW220" s="154">
        <f t="shared" si="97"/>
        <v>3.3282650282775439E-3</v>
      </c>
      <c r="AX220" s="154">
        <f t="shared" si="98"/>
        <v>322.7037610690976</v>
      </c>
      <c r="AY220" s="154">
        <f t="shared" si="99"/>
        <v>10.7404364245991</v>
      </c>
      <c r="AZ220" s="154">
        <f t="shared" si="100"/>
        <v>33.282650282775435</v>
      </c>
    </row>
    <row r="221" spans="1:52" ht="18" x14ac:dyDescent="0.25">
      <c r="A221" s="104">
        <v>207</v>
      </c>
      <c r="B221">
        <v>6</v>
      </c>
      <c r="C221" t="s">
        <v>460</v>
      </c>
      <c r="D221" t="s">
        <v>44</v>
      </c>
      <c r="E221" t="s">
        <v>457</v>
      </c>
      <c r="F221">
        <v>3</v>
      </c>
      <c r="G221" t="s">
        <v>37</v>
      </c>
      <c r="H221">
        <v>3.5590000000000002</v>
      </c>
      <c r="Q221" s="155">
        <v>604</v>
      </c>
      <c r="R221" s="155" t="s">
        <v>410</v>
      </c>
      <c r="S221" s="155">
        <v>5.3669694999999997</v>
      </c>
      <c r="T221" s="155">
        <v>0.41957541449652025</v>
      </c>
      <c r="U221" s="155">
        <v>4.1076505000000001</v>
      </c>
      <c r="V221" s="155">
        <v>-26.773986265162332</v>
      </c>
      <c r="W221" s="142">
        <v>3.5590000000000002</v>
      </c>
      <c r="X221" s="160">
        <v>6.0076442500000002</v>
      </c>
      <c r="Y221" s="160">
        <v>1.7773530247112701</v>
      </c>
      <c r="Z221" s="160">
        <v>4.1612238125000003</v>
      </c>
      <c r="AA221" s="160">
        <v>-24.63598008754283</v>
      </c>
      <c r="AB221" s="160">
        <v>2.5109999999999997</v>
      </c>
      <c r="AC221" s="160">
        <v>2.5109999999999997</v>
      </c>
      <c r="AD221" s="144">
        <f t="shared" si="81"/>
        <v>1.1786683274396614E-2</v>
      </c>
      <c r="AE221" s="144">
        <f t="shared" si="82"/>
        <v>0.27763733748940228</v>
      </c>
      <c r="AF221" s="145">
        <f t="shared" si="83"/>
        <v>6.3258769639846751E-2</v>
      </c>
      <c r="AG221" s="145">
        <f t="shared" si="84"/>
        <v>1.1404371481570121</v>
      </c>
      <c r="AH221" s="146">
        <f t="shared" si="85"/>
        <v>1.7774310098299171</v>
      </c>
      <c r="AI221" s="146">
        <f t="shared" si="86"/>
        <v>32.043752406771901</v>
      </c>
      <c r="AJ221" s="147">
        <f t="shared" si="87"/>
        <v>18.02812724069565</v>
      </c>
      <c r="AK221" s="148">
        <f t="shared" si="80"/>
        <v>0.62222238978525013</v>
      </c>
      <c r="AL221" s="148">
        <f t="shared" si="88"/>
        <v>-28.168006177619503</v>
      </c>
      <c r="AM221" s="149">
        <v>0.36599999999999999</v>
      </c>
      <c r="AN221" s="150">
        <f t="shared" si="89"/>
        <v>0.62222238978525013</v>
      </c>
      <c r="AO221" s="151">
        <f t="shared" si="90"/>
        <v>0.36648070762179102</v>
      </c>
      <c r="AP221" s="152">
        <f t="shared" si="91"/>
        <v>4.8070762179103221E-4</v>
      </c>
      <c r="AQ221" s="152">
        <f t="shared" si="92"/>
        <v>17.774310098299171</v>
      </c>
      <c r="AR221" s="153">
        <f t="shared" si="93"/>
        <v>8.5442463363297222E-2</v>
      </c>
      <c r="AS221" s="153">
        <f t="shared" si="94"/>
        <v>4.8070762179103221</v>
      </c>
      <c r="AT221" s="149">
        <v>1.077</v>
      </c>
      <c r="AU221" s="150">
        <f t="shared" si="95"/>
        <v>-28.168006177619503</v>
      </c>
      <c r="AV221" s="150">
        <f t="shared" si="96"/>
        <v>1.0802507588484456</v>
      </c>
      <c r="AW221" s="154">
        <f t="shared" si="97"/>
        <v>3.2507588484456118E-3</v>
      </c>
      <c r="AX221" s="154">
        <f t="shared" si="98"/>
        <v>320.43752406771904</v>
      </c>
      <c r="AY221" s="154">
        <f t="shared" si="99"/>
        <v>10.416651167371413</v>
      </c>
      <c r="AZ221" s="154">
        <f t="shared" si="100"/>
        <v>32.507588484456122</v>
      </c>
    </row>
    <row r="222" spans="1:52" ht="18" x14ac:dyDescent="0.25">
      <c r="A222" s="104">
        <v>208</v>
      </c>
      <c r="B222">
        <v>6</v>
      </c>
      <c r="C222" t="s">
        <v>461</v>
      </c>
      <c r="D222" t="s">
        <v>28</v>
      </c>
      <c r="E222" t="s">
        <v>457</v>
      </c>
      <c r="F222">
        <v>3</v>
      </c>
      <c r="G222" t="s">
        <v>38</v>
      </c>
      <c r="H222">
        <v>3.7120000000000002</v>
      </c>
      <c r="Q222" s="141">
        <v>605</v>
      </c>
      <c r="R222" s="141" t="s">
        <v>411</v>
      </c>
      <c r="S222" s="141">
        <v>7.2487754999999998</v>
      </c>
      <c r="T222" s="141">
        <v>1.5152836423000637</v>
      </c>
      <c r="U222" s="141">
        <v>4.6214145000000002</v>
      </c>
      <c r="V222" s="141">
        <v>-26.293584818491492</v>
      </c>
      <c r="W222" s="142">
        <v>3.7120000000000002</v>
      </c>
      <c r="X222" s="160">
        <v>6.0076442500000002</v>
      </c>
      <c r="Y222" s="160">
        <v>1.7773530247112701</v>
      </c>
      <c r="Z222" s="160">
        <v>4.1612238125000003</v>
      </c>
      <c r="AA222" s="160">
        <v>-24.63598008754283</v>
      </c>
      <c r="AB222" s="160">
        <v>2.5109999999999997</v>
      </c>
      <c r="AC222" s="160">
        <v>2.5109999999999997</v>
      </c>
      <c r="AD222" s="144">
        <f t="shared" si="81"/>
        <v>1.1786683274396614E-2</v>
      </c>
      <c r="AE222" s="144">
        <f t="shared" si="82"/>
        <v>0.27763733748940228</v>
      </c>
      <c r="AF222" s="145">
        <f t="shared" si="83"/>
        <v>8.5439020945705949E-2</v>
      </c>
      <c r="AG222" s="145">
        <f t="shared" si="84"/>
        <v>1.2830772172149174</v>
      </c>
      <c r="AH222" s="146">
        <f t="shared" si="85"/>
        <v>2.3016977625459574</v>
      </c>
      <c r="AI222" s="146">
        <f t="shared" si="86"/>
        <v>34.565657791350141</v>
      </c>
      <c r="AJ222" s="147">
        <f t="shared" si="87"/>
        <v>15.01746161195218</v>
      </c>
      <c r="AK222" s="148">
        <f t="shared" si="80"/>
        <v>1.7179306175887936</v>
      </c>
      <c r="AL222" s="148">
        <f t="shared" si="88"/>
        <v>-27.687604730948664</v>
      </c>
      <c r="AM222" s="149">
        <v>0.36599999999999999</v>
      </c>
      <c r="AN222" s="150">
        <f t="shared" si="89"/>
        <v>1.7179306175887936</v>
      </c>
      <c r="AO222" s="151">
        <f t="shared" si="90"/>
        <v>0.36688054153229382</v>
      </c>
      <c r="AP222" s="152">
        <f t="shared" si="91"/>
        <v>8.8054153229383259E-4</v>
      </c>
      <c r="AQ222" s="152">
        <f t="shared" si="92"/>
        <v>23.016977625459575</v>
      </c>
      <c r="AR222" s="153">
        <f t="shared" si="93"/>
        <v>0.20267404747095033</v>
      </c>
      <c r="AS222" s="153">
        <f t="shared" si="94"/>
        <v>8.8054153229383267</v>
      </c>
      <c r="AT222" s="149">
        <v>1.077</v>
      </c>
      <c r="AU222" s="150">
        <f t="shared" si="95"/>
        <v>-27.687604730948664</v>
      </c>
      <c r="AV222" s="150">
        <f t="shared" si="96"/>
        <v>1.080778983155241</v>
      </c>
      <c r="AW222" s="154">
        <f t="shared" si="97"/>
        <v>3.7789831552410558E-3</v>
      </c>
      <c r="AX222" s="154">
        <f t="shared" si="98"/>
        <v>345.65657791350139</v>
      </c>
      <c r="AY222" s="154">
        <f t="shared" si="99"/>
        <v>13.062303854333893</v>
      </c>
      <c r="AZ222" s="154">
        <f t="shared" si="100"/>
        <v>37.789831552410561</v>
      </c>
    </row>
    <row r="223" spans="1:52" ht="18" x14ac:dyDescent="0.25">
      <c r="A223" s="104">
        <v>209</v>
      </c>
      <c r="B223">
        <v>6</v>
      </c>
      <c r="C223" t="s">
        <v>463</v>
      </c>
      <c r="D223" t="s">
        <v>52</v>
      </c>
      <c r="E223" t="s">
        <v>457</v>
      </c>
      <c r="F223">
        <v>3</v>
      </c>
      <c r="G223" t="s">
        <v>39</v>
      </c>
      <c r="H223">
        <v>3.8580000000000001</v>
      </c>
      <c r="Q223" s="155">
        <v>606</v>
      </c>
      <c r="R223" s="155" t="s">
        <v>412</v>
      </c>
      <c r="S223" s="155">
        <v>6.8872410000000004</v>
      </c>
      <c r="T223" s="155">
        <v>1.0783780364610722</v>
      </c>
      <c r="U223" s="155">
        <v>4.6814495000000003</v>
      </c>
      <c r="V223" s="155">
        <v>-25.752462667811265</v>
      </c>
      <c r="W223" s="142">
        <v>3.8580000000000001</v>
      </c>
      <c r="X223" s="160">
        <v>6.0076442500000002</v>
      </c>
      <c r="Y223" s="160">
        <v>1.7773530247112701</v>
      </c>
      <c r="Z223" s="160">
        <v>4.1612238125000003</v>
      </c>
      <c r="AA223" s="160">
        <v>-24.63598008754283</v>
      </c>
      <c r="AB223" s="160">
        <v>2.5109999999999997</v>
      </c>
      <c r="AC223" s="160">
        <v>2.5109999999999997</v>
      </c>
      <c r="AD223" s="144">
        <f t="shared" si="81"/>
        <v>1.1786683274396614E-2</v>
      </c>
      <c r="AE223" s="144">
        <f t="shared" si="82"/>
        <v>0.27763733748940228</v>
      </c>
      <c r="AF223" s="145">
        <f t="shared" si="83"/>
        <v>8.1177728301438615E-2</v>
      </c>
      <c r="AG223" s="145">
        <f t="shared" si="84"/>
        <v>1.2997451747710935</v>
      </c>
      <c r="AH223" s="146">
        <f t="shared" si="85"/>
        <v>2.104140184070467</v>
      </c>
      <c r="AI223" s="146">
        <f t="shared" si="86"/>
        <v>33.689610543574219</v>
      </c>
      <c r="AJ223" s="147">
        <f t="shared" si="87"/>
        <v>16.011105533093119</v>
      </c>
      <c r="AK223" s="148">
        <f t="shared" si="80"/>
        <v>1.2810250117498021</v>
      </c>
      <c r="AL223" s="148">
        <f t="shared" si="88"/>
        <v>-27.146482580268437</v>
      </c>
      <c r="AM223" s="149">
        <v>0.36599999999999999</v>
      </c>
      <c r="AN223" s="150">
        <f t="shared" si="89"/>
        <v>1.2810250117498021</v>
      </c>
      <c r="AO223" s="151">
        <f t="shared" si="90"/>
        <v>0.36672111108268546</v>
      </c>
      <c r="AP223" s="152">
        <f t="shared" si="91"/>
        <v>7.2111108268546609E-4</v>
      </c>
      <c r="AQ223" s="152">
        <f t="shared" si="92"/>
        <v>21.041401840704669</v>
      </c>
      <c r="AR223" s="153">
        <f t="shared" si="93"/>
        <v>0.15173188062570503</v>
      </c>
      <c r="AS223" s="153">
        <f t="shared" si="94"/>
        <v>7.2111108268546609</v>
      </c>
      <c r="AT223" s="149">
        <v>1.077</v>
      </c>
      <c r="AU223" s="150">
        <f t="shared" si="95"/>
        <v>-27.146482580268437</v>
      </c>
      <c r="AV223" s="150">
        <f t="shared" si="96"/>
        <v>1.0813739660166557</v>
      </c>
      <c r="AW223" s="154">
        <f t="shared" si="97"/>
        <v>4.3739660166557393E-3</v>
      </c>
      <c r="AX223" s="154">
        <f t="shared" si="98"/>
        <v>336.89610543574219</v>
      </c>
      <c r="AY223" s="154">
        <f t="shared" si="99"/>
        <v>14.735721163196052</v>
      </c>
      <c r="AZ223" s="154">
        <f t="shared" si="100"/>
        <v>43.739660166557393</v>
      </c>
    </row>
    <row r="224" spans="1:52" ht="18" x14ac:dyDescent="0.25">
      <c r="I224" t="s">
        <v>152</v>
      </c>
      <c r="Q224" s="141">
        <v>607</v>
      </c>
      <c r="R224" s="141" t="s">
        <v>413</v>
      </c>
      <c r="S224" s="141">
        <v>7.539828</v>
      </c>
      <c r="T224" s="141">
        <v>2.1231821596228966</v>
      </c>
      <c r="U224" s="141">
        <v>5.0015710000000002</v>
      </c>
      <c r="V224" s="141">
        <v>-24.552309883965798</v>
      </c>
      <c r="W224" s="141">
        <v>3.101</v>
      </c>
      <c r="X224" s="160">
        <v>6.0076442500000002</v>
      </c>
      <c r="Y224" s="160">
        <v>1.7773530247112701</v>
      </c>
      <c r="Z224" s="160">
        <v>4.1612238125000003</v>
      </c>
      <c r="AA224" s="160">
        <v>-24.63598008754283</v>
      </c>
      <c r="AB224" s="160">
        <v>2.5109999999999997</v>
      </c>
      <c r="AC224" s="160">
        <v>2.5109999999999997</v>
      </c>
      <c r="AD224" s="144">
        <f t="shared" si="81"/>
        <v>1.1786683274396614E-2</v>
      </c>
      <c r="AE224" s="144">
        <f t="shared" si="82"/>
        <v>0.27763733748940228</v>
      </c>
      <c r="AF224" s="145">
        <f t="shared" si="83"/>
        <v>8.8869564579427268E-2</v>
      </c>
      <c r="AG224" s="145">
        <f t="shared" si="84"/>
        <v>1.3886228557042073</v>
      </c>
      <c r="AH224" s="146">
        <f t="shared" si="85"/>
        <v>2.865835684599396</v>
      </c>
      <c r="AI224" s="146">
        <f t="shared" si="86"/>
        <v>44.779840558020233</v>
      </c>
      <c r="AJ224" s="147">
        <f t="shared" si="87"/>
        <v>15.625404065788171</v>
      </c>
      <c r="AK224" s="148">
        <f t="shared" si="80"/>
        <v>2.3258291349116265</v>
      </c>
      <c r="AL224" s="148">
        <f t="shared" si="88"/>
        <v>-25.946329796422969</v>
      </c>
      <c r="AM224" s="149">
        <v>0.36599999999999999</v>
      </c>
      <c r="AN224" s="150">
        <f t="shared" si="89"/>
        <v>2.3258291349116265</v>
      </c>
      <c r="AO224" s="151">
        <f t="shared" si="90"/>
        <v>0.36710236785306699</v>
      </c>
      <c r="AP224" s="152">
        <f t="shared" si="91"/>
        <v>1.1023678530669989E-3</v>
      </c>
      <c r="AQ224" s="152">
        <f t="shared" si="92"/>
        <v>28.658356845993957</v>
      </c>
      <c r="AR224" s="153">
        <f t="shared" si="93"/>
        <v>0.31592051308746288</v>
      </c>
      <c r="AS224" s="153">
        <f t="shared" si="94"/>
        <v>11.02367853066999</v>
      </c>
      <c r="AT224" s="149">
        <v>1.077</v>
      </c>
      <c r="AU224" s="150">
        <f t="shared" si="95"/>
        <v>-25.946329796422969</v>
      </c>
      <c r="AV224" s="150">
        <f t="shared" si="96"/>
        <v>1.0826935507274995</v>
      </c>
      <c r="AW224" s="154">
        <f t="shared" si="97"/>
        <v>5.6935507274995523E-3</v>
      </c>
      <c r="AX224" s="154">
        <f t="shared" si="98"/>
        <v>447.79840558020231</v>
      </c>
      <c r="AY224" s="154">
        <f t="shared" si="99"/>
        <v>25.495629378643006</v>
      </c>
      <c r="AZ224" s="154">
        <f t="shared" si="100"/>
        <v>56.935507274995523</v>
      </c>
    </row>
    <row r="225" spans="1:52" ht="18" x14ac:dyDescent="0.25">
      <c r="A225" s="104">
        <v>210</v>
      </c>
      <c r="B225">
        <v>6</v>
      </c>
      <c r="C225" t="s">
        <v>456</v>
      </c>
      <c r="D225" t="s">
        <v>40</v>
      </c>
      <c r="E225" t="s">
        <v>465</v>
      </c>
      <c r="F225">
        <v>3</v>
      </c>
      <c r="G225" t="s">
        <v>41</v>
      </c>
      <c r="H225">
        <v>3.2639999999999998</v>
      </c>
      <c r="Q225" s="155">
        <v>608</v>
      </c>
      <c r="R225" s="155" t="s">
        <v>414</v>
      </c>
      <c r="S225" s="155">
        <v>2.3853005</v>
      </c>
      <c r="T225" s="155">
        <v>-4.4403987686647106</v>
      </c>
      <c r="U225" s="155">
        <v>4.4084519999999996</v>
      </c>
      <c r="V225" s="155">
        <v>-27.807391586062526</v>
      </c>
      <c r="W225" s="142">
        <v>3.2639999999999998</v>
      </c>
      <c r="X225" s="160">
        <v>6.0076442500000002</v>
      </c>
      <c r="Y225" s="160">
        <v>1.7773530247112701</v>
      </c>
      <c r="Z225" s="160">
        <v>4.1612238125000003</v>
      </c>
      <c r="AA225" s="160">
        <v>-24.63598008754283</v>
      </c>
      <c r="AB225" s="160">
        <v>2.5109999999999997</v>
      </c>
      <c r="AC225" s="160">
        <v>2.5109999999999997</v>
      </c>
      <c r="AD225" s="144">
        <f t="shared" si="81"/>
        <v>1.1786683274396614E-2</v>
      </c>
      <c r="AE225" s="144">
        <f t="shared" si="82"/>
        <v>0.27763733748940228</v>
      </c>
      <c r="AF225" s="145">
        <f t="shared" si="83"/>
        <v>2.8114781507759881E-2</v>
      </c>
      <c r="AG225" s="145">
        <f t="shared" si="84"/>
        <v>1.2239508757298303</v>
      </c>
      <c r="AH225" s="146">
        <f t="shared" si="85"/>
        <v>0.86135972756617296</v>
      </c>
      <c r="AI225" s="146">
        <f t="shared" si="86"/>
        <v>37.498494967212942</v>
      </c>
      <c r="AJ225" s="147">
        <f t="shared" si="87"/>
        <v>43.534070339191899</v>
      </c>
      <c r="AK225" s="148">
        <f t="shared" si="80"/>
        <v>-4.2377517933759812</v>
      </c>
      <c r="AL225" s="148">
        <f t="shared" si="88"/>
        <v>-29.201411498519697</v>
      </c>
      <c r="AM225" s="149">
        <v>0.36599999999999999</v>
      </c>
      <c r="AN225" s="150">
        <f t="shared" si="89"/>
        <v>-4.2377517933759812</v>
      </c>
      <c r="AO225" s="151">
        <f t="shared" si="90"/>
        <v>0.36470722009984102</v>
      </c>
      <c r="AP225" s="152">
        <f t="shared" si="91"/>
        <v>-1.292779900158969E-3</v>
      </c>
      <c r="AQ225" s="152">
        <f t="shared" si="92"/>
        <v>8.6135972756617303</v>
      </c>
      <c r="AR225" s="153">
        <f t="shared" si="93"/>
        <v>-0.11135485426039539</v>
      </c>
      <c r="AS225" s="153">
        <f t="shared" si="94"/>
        <v>-12.927799001589692</v>
      </c>
      <c r="AT225" s="149">
        <v>1.077</v>
      </c>
      <c r="AU225" s="150">
        <f t="shared" si="95"/>
        <v>-29.201411498519697</v>
      </c>
      <c r="AV225" s="150">
        <f t="shared" si="96"/>
        <v>1.079114461282211</v>
      </c>
      <c r="AW225" s="154">
        <f t="shared" si="97"/>
        <v>2.1144612822110442E-3</v>
      </c>
      <c r="AX225" s="154">
        <f t="shared" si="98"/>
        <v>374.9849496721294</v>
      </c>
      <c r="AY225" s="154">
        <f t="shared" si="99"/>
        <v>7.9289115749357473</v>
      </c>
      <c r="AZ225" s="154">
        <f t="shared" si="100"/>
        <v>21.144612822110442</v>
      </c>
    </row>
    <row r="226" spans="1:52" ht="18" x14ac:dyDescent="0.25">
      <c r="A226" s="104">
        <v>211</v>
      </c>
      <c r="B226">
        <v>6</v>
      </c>
      <c r="C226" t="s">
        <v>458</v>
      </c>
      <c r="D226" t="s">
        <v>32</v>
      </c>
      <c r="E226" t="s">
        <v>465</v>
      </c>
      <c r="F226">
        <v>3</v>
      </c>
      <c r="G226" t="s">
        <v>42</v>
      </c>
      <c r="H226">
        <v>3.2690000000000001</v>
      </c>
      <c r="Q226" s="141">
        <v>609</v>
      </c>
      <c r="R226" s="141" t="s">
        <v>415</v>
      </c>
      <c r="S226" s="141">
        <v>2.5913952500000001</v>
      </c>
      <c r="T226" s="141">
        <v>7.7908238926079392</v>
      </c>
      <c r="U226" s="141">
        <v>4.3559945000000004</v>
      </c>
      <c r="V226" s="141">
        <v>-27.868316325205548</v>
      </c>
      <c r="W226" s="142">
        <v>3.2690000000000001</v>
      </c>
      <c r="X226" s="160">
        <v>6.0076442500000002</v>
      </c>
      <c r="Y226" s="160">
        <v>1.7773530247112701</v>
      </c>
      <c r="Z226" s="160">
        <v>4.1612238125000003</v>
      </c>
      <c r="AA226" s="160">
        <v>-24.63598008754283</v>
      </c>
      <c r="AB226" s="160">
        <v>2.5109999999999997</v>
      </c>
      <c r="AC226" s="160">
        <v>2.5109999999999997</v>
      </c>
      <c r="AD226" s="144">
        <f t="shared" si="81"/>
        <v>1.1786683274396614E-2</v>
      </c>
      <c r="AE226" s="144">
        <f t="shared" si="82"/>
        <v>0.27763733748940228</v>
      </c>
      <c r="AF226" s="145">
        <f t="shared" si="83"/>
        <v>3.0543955050525835E-2</v>
      </c>
      <c r="AG226" s="145">
        <f t="shared" si="84"/>
        <v>1.2093867150984803</v>
      </c>
      <c r="AH226" s="146">
        <f t="shared" si="85"/>
        <v>0.93435163813171707</v>
      </c>
      <c r="AI226" s="146">
        <f t="shared" si="86"/>
        <v>36.995616858319984</v>
      </c>
      <c r="AJ226" s="147">
        <f t="shared" si="87"/>
        <v>39.594961199291703</v>
      </c>
      <c r="AK226" s="148">
        <f t="shared" si="80"/>
        <v>7.9934708678966686</v>
      </c>
      <c r="AL226" s="148">
        <f t="shared" si="88"/>
        <v>-29.262336237662719</v>
      </c>
      <c r="AM226" s="149">
        <v>0.36599999999999999</v>
      </c>
      <c r="AN226" s="150">
        <f t="shared" si="89"/>
        <v>7.9934708678966686</v>
      </c>
      <c r="AO226" s="151">
        <f t="shared" si="90"/>
        <v>0.36917048149603338</v>
      </c>
      <c r="AP226" s="152">
        <f t="shared" si="91"/>
        <v>3.1704814960333838E-3</v>
      </c>
      <c r="AQ226" s="152">
        <f t="shared" si="92"/>
        <v>9.3435163813171709</v>
      </c>
      <c r="AR226" s="153">
        <f t="shared" si="93"/>
        <v>0.29623445794850889</v>
      </c>
      <c r="AS226" s="153">
        <f t="shared" si="94"/>
        <v>31.704814960333838</v>
      </c>
      <c r="AT226" s="149">
        <v>1.077</v>
      </c>
      <c r="AU226" s="150">
        <f t="shared" si="95"/>
        <v>-29.262336237662719</v>
      </c>
      <c r="AV226" s="150">
        <f t="shared" si="96"/>
        <v>1.079047469683146</v>
      </c>
      <c r="AW226" s="154">
        <f t="shared" si="97"/>
        <v>2.0474696831460637E-3</v>
      </c>
      <c r="AX226" s="154">
        <f t="shared" si="98"/>
        <v>369.95616858319983</v>
      </c>
      <c r="AY226" s="154">
        <f t="shared" si="99"/>
        <v>7.5747403926697583</v>
      </c>
      <c r="AZ226" s="154">
        <f t="shared" si="100"/>
        <v>20.474696831460637</v>
      </c>
    </row>
    <row r="227" spans="1:52" ht="18" x14ac:dyDescent="0.25">
      <c r="A227" s="104">
        <v>212</v>
      </c>
      <c r="B227">
        <v>6</v>
      </c>
      <c r="C227" t="s">
        <v>459</v>
      </c>
      <c r="D227" t="s">
        <v>48</v>
      </c>
      <c r="E227" t="s">
        <v>465</v>
      </c>
      <c r="F227">
        <v>3</v>
      </c>
      <c r="G227" t="s">
        <v>43</v>
      </c>
      <c r="H227">
        <v>3.1259999999999999</v>
      </c>
      <c r="Q227" s="155">
        <v>610</v>
      </c>
      <c r="R227" s="155" t="s">
        <v>416</v>
      </c>
      <c r="S227" s="155">
        <v>2.9067975000000001</v>
      </c>
      <c r="T227" s="155">
        <v>2.6389841722660483</v>
      </c>
      <c r="U227" s="155">
        <v>4.2622989999999996</v>
      </c>
      <c r="V227" s="155">
        <v>-27.495313248669543</v>
      </c>
      <c r="W227" s="142">
        <v>3.1259999999999999</v>
      </c>
      <c r="X227" s="160">
        <v>6.0076442500000002</v>
      </c>
      <c r="Y227" s="160">
        <v>1.7773530247112701</v>
      </c>
      <c r="Z227" s="160">
        <v>4.1612238125000003</v>
      </c>
      <c r="AA227" s="160">
        <v>-24.63598008754283</v>
      </c>
      <c r="AB227" s="160">
        <v>2.5109999999999997</v>
      </c>
      <c r="AC227" s="160">
        <v>2.5109999999999997</v>
      </c>
      <c r="AD227" s="144">
        <f t="shared" si="81"/>
        <v>1.1786683274396614E-2</v>
      </c>
      <c r="AE227" s="144">
        <f t="shared" si="82"/>
        <v>0.27763733748940228</v>
      </c>
      <c r="AF227" s="145">
        <f t="shared" si="83"/>
        <v>3.426150147530789E-2</v>
      </c>
      <c r="AG227" s="145">
        <f t="shared" si="84"/>
        <v>1.1833733459437417</v>
      </c>
      <c r="AH227" s="146">
        <f t="shared" si="85"/>
        <v>1.0960173216669191</v>
      </c>
      <c r="AI227" s="146">
        <f t="shared" si="86"/>
        <v>37.855833203574591</v>
      </c>
      <c r="AJ227" s="147">
        <f t="shared" si="87"/>
        <v>34.539447922228206</v>
      </c>
      <c r="AK227" s="148">
        <f t="shared" si="80"/>
        <v>2.8416311475547782</v>
      </c>
      <c r="AL227" s="148">
        <f t="shared" si="88"/>
        <v>-28.889333161126714</v>
      </c>
      <c r="AM227" s="149">
        <v>0.36599999999999999</v>
      </c>
      <c r="AN227" s="150">
        <f t="shared" si="89"/>
        <v>2.8416311475547782</v>
      </c>
      <c r="AO227" s="151">
        <f t="shared" si="90"/>
        <v>0.36729058675565757</v>
      </c>
      <c r="AP227" s="152">
        <f t="shared" si="91"/>
        <v>1.2905867556575745E-3</v>
      </c>
      <c r="AQ227" s="152">
        <f t="shared" si="92"/>
        <v>10.960173216669192</v>
      </c>
      <c r="AR227" s="153">
        <f t="shared" si="93"/>
        <v>0.14145054393146136</v>
      </c>
      <c r="AS227" s="153">
        <f t="shared" si="94"/>
        <v>12.905867556575746</v>
      </c>
      <c r="AT227" s="149">
        <v>1.077</v>
      </c>
      <c r="AU227" s="150">
        <f t="shared" si="95"/>
        <v>-28.889333161126714</v>
      </c>
      <c r="AV227" s="150">
        <f t="shared" si="96"/>
        <v>1.0794576148265134</v>
      </c>
      <c r="AW227" s="154">
        <f t="shared" si="97"/>
        <v>2.4576148265134101E-3</v>
      </c>
      <c r="AX227" s="154">
        <f t="shared" si="98"/>
        <v>378.55833203574588</v>
      </c>
      <c r="AY227" s="154">
        <f t="shared" si="99"/>
        <v>9.3035056951123547</v>
      </c>
      <c r="AZ227" s="154">
        <f t="shared" si="100"/>
        <v>24.576148265134101</v>
      </c>
    </row>
    <row r="228" spans="1:52" ht="18" x14ac:dyDescent="0.25">
      <c r="A228" s="104">
        <v>213</v>
      </c>
      <c r="B228">
        <v>6</v>
      </c>
      <c r="C228" t="s">
        <v>460</v>
      </c>
      <c r="D228" t="s">
        <v>44</v>
      </c>
      <c r="E228" t="s">
        <v>465</v>
      </c>
      <c r="F228">
        <v>3</v>
      </c>
      <c r="G228" t="s">
        <v>45</v>
      </c>
      <c r="H228">
        <v>3.956</v>
      </c>
      <c r="Q228" s="141">
        <v>611</v>
      </c>
      <c r="R228" s="141" t="s">
        <v>417</v>
      </c>
      <c r="S228" s="141">
        <v>3.4466670000000001</v>
      </c>
      <c r="T228" s="141">
        <v>-0.68511720118764607</v>
      </c>
      <c r="U228" s="141">
        <v>5.0282045000000002</v>
      </c>
      <c r="V228" s="141">
        <v>-26.869828695711384</v>
      </c>
      <c r="W228" s="142">
        <v>3.956</v>
      </c>
      <c r="X228" s="160">
        <v>6.0076442500000002</v>
      </c>
      <c r="Y228" s="160">
        <v>1.7773530247112701</v>
      </c>
      <c r="Z228" s="160">
        <v>4.1612238125000003</v>
      </c>
      <c r="AA228" s="160">
        <v>-24.63598008754283</v>
      </c>
      <c r="AB228" s="160">
        <v>2.5109999999999997</v>
      </c>
      <c r="AC228" s="160">
        <v>2.5109999999999997</v>
      </c>
      <c r="AD228" s="144">
        <f t="shared" si="81"/>
        <v>1.1786683274396614E-2</v>
      </c>
      <c r="AE228" s="144">
        <f t="shared" si="82"/>
        <v>0.27763733748940228</v>
      </c>
      <c r="AF228" s="145">
        <f t="shared" si="83"/>
        <v>4.0624772281314753E-2</v>
      </c>
      <c r="AG228" s="145">
        <f t="shared" si="84"/>
        <v>1.3960173097322313</v>
      </c>
      <c r="AH228" s="146">
        <f t="shared" si="85"/>
        <v>1.026915376170747</v>
      </c>
      <c r="AI228" s="146">
        <f t="shared" si="86"/>
        <v>35.288607424980562</v>
      </c>
      <c r="AJ228" s="147">
        <f t="shared" si="87"/>
        <v>34.363695630469429</v>
      </c>
      <c r="AK228" s="148">
        <f t="shared" si="80"/>
        <v>-0.48247022589891619</v>
      </c>
      <c r="AL228" s="148">
        <f t="shared" si="88"/>
        <v>-28.263848608168555</v>
      </c>
      <c r="AM228" s="149">
        <v>0.36599999999999999</v>
      </c>
      <c r="AN228" s="150">
        <f t="shared" si="89"/>
        <v>-0.48247022589891619</v>
      </c>
      <c r="AO228" s="151">
        <f t="shared" si="90"/>
        <v>0.36607759197762529</v>
      </c>
      <c r="AP228" s="152">
        <f t="shared" si="91"/>
        <v>7.7591977625302011E-5</v>
      </c>
      <c r="AQ228" s="152">
        <f t="shared" si="92"/>
        <v>10.269153761707472</v>
      </c>
      <c r="AR228" s="153">
        <f t="shared" si="93"/>
        <v>7.9680394890919194E-3</v>
      </c>
      <c r="AS228" s="153">
        <f t="shared" si="94"/>
        <v>0.77591977625302011</v>
      </c>
      <c r="AT228" s="149">
        <v>1.077</v>
      </c>
      <c r="AU228" s="150">
        <f t="shared" si="95"/>
        <v>-28.263848608168555</v>
      </c>
      <c r="AV228" s="150">
        <f t="shared" si="96"/>
        <v>1.0801453748491541</v>
      </c>
      <c r="AW228" s="154">
        <f t="shared" si="97"/>
        <v>3.1453748491541145E-3</v>
      </c>
      <c r="AX228" s="154">
        <f t="shared" si="98"/>
        <v>352.88607424980563</v>
      </c>
      <c r="AY228" s="154">
        <f t="shared" si="99"/>
        <v>11.099589825620701</v>
      </c>
      <c r="AZ228" s="154">
        <f t="shared" si="100"/>
        <v>31.453748491541145</v>
      </c>
    </row>
    <row r="229" spans="1:52" ht="18" x14ac:dyDescent="0.25">
      <c r="A229" s="104">
        <v>214</v>
      </c>
      <c r="B229">
        <v>6</v>
      </c>
      <c r="C229" t="s">
        <v>461</v>
      </c>
      <c r="D229" t="s">
        <v>28</v>
      </c>
      <c r="E229" t="s">
        <v>465</v>
      </c>
      <c r="F229">
        <v>3</v>
      </c>
      <c r="G229" t="s">
        <v>46</v>
      </c>
      <c r="H229">
        <v>3.331</v>
      </c>
      <c r="Q229" s="155">
        <v>612</v>
      </c>
      <c r="R229" s="155" t="s">
        <v>418</v>
      </c>
      <c r="S229" s="155">
        <v>2.6527585</v>
      </c>
      <c r="T229" s="155">
        <v>-1.0326958172837575</v>
      </c>
      <c r="U229" s="155">
        <v>4.4969720000000004</v>
      </c>
      <c r="V229" s="155">
        <v>-28.059725233079433</v>
      </c>
      <c r="W229" s="142">
        <v>3.331</v>
      </c>
      <c r="X229" s="160">
        <v>6.0076442500000002</v>
      </c>
      <c r="Y229" s="160">
        <v>1.7773530247112701</v>
      </c>
      <c r="Z229" s="160">
        <v>4.1612238125000003</v>
      </c>
      <c r="AA229" s="160">
        <v>-24.63598008754283</v>
      </c>
      <c r="AB229" s="160">
        <v>2.5109999999999997</v>
      </c>
      <c r="AC229" s="160">
        <v>2.5109999999999997</v>
      </c>
      <c r="AD229" s="144">
        <f t="shared" si="81"/>
        <v>1.1786683274396614E-2</v>
      </c>
      <c r="AE229" s="144">
        <f t="shared" si="82"/>
        <v>0.27763733748940228</v>
      </c>
      <c r="AF229" s="145">
        <f t="shared" si="83"/>
        <v>3.1267224242963451E-2</v>
      </c>
      <c r="AG229" s="145">
        <f t="shared" si="84"/>
        <v>1.2485273328443924</v>
      </c>
      <c r="AH229" s="146">
        <f t="shared" si="85"/>
        <v>0.93867379894816727</v>
      </c>
      <c r="AI229" s="146">
        <f t="shared" si="86"/>
        <v>37.482057425529646</v>
      </c>
      <c r="AJ229" s="147">
        <f t="shared" si="87"/>
        <v>39.930865725164843</v>
      </c>
      <c r="AK229" s="148">
        <f t="shared" si="80"/>
        <v>-0.8300488419950276</v>
      </c>
      <c r="AL229" s="148">
        <f t="shared" si="88"/>
        <v>-29.453745145536605</v>
      </c>
      <c r="AM229" s="149">
        <v>0.36599999999999999</v>
      </c>
      <c r="AN229" s="150">
        <f t="shared" si="89"/>
        <v>-0.8300488419950276</v>
      </c>
      <c r="AO229" s="151">
        <f t="shared" si="90"/>
        <v>0.3659507556785439</v>
      </c>
      <c r="AP229" s="152">
        <f t="shared" si="91"/>
        <v>-4.9244321456087814E-5</v>
      </c>
      <c r="AQ229" s="152">
        <f t="shared" si="92"/>
        <v>9.3867379894816736</v>
      </c>
      <c r="AR229" s="153">
        <f t="shared" si="93"/>
        <v>-4.6224354297810695E-3</v>
      </c>
      <c r="AS229" s="153">
        <f t="shared" si="94"/>
        <v>-0.49244321456087814</v>
      </c>
      <c r="AT229" s="149">
        <v>1.077</v>
      </c>
      <c r="AU229" s="150">
        <f t="shared" si="95"/>
        <v>-29.453745145536605</v>
      </c>
      <c r="AV229" s="150">
        <f t="shared" si="96"/>
        <v>1.078836999766319</v>
      </c>
      <c r="AW229" s="154">
        <f t="shared" si="97"/>
        <v>1.8369997663190141E-3</v>
      </c>
      <c r="AX229" s="154">
        <f t="shared" si="98"/>
        <v>374.82057425529649</v>
      </c>
      <c r="AY229" s="154">
        <f t="shared" si="99"/>
        <v>6.885453073185384</v>
      </c>
      <c r="AZ229" s="154">
        <f t="shared" si="100"/>
        <v>18.369997663190141</v>
      </c>
    </row>
    <row r="230" spans="1:52" ht="18" x14ac:dyDescent="0.25">
      <c r="A230" s="104">
        <v>215</v>
      </c>
      <c r="B230">
        <v>6</v>
      </c>
      <c r="C230" t="s">
        <v>462</v>
      </c>
      <c r="D230" t="s">
        <v>36</v>
      </c>
      <c r="E230" t="s">
        <v>465</v>
      </c>
      <c r="F230">
        <v>3</v>
      </c>
      <c r="G230" t="s">
        <v>47</v>
      </c>
      <c r="H230">
        <v>3.1389999999999998</v>
      </c>
      <c r="Q230" s="141">
        <v>613</v>
      </c>
      <c r="R230" s="141" t="s">
        <v>419</v>
      </c>
      <c r="S230" s="141">
        <v>2.2686044999999999</v>
      </c>
      <c r="T230" s="141">
        <v>1.3870121841642575</v>
      </c>
      <c r="U230" s="141">
        <v>4.0356079999999999</v>
      </c>
      <c r="V230" s="141">
        <v>-26.666087031803936</v>
      </c>
      <c r="W230" s="142">
        <v>3.1389999999999998</v>
      </c>
      <c r="X230" s="160">
        <v>6.0076442500000002</v>
      </c>
      <c r="Y230" s="160">
        <v>1.7773530247112701</v>
      </c>
      <c r="Z230" s="160">
        <v>4.1612238125000003</v>
      </c>
      <c r="AA230" s="160">
        <v>-24.63598008754283</v>
      </c>
      <c r="AB230" s="160">
        <v>2.5109999999999997</v>
      </c>
      <c r="AC230" s="160">
        <v>2.5109999999999997</v>
      </c>
      <c r="AD230" s="144">
        <f t="shared" si="81"/>
        <v>1.1786683274396614E-2</v>
      </c>
      <c r="AE230" s="144">
        <f t="shared" si="82"/>
        <v>0.27763733748940228</v>
      </c>
      <c r="AF230" s="145">
        <f t="shared" si="83"/>
        <v>2.6739322716370893E-2</v>
      </c>
      <c r="AG230" s="145">
        <f t="shared" si="84"/>
        <v>1.1204354602709317</v>
      </c>
      <c r="AH230" s="146">
        <f t="shared" si="85"/>
        <v>0.85184207443042037</v>
      </c>
      <c r="AI230" s="146">
        <f t="shared" si="86"/>
        <v>35.694025494454664</v>
      </c>
      <c r="AJ230" s="147">
        <f t="shared" si="87"/>
        <v>41.902163048615883</v>
      </c>
      <c r="AK230" s="148">
        <f t="shared" si="80"/>
        <v>1.5896591594529874</v>
      </c>
      <c r="AL230" s="148">
        <f t="shared" si="88"/>
        <v>-28.060106944261108</v>
      </c>
      <c r="AM230" s="149">
        <v>0.36599999999999999</v>
      </c>
      <c r="AN230" s="150">
        <f t="shared" si="89"/>
        <v>1.5896591594529874</v>
      </c>
      <c r="AO230" s="151">
        <f t="shared" si="90"/>
        <v>0.36683373427495369</v>
      </c>
      <c r="AP230" s="152">
        <f t="shared" si="91"/>
        <v>8.3373427495370134E-4</v>
      </c>
      <c r="AQ230" s="152">
        <f t="shared" si="92"/>
        <v>8.518420744304203</v>
      </c>
      <c r="AR230" s="153">
        <f t="shared" si="93"/>
        <v>7.1020993430030335E-2</v>
      </c>
      <c r="AS230" s="153">
        <f t="shared" si="94"/>
        <v>8.3373427495370134</v>
      </c>
      <c r="AT230" s="149">
        <v>1.077</v>
      </c>
      <c r="AU230" s="150">
        <f t="shared" si="95"/>
        <v>-28.060106944261108</v>
      </c>
      <c r="AV230" s="150">
        <f t="shared" si="96"/>
        <v>1.0803693996937889</v>
      </c>
      <c r="AW230" s="154">
        <f t="shared" si="97"/>
        <v>3.3693996937889104E-3</v>
      </c>
      <c r="AX230" s="154">
        <f t="shared" si="98"/>
        <v>356.94025494454655</v>
      </c>
      <c r="AY230" s="154">
        <f t="shared" si="99"/>
        <v>12.026743857110908</v>
      </c>
      <c r="AZ230" s="154">
        <f t="shared" si="100"/>
        <v>33.693996937889104</v>
      </c>
    </row>
    <row r="231" spans="1:52" ht="18" x14ac:dyDescent="0.25">
      <c r="A231" s="104">
        <v>216</v>
      </c>
      <c r="B231">
        <v>6</v>
      </c>
      <c r="C231" t="s">
        <v>463</v>
      </c>
      <c r="D231" t="s">
        <v>52</v>
      </c>
      <c r="E231" t="s">
        <v>465</v>
      </c>
      <c r="F231">
        <v>3</v>
      </c>
      <c r="G231" t="s">
        <v>49</v>
      </c>
      <c r="H231">
        <v>3.2240000000000002</v>
      </c>
      <c r="Q231" s="155">
        <v>614</v>
      </c>
      <c r="R231" s="155" t="s">
        <v>420</v>
      </c>
      <c r="S231" s="155">
        <v>2.3703340000000002</v>
      </c>
      <c r="T231" s="155">
        <v>-2.3030968200344808</v>
      </c>
      <c r="U231" s="155">
        <v>3.9832749999999999</v>
      </c>
      <c r="V231" s="155">
        <v>-27.573431657123617</v>
      </c>
      <c r="W231" s="142">
        <v>3.2240000000000002</v>
      </c>
      <c r="X231" s="160">
        <v>6.0076442500000002</v>
      </c>
      <c r="Y231" s="160">
        <v>1.7773530247112701</v>
      </c>
      <c r="Z231" s="160">
        <v>4.1612238125000003</v>
      </c>
      <c r="AA231" s="160">
        <v>-24.63598008754283</v>
      </c>
      <c r="AB231" s="160">
        <v>2.5109999999999997</v>
      </c>
      <c r="AC231" s="160">
        <v>2.5109999999999997</v>
      </c>
      <c r="AD231" s="144">
        <f t="shared" si="81"/>
        <v>1.1786683274396614E-2</v>
      </c>
      <c r="AE231" s="144">
        <f t="shared" si="82"/>
        <v>0.27763733748940228</v>
      </c>
      <c r="AF231" s="145">
        <f t="shared" si="83"/>
        <v>2.7938376112533626E-2</v>
      </c>
      <c r="AG231" s="145">
        <f t="shared" si="84"/>
        <v>1.1059058654880989</v>
      </c>
      <c r="AH231" s="146">
        <f t="shared" si="85"/>
        <v>0.86657494145575753</v>
      </c>
      <c r="AI231" s="146">
        <f t="shared" si="86"/>
        <v>34.302291113154425</v>
      </c>
      <c r="AJ231" s="147">
        <f t="shared" si="87"/>
        <v>39.583756086380802</v>
      </c>
      <c r="AK231" s="148">
        <f t="shared" si="80"/>
        <v>-2.1004498447457509</v>
      </c>
      <c r="AL231" s="148">
        <f t="shared" si="88"/>
        <v>-28.967451569580788</v>
      </c>
      <c r="AM231" s="149">
        <v>0.36599999999999999</v>
      </c>
      <c r="AN231" s="150">
        <f t="shared" si="89"/>
        <v>-2.1004498447457509</v>
      </c>
      <c r="AO231" s="151">
        <f t="shared" si="90"/>
        <v>0.36548716583456925</v>
      </c>
      <c r="AP231" s="152">
        <f t="shared" si="91"/>
        <v>-5.1283416543074223E-4</v>
      </c>
      <c r="AQ231" s="152">
        <f t="shared" si="92"/>
        <v>8.6657494145575757</v>
      </c>
      <c r="AR231" s="153">
        <f t="shared" si="93"/>
        <v>-4.4440923688465778E-2</v>
      </c>
      <c r="AS231" s="153">
        <f t="shared" si="94"/>
        <v>-5.1283416543074223</v>
      </c>
      <c r="AT231" s="149">
        <v>1.077</v>
      </c>
      <c r="AU231" s="150">
        <f t="shared" si="95"/>
        <v>-28.967451569580788</v>
      </c>
      <c r="AV231" s="150">
        <f t="shared" si="96"/>
        <v>1.0793717179993059</v>
      </c>
      <c r="AW231" s="154">
        <f t="shared" si="97"/>
        <v>2.3717179993059112E-3</v>
      </c>
      <c r="AX231" s="154">
        <f t="shared" si="98"/>
        <v>343.02291113154422</v>
      </c>
      <c r="AY231" s="154">
        <f t="shared" si="99"/>
        <v>8.1355361250499545</v>
      </c>
      <c r="AZ231" s="154">
        <f t="shared" si="100"/>
        <v>23.717179993059112</v>
      </c>
    </row>
    <row r="232" spans="1:52" ht="18" x14ac:dyDescent="0.25">
      <c r="A232" s="104">
        <v>217</v>
      </c>
      <c r="B232">
        <v>6</v>
      </c>
      <c r="C232" t="s">
        <v>464</v>
      </c>
      <c r="D232" t="s">
        <v>24</v>
      </c>
      <c r="E232" t="s">
        <v>465</v>
      </c>
      <c r="F232">
        <v>3</v>
      </c>
      <c r="G232" t="s">
        <v>50</v>
      </c>
      <c r="H232">
        <v>3.286</v>
      </c>
      <c r="Q232" s="141">
        <v>615</v>
      </c>
      <c r="R232" s="141" t="s">
        <v>421</v>
      </c>
      <c r="S232" s="141">
        <v>2.7745597499999999</v>
      </c>
      <c r="T232" s="141">
        <v>2.4613456532433462</v>
      </c>
      <c r="U232" s="141">
        <v>4.4999675000000003</v>
      </c>
      <c r="V232" s="141">
        <v>-28.480619512411529</v>
      </c>
      <c r="W232" s="142">
        <v>3.286</v>
      </c>
      <c r="X232" s="160">
        <v>6.0076442500000002</v>
      </c>
      <c r="Y232" s="160">
        <v>1.7773530247112701</v>
      </c>
      <c r="Z232" s="160">
        <v>4.1612238125000003</v>
      </c>
      <c r="AA232" s="160">
        <v>-24.63598008754283</v>
      </c>
      <c r="AB232" s="160">
        <v>2.5109999999999997</v>
      </c>
      <c r="AC232" s="160">
        <v>2.5109999999999997</v>
      </c>
      <c r="AD232" s="144">
        <f t="shared" si="81"/>
        <v>1.1786683274396614E-2</v>
      </c>
      <c r="AE232" s="144">
        <f t="shared" si="82"/>
        <v>0.27763733748940228</v>
      </c>
      <c r="AF232" s="145">
        <f t="shared" si="83"/>
        <v>3.2702856999139052E-2</v>
      </c>
      <c r="AG232" s="145">
        <f t="shared" si="84"/>
        <v>1.249358995488842</v>
      </c>
      <c r="AH232" s="146">
        <f t="shared" si="85"/>
        <v>0.99521780277355598</v>
      </c>
      <c r="AI232" s="146">
        <f t="shared" si="86"/>
        <v>38.020663283287945</v>
      </c>
      <c r="AJ232" s="147">
        <f t="shared" si="87"/>
        <v>38.20335928208759</v>
      </c>
      <c r="AK232" s="148">
        <f t="shared" si="80"/>
        <v>2.6639926285320761</v>
      </c>
      <c r="AL232" s="148">
        <f t="shared" si="88"/>
        <v>-29.8746394248687</v>
      </c>
      <c r="AM232" s="149">
        <v>0.36599999999999999</v>
      </c>
      <c r="AN232" s="150">
        <f t="shared" si="89"/>
        <v>2.6639926285320761</v>
      </c>
      <c r="AO232" s="151">
        <f t="shared" si="90"/>
        <v>0.36722576559389636</v>
      </c>
      <c r="AP232" s="152">
        <f t="shared" si="91"/>
        <v>1.2257655938963663E-3</v>
      </c>
      <c r="AQ232" s="152">
        <f t="shared" si="92"/>
        <v>9.9521780277355614</v>
      </c>
      <c r="AR232" s="153">
        <f t="shared" si="93"/>
        <v>0.12199037410729646</v>
      </c>
      <c r="AS232" s="153">
        <f t="shared" si="94"/>
        <v>12.257655938963662</v>
      </c>
      <c r="AT232" s="149">
        <v>1.077</v>
      </c>
      <c r="AU232" s="150">
        <f t="shared" si="95"/>
        <v>-29.8746394248687</v>
      </c>
      <c r="AV232" s="150">
        <f t="shared" si="96"/>
        <v>1.0783741885634122</v>
      </c>
      <c r="AW232" s="154">
        <f t="shared" si="97"/>
        <v>1.3741885634122042E-3</v>
      </c>
      <c r="AX232" s="154">
        <f t="shared" si="98"/>
        <v>380.20663283287945</v>
      </c>
      <c r="AY232" s="154">
        <f t="shared" si="99"/>
        <v>5.2247560657240593</v>
      </c>
      <c r="AZ232" s="154">
        <f t="shared" si="100"/>
        <v>13.74188563412204</v>
      </c>
    </row>
    <row r="233" spans="1:52" ht="18" x14ac:dyDescent="0.25">
      <c r="A233" s="104">
        <v>218</v>
      </c>
      <c r="B233">
        <v>6</v>
      </c>
      <c r="C233" t="s">
        <v>456</v>
      </c>
      <c r="D233" t="s">
        <v>40</v>
      </c>
      <c r="E233" t="s">
        <v>466</v>
      </c>
      <c r="F233">
        <v>3</v>
      </c>
      <c r="G233" t="s">
        <v>51</v>
      </c>
      <c r="H233">
        <v>3.2770000000000001</v>
      </c>
      <c r="Q233" s="155">
        <v>616</v>
      </c>
      <c r="R233" s="155" t="s">
        <v>422</v>
      </c>
      <c r="S233" s="155">
        <v>10.152652</v>
      </c>
      <c r="T233" s="155">
        <v>-0.1762774793542643</v>
      </c>
      <c r="U233" s="155">
        <v>4.7378720000000003</v>
      </c>
      <c r="V233" s="155">
        <v>-24.663866865299173</v>
      </c>
      <c r="W233" s="142">
        <v>3.2770000000000001</v>
      </c>
      <c r="X233" s="160">
        <v>6.0076442500000002</v>
      </c>
      <c r="Y233" s="160">
        <v>1.7773530247112701</v>
      </c>
      <c r="Z233" s="160">
        <v>4.1612238125000003</v>
      </c>
      <c r="AA233" s="160">
        <v>-24.63598008754283</v>
      </c>
      <c r="AB233" s="160">
        <v>2.5109999999999997</v>
      </c>
      <c r="AC233" s="160">
        <v>2.5109999999999997</v>
      </c>
      <c r="AD233" s="144">
        <f t="shared" si="81"/>
        <v>1.1786683274396614E-2</v>
      </c>
      <c r="AE233" s="144">
        <f t="shared" si="82"/>
        <v>0.27763733748940228</v>
      </c>
      <c r="AF233" s="145">
        <f t="shared" si="83"/>
        <v>0.11966609351916933</v>
      </c>
      <c r="AG233" s="145">
        <f t="shared" si="84"/>
        <v>1.3154101674455894</v>
      </c>
      <c r="AH233" s="146">
        <f t="shared" si="85"/>
        <v>3.6516964760198145</v>
      </c>
      <c r="AI233" s="146">
        <f t="shared" si="86"/>
        <v>40.140682558608155</v>
      </c>
      <c r="AJ233" s="147">
        <f t="shared" si="87"/>
        <v>10.99233817000029</v>
      </c>
      <c r="AK233" s="148">
        <f t="shared" si="80"/>
        <v>2.6369495934465581E-2</v>
      </c>
      <c r="AL233" s="148">
        <f t="shared" si="88"/>
        <v>-26.057886777756345</v>
      </c>
      <c r="AM233" s="149">
        <v>0.36599999999999999</v>
      </c>
      <c r="AN233" s="150">
        <f t="shared" si="89"/>
        <v>2.6369495934465581E-2</v>
      </c>
      <c r="AO233" s="151">
        <f t="shared" si="90"/>
        <v>0.36626327412755055</v>
      </c>
      <c r="AP233" s="152">
        <f t="shared" si="91"/>
        <v>2.6327412755056123E-4</v>
      </c>
      <c r="AQ233" s="152">
        <f t="shared" si="92"/>
        <v>36.51696476019815</v>
      </c>
      <c r="AR233" s="153">
        <f t="shared" si="93"/>
        <v>9.6139720380357577E-2</v>
      </c>
      <c r="AS233" s="153">
        <f t="shared" si="94"/>
        <v>2.6327412755056123</v>
      </c>
      <c r="AT233" s="149">
        <v>1.077</v>
      </c>
      <c r="AU233" s="150">
        <f t="shared" si="95"/>
        <v>-26.057886777756345</v>
      </c>
      <c r="AV233" s="150">
        <f t="shared" si="96"/>
        <v>1.0825708937560781</v>
      </c>
      <c r="AW233" s="154">
        <f t="shared" si="97"/>
        <v>5.5708937560781102E-3</v>
      </c>
      <c r="AX233" s="154">
        <f t="shared" si="98"/>
        <v>401.4068255860816</v>
      </c>
      <c r="AY233" s="154">
        <f t="shared" si="99"/>
        <v>22.361947783046372</v>
      </c>
      <c r="AZ233" s="154">
        <f t="shared" si="100"/>
        <v>55.708937560781102</v>
      </c>
    </row>
    <row r="234" spans="1:52" ht="18" x14ac:dyDescent="0.25">
      <c r="A234" s="104">
        <v>219</v>
      </c>
      <c r="B234">
        <v>6</v>
      </c>
      <c r="C234" t="s">
        <v>459</v>
      </c>
      <c r="D234" t="s">
        <v>48</v>
      </c>
      <c r="E234" t="s">
        <v>466</v>
      </c>
      <c r="F234">
        <v>3</v>
      </c>
      <c r="G234" t="s">
        <v>53</v>
      </c>
      <c r="H234">
        <v>3.1890000000000001</v>
      </c>
      <c r="Q234" s="141">
        <v>617</v>
      </c>
      <c r="R234" s="141" t="s">
        <v>423</v>
      </c>
      <c r="S234" s="141">
        <v>10.061715</v>
      </c>
      <c r="T234" s="141">
        <v>-0.33788680073064403</v>
      </c>
      <c r="U234" s="141">
        <v>4.8190014999999997</v>
      </c>
      <c r="V234" s="141">
        <v>-25.734200561620302</v>
      </c>
      <c r="W234" s="142">
        <v>3.1890000000000001</v>
      </c>
      <c r="X234" s="160">
        <v>6.0076442500000002</v>
      </c>
      <c r="Y234" s="160">
        <v>1.7773530247112701</v>
      </c>
      <c r="Z234" s="160">
        <v>4.1612238125000003</v>
      </c>
      <c r="AA234" s="160">
        <v>-24.63598008754283</v>
      </c>
      <c r="AB234" s="160">
        <v>2.5109999999999997</v>
      </c>
      <c r="AC234" s="160">
        <v>2.5109999999999997</v>
      </c>
      <c r="AD234" s="144">
        <f t="shared" si="81"/>
        <v>1.1786683274396614E-2</v>
      </c>
      <c r="AE234" s="144">
        <f t="shared" si="82"/>
        <v>0.27763733748940228</v>
      </c>
      <c r="AF234" s="145">
        <f t="shared" si="83"/>
        <v>0.11859424790224553</v>
      </c>
      <c r="AG234" s="145">
        <f t="shared" si="84"/>
        <v>1.3379347458174358</v>
      </c>
      <c r="AH234" s="146">
        <f t="shared" si="85"/>
        <v>3.7188538069064134</v>
      </c>
      <c r="AI234" s="146">
        <f t="shared" si="86"/>
        <v>41.954680019361419</v>
      </c>
      <c r="AJ234" s="147">
        <f t="shared" si="87"/>
        <v>11.281615841269673</v>
      </c>
      <c r="AK234" s="148">
        <f t="shared" si="80"/>
        <v>-0.13523982544191415</v>
      </c>
      <c r="AL234" s="148">
        <f t="shared" si="88"/>
        <v>-27.128220474077473</v>
      </c>
      <c r="AM234" s="149">
        <v>0.36599999999999999</v>
      </c>
      <c r="AN234" s="150">
        <f t="shared" si="89"/>
        <v>-0.13523982544191415</v>
      </c>
      <c r="AO234" s="151">
        <f t="shared" si="90"/>
        <v>0.36620430088550388</v>
      </c>
      <c r="AP234" s="152">
        <f t="shared" si="91"/>
        <v>2.0430088550388303E-4</v>
      </c>
      <c r="AQ234" s="152">
        <f t="shared" si="92"/>
        <v>37.188538069064137</v>
      </c>
      <c r="AR234" s="153">
        <f t="shared" si="93"/>
        <v>7.5976512581046679E-2</v>
      </c>
      <c r="AS234" s="153">
        <f t="shared" si="94"/>
        <v>2.0430088550388303</v>
      </c>
      <c r="AT234" s="149">
        <v>1.077</v>
      </c>
      <c r="AU234" s="150">
        <f t="shared" si="95"/>
        <v>-27.128220474077473</v>
      </c>
      <c r="AV234" s="150">
        <f t="shared" si="96"/>
        <v>1.0813940457206979</v>
      </c>
      <c r="AW234" s="154">
        <f t="shared" si="97"/>
        <v>4.3940457206979033E-3</v>
      </c>
      <c r="AX234" s="154">
        <f t="shared" si="98"/>
        <v>419.5468001936141</v>
      </c>
      <c r="AY234" s="154">
        <f t="shared" si="99"/>
        <v>18.435078220232484</v>
      </c>
      <c r="AZ234" s="154">
        <f t="shared" si="100"/>
        <v>43.940457206979033</v>
      </c>
    </row>
    <row r="235" spans="1:52" ht="18" x14ac:dyDescent="0.25">
      <c r="A235" s="104">
        <v>220</v>
      </c>
      <c r="B235">
        <v>6</v>
      </c>
      <c r="C235" t="s">
        <v>460</v>
      </c>
      <c r="D235" t="s">
        <v>44</v>
      </c>
      <c r="E235" t="s">
        <v>466</v>
      </c>
      <c r="F235">
        <v>3</v>
      </c>
      <c r="G235" t="s">
        <v>54</v>
      </c>
      <c r="H235">
        <v>3.1349999999999998</v>
      </c>
      <c r="Q235" s="155">
        <v>618</v>
      </c>
      <c r="R235" s="155" t="s">
        <v>424</v>
      </c>
      <c r="S235" s="155">
        <v>7.0085505000000001</v>
      </c>
      <c r="T235" s="155">
        <v>-0.87647825297870741</v>
      </c>
      <c r="U235" s="155">
        <v>4.4388339999999999</v>
      </c>
      <c r="V235" s="155">
        <v>-24.411464168654568</v>
      </c>
      <c r="W235" s="142">
        <v>3.1349999999999998</v>
      </c>
      <c r="X235" s="160">
        <v>6.0076442500000002</v>
      </c>
      <c r="Y235" s="160">
        <v>1.7773530247112701</v>
      </c>
      <c r="Z235" s="160">
        <v>4.1612238125000003</v>
      </c>
      <c r="AA235" s="160">
        <v>-24.63598008754283</v>
      </c>
      <c r="AB235" s="160">
        <v>2.5109999999999997</v>
      </c>
      <c r="AC235" s="160">
        <v>2.5109999999999997</v>
      </c>
      <c r="AD235" s="144">
        <f t="shared" si="81"/>
        <v>1.1786683274396614E-2</v>
      </c>
      <c r="AE235" s="144">
        <f t="shared" si="82"/>
        <v>0.27763733748940228</v>
      </c>
      <c r="AF235" s="145">
        <f t="shared" si="83"/>
        <v>8.260756495611403E-2</v>
      </c>
      <c r="AG235" s="145">
        <f t="shared" si="84"/>
        <v>1.2323860533174336</v>
      </c>
      <c r="AH235" s="146">
        <f t="shared" si="85"/>
        <v>2.635010046447019</v>
      </c>
      <c r="AI235" s="146">
        <f t="shared" si="86"/>
        <v>39.310559914431693</v>
      </c>
      <c r="AJ235" s="147">
        <f t="shared" si="87"/>
        <v>14.91856168345053</v>
      </c>
      <c r="AK235" s="148">
        <f t="shared" si="80"/>
        <v>-0.67383127768997753</v>
      </c>
      <c r="AL235" s="148">
        <f t="shared" si="88"/>
        <v>-25.805484081111739</v>
      </c>
      <c r="AM235" s="149">
        <v>0.36599999999999999</v>
      </c>
      <c r="AN235" s="150">
        <f t="shared" si="89"/>
        <v>-0.67383127768997753</v>
      </c>
      <c r="AO235" s="151">
        <f t="shared" si="90"/>
        <v>0.36600776169294597</v>
      </c>
      <c r="AP235" s="152">
        <f t="shared" si="91"/>
        <v>7.7616929459733974E-6</v>
      </c>
      <c r="AQ235" s="152">
        <f t="shared" si="92"/>
        <v>26.350100464470191</v>
      </c>
      <c r="AR235" s="153">
        <f t="shared" si="93"/>
        <v>2.0452138890076862E-3</v>
      </c>
      <c r="AS235" s="153">
        <f t="shared" si="94"/>
        <v>7.7616929459733974E-2</v>
      </c>
      <c r="AT235" s="149">
        <v>1.077</v>
      </c>
      <c r="AU235" s="150">
        <f t="shared" si="95"/>
        <v>-25.805484081111739</v>
      </c>
      <c r="AV235" s="150">
        <f t="shared" si="96"/>
        <v>1.0828484102459592</v>
      </c>
      <c r="AW235" s="154">
        <f t="shared" si="97"/>
        <v>5.8484102459592791E-3</v>
      </c>
      <c r="AX235" s="154">
        <f t="shared" si="98"/>
        <v>393.10559914431695</v>
      </c>
      <c r="AY235" s="154">
        <f t="shared" si="99"/>
        <v>22.990428137795845</v>
      </c>
      <c r="AZ235" s="154">
        <f t="shared" si="100"/>
        <v>58.484102459592791</v>
      </c>
    </row>
    <row r="236" spans="1:52" ht="18" x14ac:dyDescent="0.25">
      <c r="A236" s="104">
        <v>221</v>
      </c>
      <c r="B236">
        <v>6</v>
      </c>
      <c r="C236" t="s">
        <v>456</v>
      </c>
      <c r="D236" t="s">
        <v>40</v>
      </c>
      <c r="E236" t="s">
        <v>467</v>
      </c>
      <c r="F236">
        <v>3</v>
      </c>
      <c r="G236" t="s">
        <v>55</v>
      </c>
      <c r="H236">
        <v>3.2309999999999999</v>
      </c>
      <c r="Q236" s="141">
        <v>619</v>
      </c>
      <c r="R236" s="141" t="s">
        <v>425</v>
      </c>
      <c r="S236" s="141">
        <v>2.8404962500000002</v>
      </c>
      <c r="T236" s="141">
        <v>-1.0941732976520706</v>
      </c>
      <c r="U236" s="141">
        <v>4.6044844999999999</v>
      </c>
      <c r="V236" s="141">
        <v>-27.187965009026406</v>
      </c>
      <c r="W236" s="142">
        <v>3.2309999999999999</v>
      </c>
      <c r="X236" s="160">
        <v>6.0076442500000002</v>
      </c>
      <c r="Y236" s="160">
        <v>1.7773530247112701</v>
      </c>
      <c r="Z236" s="160">
        <v>4.1612238125000003</v>
      </c>
      <c r="AA236" s="160">
        <v>-24.63598008754283</v>
      </c>
      <c r="AB236" s="160">
        <v>2.5109999999999997</v>
      </c>
      <c r="AC236" s="160">
        <v>2.5109999999999997</v>
      </c>
      <c r="AD236" s="144">
        <f t="shared" si="81"/>
        <v>1.1786683274396614E-2</v>
      </c>
      <c r="AE236" s="144">
        <f t="shared" si="82"/>
        <v>0.27763733748940228</v>
      </c>
      <c r="AF236" s="145">
        <f t="shared" si="83"/>
        <v>3.3480029640861303E-2</v>
      </c>
      <c r="AG236" s="145">
        <f t="shared" si="84"/>
        <v>1.2783768170912218</v>
      </c>
      <c r="AH236" s="146">
        <f t="shared" si="85"/>
        <v>1.0362126165540484</v>
      </c>
      <c r="AI236" s="146">
        <f t="shared" si="86"/>
        <v>39.565980101863879</v>
      </c>
      <c r="AJ236" s="147">
        <f t="shared" si="87"/>
        <v>38.183264196725915</v>
      </c>
      <c r="AK236" s="148">
        <f t="shared" si="80"/>
        <v>-0.89152632236334073</v>
      </c>
      <c r="AL236" s="148">
        <f t="shared" si="88"/>
        <v>-28.581984921483578</v>
      </c>
      <c r="AM236" s="149">
        <v>0.36599999999999999</v>
      </c>
      <c r="AN236" s="150">
        <f t="shared" si="89"/>
        <v>-0.89152632236334073</v>
      </c>
      <c r="AO236" s="151">
        <f t="shared" si="90"/>
        <v>0.36592832165237571</v>
      </c>
      <c r="AP236" s="152">
        <f t="shared" si="91"/>
        <v>-7.1678347624282157E-5</v>
      </c>
      <c r="AQ236" s="152">
        <f t="shared" si="92"/>
        <v>10.362126165540483</v>
      </c>
      <c r="AR236" s="153">
        <f t="shared" si="93"/>
        <v>-7.4274008142028057E-3</v>
      </c>
      <c r="AS236" s="153">
        <f t="shared" si="94"/>
        <v>-0.71678347624282157</v>
      </c>
      <c r="AT236" s="149">
        <v>1.077</v>
      </c>
      <c r="AU236" s="150">
        <f t="shared" si="95"/>
        <v>-28.581984921483578</v>
      </c>
      <c r="AV236" s="150">
        <f t="shared" si="96"/>
        <v>1.0797955649465676</v>
      </c>
      <c r="AW236" s="154">
        <f t="shared" si="97"/>
        <v>2.7955649465676302E-3</v>
      </c>
      <c r="AX236" s="154">
        <f t="shared" si="98"/>
        <v>395.65980101863886</v>
      </c>
      <c r="AY236" s="154">
        <f t="shared" si="99"/>
        <v>11.060926704936303</v>
      </c>
      <c r="AZ236" s="154">
        <f t="shared" si="100"/>
        <v>27.955649465676302</v>
      </c>
    </row>
    <row r="237" spans="1:52" ht="18" x14ac:dyDescent="0.25">
      <c r="I237" t="s">
        <v>152</v>
      </c>
      <c r="Q237" s="155">
        <v>620</v>
      </c>
      <c r="R237" s="155" t="s">
        <v>426</v>
      </c>
      <c r="S237" s="155">
        <v>4.8029925000000002</v>
      </c>
      <c r="T237" s="155">
        <v>1.4662488744545761</v>
      </c>
      <c r="U237" s="155">
        <v>3.4611160000000001</v>
      </c>
      <c r="V237" s="155">
        <v>-24.62146021730711</v>
      </c>
      <c r="W237" s="155">
        <v>2.0379999999999998</v>
      </c>
      <c r="X237" s="160">
        <v>6.0076442500000002</v>
      </c>
      <c r="Y237" s="160">
        <v>1.7773530247112701</v>
      </c>
      <c r="Z237" s="160">
        <v>4.1612238125000003</v>
      </c>
      <c r="AA237" s="160">
        <v>-24.63598008754283</v>
      </c>
      <c r="AB237" s="160">
        <v>2.5109999999999997</v>
      </c>
      <c r="AC237" s="160">
        <v>2.5109999999999997</v>
      </c>
      <c r="AD237" s="144">
        <f t="shared" si="81"/>
        <v>1.1786683274396614E-2</v>
      </c>
      <c r="AE237" s="144">
        <f t="shared" si="82"/>
        <v>0.27763733748940228</v>
      </c>
      <c r="AF237" s="145">
        <f t="shared" si="83"/>
        <v>5.6611351366802384E-2</v>
      </c>
      <c r="AG237" s="145">
        <f t="shared" si="84"/>
        <v>0.96093503098197008</v>
      </c>
      <c r="AH237" s="146">
        <f t="shared" si="85"/>
        <v>2.777789566575191</v>
      </c>
      <c r="AI237" s="146">
        <f t="shared" si="86"/>
        <v>47.150884739056437</v>
      </c>
      <c r="AJ237" s="147">
        <f t="shared" si="87"/>
        <v>16.97424646791729</v>
      </c>
      <c r="AK237" s="148">
        <f t="shared" si="80"/>
        <v>1.668895849743306</v>
      </c>
      <c r="AL237" s="148">
        <f t="shared" si="88"/>
        <v>-26.015480129764281</v>
      </c>
      <c r="AM237" s="149">
        <v>0.36599999999999999</v>
      </c>
      <c r="AN237" s="150">
        <f t="shared" si="89"/>
        <v>1.668895849743306</v>
      </c>
      <c r="AO237" s="151">
        <f t="shared" si="90"/>
        <v>0.36686264836755994</v>
      </c>
      <c r="AP237" s="152">
        <f t="shared" si="91"/>
        <v>8.6264836755994834E-4</v>
      </c>
      <c r="AQ237" s="152">
        <f t="shared" si="92"/>
        <v>27.77789566575191</v>
      </c>
      <c r="AR237" s="153">
        <f t="shared" si="93"/>
        <v>0.23962556350311451</v>
      </c>
      <c r="AS237" s="153">
        <f t="shared" si="94"/>
        <v>8.6264836755994843</v>
      </c>
      <c r="AT237" s="149">
        <v>1.077</v>
      </c>
      <c r="AU237" s="150">
        <f t="shared" si="95"/>
        <v>-26.015480129764281</v>
      </c>
      <c r="AV237" s="150">
        <f t="shared" si="96"/>
        <v>1.0826175199281622</v>
      </c>
      <c r="AW237" s="154">
        <f t="shared" si="97"/>
        <v>5.6175199281622845E-3</v>
      </c>
      <c r="AX237" s="154">
        <f t="shared" si="98"/>
        <v>471.50884739056437</v>
      </c>
      <c r="AY237" s="154">
        <f t="shared" si="99"/>
        <v>26.487103465213249</v>
      </c>
      <c r="AZ237" s="154">
        <f t="shared" si="100"/>
        <v>56.175199281622845</v>
      </c>
    </row>
    <row r="238" spans="1:52" ht="18" x14ac:dyDescent="0.25">
      <c r="A238" s="104">
        <v>222</v>
      </c>
      <c r="B238">
        <v>6</v>
      </c>
      <c r="C238" t="s">
        <v>458</v>
      </c>
      <c r="D238" t="s">
        <v>32</v>
      </c>
      <c r="E238" t="s">
        <v>467</v>
      </c>
      <c r="F238">
        <v>3</v>
      </c>
      <c r="G238" t="s">
        <v>56</v>
      </c>
      <c r="H238">
        <v>3.2770000000000001</v>
      </c>
      <c r="Q238" s="141">
        <v>621</v>
      </c>
      <c r="R238" s="141" t="s">
        <v>427</v>
      </c>
      <c r="S238" s="141">
        <v>3.0986167500000001</v>
      </c>
      <c r="T238" s="141">
        <v>-0.61172069758568537</v>
      </c>
      <c r="U238" s="141">
        <v>4.5539399999999999</v>
      </c>
      <c r="V238" s="141">
        <v>-27.872932517285886</v>
      </c>
      <c r="W238" s="142">
        <v>3.2770000000000001</v>
      </c>
      <c r="X238" s="160">
        <v>6.0076442500000002</v>
      </c>
      <c r="Y238" s="160">
        <v>1.7773530247112701</v>
      </c>
      <c r="Z238" s="160">
        <v>4.1612238125000003</v>
      </c>
      <c r="AA238" s="160">
        <v>-24.63598008754283</v>
      </c>
      <c r="AB238" s="160">
        <v>2.5109999999999997</v>
      </c>
      <c r="AC238" s="160">
        <v>2.5109999999999997</v>
      </c>
      <c r="AD238" s="144">
        <f t="shared" si="81"/>
        <v>1.1786683274396614E-2</v>
      </c>
      <c r="AE238" s="144">
        <f t="shared" si="82"/>
        <v>0.27763733748940228</v>
      </c>
      <c r="AF238" s="145">
        <f t="shared" si="83"/>
        <v>3.6522414220990194E-2</v>
      </c>
      <c r="AG238" s="145">
        <f t="shared" si="84"/>
        <v>1.2643437766864887</v>
      </c>
      <c r="AH238" s="146">
        <f t="shared" si="85"/>
        <v>1.1145076051568565</v>
      </c>
      <c r="AI238" s="146">
        <f t="shared" si="86"/>
        <v>38.582355101815338</v>
      </c>
      <c r="AJ238" s="147">
        <f t="shared" si="87"/>
        <v>34.618296836462797</v>
      </c>
      <c r="AK238" s="148">
        <f t="shared" si="80"/>
        <v>-0.40907372229695549</v>
      </c>
      <c r="AL238" s="148">
        <f t="shared" si="88"/>
        <v>-29.266952429743057</v>
      </c>
      <c r="AM238" s="149">
        <v>0.36599999999999999</v>
      </c>
      <c r="AN238" s="150">
        <f t="shared" si="89"/>
        <v>-0.40907372229695549</v>
      </c>
      <c r="AO238" s="151">
        <f t="shared" si="90"/>
        <v>0.36610437534719348</v>
      </c>
      <c r="AP238" s="152">
        <f t="shared" si="91"/>
        <v>1.0437534719348607E-4</v>
      </c>
      <c r="AQ238" s="152">
        <f t="shared" si="92"/>
        <v>11.145076051568568</v>
      </c>
      <c r="AR238" s="153">
        <f t="shared" si="93"/>
        <v>1.1632711823802761E-2</v>
      </c>
      <c r="AS238" s="153">
        <f t="shared" si="94"/>
        <v>1.0437534719348607</v>
      </c>
      <c r="AT238" s="149">
        <v>1.077</v>
      </c>
      <c r="AU238" s="150">
        <f t="shared" si="95"/>
        <v>-29.266952429743057</v>
      </c>
      <c r="AV238" s="150">
        <f t="shared" si="96"/>
        <v>1.0790423938089004</v>
      </c>
      <c r="AW238" s="154">
        <f t="shared" si="97"/>
        <v>2.0423938089004778E-3</v>
      </c>
      <c r="AX238" s="154">
        <f t="shared" si="98"/>
        <v>385.82355101815335</v>
      </c>
      <c r="AY238" s="154">
        <f t="shared" si="99"/>
        <v>7.8800363192747405</v>
      </c>
      <c r="AZ238" s="154">
        <f t="shared" si="100"/>
        <v>20.423938089004778</v>
      </c>
    </row>
    <row r="239" spans="1:52" ht="18" x14ac:dyDescent="0.25">
      <c r="A239" s="104">
        <v>223</v>
      </c>
      <c r="B239">
        <v>6</v>
      </c>
      <c r="C239" t="s">
        <v>459</v>
      </c>
      <c r="D239" t="s">
        <v>48</v>
      </c>
      <c r="E239" t="s">
        <v>467</v>
      </c>
      <c r="F239">
        <v>3</v>
      </c>
      <c r="G239" t="s">
        <v>57</v>
      </c>
      <c r="H239">
        <v>3.4460000000000002</v>
      </c>
      <c r="Q239" s="155">
        <v>622</v>
      </c>
      <c r="R239" s="155" t="s">
        <v>428</v>
      </c>
      <c r="S239" s="155">
        <v>3.0730970000000002</v>
      </c>
      <c r="T239" s="155">
        <v>16.735604269347231</v>
      </c>
      <c r="U239" s="155">
        <v>4.8845475</v>
      </c>
      <c r="V239" s="155">
        <v>-28.036490271551092</v>
      </c>
      <c r="W239" s="142">
        <v>3.4460000000000002</v>
      </c>
      <c r="X239" s="160">
        <v>6.0076442500000002</v>
      </c>
      <c r="Y239" s="160">
        <v>1.7773530247112701</v>
      </c>
      <c r="Z239" s="160">
        <v>4.1612238125000003</v>
      </c>
      <c r="AA239" s="160">
        <v>-24.63598008754283</v>
      </c>
      <c r="AB239" s="160">
        <v>2.5109999999999997</v>
      </c>
      <c r="AC239" s="160">
        <v>2.5109999999999997</v>
      </c>
      <c r="AD239" s="144">
        <f t="shared" si="81"/>
        <v>1.1786683274396614E-2</v>
      </c>
      <c r="AE239" s="144">
        <f t="shared" si="82"/>
        <v>0.27763733748940228</v>
      </c>
      <c r="AF239" s="145">
        <f t="shared" si="83"/>
        <v>3.622162101049841E-2</v>
      </c>
      <c r="AG239" s="145">
        <f t="shared" si="84"/>
        <v>1.3561327627405162</v>
      </c>
      <c r="AH239" s="146">
        <f t="shared" si="85"/>
        <v>1.051120748998793</v>
      </c>
      <c r="AI239" s="146">
        <f t="shared" si="86"/>
        <v>39.353823643079402</v>
      </c>
      <c r="AJ239" s="147">
        <f t="shared" si="87"/>
        <v>37.439869473192743</v>
      </c>
      <c r="AK239" s="148">
        <f t="shared" si="80"/>
        <v>16.938251244635961</v>
      </c>
      <c r="AL239" s="148">
        <f t="shared" si="88"/>
        <v>-29.430510184008263</v>
      </c>
      <c r="AM239" s="149">
        <v>0.36599999999999999</v>
      </c>
      <c r="AN239" s="150">
        <f t="shared" si="89"/>
        <v>16.938251244635961</v>
      </c>
      <c r="AO239" s="151">
        <f t="shared" si="90"/>
        <v>0.37243424325684849</v>
      </c>
      <c r="AP239" s="152">
        <f t="shared" si="91"/>
        <v>6.4342432568484931E-3</v>
      </c>
      <c r="AQ239" s="152">
        <f t="shared" si="92"/>
        <v>10.51120748998793</v>
      </c>
      <c r="AR239" s="153">
        <f t="shared" si="93"/>
        <v>0.67631665913790207</v>
      </c>
      <c r="AS239" s="153">
        <f t="shared" si="94"/>
        <v>64.342432568484924</v>
      </c>
      <c r="AT239" s="149">
        <v>1.077</v>
      </c>
      <c r="AU239" s="150">
        <f t="shared" si="95"/>
        <v>-29.430510184008263</v>
      </c>
      <c r="AV239" s="150">
        <f t="shared" si="96"/>
        <v>1.0788625485749737</v>
      </c>
      <c r="AW239" s="154">
        <f t="shared" si="97"/>
        <v>1.8625485749736992E-3</v>
      </c>
      <c r="AX239" s="154">
        <f t="shared" si="98"/>
        <v>393.53823643079397</v>
      </c>
      <c r="AY239" s="154">
        <f t="shared" si="99"/>
        <v>7.3298408146183807</v>
      </c>
      <c r="AZ239" s="154">
        <f t="shared" si="100"/>
        <v>18.625485749736992</v>
      </c>
    </row>
    <row r="240" spans="1:52" ht="18" x14ac:dyDescent="0.25">
      <c r="A240" s="104">
        <v>224</v>
      </c>
      <c r="B240">
        <v>6</v>
      </c>
      <c r="C240" t="s">
        <v>460</v>
      </c>
      <c r="D240" t="s">
        <v>44</v>
      </c>
      <c r="E240" t="s">
        <v>467</v>
      </c>
      <c r="F240">
        <v>3</v>
      </c>
      <c r="G240" t="s">
        <v>58</v>
      </c>
      <c r="H240">
        <v>3.4980000000000002</v>
      </c>
      <c r="Q240" s="141">
        <v>623</v>
      </c>
      <c r="R240" s="141" t="s">
        <v>429</v>
      </c>
      <c r="S240" s="141">
        <v>4.0660590000000001</v>
      </c>
      <c r="T240" s="141">
        <v>-0.28622815053176154</v>
      </c>
      <c r="U240" s="141">
        <v>4.5974969999999997</v>
      </c>
      <c r="V240" s="141">
        <v>-27.116562129393898</v>
      </c>
      <c r="W240" s="142">
        <v>3.4980000000000002</v>
      </c>
      <c r="X240" s="160">
        <v>6.0076442500000002</v>
      </c>
      <c r="Y240" s="160">
        <v>1.7773530247112701</v>
      </c>
      <c r="Z240" s="160">
        <v>4.1612238125000003</v>
      </c>
      <c r="AA240" s="160">
        <v>-24.63598008754283</v>
      </c>
      <c r="AB240" s="160">
        <v>2.5109999999999997</v>
      </c>
      <c r="AC240" s="160">
        <v>2.5109999999999997</v>
      </c>
      <c r="AD240" s="144">
        <f t="shared" si="81"/>
        <v>1.1786683274396614E-2</v>
      </c>
      <c r="AE240" s="144">
        <f t="shared" si="82"/>
        <v>0.27763733748940228</v>
      </c>
      <c r="AF240" s="145">
        <f t="shared" si="83"/>
        <v>4.7925349608009822E-2</v>
      </c>
      <c r="AG240" s="145">
        <f t="shared" si="84"/>
        <v>1.2764368261955144</v>
      </c>
      <c r="AH240" s="146">
        <f t="shared" si="85"/>
        <v>1.3700786051460785</v>
      </c>
      <c r="AI240" s="146">
        <f t="shared" si="86"/>
        <v>36.490475305760846</v>
      </c>
      <c r="AJ240" s="147">
        <f t="shared" si="87"/>
        <v>26.633855290273811</v>
      </c>
      <c r="AK240" s="148">
        <f t="shared" si="80"/>
        <v>-8.3581175243031658E-2</v>
      </c>
      <c r="AL240" s="148">
        <f t="shared" si="88"/>
        <v>-28.51058204185107</v>
      </c>
      <c r="AM240" s="149">
        <v>0.36599999999999999</v>
      </c>
      <c r="AN240" s="150">
        <f t="shared" si="89"/>
        <v>-8.3581175243031658E-2</v>
      </c>
      <c r="AO240" s="151">
        <f t="shared" si="90"/>
        <v>0.36622315177407172</v>
      </c>
      <c r="AP240" s="152">
        <f t="shared" si="91"/>
        <v>2.2315177407172815E-4</v>
      </c>
      <c r="AQ240" s="152">
        <f t="shared" si="92"/>
        <v>13.700786051460785</v>
      </c>
      <c r="AR240" s="153">
        <f t="shared" si="93"/>
        <v>3.0573547135606616E-2</v>
      </c>
      <c r="AS240" s="153">
        <f t="shared" si="94"/>
        <v>2.2315177407172815</v>
      </c>
      <c r="AT240" s="149">
        <v>1.077</v>
      </c>
      <c r="AU240" s="150">
        <f t="shared" si="95"/>
        <v>-28.51058204185107</v>
      </c>
      <c r="AV240" s="150">
        <f t="shared" si="96"/>
        <v>1.0798740768982893</v>
      </c>
      <c r="AW240" s="154">
        <f t="shared" si="97"/>
        <v>2.874076898289335E-3</v>
      </c>
      <c r="AX240" s="154">
        <f t="shared" si="98"/>
        <v>364.90475305760845</v>
      </c>
      <c r="AY240" s="154">
        <f t="shared" si="99"/>
        <v>10.487643208388469</v>
      </c>
      <c r="AZ240" s="154">
        <f t="shared" si="100"/>
        <v>28.74076898289335</v>
      </c>
    </row>
    <row r="241" spans="1:52" ht="18" x14ac:dyDescent="0.25">
      <c r="A241" s="104">
        <v>225</v>
      </c>
      <c r="B241">
        <v>6</v>
      </c>
      <c r="C241" t="s">
        <v>461</v>
      </c>
      <c r="D241" t="s">
        <v>28</v>
      </c>
      <c r="E241" t="s">
        <v>467</v>
      </c>
      <c r="F241">
        <v>3</v>
      </c>
      <c r="G241" t="s">
        <v>59</v>
      </c>
      <c r="H241">
        <v>3.5609999999999999</v>
      </c>
      <c r="Q241" s="155">
        <v>624</v>
      </c>
      <c r="R241" s="155" t="s">
        <v>430</v>
      </c>
      <c r="S241" s="155">
        <v>3.5783667499999998</v>
      </c>
      <c r="T241" s="155">
        <v>-1.2537294232912943</v>
      </c>
      <c r="U241" s="155">
        <v>4.7659919999999998</v>
      </c>
      <c r="V241" s="155">
        <v>-27.637456710527729</v>
      </c>
      <c r="W241" s="142">
        <v>3.5609999999999999</v>
      </c>
      <c r="X241" s="160">
        <v>6.0076442500000002</v>
      </c>
      <c r="Y241" s="160">
        <v>1.7773530247112701</v>
      </c>
      <c r="Z241" s="160">
        <v>4.1612238125000003</v>
      </c>
      <c r="AA241" s="160">
        <v>-24.63598008754283</v>
      </c>
      <c r="AB241" s="160">
        <v>2.5109999999999997</v>
      </c>
      <c r="AC241" s="160">
        <v>2.5109999999999997</v>
      </c>
      <c r="AD241" s="144">
        <f t="shared" si="81"/>
        <v>1.1786683274396614E-2</v>
      </c>
      <c r="AE241" s="144">
        <f t="shared" si="82"/>
        <v>0.27763733748940228</v>
      </c>
      <c r="AF241" s="145">
        <f t="shared" si="83"/>
        <v>4.217707552188197E-2</v>
      </c>
      <c r="AG241" s="145">
        <f t="shared" si="84"/>
        <v>1.3232173293757914</v>
      </c>
      <c r="AH241" s="146">
        <f t="shared" si="85"/>
        <v>1.1844166111171575</v>
      </c>
      <c r="AI241" s="146">
        <f t="shared" si="86"/>
        <v>37.158588300359206</v>
      </c>
      <c r="AJ241" s="147">
        <f t="shared" si="87"/>
        <v>31.372903716126324</v>
      </c>
      <c r="AK241" s="148">
        <f t="shared" si="80"/>
        <v>-1.0510824480025645</v>
      </c>
      <c r="AL241" s="148">
        <f t="shared" si="88"/>
        <v>-29.031476622984901</v>
      </c>
      <c r="AM241" s="149">
        <v>0.36599999999999999</v>
      </c>
      <c r="AN241" s="150">
        <f t="shared" si="89"/>
        <v>-1.0510824480025645</v>
      </c>
      <c r="AO241" s="151">
        <f t="shared" si="90"/>
        <v>0.36587009725582914</v>
      </c>
      <c r="AP241" s="152">
        <f t="shared" si="91"/>
        <v>-1.2990274417085113E-4</v>
      </c>
      <c r="AQ241" s="152">
        <f t="shared" si="92"/>
        <v>11.844166111171575</v>
      </c>
      <c r="AR241" s="153">
        <f t="shared" si="93"/>
        <v>-1.5385896802565855E-2</v>
      </c>
      <c r="AS241" s="153">
        <f t="shared" si="94"/>
        <v>-1.2990274417085113</v>
      </c>
      <c r="AT241" s="149">
        <v>1.077</v>
      </c>
      <c r="AU241" s="150">
        <f t="shared" si="95"/>
        <v>-29.031476622984901</v>
      </c>
      <c r="AV241" s="150">
        <f t="shared" si="96"/>
        <v>1.0793013177217343</v>
      </c>
      <c r="AW241" s="154">
        <f t="shared" si="97"/>
        <v>2.3013177217343639E-3</v>
      </c>
      <c r="AX241" s="154">
        <f t="shared" si="98"/>
        <v>371.58588300359207</v>
      </c>
      <c r="AY241" s="154">
        <f t="shared" si="99"/>
        <v>8.5513717770247837</v>
      </c>
      <c r="AZ241" s="154">
        <f t="shared" si="100"/>
        <v>23.013177217343639</v>
      </c>
    </row>
    <row r="242" spans="1:52" ht="18" x14ac:dyDescent="0.25">
      <c r="A242" s="104">
        <v>226</v>
      </c>
      <c r="B242">
        <v>6</v>
      </c>
      <c r="C242" t="s">
        <v>462</v>
      </c>
      <c r="D242" t="s">
        <v>36</v>
      </c>
      <c r="E242" t="s">
        <v>467</v>
      </c>
      <c r="F242">
        <v>3</v>
      </c>
      <c r="G242" t="s">
        <v>60</v>
      </c>
      <c r="H242">
        <v>3.3679999999999999</v>
      </c>
      <c r="Q242" s="141">
        <v>625</v>
      </c>
      <c r="R242" s="141" t="s">
        <v>431</v>
      </c>
      <c r="S242" s="141">
        <v>5.7551800000000002</v>
      </c>
      <c r="T242" s="141">
        <v>3.7450172866593401</v>
      </c>
      <c r="U242" s="141">
        <v>4.9611555000000003</v>
      </c>
      <c r="V242" s="141">
        <v>-27.097212973393102</v>
      </c>
      <c r="W242" s="142">
        <v>3.3679999999999999</v>
      </c>
      <c r="X242" s="160">
        <v>6.0076442500000002</v>
      </c>
      <c r="Y242" s="160">
        <v>1.7773530247112701</v>
      </c>
      <c r="Z242" s="160">
        <v>4.1612238125000003</v>
      </c>
      <c r="AA242" s="160">
        <v>-24.63598008754283</v>
      </c>
      <c r="AB242" s="160">
        <v>2.5109999999999997</v>
      </c>
      <c r="AC242" s="160">
        <v>2.5109999999999997</v>
      </c>
      <c r="AD242" s="144">
        <f t="shared" si="81"/>
        <v>1.1786683274396614E-2</v>
      </c>
      <c r="AE242" s="144">
        <f t="shared" si="82"/>
        <v>0.27763733748940228</v>
      </c>
      <c r="AF242" s="145">
        <f t="shared" si="83"/>
        <v>6.7834483847141913E-2</v>
      </c>
      <c r="AG242" s="145">
        <f t="shared" si="84"/>
        <v>1.3774020038909045</v>
      </c>
      <c r="AH242" s="146">
        <f t="shared" si="85"/>
        <v>2.0140880002120523</v>
      </c>
      <c r="AI242" s="146">
        <f t="shared" si="86"/>
        <v>40.896734082271514</v>
      </c>
      <c r="AJ242" s="147">
        <f t="shared" si="87"/>
        <v>20.305336250434799</v>
      </c>
      <c r="AK242" s="148">
        <f t="shared" si="80"/>
        <v>3.94766426194807</v>
      </c>
      <c r="AL242" s="148">
        <f t="shared" si="88"/>
        <v>-28.491232885850273</v>
      </c>
      <c r="AM242" s="149">
        <v>0.36599999999999999</v>
      </c>
      <c r="AN242" s="150">
        <f t="shared" si="89"/>
        <v>3.94766426194807</v>
      </c>
      <c r="AO242" s="151">
        <f t="shared" si="90"/>
        <v>0.36769418173466373</v>
      </c>
      <c r="AP242" s="152">
        <f t="shared" si="91"/>
        <v>1.6941817346637356E-3</v>
      </c>
      <c r="AQ242" s="152">
        <f t="shared" si="92"/>
        <v>20.140880002120522</v>
      </c>
      <c r="AR242" s="153">
        <f t="shared" si="93"/>
        <v>0.34122311019646684</v>
      </c>
      <c r="AS242" s="153">
        <f t="shared" si="94"/>
        <v>16.941817346637357</v>
      </c>
      <c r="AT242" s="149">
        <v>1.077</v>
      </c>
      <c r="AU242" s="150">
        <f t="shared" si="95"/>
        <v>-28.491232885850273</v>
      </c>
      <c r="AV242" s="150">
        <f t="shared" si="96"/>
        <v>1.0798953524893737</v>
      </c>
      <c r="AW242" s="154">
        <f t="shared" si="97"/>
        <v>2.8953524893737814E-3</v>
      </c>
      <c r="AX242" s="154">
        <f t="shared" si="98"/>
        <v>408.96734082271513</v>
      </c>
      <c r="AY242" s="154">
        <f t="shared" si="99"/>
        <v>11.84104608323624</v>
      </c>
      <c r="AZ242" s="154">
        <f t="shared" si="100"/>
        <v>28.953524893737818</v>
      </c>
    </row>
    <row r="243" spans="1:52" ht="18" x14ac:dyDescent="0.25">
      <c r="A243" s="104">
        <v>227</v>
      </c>
      <c r="B243">
        <v>6</v>
      </c>
      <c r="C243" t="s">
        <v>463</v>
      </c>
      <c r="D243" t="s">
        <v>52</v>
      </c>
      <c r="E243" t="s">
        <v>467</v>
      </c>
      <c r="F243">
        <v>3</v>
      </c>
      <c r="G243" t="s">
        <v>61</v>
      </c>
      <c r="H243">
        <v>3.9550000000000001</v>
      </c>
      <c r="Q243" s="155">
        <v>626</v>
      </c>
      <c r="R243" s="155" t="s">
        <v>432</v>
      </c>
      <c r="S243" s="155">
        <v>5.3144619999999998</v>
      </c>
      <c r="T243" s="155">
        <v>-1.2556451253798895</v>
      </c>
      <c r="U243" s="155">
        <v>5.6722169999999998</v>
      </c>
      <c r="V243" s="155">
        <v>-26.134129971588681</v>
      </c>
      <c r="W243" s="142">
        <v>3.9550000000000001</v>
      </c>
      <c r="X243" s="160">
        <v>6.0076442500000002</v>
      </c>
      <c r="Y243" s="160">
        <v>1.7773530247112701</v>
      </c>
      <c r="Z243" s="160">
        <v>4.1612238125000003</v>
      </c>
      <c r="AA243" s="160">
        <v>-24.63598008754283</v>
      </c>
      <c r="AB243" s="160">
        <v>2.5109999999999997</v>
      </c>
      <c r="AC243" s="160">
        <v>2.5109999999999997</v>
      </c>
      <c r="AD243" s="144">
        <f t="shared" si="81"/>
        <v>1.1786683274396614E-2</v>
      </c>
      <c r="AE243" s="144">
        <f t="shared" si="82"/>
        <v>0.27763733748940228</v>
      </c>
      <c r="AF243" s="145">
        <f t="shared" si="83"/>
        <v>6.263988036781637E-2</v>
      </c>
      <c r="AG243" s="145">
        <f t="shared" si="84"/>
        <v>1.5748192255421249</v>
      </c>
      <c r="AH243" s="146">
        <f t="shared" si="85"/>
        <v>1.5838149271255719</v>
      </c>
      <c r="AI243" s="146">
        <f t="shared" si="86"/>
        <v>39.818438066804674</v>
      </c>
      <c r="AJ243" s="147">
        <f t="shared" si="87"/>
        <v>25.140840248974175</v>
      </c>
      <c r="AK243" s="148">
        <f t="shared" si="80"/>
        <v>-1.0529981500911596</v>
      </c>
      <c r="AL243" s="148">
        <f t="shared" si="88"/>
        <v>-27.528149884045853</v>
      </c>
      <c r="AM243" s="149">
        <v>0.36599999999999999</v>
      </c>
      <c r="AN243" s="150">
        <f t="shared" si="89"/>
        <v>-1.0529981500911596</v>
      </c>
      <c r="AO243" s="151">
        <f t="shared" si="90"/>
        <v>0.36586939818731273</v>
      </c>
      <c r="AP243" s="152">
        <f t="shared" si="91"/>
        <v>-1.3060181268725879E-4</v>
      </c>
      <c r="AQ243" s="152">
        <f t="shared" si="92"/>
        <v>15.838149271255718</v>
      </c>
      <c r="AR243" s="153">
        <f t="shared" si="93"/>
        <v>-2.0684910044373835E-2</v>
      </c>
      <c r="AS243" s="153">
        <f t="shared" si="94"/>
        <v>-1.3060181268725879</v>
      </c>
      <c r="AT243" s="149">
        <v>1.077</v>
      </c>
      <c r="AU243" s="150">
        <f t="shared" si="95"/>
        <v>-27.528149884045853</v>
      </c>
      <c r="AV243" s="150">
        <f t="shared" si="96"/>
        <v>1.0809543101187546</v>
      </c>
      <c r="AW243" s="154">
        <f t="shared" si="97"/>
        <v>3.9543101187546892E-3</v>
      </c>
      <c r="AX243" s="154">
        <f t="shared" si="98"/>
        <v>398.18438066804674</v>
      </c>
      <c r="AY243" s="154">
        <f t="shared" si="99"/>
        <v>15.745445256057263</v>
      </c>
      <c r="AZ243" s="154">
        <f t="shared" si="100"/>
        <v>39.543101187546895</v>
      </c>
    </row>
    <row r="244" spans="1:52" ht="18" x14ac:dyDescent="0.25">
      <c r="A244" s="104">
        <v>228</v>
      </c>
      <c r="B244">
        <v>6</v>
      </c>
      <c r="C244" t="s">
        <v>464</v>
      </c>
      <c r="D244" t="s">
        <v>24</v>
      </c>
      <c r="E244" t="s">
        <v>467</v>
      </c>
      <c r="F244">
        <v>3</v>
      </c>
      <c r="G244" t="s">
        <v>62</v>
      </c>
      <c r="H244">
        <v>3.7730000000000001</v>
      </c>
      <c r="Q244" s="141">
        <v>627</v>
      </c>
      <c r="R244" s="141" t="s">
        <v>433</v>
      </c>
      <c r="S244" s="141">
        <v>4.5894279999999998</v>
      </c>
      <c r="T244" s="141">
        <v>3.3694517113496181</v>
      </c>
      <c r="U244" s="141">
        <v>5.2247944999999998</v>
      </c>
      <c r="V244" s="141">
        <v>-26.897677741833796</v>
      </c>
      <c r="W244" s="142">
        <v>3.7730000000000001</v>
      </c>
      <c r="X244" s="160">
        <v>6.0076442500000002</v>
      </c>
      <c r="Y244" s="160">
        <v>1.7773530247112701</v>
      </c>
      <c r="Z244" s="160">
        <v>4.1612238125000003</v>
      </c>
      <c r="AA244" s="160">
        <v>-24.63598008754283</v>
      </c>
      <c r="AB244" s="160">
        <v>2.5109999999999997</v>
      </c>
      <c r="AC244" s="160">
        <v>2.5109999999999997</v>
      </c>
      <c r="AD244" s="144">
        <f t="shared" si="81"/>
        <v>1.1786683274396614E-2</v>
      </c>
      <c r="AE244" s="144">
        <f t="shared" si="82"/>
        <v>0.27763733748940228</v>
      </c>
      <c r="AF244" s="145">
        <f t="shared" si="83"/>
        <v>5.4094134246647503E-2</v>
      </c>
      <c r="AG244" s="145">
        <f t="shared" si="84"/>
        <v>1.4505980339092728</v>
      </c>
      <c r="AH244" s="146">
        <f t="shared" si="85"/>
        <v>1.4337167836376226</v>
      </c>
      <c r="AI244" s="146">
        <f t="shared" si="86"/>
        <v>38.446807153704547</v>
      </c>
      <c r="AJ244" s="147">
        <f t="shared" si="87"/>
        <v>26.81617987072552</v>
      </c>
      <c r="AK244" s="148">
        <f t="shared" si="80"/>
        <v>3.572098686638348</v>
      </c>
      <c r="AL244" s="148">
        <f t="shared" si="88"/>
        <v>-28.291697654290967</v>
      </c>
      <c r="AM244" s="149">
        <v>0.36599999999999999</v>
      </c>
      <c r="AN244" s="150">
        <f t="shared" si="89"/>
        <v>3.572098686638348</v>
      </c>
      <c r="AO244" s="151">
        <f t="shared" si="90"/>
        <v>0.36755713703591708</v>
      </c>
      <c r="AP244" s="152">
        <f t="shared" si="91"/>
        <v>1.5571370359170889E-3</v>
      </c>
      <c r="AQ244" s="152">
        <f t="shared" si="92"/>
        <v>14.337167836376224</v>
      </c>
      <c r="AR244" s="153">
        <f t="shared" si="93"/>
        <v>0.22324935028180698</v>
      </c>
      <c r="AS244" s="153">
        <f t="shared" si="94"/>
        <v>15.57137035917089</v>
      </c>
      <c r="AT244" s="149">
        <v>1.077</v>
      </c>
      <c r="AU244" s="150">
        <f t="shared" si="95"/>
        <v>-28.291697654290967</v>
      </c>
      <c r="AV244" s="150">
        <f t="shared" si="96"/>
        <v>1.0801147532562421</v>
      </c>
      <c r="AW244" s="154">
        <f t="shared" si="97"/>
        <v>3.1147532562421087E-3</v>
      </c>
      <c r="AX244" s="154">
        <f t="shared" si="98"/>
        <v>384.46807153704555</v>
      </c>
      <c r="AY244" s="154">
        <f t="shared" si="99"/>
        <v>11.975231777411368</v>
      </c>
      <c r="AZ244" s="154">
        <f t="shared" si="100"/>
        <v>31.147532562421087</v>
      </c>
    </row>
    <row r="245" spans="1:52" ht="18" x14ac:dyDescent="0.25">
      <c r="A245" s="104">
        <v>229</v>
      </c>
      <c r="B245">
        <v>6</v>
      </c>
      <c r="C245" t="s">
        <v>456</v>
      </c>
      <c r="D245" t="s">
        <v>40</v>
      </c>
      <c r="E245" t="s">
        <v>468</v>
      </c>
      <c r="F245">
        <v>3</v>
      </c>
      <c r="G245" t="s">
        <v>63</v>
      </c>
      <c r="H245">
        <v>3.9</v>
      </c>
      <c r="Q245" s="155">
        <v>628</v>
      </c>
      <c r="R245" s="155" t="s">
        <v>434</v>
      </c>
      <c r="S245" s="155">
        <v>6.5305730000000004</v>
      </c>
      <c r="T245" s="155">
        <v>-5.5085746329565062</v>
      </c>
      <c r="U245" s="155">
        <v>6.1703064999999997</v>
      </c>
      <c r="V245" s="155">
        <v>-27.636535881016091</v>
      </c>
      <c r="W245" s="142">
        <v>3.9</v>
      </c>
      <c r="X245" s="160">
        <v>6.0076442500000002</v>
      </c>
      <c r="Y245" s="160">
        <v>1.7773530247112701</v>
      </c>
      <c r="Z245" s="160">
        <v>4.1612238125000003</v>
      </c>
      <c r="AA245" s="160">
        <v>-24.63598008754283</v>
      </c>
      <c r="AB245" s="160">
        <v>2.5109999999999997</v>
      </c>
      <c r="AC245" s="160">
        <v>2.5109999999999997</v>
      </c>
      <c r="AD245" s="144">
        <f t="shared" si="81"/>
        <v>1.1786683274396614E-2</v>
      </c>
      <c r="AE245" s="144">
        <f t="shared" si="82"/>
        <v>0.27763733748940228</v>
      </c>
      <c r="AF245" s="145">
        <f t="shared" si="83"/>
        <v>7.6973795551326121E-2</v>
      </c>
      <c r="AG245" s="145">
        <f t="shared" si="84"/>
        <v>1.7131074681535525</v>
      </c>
      <c r="AH245" s="146">
        <f t="shared" si="85"/>
        <v>1.9736870654186187</v>
      </c>
      <c r="AI245" s="146">
        <f t="shared" si="86"/>
        <v>43.925832516757758</v>
      </c>
      <c r="AJ245" s="147">
        <f t="shared" si="87"/>
        <v>22.255722949393245</v>
      </c>
      <c r="AK245" s="148">
        <f t="shared" si="80"/>
        <v>-5.3059276576677767</v>
      </c>
      <c r="AL245" s="148">
        <f t="shared" si="88"/>
        <v>-29.030555793473262</v>
      </c>
      <c r="AM245" s="149">
        <v>0.36599999999999999</v>
      </c>
      <c r="AN245" s="150">
        <f t="shared" si="89"/>
        <v>-5.3059276576677767</v>
      </c>
      <c r="AO245" s="151">
        <f t="shared" si="90"/>
        <v>0.36431741603355688</v>
      </c>
      <c r="AP245" s="152">
        <f t="shared" si="91"/>
        <v>-1.6825839664431075E-3</v>
      </c>
      <c r="AQ245" s="152">
        <f t="shared" si="92"/>
        <v>19.736870654186188</v>
      </c>
      <c r="AR245" s="153">
        <f t="shared" si="93"/>
        <v>-0.33208942110495165</v>
      </c>
      <c r="AS245" s="153">
        <f t="shared" si="94"/>
        <v>-16.825839664431076</v>
      </c>
      <c r="AT245" s="149">
        <v>1.077</v>
      </c>
      <c r="AU245" s="150">
        <f t="shared" si="95"/>
        <v>-29.030555793473262</v>
      </c>
      <c r="AV245" s="150">
        <f t="shared" si="96"/>
        <v>1.0793023302425406</v>
      </c>
      <c r="AW245" s="154">
        <f t="shared" si="97"/>
        <v>2.3023302425406733E-3</v>
      </c>
      <c r="AX245" s="154">
        <f t="shared" si="98"/>
        <v>439.2583251675776</v>
      </c>
      <c r="AY245" s="154">
        <f t="shared" si="99"/>
        <v>10.113177263210787</v>
      </c>
      <c r="AZ245" s="154">
        <f t="shared" si="100"/>
        <v>23.023302425406733</v>
      </c>
    </row>
    <row r="246" spans="1:52" ht="18" x14ac:dyDescent="0.25">
      <c r="A246" s="104">
        <v>230</v>
      </c>
      <c r="B246">
        <v>6</v>
      </c>
      <c r="C246" t="s">
        <v>459</v>
      </c>
      <c r="D246" t="s">
        <v>48</v>
      </c>
      <c r="E246" t="s">
        <v>468</v>
      </c>
      <c r="F246">
        <v>3</v>
      </c>
      <c r="G246" t="s">
        <v>64</v>
      </c>
      <c r="H246">
        <v>3.194</v>
      </c>
      <c r="Q246" s="141">
        <v>629</v>
      </c>
      <c r="R246" s="141" t="s">
        <v>435</v>
      </c>
      <c r="S246" s="141">
        <v>5.0341484999999997</v>
      </c>
      <c r="T246" s="141">
        <v>7.7022189963957821</v>
      </c>
      <c r="U246" s="141">
        <v>5.197762</v>
      </c>
      <c r="V246" s="141">
        <v>-28.013756446531382</v>
      </c>
      <c r="W246" s="142">
        <v>3.194</v>
      </c>
      <c r="X246" s="160">
        <v>6.0076442500000002</v>
      </c>
      <c r="Y246" s="160">
        <v>1.7773530247112701</v>
      </c>
      <c r="Z246" s="160">
        <v>4.1612238125000003</v>
      </c>
      <c r="AA246" s="160">
        <v>-24.63598008754283</v>
      </c>
      <c r="AB246" s="160">
        <v>2.5109999999999997</v>
      </c>
      <c r="AC246" s="160">
        <v>2.5109999999999997</v>
      </c>
      <c r="AD246" s="144">
        <f t="shared" si="81"/>
        <v>1.1786683274396614E-2</v>
      </c>
      <c r="AE246" s="144">
        <f t="shared" si="82"/>
        <v>0.27763733748940228</v>
      </c>
      <c r="AF246" s="145">
        <f t="shared" si="83"/>
        <v>5.9335913925778798E-2</v>
      </c>
      <c r="AG246" s="145">
        <f t="shared" si="84"/>
        <v>1.4430928025835905</v>
      </c>
      <c r="AH246" s="146">
        <f t="shared" si="85"/>
        <v>1.8577305549711582</v>
      </c>
      <c r="AI246" s="146">
        <f t="shared" si="86"/>
        <v>45.181365140375405</v>
      </c>
      <c r="AJ246" s="147">
        <f t="shared" si="87"/>
        <v>24.320731022845699</v>
      </c>
      <c r="AK246" s="148">
        <f t="shared" si="80"/>
        <v>7.9048659716845115</v>
      </c>
      <c r="AL246" s="148">
        <f t="shared" si="88"/>
        <v>-29.407776358988553</v>
      </c>
      <c r="AM246" s="149">
        <v>0.36599999999999999</v>
      </c>
      <c r="AN246" s="150">
        <f t="shared" si="89"/>
        <v>7.9048659716845115</v>
      </c>
      <c r="AO246" s="151">
        <f t="shared" si="90"/>
        <v>0.36913815036800723</v>
      </c>
      <c r="AP246" s="152">
        <f t="shared" si="91"/>
        <v>3.138150368007242E-3</v>
      </c>
      <c r="AQ246" s="152">
        <f t="shared" si="92"/>
        <v>18.577305549711586</v>
      </c>
      <c r="AR246" s="153">
        <f t="shared" si="93"/>
        <v>0.58298378247410387</v>
      </c>
      <c r="AS246" s="153">
        <f t="shared" si="94"/>
        <v>31.38150368007242</v>
      </c>
      <c r="AT246" s="149">
        <v>1.077</v>
      </c>
      <c r="AU246" s="150">
        <f t="shared" si="95"/>
        <v>-29.407776358988553</v>
      </c>
      <c r="AV246" s="150">
        <f t="shared" si="96"/>
        <v>1.0788875463288081</v>
      </c>
      <c r="AW246" s="154">
        <f t="shared" si="97"/>
        <v>1.8875463288081651E-3</v>
      </c>
      <c r="AX246" s="154">
        <f t="shared" si="98"/>
        <v>451.81365140375408</v>
      </c>
      <c r="AY246" s="154">
        <f t="shared" si="99"/>
        <v>8.5281919901256806</v>
      </c>
      <c r="AZ246" s="154">
        <f t="shared" si="100"/>
        <v>18.875463288081651</v>
      </c>
    </row>
    <row r="247" spans="1:52" ht="18" x14ac:dyDescent="0.25">
      <c r="A247" s="104">
        <v>231</v>
      </c>
      <c r="B247">
        <v>6</v>
      </c>
      <c r="C247" t="s">
        <v>460</v>
      </c>
      <c r="D247" t="s">
        <v>44</v>
      </c>
      <c r="E247" t="s">
        <v>468</v>
      </c>
      <c r="F247">
        <v>3</v>
      </c>
      <c r="G247" t="s">
        <v>65</v>
      </c>
      <c r="H247">
        <v>3.202</v>
      </c>
      <c r="Q247" s="155">
        <v>630</v>
      </c>
      <c r="R247" s="155" t="s">
        <v>436</v>
      </c>
      <c r="S247" s="155">
        <v>3.6241479999999999</v>
      </c>
      <c r="T247" s="155">
        <v>-5.5747423615844145</v>
      </c>
      <c r="U247" s="155">
        <v>5.2962765000000003</v>
      </c>
      <c r="V247" s="155">
        <v>-28.674205822102515</v>
      </c>
      <c r="W247" s="142">
        <v>3.202</v>
      </c>
      <c r="X247" s="160">
        <v>6.0076442500000002</v>
      </c>
      <c r="Y247" s="160">
        <v>1.7773530247112701</v>
      </c>
      <c r="Z247" s="160">
        <v>4.1612238125000003</v>
      </c>
      <c r="AA247" s="160">
        <v>-24.63598008754283</v>
      </c>
      <c r="AB247" s="160">
        <v>2.5109999999999997</v>
      </c>
      <c r="AC247" s="160">
        <v>2.5109999999999997</v>
      </c>
      <c r="AD247" s="144">
        <f t="shared" si="81"/>
        <v>1.1786683274396614E-2</v>
      </c>
      <c r="AE247" s="144">
        <f t="shared" si="82"/>
        <v>0.27763733748940228</v>
      </c>
      <c r="AF247" s="145">
        <f t="shared" si="83"/>
        <v>4.2716684615537938E-2</v>
      </c>
      <c r="AG247" s="145">
        <f t="shared" si="84"/>
        <v>1.4704441060676903</v>
      </c>
      <c r="AH247" s="146">
        <f t="shared" si="85"/>
        <v>1.3340626051073683</v>
      </c>
      <c r="AI247" s="146">
        <f t="shared" si="86"/>
        <v>45.922676641714247</v>
      </c>
      <c r="AJ247" s="147">
        <f t="shared" si="87"/>
        <v>34.423179591349303</v>
      </c>
      <c r="AK247" s="148">
        <f t="shared" si="80"/>
        <v>-5.3720953862956851</v>
      </c>
      <c r="AL247" s="148">
        <f t="shared" si="88"/>
        <v>-30.068225734559686</v>
      </c>
      <c r="AM247" s="149">
        <v>0.36599999999999999</v>
      </c>
      <c r="AN247" s="150">
        <f t="shared" si="89"/>
        <v>-5.3720953862956851</v>
      </c>
      <c r="AO247" s="151">
        <f t="shared" si="90"/>
        <v>0.36429326967554887</v>
      </c>
      <c r="AP247" s="152">
        <f t="shared" si="91"/>
        <v>-1.7067303244511223E-3</v>
      </c>
      <c r="AQ247" s="152">
        <f t="shared" si="92"/>
        <v>13.340626051073682</v>
      </c>
      <c r="AR247" s="153">
        <f t="shared" si="93"/>
        <v>-0.22768851028530079</v>
      </c>
      <c r="AS247" s="153">
        <f t="shared" si="94"/>
        <v>-17.067303244511223</v>
      </c>
      <c r="AT247" s="149">
        <v>1.077</v>
      </c>
      <c r="AU247" s="150">
        <f t="shared" si="95"/>
        <v>-30.068225734559686</v>
      </c>
      <c r="AV247" s="150">
        <f t="shared" si="96"/>
        <v>1.0781613215105141</v>
      </c>
      <c r="AW247" s="154">
        <f t="shared" si="97"/>
        <v>1.1613215105141794E-3</v>
      </c>
      <c r="AX247" s="154">
        <f t="shared" si="98"/>
        <v>459.22676641714247</v>
      </c>
      <c r="AY247" s="154">
        <f t="shared" si="99"/>
        <v>5.3330992204409817</v>
      </c>
      <c r="AZ247" s="154">
        <f t="shared" si="100"/>
        <v>11.613215105141794</v>
      </c>
    </row>
    <row r="248" spans="1:52" ht="18" x14ac:dyDescent="0.25">
      <c r="A248" s="104">
        <v>233</v>
      </c>
      <c r="B248">
        <v>6</v>
      </c>
      <c r="C248" t="s">
        <v>463</v>
      </c>
      <c r="D248" t="s">
        <v>52</v>
      </c>
      <c r="E248" t="s">
        <v>468</v>
      </c>
      <c r="F248">
        <v>3</v>
      </c>
      <c r="G248" t="s">
        <v>66</v>
      </c>
      <c r="H248">
        <v>3.6280000000000001</v>
      </c>
      <c r="Q248" s="141">
        <v>631</v>
      </c>
      <c r="R248" s="141" t="s">
        <v>437</v>
      </c>
      <c r="S248" s="141">
        <v>4.8655825000000004</v>
      </c>
      <c r="T248" s="141">
        <v>-7.272243030218478</v>
      </c>
      <c r="U248" s="141">
        <v>5.854063</v>
      </c>
      <c r="V248" s="141">
        <v>-27.574239903154076</v>
      </c>
      <c r="W248" s="142">
        <v>3.6280000000000001</v>
      </c>
      <c r="X248" s="160">
        <v>6.0076442500000002</v>
      </c>
      <c r="Y248" s="160">
        <v>1.7773530247112701</v>
      </c>
      <c r="Z248" s="160">
        <v>4.1612238125000003</v>
      </c>
      <c r="AA248" s="160">
        <v>-24.63598008754283</v>
      </c>
      <c r="AB248" s="160">
        <v>2.5109999999999997</v>
      </c>
      <c r="AC248" s="160">
        <v>2.5109999999999997</v>
      </c>
      <c r="AD248" s="144">
        <f t="shared" si="81"/>
        <v>1.1786683274396614E-2</v>
      </c>
      <c r="AE248" s="144">
        <f t="shared" si="82"/>
        <v>0.27763733748940228</v>
      </c>
      <c r="AF248" s="145">
        <f t="shared" si="83"/>
        <v>5.7349079872946865E-2</v>
      </c>
      <c r="AG248" s="145">
        <f t="shared" si="84"/>
        <v>1.6253064648152229</v>
      </c>
      <c r="AH248" s="146">
        <f t="shared" si="85"/>
        <v>1.5807353878982047</v>
      </c>
      <c r="AI248" s="146">
        <f t="shared" si="86"/>
        <v>44.798965402845177</v>
      </c>
      <c r="AJ248" s="147">
        <f t="shared" si="87"/>
        <v>28.340584860576371</v>
      </c>
      <c r="AK248" s="148">
        <f t="shared" si="80"/>
        <v>-7.0695960549297485</v>
      </c>
      <c r="AL248" s="148">
        <f t="shared" si="88"/>
        <v>-28.968259815611248</v>
      </c>
      <c r="AM248" s="149">
        <v>0.36599999999999999</v>
      </c>
      <c r="AN248" s="150">
        <f t="shared" si="89"/>
        <v>-7.0695960549297485</v>
      </c>
      <c r="AO248" s="151">
        <f t="shared" si="90"/>
        <v>0.36367380268634647</v>
      </c>
      <c r="AP248" s="152">
        <f t="shared" si="91"/>
        <v>-2.3261973136535219E-3</v>
      </c>
      <c r="AQ248" s="152">
        <f t="shared" si="92"/>
        <v>15.807353878982047</v>
      </c>
      <c r="AR248" s="153">
        <f t="shared" si="93"/>
        <v>-0.36771024129258617</v>
      </c>
      <c r="AS248" s="153">
        <f t="shared" si="94"/>
        <v>-23.261973136535218</v>
      </c>
      <c r="AT248" s="149">
        <v>1.077</v>
      </c>
      <c r="AU248" s="150">
        <f t="shared" si="95"/>
        <v>-28.968259815611248</v>
      </c>
      <c r="AV248" s="150">
        <f t="shared" si="96"/>
        <v>1.0793708292736919</v>
      </c>
      <c r="AW248" s="154">
        <f t="shared" si="97"/>
        <v>2.3708292736919212E-3</v>
      </c>
      <c r="AX248" s="154">
        <f t="shared" si="98"/>
        <v>447.98965402845175</v>
      </c>
      <c r="AY248" s="154">
        <f t="shared" si="99"/>
        <v>10.621069860817693</v>
      </c>
      <c r="AZ248" s="154">
        <f t="shared" si="100"/>
        <v>23.708292736919212</v>
      </c>
    </row>
    <row r="249" spans="1:52" ht="18" x14ac:dyDescent="0.25">
      <c r="A249" s="104">
        <v>234</v>
      </c>
      <c r="B249">
        <v>6</v>
      </c>
      <c r="C249" t="s">
        <v>464</v>
      </c>
      <c r="D249" t="s">
        <v>24</v>
      </c>
      <c r="E249" t="s">
        <v>468</v>
      </c>
      <c r="F249">
        <v>3</v>
      </c>
      <c r="G249" t="s">
        <v>67</v>
      </c>
      <c r="H249">
        <v>3.4889999999999999</v>
      </c>
      <c r="Q249" s="155">
        <v>632</v>
      </c>
      <c r="R249" s="155" t="s">
        <v>438</v>
      </c>
      <c r="S249" s="155">
        <v>7.4070669999999996</v>
      </c>
      <c r="T249" s="155">
        <v>-2.4147022635999384</v>
      </c>
      <c r="U249" s="155">
        <v>5.3843094999999996</v>
      </c>
      <c r="V249" s="155">
        <v>-28.206837322560204</v>
      </c>
      <c r="W249" s="142">
        <v>3.4889999999999999</v>
      </c>
      <c r="X249" s="160">
        <v>6.0076442500000002</v>
      </c>
      <c r="Y249" s="160">
        <v>1.7773530247112701</v>
      </c>
      <c r="Z249" s="160">
        <v>4.1612238125000003</v>
      </c>
      <c r="AA249" s="160">
        <v>-24.63598008754283</v>
      </c>
      <c r="AB249" s="160">
        <v>2.5109999999999997</v>
      </c>
      <c r="AC249" s="160">
        <v>2.5109999999999997</v>
      </c>
      <c r="AD249" s="144">
        <f t="shared" si="81"/>
        <v>1.1786683274396614E-2</v>
      </c>
      <c r="AE249" s="144">
        <f t="shared" si="82"/>
        <v>0.27763733748940228</v>
      </c>
      <c r="AF249" s="145">
        <f t="shared" si="83"/>
        <v>8.7304752721235099E-2</v>
      </c>
      <c r="AG249" s="145">
        <f t="shared" si="84"/>
        <v>1.4948853537988946</v>
      </c>
      <c r="AH249" s="146">
        <f t="shared" si="85"/>
        <v>2.5022858332254256</v>
      </c>
      <c r="AI249" s="146">
        <f t="shared" si="86"/>
        <v>42.845667922009021</v>
      </c>
      <c r="AJ249" s="147">
        <f t="shared" si="87"/>
        <v>17.122611395190336</v>
      </c>
      <c r="AK249" s="148">
        <f t="shared" si="80"/>
        <v>-2.2120552883112086</v>
      </c>
      <c r="AL249" s="148">
        <f t="shared" si="88"/>
        <v>-29.600857235017376</v>
      </c>
      <c r="AM249" s="149">
        <v>0.36599999999999999</v>
      </c>
      <c r="AN249" s="150">
        <f t="shared" si="89"/>
        <v>-2.2120552883112086</v>
      </c>
      <c r="AO249" s="151">
        <f t="shared" si="90"/>
        <v>0.36544643899954254</v>
      </c>
      <c r="AP249" s="152">
        <f t="shared" si="91"/>
        <v>-5.5356100045744761E-4</v>
      </c>
      <c r="AQ249" s="152">
        <f t="shared" si="92"/>
        <v>25.022858332254259</v>
      </c>
      <c r="AR249" s="153">
        <f t="shared" si="93"/>
        <v>-0.13851678492707645</v>
      </c>
      <c r="AS249" s="153">
        <f t="shared" si="94"/>
        <v>-5.5356100045744761</v>
      </c>
      <c r="AT249" s="149">
        <v>1.077</v>
      </c>
      <c r="AU249" s="150">
        <f t="shared" si="95"/>
        <v>-29.600857235017376</v>
      </c>
      <c r="AV249" s="150">
        <f t="shared" si="96"/>
        <v>1.0786752372543669</v>
      </c>
      <c r="AW249" s="154">
        <f t="shared" si="97"/>
        <v>1.6752372543669125E-3</v>
      </c>
      <c r="AX249" s="154">
        <f t="shared" si="98"/>
        <v>428.45667922009028</v>
      </c>
      <c r="AY249" s="154">
        <f t="shared" si="99"/>
        <v>7.1776659091182911</v>
      </c>
      <c r="AZ249" s="154">
        <f t="shared" si="100"/>
        <v>16.752372543669125</v>
      </c>
    </row>
    <row r="250" spans="1:52" ht="18" x14ac:dyDescent="0.25">
      <c r="I250" t="s">
        <v>152</v>
      </c>
      <c r="Q250" s="141">
        <v>633</v>
      </c>
      <c r="R250" s="141" t="s">
        <v>439</v>
      </c>
      <c r="S250" s="141">
        <v>6.1920359999999999</v>
      </c>
      <c r="T250" s="141">
        <v>0.65606446332691915</v>
      </c>
      <c r="U250" s="141">
        <v>4.3175689999999998</v>
      </c>
      <c r="V250" s="141">
        <v>-24.406659181425724</v>
      </c>
      <c r="W250" s="141">
        <v>2.5870000000000002</v>
      </c>
      <c r="X250" s="160">
        <v>6.0076442500000002</v>
      </c>
      <c r="Y250" s="160">
        <v>1.7773530247112701</v>
      </c>
      <c r="Z250" s="160">
        <v>4.1612238125000003</v>
      </c>
      <c r="AA250" s="160">
        <v>-24.63598008754283</v>
      </c>
      <c r="AB250" s="160">
        <v>2.5109999999999997</v>
      </c>
      <c r="AC250" s="160">
        <v>2.5109999999999997</v>
      </c>
      <c r="AD250" s="144">
        <f t="shared" si="81"/>
        <v>1.1786683274396614E-2</v>
      </c>
      <c r="AE250" s="144">
        <f t="shared" si="82"/>
        <v>0.27763733748940228</v>
      </c>
      <c r="AF250" s="145">
        <f t="shared" si="83"/>
        <v>7.2983567155661705E-2</v>
      </c>
      <c r="AG250" s="145">
        <f t="shared" si="84"/>
        <v>1.1987183615867811</v>
      </c>
      <c r="AH250" s="146">
        <f t="shared" si="85"/>
        <v>2.8211661057464901</v>
      </c>
      <c r="AI250" s="146">
        <f t="shared" si="86"/>
        <v>46.336233536404364</v>
      </c>
      <c r="AJ250" s="147">
        <f t="shared" si="87"/>
        <v>16.424496750482419</v>
      </c>
      <c r="AK250" s="148">
        <f t="shared" si="80"/>
        <v>0.85871143861564903</v>
      </c>
      <c r="AL250" s="148">
        <f t="shared" si="88"/>
        <v>-25.800679093882895</v>
      </c>
      <c r="AM250" s="149">
        <v>0.36599999999999999</v>
      </c>
      <c r="AN250" s="150">
        <f t="shared" si="89"/>
        <v>0.85871143861564903</v>
      </c>
      <c r="AO250" s="151">
        <f t="shared" si="90"/>
        <v>0.36656700490088967</v>
      </c>
      <c r="AP250" s="152">
        <f t="shared" si="91"/>
        <v>5.6700490088967825E-4</v>
      </c>
      <c r="AQ250" s="152">
        <f t="shared" si="92"/>
        <v>28.211661057464902</v>
      </c>
      <c r="AR250" s="153">
        <f t="shared" si="93"/>
        <v>0.15996150081821081</v>
      </c>
      <c r="AS250" s="153">
        <f t="shared" si="94"/>
        <v>5.6700490088967825</v>
      </c>
      <c r="AT250" s="149">
        <v>1.077</v>
      </c>
      <c r="AU250" s="150">
        <f t="shared" si="95"/>
        <v>-25.800679093882895</v>
      </c>
      <c r="AV250" s="150">
        <f t="shared" si="96"/>
        <v>1.0828536933090767</v>
      </c>
      <c r="AW250" s="154">
        <f t="shared" si="97"/>
        <v>5.8536933090767018E-3</v>
      </c>
      <c r="AX250" s="154">
        <f t="shared" si="98"/>
        <v>463.36233536404359</v>
      </c>
      <c r="AY250" s="154">
        <f t="shared" si="99"/>
        <v>27.123810021986568</v>
      </c>
      <c r="AZ250" s="154">
        <f t="shared" si="100"/>
        <v>58.536933090767022</v>
      </c>
    </row>
    <row r="251" spans="1:52" ht="18" x14ac:dyDescent="0.25">
      <c r="A251" s="104">
        <v>235</v>
      </c>
      <c r="B251">
        <v>6</v>
      </c>
      <c r="C251" t="s">
        <v>456</v>
      </c>
      <c r="D251" t="s">
        <v>40</v>
      </c>
      <c r="E251" t="s">
        <v>470</v>
      </c>
      <c r="F251">
        <v>3</v>
      </c>
      <c r="G251" t="s">
        <v>116</v>
      </c>
      <c r="H251">
        <v>3.6480000000000001</v>
      </c>
      <c r="Q251" s="155">
        <v>634</v>
      </c>
      <c r="R251" s="155" t="s">
        <v>440</v>
      </c>
      <c r="S251" s="155">
        <v>4.2484175000000004</v>
      </c>
      <c r="T251" s="155">
        <v>-5.0857325282369743</v>
      </c>
      <c r="U251" s="155">
        <v>5.8103949999999998</v>
      </c>
      <c r="V251" s="155">
        <v>-28.458938213750169</v>
      </c>
      <c r="W251" s="142">
        <v>3.6480000000000001</v>
      </c>
      <c r="X251" s="160">
        <v>6.0076442500000002</v>
      </c>
      <c r="Y251" s="160">
        <v>1.7773530247112701</v>
      </c>
      <c r="Z251" s="160">
        <v>4.1612238125000003</v>
      </c>
      <c r="AA251" s="160">
        <v>-24.63598008754283</v>
      </c>
      <c r="AB251" s="160">
        <v>2.5109999999999997</v>
      </c>
      <c r="AC251" s="160">
        <v>2.5109999999999997</v>
      </c>
      <c r="AD251" s="144">
        <f t="shared" si="81"/>
        <v>1.1786683274396614E-2</v>
      </c>
      <c r="AE251" s="144">
        <f t="shared" si="82"/>
        <v>0.27763733748940228</v>
      </c>
      <c r="AF251" s="145">
        <f t="shared" si="83"/>
        <v>5.0074751489903882E-2</v>
      </c>
      <c r="AG251" s="145">
        <f t="shared" si="84"/>
        <v>1.6131825975617355</v>
      </c>
      <c r="AH251" s="146">
        <f t="shared" si="85"/>
        <v>1.3726631439118389</v>
      </c>
      <c r="AI251" s="146">
        <f t="shared" si="86"/>
        <v>44.221014187547574</v>
      </c>
      <c r="AJ251" s="147">
        <f t="shared" si="87"/>
        <v>32.215488835466054</v>
      </c>
      <c r="AK251" s="148">
        <f t="shared" si="80"/>
        <v>-4.8830855529482449</v>
      </c>
      <c r="AL251" s="148">
        <f t="shared" si="88"/>
        <v>-29.852958126207341</v>
      </c>
      <c r="AM251" s="149">
        <v>0.36599999999999999</v>
      </c>
      <c r="AN251" s="150">
        <f t="shared" si="89"/>
        <v>-4.8830855529482449</v>
      </c>
      <c r="AO251" s="151">
        <f t="shared" si="90"/>
        <v>0.3644717220489872</v>
      </c>
      <c r="AP251" s="152">
        <f t="shared" si="91"/>
        <v>-1.5282779510127908E-3</v>
      </c>
      <c r="AQ251" s="152">
        <f t="shared" si="92"/>
        <v>13.726631439118389</v>
      </c>
      <c r="AR251" s="153">
        <f t="shared" si="93"/>
        <v>-0.20978108170083606</v>
      </c>
      <c r="AS251" s="153">
        <f t="shared" si="94"/>
        <v>-15.282779510127909</v>
      </c>
      <c r="AT251" s="149">
        <v>1.077</v>
      </c>
      <c r="AU251" s="150">
        <f t="shared" si="95"/>
        <v>-29.852958126207341</v>
      </c>
      <c r="AV251" s="150">
        <f t="shared" si="96"/>
        <v>1.0783980292116107</v>
      </c>
      <c r="AW251" s="154">
        <f t="shared" si="97"/>
        <v>1.3980292116106963E-3</v>
      </c>
      <c r="AX251" s="154">
        <f t="shared" si="98"/>
        <v>442.21014187547576</v>
      </c>
      <c r="AY251" s="154">
        <f t="shared" si="99"/>
        <v>6.1822269601242548</v>
      </c>
      <c r="AZ251" s="154">
        <f t="shared" si="100"/>
        <v>13.980292116106963</v>
      </c>
    </row>
    <row r="252" spans="1:52" ht="18" x14ac:dyDescent="0.25">
      <c r="A252" s="104">
        <v>236</v>
      </c>
      <c r="B252">
        <v>6</v>
      </c>
      <c r="C252" t="s">
        <v>459</v>
      </c>
      <c r="D252" t="s">
        <v>48</v>
      </c>
      <c r="E252" t="s">
        <v>470</v>
      </c>
      <c r="F252">
        <v>3</v>
      </c>
      <c r="G252" t="s">
        <v>117</v>
      </c>
      <c r="H252">
        <v>3.3319999999999999</v>
      </c>
      <c r="Q252" s="141">
        <v>635</v>
      </c>
      <c r="R252" s="141" t="s">
        <v>441</v>
      </c>
      <c r="S252" s="141">
        <v>3.8565472500000002</v>
      </c>
      <c r="T252" s="141">
        <v>-5.341151596098614</v>
      </c>
      <c r="U252" s="141">
        <v>5.3150665000000004</v>
      </c>
      <c r="V252" s="141">
        <v>-29.541209389134728</v>
      </c>
      <c r="W252" s="142">
        <v>3.3319999999999999</v>
      </c>
      <c r="X252" s="160">
        <v>6.0076442500000002</v>
      </c>
      <c r="Y252" s="160">
        <v>1.7773530247112701</v>
      </c>
      <c r="Z252" s="160">
        <v>4.1612238125000003</v>
      </c>
      <c r="AA252" s="160">
        <v>-24.63598008754283</v>
      </c>
      <c r="AB252" s="160">
        <v>2.5109999999999997</v>
      </c>
      <c r="AC252" s="160">
        <v>2.5109999999999997</v>
      </c>
      <c r="AD252" s="144">
        <f t="shared" si="81"/>
        <v>1.1786683274396614E-2</v>
      </c>
      <c r="AE252" s="144">
        <f t="shared" si="82"/>
        <v>0.27763733748940228</v>
      </c>
      <c r="AF252" s="145">
        <f t="shared" si="83"/>
        <v>4.5455900968495257E-2</v>
      </c>
      <c r="AG252" s="145">
        <f t="shared" si="84"/>
        <v>1.4756609116391162</v>
      </c>
      <c r="AH252" s="146">
        <f t="shared" si="85"/>
        <v>1.3642227181421145</v>
      </c>
      <c r="AI252" s="146">
        <f t="shared" si="86"/>
        <v>44.287542366119929</v>
      </c>
      <c r="AJ252" s="147">
        <f t="shared" si="87"/>
        <v>32.46357194991851</v>
      </c>
      <c r="AK252" s="148">
        <f t="shared" si="80"/>
        <v>-5.1385046208098846</v>
      </c>
      <c r="AL252" s="148">
        <f t="shared" si="88"/>
        <v>-30.9352293015919</v>
      </c>
      <c r="AM252" s="149">
        <v>0.36599999999999999</v>
      </c>
      <c r="AN252" s="150">
        <f t="shared" si="89"/>
        <v>-5.1385046208098846</v>
      </c>
      <c r="AO252" s="151">
        <f t="shared" si="90"/>
        <v>0.36437851308512409</v>
      </c>
      <c r="AP252" s="152">
        <f t="shared" si="91"/>
        <v>-1.6214869148759026E-3</v>
      </c>
      <c r="AQ252" s="152">
        <f t="shared" si="92"/>
        <v>13.642227181421145</v>
      </c>
      <c r="AR252" s="153">
        <f t="shared" si="93"/>
        <v>-0.22120692864438751</v>
      </c>
      <c r="AS252" s="153">
        <f t="shared" si="94"/>
        <v>-16.214869148759025</v>
      </c>
      <c r="AT252" s="149">
        <v>1.077</v>
      </c>
      <c r="AU252" s="150">
        <f t="shared" si="95"/>
        <v>-30.9352293015919</v>
      </c>
      <c r="AV252" s="150">
        <f t="shared" si="96"/>
        <v>1.0772079551785469</v>
      </c>
      <c r="AW252" s="154">
        <f t="shared" si="97"/>
        <v>2.0795517854699241E-4</v>
      </c>
      <c r="AX252" s="154">
        <f t="shared" si="98"/>
        <v>442.87542366119931</v>
      </c>
      <c r="AY252" s="154">
        <f t="shared" si="99"/>
        <v>0.92098237801539606</v>
      </c>
      <c r="AZ252" s="154">
        <f t="shared" si="100"/>
        <v>2.0795517854699241</v>
      </c>
    </row>
    <row r="253" spans="1:52" ht="18" x14ac:dyDescent="0.25">
      <c r="A253" s="104">
        <v>237</v>
      </c>
      <c r="B253">
        <v>6</v>
      </c>
      <c r="C253" t="s">
        <v>460</v>
      </c>
      <c r="D253" t="s">
        <v>44</v>
      </c>
      <c r="E253" t="s">
        <v>470</v>
      </c>
      <c r="F253">
        <v>3</v>
      </c>
      <c r="G253" t="s">
        <v>118</v>
      </c>
      <c r="H253">
        <v>3.919</v>
      </c>
      <c r="Q253" s="155">
        <v>636</v>
      </c>
      <c r="R253" s="155" t="s">
        <v>442</v>
      </c>
      <c r="S253" s="155">
        <v>4.5505034999999996</v>
      </c>
      <c r="T253" s="155">
        <v>-4.9510305159278376</v>
      </c>
      <c r="U253" s="155">
        <v>6.0243545000000003</v>
      </c>
      <c r="V253" s="155">
        <v>-29.137630870364671</v>
      </c>
      <c r="W253" s="142">
        <v>3.919</v>
      </c>
      <c r="X253" s="160">
        <v>6.0076442500000002</v>
      </c>
      <c r="Y253" s="160">
        <v>1.7773530247112701</v>
      </c>
      <c r="Z253" s="160">
        <v>4.1612238125000003</v>
      </c>
      <c r="AA253" s="160">
        <v>-24.63598008754283</v>
      </c>
      <c r="AB253" s="160">
        <v>2.5109999999999997</v>
      </c>
      <c r="AC253" s="160">
        <v>2.5109999999999997</v>
      </c>
      <c r="AD253" s="144">
        <f t="shared" si="81"/>
        <v>1.1786683274396614E-2</v>
      </c>
      <c r="AE253" s="144">
        <f t="shared" si="82"/>
        <v>0.27763733748940228</v>
      </c>
      <c r="AF253" s="145">
        <f t="shared" si="83"/>
        <v>5.3635343493533251E-2</v>
      </c>
      <c r="AG253" s="145">
        <f t="shared" si="84"/>
        <v>1.6725857434722995</v>
      </c>
      <c r="AH253" s="146">
        <f t="shared" si="85"/>
        <v>1.3685976905724229</v>
      </c>
      <c r="AI253" s="146">
        <f t="shared" si="86"/>
        <v>42.67889113223525</v>
      </c>
      <c r="AJ253" s="147">
        <f t="shared" si="87"/>
        <v>31.184395112039528</v>
      </c>
      <c r="AK253" s="148">
        <f t="shared" si="80"/>
        <v>-4.7483835406391073</v>
      </c>
      <c r="AL253" s="148">
        <f t="shared" si="88"/>
        <v>-30.531650782821842</v>
      </c>
      <c r="AM253" s="149">
        <v>0.36599999999999999</v>
      </c>
      <c r="AN253" s="150">
        <f t="shared" si="89"/>
        <v>-4.7483835406391073</v>
      </c>
      <c r="AO253" s="151">
        <f t="shared" si="90"/>
        <v>0.36452087819524825</v>
      </c>
      <c r="AP253" s="152">
        <f t="shared" si="91"/>
        <v>-1.4791218047517374E-3</v>
      </c>
      <c r="AQ253" s="152">
        <f t="shared" si="92"/>
        <v>13.685976905724228</v>
      </c>
      <c r="AR253" s="153">
        <f t="shared" si="93"/>
        <v>-0.2024322686058542</v>
      </c>
      <c r="AS253" s="153">
        <f t="shared" si="94"/>
        <v>-14.791218047517374</v>
      </c>
      <c r="AT253" s="149">
        <v>1.077</v>
      </c>
      <c r="AU253" s="150">
        <f t="shared" si="95"/>
        <v>-30.531650782821842</v>
      </c>
      <c r="AV253" s="150">
        <f t="shared" si="96"/>
        <v>1.0776517366908378</v>
      </c>
      <c r="AW253" s="154">
        <f t="shared" si="97"/>
        <v>6.5173669083784525E-4</v>
      </c>
      <c r="AX253" s="154">
        <f t="shared" si="98"/>
        <v>426.78891132235253</v>
      </c>
      <c r="AY253" s="154">
        <f t="shared" si="99"/>
        <v>2.781539927515166</v>
      </c>
      <c r="AZ253" s="154">
        <f t="shared" si="100"/>
        <v>6.5173669083784533</v>
      </c>
    </row>
    <row r="254" spans="1:52" ht="18" x14ac:dyDescent="0.25">
      <c r="A254" s="104">
        <v>238</v>
      </c>
      <c r="B254">
        <v>6</v>
      </c>
      <c r="C254" t="s">
        <v>463</v>
      </c>
      <c r="D254" t="s">
        <v>52</v>
      </c>
      <c r="E254" t="s">
        <v>470</v>
      </c>
      <c r="F254">
        <v>3</v>
      </c>
      <c r="G254" t="s">
        <v>68</v>
      </c>
      <c r="H254">
        <v>3.6429999999999998</v>
      </c>
      <c r="Q254" s="141">
        <v>637</v>
      </c>
      <c r="R254" s="141" t="s">
        <v>443</v>
      </c>
      <c r="S254" s="141">
        <v>5.2890474999999997</v>
      </c>
      <c r="T254" s="141">
        <v>-6.2797783272017016</v>
      </c>
      <c r="U254" s="141">
        <v>5.7390685000000001</v>
      </c>
      <c r="V254" s="141">
        <v>-27.459387521943114</v>
      </c>
      <c r="W254" s="142">
        <v>3.6429999999999998</v>
      </c>
      <c r="X254" s="160">
        <v>6.0076442500000002</v>
      </c>
      <c r="Y254" s="160">
        <v>1.7773530247112701</v>
      </c>
      <c r="Z254" s="160">
        <v>4.1612238125000003</v>
      </c>
      <c r="AA254" s="160">
        <v>-24.63598008754283</v>
      </c>
      <c r="AB254" s="160">
        <v>2.5109999999999997</v>
      </c>
      <c r="AC254" s="160">
        <v>2.5109999999999997</v>
      </c>
      <c r="AD254" s="144">
        <f t="shared" si="81"/>
        <v>1.1786683274396614E-2</v>
      </c>
      <c r="AE254" s="144">
        <f t="shared" si="82"/>
        <v>0.27763733748940228</v>
      </c>
      <c r="AF254" s="145">
        <f t="shared" si="83"/>
        <v>6.2340327705739225E-2</v>
      </c>
      <c r="AG254" s="145">
        <f t="shared" si="84"/>
        <v>1.5933796980092978</v>
      </c>
      <c r="AH254" s="146">
        <f t="shared" si="85"/>
        <v>1.7112360061965202</v>
      </c>
      <c r="AI254" s="146">
        <f t="shared" si="86"/>
        <v>43.73811962693653</v>
      </c>
      <c r="AJ254" s="147">
        <f t="shared" si="87"/>
        <v>25.559373148155696</v>
      </c>
      <c r="AK254" s="148">
        <f t="shared" si="80"/>
        <v>-6.0771313519129713</v>
      </c>
      <c r="AL254" s="148">
        <f t="shared" si="88"/>
        <v>-28.853407434400285</v>
      </c>
      <c r="AM254" s="149">
        <v>0.36599999999999999</v>
      </c>
      <c r="AN254" s="150">
        <f t="shared" si="89"/>
        <v>-6.0771313519129713</v>
      </c>
      <c r="AO254" s="151">
        <f t="shared" si="90"/>
        <v>0.36403598263738235</v>
      </c>
      <c r="AP254" s="152">
        <f t="shared" si="91"/>
        <v>-1.9640173626176427E-3</v>
      </c>
      <c r="AQ254" s="152">
        <f t="shared" si="92"/>
        <v>17.112360061965202</v>
      </c>
      <c r="AR254" s="153">
        <f t="shared" si="93"/>
        <v>-0.33608972277064375</v>
      </c>
      <c r="AS254" s="153">
        <f t="shared" si="94"/>
        <v>-19.640173626176427</v>
      </c>
      <c r="AT254" s="149">
        <v>1.077</v>
      </c>
      <c r="AU254" s="150">
        <f t="shared" si="95"/>
        <v>-28.853407434400285</v>
      </c>
      <c r="AV254" s="150">
        <f t="shared" si="96"/>
        <v>1.0794971177054127</v>
      </c>
      <c r="AW254" s="154">
        <f t="shared" si="97"/>
        <v>2.4971177054127214E-3</v>
      </c>
      <c r="AX254" s="154">
        <f t="shared" si="98"/>
        <v>437.38119626936526</v>
      </c>
      <c r="AY254" s="154">
        <f t="shared" si="99"/>
        <v>10.921923292188286</v>
      </c>
      <c r="AZ254" s="154">
        <f t="shared" si="100"/>
        <v>24.971177054127217</v>
      </c>
    </row>
    <row r="255" spans="1:52" ht="18" x14ac:dyDescent="0.25">
      <c r="A255" s="104">
        <v>239</v>
      </c>
      <c r="B255">
        <v>5</v>
      </c>
      <c r="C255" t="s">
        <v>461</v>
      </c>
      <c r="D255" t="s">
        <v>24</v>
      </c>
      <c r="E255" t="s">
        <v>470</v>
      </c>
      <c r="F255">
        <v>3</v>
      </c>
      <c r="G255" t="s">
        <v>69</v>
      </c>
      <c r="H255">
        <v>3.254</v>
      </c>
      <c r="Q255" s="155">
        <v>638</v>
      </c>
      <c r="R255" s="155" t="s">
        <v>444</v>
      </c>
      <c r="S255" s="155">
        <v>4.9897179999999999</v>
      </c>
      <c r="T255" s="155">
        <v>-1.887329350287581</v>
      </c>
      <c r="U255" s="155">
        <v>5.0809220000000002</v>
      </c>
      <c r="V255" s="155">
        <v>-28.986217619189084</v>
      </c>
      <c r="W255" s="142">
        <v>3.254</v>
      </c>
      <c r="X255" s="160">
        <v>6.0076442500000002</v>
      </c>
      <c r="Y255" s="160">
        <v>1.7773530247112701</v>
      </c>
      <c r="Z255" s="160">
        <v>4.1612238125000003</v>
      </c>
      <c r="AA255" s="160">
        <v>-24.63598008754283</v>
      </c>
      <c r="AB255" s="160">
        <v>2.5109999999999997</v>
      </c>
      <c r="AC255" s="160">
        <v>2.5109999999999997</v>
      </c>
      <c r="AD255" s="144">
        <f t="shared" si="81"/>
        <v>1.1786683274396614E-2</v>
      </c>
      <c r="AE255" s="144">
        <f t="shared" si="82"/>
        <v>0.27763733748940228</v>
      </c>
      <c r="AF255" s="145">
        <f t="shared" si="83"/>
        <v>5.8812225694555721E-2</v>
      </c>
      <c r="AG255" s="145">
        <f t="shared" si="84"/>
        <v>1.4106536560713288</v>
      </c>
      <c r="AH255" s="146">
        <f t="shared" si="85"/>
        <v>1.8073824737109931</v>
      </c>
      <c r="AI255" s="146">
        <f t="shared" si="86"/>
        <v>43.351372343925291</v>
      </c>
      <c r="AJ255" s="147">
        <f t="shared" si="87"/>
        <v>23.985721325998274</v>
      </c>
      <c r="AK255" s="148">
        <f t="shared" si="80"/>
        <v>-1.6846823749988511</v>
      </c>
      <c r="AL255" s="148">
        <f t="shared" si="88"/>
        <v>-30.380237531646255</v>
      </c>
      <c r="AM255" s="149">
        <v>0.36599999999999999</v>
      </c>
      <c r="AN255" s="150">
        <f t="shared" si="89"/>
        <v>-1.6846823749988511</v>
      </c>
      <c r="AO255" s="151">
        <f t="shared" si="90"/>
        <v>0.3656388865741893</v>
      </c>
      <c r="AP255" s="152">
        <f t="shared" si="91"/>
        <v>-3.611134258106885E-4</v>
      </c>
      <c r="AQ255" s="152">
        <f t="shared" si="92"/>
        <v>18.073824737109931</v>
      </c>
      <c r="AR255" s="153">
        <f t="shared" si="93"/>
        <v>-6.5267007683197334E-2</v>
      </c>
      <c r="AS255" s="153">
        <f t="shared" si="94"/>
        <v>-3.611134258106885</v>
      </c>
      <c r="AT255" s="149">
        <v>1.077</v>
      </c>
      <c r="AU255" s="150">
        <f t="shared" si="95"/>
        <v>-30.380237531646255</v>
      </c>
      <c r="AV255" s="150">
        <f t="shared" si="96"/>
        <v>1.0778182321407321</v>
      </c>
      <c r="AW255" s="154">
        <f t="shared" si="97"/>
        <v>8.1823214073217798E-4</v>
      </c>
      <c r="AX255" s="154">
        <f t="shared" si="98"/>
        <v>433.51372343925294</v>
      </c>
      <c r="AY255" s="154">
        <f t="shared" si="99"/>
        <v>3.5471486196647732</v>
      </c>
      <c r="AZ255" s="154">
        <f t="shared" si="100"/>
        <v>8.1823214073217798</v>
      </c>
    </row>
    <row r="256" spans="1:52" ht="18" x14ac:dyDescent="0.25">
      <c r="A256" s="104">
        <v>39</v>
      </c>
      <c r="B256">
        <v>1</v>
      </c>
      <c r="C256" t="s">
        <v>460</v>
      </c>
      <c r="D256" t="s">
        <v>24</v>
      </c>
      <c r="E256" t="s">
        <v>470</v>
      </c>
      <c r="F256">
        <v>3</v>
      </c>
      <c r="G256" t="s">
        <v>70</v>
      </c>
      <c r="H256">
        <v>0.32500000000000001</v>
      </c>
      <c r="I256" s="105" t="s">
        <v>471</v>
      </c>
      <c r="N256" s="105"/>
      <c r="Q256" s="141">
        <v>639</v>
      </c>
      <c r="R256" s="141" t="s">
        <v>445</v>
      </c>
      <c r="S256" s="161">
        <v>0.232223390625</v>
      </c>
      <c r="T256" s="161">
        <v>-15.663632973305946</v>
      </c>
      <c r="U256" s="161">
        <v>0.56948656249999996</v>
      </c>
      <c r="V256" s="161">
        <v>-29.990880557903445</v>
      </c>
      <c r="W256" s="162">
        <v>0.32500000000000001</v>
      </c>
      <c r="X256" s="162">
        <v>6.0076442500000002</v>
      </c>
      <c r="Y256" s="162">
        <v>1.7773530247112701</v>
      </c>
      <c r="Z256" s="162">
        <v>4.1612238125000003</v>
      </c>
      <c r="AA256" s="162">
        <v>-24.63598008754283</v>
      </c>
      <c r="AB256" s="162">
        <v>2.5109999999999997</v>
      </c>
      <c r="AC256" s="162">
        <v>2.5109999999999997</v>
      </c>
      <c r="AD256" s="163">
        <f t="shared" si="81"/>
        <v>1.1786683274396614E-2</v>
      </c>
      <c r="AE256" s="163">
        <f t="shared" si="82"/>
        <v>0.27763733748940228</v>
      </c>
      <c r="AF256" s="164">
        <f t="shared" si="83"/>
        <v>2.737143554203359E-3</v>
      </c>
      <c r="AG256" s="164">
        <f t="shared" si="84"/>
        <v>0.15811073294849207</v>
      </c>
      <c r="AH256" s="165">
        <f t="shared" si="85"/>
        <v>0.84219801667795657</v>
      </c>
      <c r="AI256" s="165">
        <f t="shared" si="86"/>
        <v>48.649456291843713</v>
      </c>
      <c r="AJ256" s="164">
        <f t="shared" si="87"/>
        <v>57.764866846565496</v>
      </c>
      <c r="AK256" s="148">
        <f t="shared" si="80"/>
        <v>-15.460985998017216</v>
      </c>
      <c r="AL256" s="166">
        <f t="shared" si="88"/>
        <v>-31.384900470360616</v>
      </c>
      <c r="AM256" s="167">
        <v>0.36599999999999999</v>
      </c>
      <c r="AN256" s="168">
        <f t="shared" si="89"/>
        <v>-15.460985998017216</v>
      </c>
      <c r="AO256" s="169">
        <f t="shared" si="90"/>
        <v>0.36061142913438199</v>
      </c>
      <c r="AP256" s="170">
        <f t="shared" si="91"/>
        <v>-5.3885708656180031E-3</v>
      </c>
      <c r="AQ256" s="170">
        <f t="shared" si="92"/>
        <v>8.4219801667795657</v>
      </c>
      <c r="AR256" s="170">
        <f t="shared" si="93"/>
        <v>-0.45382436957521022</v>
      </c>
      <c r="AS256" s="170">
        <f t="shared" si="94"/>
        <v>-53.885708656180029</v>
      </c>
      <c r="AT256" s="149">
        <v>1.077</v>
      </c>
      <c r="AU256" s="168">
        <f t="shared" si="95"/>
        <v>-31.384900470360616</v>
      </c>
      <c r="AV256" s="168">
        <f t="shared" si="96"/>
        <v>1.0767134847477349</v>
      </c>
      <c r="AW256" s="168">
        <f t="shared" si="97"/>
        <v>-2.865152522650849E-4</v>
      </c>
      <c r="AX256" s="168">
        <f t="shared" si="98"/>
        <v>486.49456291843711</v>
      </c>
      <c r="AY256" s="168">
        <f t="shared" si="99"/>
        <v>-1.3938811242016824</v>
      </c>
      <c r="AZ256" s="168">
        <f t="shared" si="100"/>
        <v>-2.865152522650849</v>
      </c>
    </row>
    <row r="257" spans="1:52" ht="18" x14ac:dyDescent="0.25">
      <c r="A257" s="104">
        <v>62</v>
      </c>
      <c r="B257">
        <v>2</v>
      </c>
      <c r="C257" t="s">
        <v>463</v>
      </c>
      <c r="D257" t="s">
        <v>36</v>
      </c>
      <c r="E257" t="s">
        <v>466</v>
      </c>
      <c r="F257">
        <v>3</v>
      </c>
      <c r="G257" t="s">
        <v>71</v>
      </c>
      <c r="H257">
        <v>0.41799999999999998</v>
      </c>
      <c r="I257" t="s">
        <v>469</v>
      </c>
      <c r="Q257" s="155">
        <v>640</v>
      </c>
      <c r="R257" s="155" t="s">
        <v>446</v>
      </c>
      <c r="S257" s="155">
        <v>1.452431875</v>
      </c>
      <c r="T257" s="155">
        <v>-1.999450786625212</v>
      </c>
      <c r="U257" s="155">
        <v>0.65666306249999995</v>
      </c>
      <c r="V257" s="155">
        <v>-24.414147896682397</v>
      </c>
      <c r="W257" s="142">
        <v>0.41799999999999998</v>
      </c>
      <c r="X257" s="160">
        <v>6.0076442500000002</v>
      </c>
      <c r="Y257" s="160">
        <v>1.7773530247112701</v>
      </c>
      <c r="Z257" s="160">
        <v>4.1612238125000003</v>
      </c>
      <c r="AA257" s="160">
        <v>-24.63598008754283</v>
      </c>
      <c r="AB257" s="160">
        <v>2.5109999999999997</v>
      </c>
      <c r="AC257" s="160">
        <v>2.5109999999999997</v>
      </c>
      <c r="AD257" s="144">
        <f t="shared" si="81"/>
        <v>1.1786683274396614E-2</v>
      </c>
      <c r="AE257" s="144">
        <f t="shared" si="82"/>
        <v>0.27763733748940228</v>
      </c>
      <c r="AF257" s="145">
        <f t="shared" si="83"/>
        <v>1.7119354488263013E-2</v>
      </c>
      <c r="AG257" s="145">
        <f t="shared" si="84"/>
        <v>0.18231418430013696</v>
      </c>
      <c r="AH257" s="146">
        <f t="shared" si="85"/>
        <v>4.0955393512590943</v>
      </c>
      <c r="AI257" s="146">
        <f t="shared" si="86"/>
        <v>43.615833564626072</v>
      </c>
      <c r="AJ257" s="147">
        <f t="shared" si="87"/>
        <v>10.649594552477497</v>
      </c>
      <c r="AK257" s="148">
        <f t="shared" si="80"/>
        <v>-1.7968038113364821</v>
      </c>
      <c r="AL257" s="148">
        <f t="shared" si="88"/>
        <v>-25.808167809139569</v>
      </c>
      <c r="AM257" s="149">
        <v>0.36599999999999999</v>
      </c>
      <c r="AN257" s="150">
        <f t="shared" si="89"/>
        <v>-1.7968038113364821</v>
      </c>
      <c r="AO257" s="151">
        <f t="shared" si="90"/>
        <v>0.36559797156864476</v>
      </c>
      <c r="AP257" s="152">
        <f t="shared" si="91"/>
        <v>-4.0202843135522803E-4</v>
      </c>
      <c r="AQ257" s="152">
        <f t="shared" si="92"/>
        <v>40.955393512590945</v>
      </c>
      <c r="AR257" s="153">
        <f t="shared" si="93"/>
        <v>-0.16465232609403019</v>
      </c>
      <c r="AS257" s="153">
        <f t="shared" si="94"/>
        <v>-4.0202843135522803</v>
      </c>
      <c r="AT257" s="149">
        <v>1.077</v>
      </c>
      <c r="AU257" s="150">
        <f t="shared" si="95"/>
        <v>-25.808167809139569</v>
      </c>
      <c r="AV257" s="150">
        <f t="shared" si="96"/>
        <v>1.0828454594981081</v>
      </c>
      <c r="AW257" s="154">
        <f t="shared" si="97"/>
        <v>5.8454594981081076E-3</v>
      </c>
      <c r="AX257" s="154">
        <f t="shared" si="98"/>
        <v>436.15833564626064</v>
      </c>
      <c r="AY257" s="154">
        <f t="shared" si="99"/>
        <v>25.495458857824584</v>
      </c>
      <c r="AZ257" s="154">
        <f t="shared" si="100"/>
        <v>58.454594981081073</v>
      </c>
    </row>
    <row r="258" spans="1:52" ht="18" x14ac:dyDescent="0.25">
      <c r="A258" s="104">
        <v>80</v>
      </c>
      <c r="B258">
        <v>2</v>
      </c>
      <c r="C258" t="s">
        <v>463</v>
      </c>
      <c r="D258" t="s">
        <v>36</v>
      </c>
      <c r="E258" t="s">
        <v>470</v>
      </c>
      <c r="F258">
        <v>3</v>
      </c>
      <c r="G258" t="s">
        <v>72</v>
      </c>
      <c r="H258">
        <v>1.3260000000000001</v>
      </c>
      <c r="I258" t="s">
        <v>469</v>
      </c>
      <c r="Q258" s="141">
        <v>641</v>
      </c>
      <c r="R258" s="141" t="s">
        <v>447</v>
      </c>
      <c r="S258" s="141">
        <v>2.4230637499999998</v>
      </c>
      <c r="T258" s="141">
        <v>-2.1501805557021472</v>
      </c>
      <c r="U258" s="141">
        <v>2.3539432499999999</v>
      </c>
      <c r="V258" s="141">
        <v>-28.561830954651793</v>
      </c>
      <c r="W258" s="142">
        <v>1.3260000000000001</v>
      </c>
      <c r="X258" s="160">
        <v>6.0076442500000002</v>
      </c>
      <c r="Y258" s="160">
        <v>1.7773530247112701</v>
      </c>
      <c r="Z258" s="160">
        <v>4.1612238125000003</v>
      </c>
      <c r="AA258" s="160">
        <v>-24.63598008754283</v>
      </c>
      <c r="AB258" s="160">
        <v>2.5109999999999997</v>
      </c>
      <c r="AC258" s="160">
        <v>2.5109999999999997</v>
      </c>
      <c r="AD258" s="144">
        <f t="shared" si="81"/>
        <v>1.1786683274396614E-2</v>
      </c>
      <c r="AE258" s="144">
        <f t="shared" si="82"/>
        <v>0.27763733748940228</v>
      </c>
      <c r="AF258" s="145">
        <f t="shared" si="83"/>
        <v>2.8559884974921738E-2</v>
      </c>
      <c r="AG258" s="145">
        <f t="shared" si="84"/>
        <v>0.65354253653115046</v>
      </c>
      <c r="AH258" s="146">
        <f t="shared" si="85"/>
        <v>2.1538374792550328</v>
      </c>
      <c r="AI258" s="146">
        <f t="shared" si="86"/>
        <v>49.286767460871076</v>
      </c>
      <c r="AJ258" s="147">
        <f t="shared" si="87"/>
        <v>22.883234197372371</v>
      </c>
      <c r="AK258" s="148">
        <f t="shared" si="80"/>
        <v>-1.9475335804134173</v>
      </c>
      <c r="AL258" s="148">
        <f t="shared" si="88"/>
        <v>-29.955850867108964</v>
      </c>
      <c r="AM258" s="149">
        <v>0.36599999999999999</v>
      </c>
      <c r="AN258" s="150">
        <f t="shared" si="89"/>
        <v>-1.9475335804134173</v>
      </c>
      <c r="AO258" s="151">
        <f t="shared" si="90"/>
        <v>0.36554296767754157</v>
      </c>
      <c r="AP258" s="152">
        <f t="shared" si="91"/>
        <v>-4.5703232245841718E-4</v>
      </c>
      <c r="AQ258" s="152">
        <f t="shared" si="92"/>
        <v>21.538374792550325</v>
      </c>
      <c r="AR258" s="153">
        <f t="shared" si="93"/>
        <v>-9.843733453419104E-2</v>
      </c>
      <c r="AS258" s="153">
        <f t="shared" si="94"/>
        <v>-4.5703232245841718</v>
      </c>
      <c r="AT258" s="149">
        <v>1.077</v>
      </c>
      <c r="AU258" s="150">
        <f t="shared" si="95"/>
        <v>-29.955850867108964</v>
      </c>
      <c r="AV258" s="150">
        <f t="shared" si="96"/>
        <v>1.078284888763211</v>
      </c>
      <c r="AW258" s="154">
        <f t="shared" si="97"/>
        <v>1.2848887632110895E-3</v>
      </c>
      <c r="AX258" s="154">
        <f t="shared" si="98"/>
        <v>492.86767460871084</v>
      </c>
      <c r="AY258" s="154">
        <f t="shared" si="99"/>
        <v>6.3328013685471216</v>
      </c>
      <c r="AZ258" s="154">
        <f t="shared" si="100"/>
        <v>12.848887632110896</v>
      </c>
    </row>
    <row r="259" spans="1:52" ht="18" x14ac:dyDescent="0.25">
      <c r="A259" s="104">
        <v>146</v>
      </c>
      <c r="B259">
        <v>4</v>
      </c>
      <c r="C259" t="s">
        <v>456</v>
      </c>
      <c r="D259" t="s">
        <v>28</v>
      </c>
      <c r="E259" t="s">
        <v>466</v>
      </c>
      <c r="F259">
        <v>3</v>
      </c>
      <c r="G259" t="s">
        <v>73</v>
      </c>
      <c r="H259">
        <v>1.4750000000000001</v>
      </c>
      <c r="I259" t="s">
        <v>469</v>
      </c>
      <c r="Q259" s="155">
        <v>642</v>
      </c>
      <c r="R259" s="155" t="s">
        <v>448</v>
      </c>
      <c r="S259" s="155">
        <v>3.4034597500000001</v>
      </c>
      <c r="T259" s="155">
        <v>-1.9334537087095593</v>
      </c>
      <c r="U259" s="155">
        <v>2.0979399999999999</v>
      </c>
      <c r="V259" s="155">
        <v>-22.153990022448493</v>
      </c>
      <c r="W259" s="142">
        <v>1.4750000000000001</v>
      </c>
      <c r="X259" s="160">
        <v>6.0076442500000002</v>
      </c>
      <c r="Y259" s="160">
        <v>1.7773530247112701</v>
      </c>
      <c r="Z259" s="160">
        <v>4.1612238125000003</v>
      </c>
      <c r="AA259" s="160">
        <v>-24.63598008754283</v>
      </c>
      <c r="AB259" s="160">
        <v>2.5109999999999997</v>
      </c>
      <c r="AC259" s="160">
        <v>2.5109999999999997</v>
      </c>
      <c r="AD259" s="144">
        <f t="shared" si="81"/>
        <v>1.1786683274396614E-2</v>
      </c>
      <c r="AE259" s="144">
        <f t="shared" si="82"/>
        <v>0.27763733748940228</v>
      </c>
      <c r="AF259" s="145">
        <f t="shared" si="83"/>
        <v>4.0115502110407084E-2</v>
      </c>
      <c r="AG259" s="145">
        <f t="shared" si="84"/>
        <v>0.58246647581251665</v>
      </c>
      <c r="AH259" s="146">
        <f t="shared" si="85"/>
        <v>2.7196950583326833</v>
      </c>
      <c r="AI259" s="146">
        <f t="shared" si="86"/>
        <v>39.489252597458751</v>
      </c>
      <c r="AJ259" s="147">
        <f t="shared" si="87"/>
        <v>14.51973539330095</v>
      </c>
      <c r="AK259" s="148">
        <f t="shared" ref="AK259:AK262" si="101">T259+(1.98-Y259)</f>
        <v>-1.7308067334208295</v>
      </c>
      <c r="AL259" s="148">
        <f t="shared" si="88"/>
        <v>-23.548009934905664</v>
      </c>
      <c r="AM259" s="149">
        <v>0.36599999999999999</v>
      </c>
      <c r="AN259" s="150">
        <f t="shared" si="89"/>
        <v>-1.7308067334208295</v>
      </c>
      <c r="AO259" s="151">
        <f t="shared" si="90"/>
        <v>0.36562205502095513</v>
      </c>
      <c r="AP259" s="152">
        <f t="shared" si="91"/>
        <v>-3.7794497904486413E-4</v>
      </c>
      <c r="AQ259" s="152">
        <f t="shared" si="92"/>
        <v>27.196950583326828</v>
      </c>
      <c r="AR259" s="153">
        <f t="shared" si="93"/>
        <v>-0.10278950918299663</v>
      </c>
      <c r="AS259" s="153">
        <f t="shared" si="94"/>
        <v>-3.7794497904486413</v>
      </c>
      <c r="AT259" s="149">
        <v>1.077</v>
      </c>
      <c r="AU259" s="150">
        <f t="shared" si="95"/>
        <v>-23.548009934905664</v>
      </c>
      <c r="AV259" s="150">
        <f t="shared" si="96"/>
        <v>1.0853304313655885</v>
      </c>
      <c r="AW259" s="154">
        <f t="shared" si="97"/>
        <v>8.3304313655885309E-3</v>
      </c>
      <c r="AX259" s="154">
        <f t="shared" si="98"/>
        <v>394.8925259745875</v>
      </c>
      <c r="AY259" s="154">
        <f t="shared" si="99"/>
        <v>32.896250844151872</v>
      </c>
      <c r="AZ259" s="154">
        <f t="shared" si="100"/>
        <v>83.304313655885309</v>
      </c>
    </row>
    <row r="260" spans="1:52" ht="18" x14ac:dyDescent="0.25">
      <c r="A260" s="104">
        <v>147</v>
      </c>
      <c r="B260">
        <v>4</v>
      </c>
      <c r="C260" t="s">
        <v>458</v>
      </c>
      <c r="D260" t="s">
        <v>44</v>
      </c>
      <c r="E260" t="s">
        <v>466</v>
      </c>
      <c r="F260">
        <v>3</v>
      </c>
      <c r="G260" t="s">
        <v>74</v>
      </c>
      <c r="H260">
        <v>1.86</v>
      </c>
      <c r="I260" t="s">
        <v>469</v>
      </c>
      <c r="Q260" s="141">
        <v>643</v>
      </c>
      <c r="R260" s="141" t="s">
        <v>449</v>
      </c>
      <c r="S260" s="141">
        <v>6.6923640000000004</v>
      </c>
      <c r="T260" s="141">
        <v>-1.4619125957741119</v>
      </c>
      <c r="U260" s="141">
        <v>2.87535725</v>
      </c>
      <c r="V260" s="141">
        <v>-23.319092758892396</v>
      </c>
      <c r="W260" s="142">
        <v>1.86</v>
      </c>
      <c r="X260" s="160">
        <v>6.0076442500000002</v>
      </c>
      <c r="Y260" s="160">
        <v>1.7773530247112701</v>
      </c>
      <c r="Z260" s="160">
        <v>4.1612238125000003</v>
      </c>
      <c r="AA260" s="160">
        <v>-24.63598008754283</v>
      </c>
      <c r="AB260" s="160">
        <v>2.5109999999999997</v>
      </c>
      <c r="AC260" s="160">
        <v>2.5109999999999997</v>
      </c>
      <c r="AD260" s="144">
        <f t="shared" ref="AD260:AD286" si="102">((2.82/100)*AB260)/X260</f>
        <v>1.1786683274396614E-2</v>
      </c>
      <c r="AE260" s="144">
        <f t="shared" ref="AE260:AE286" si="103">((46.01/100)*AC260)/Z260</f>
        <v>0.27763733748940228</v>
      </c>
      <c r="AF260" s="145">
        <f t="shared" ref="AF260:AF286" si="104">S260*AD260</f>
        <v>7.888077482497402E-2</v>
      </c>
      <c r="AG260" s="145">
        <f t="shared" ref="AG260:AG286" si="105">U260*AE260</f>
        <v>0.7983065312208496</v>
      </c>
      <c r="AH260" s="146">
        <f t="shared" ref="AH260:AH286" si="106">100*AF260/W260</f>
        <v>4.240901872310431</v>
      </c>
      <c r="AI260" s="146">
        <f t="shared" ref="AI260:AI286" si="107">100*AG260/W260</f>
        <v>42.919705979615564</v>
      </c>
      <c r="AJ260" s="147">
        <f t="shared" ref="AJ260:AJ286" si="108">AG260/AF260</f>
        <v>10.120419493750992</v>
      </c>
      <c r="AK260" s="148">
        <f t="shared" si="101"/>
        <v>-1.259265620485382</v>
      </c>
      <c r="AL260" s="148">
        <f t="shared" ref="AL260:AL286" si="109">V260+(-26.03-AA260)</f>
        <v>-24.713112671349567</v>
      </c>
      <c r="AM260" s="149">
        <v>0.36599999999999999</v>
      </c>
      <c r="AN260" s="150">
        <f t="shared" ref="AN260:AN286" si="110">T260+(1.98-Y260)</f>
        <v>-1.259265620485382</v>
      </c>
      <c r="AO260" s="151">
        <f t="shared" ref="AO260:AO286" si="111">100*0.003676*(AN260/1000+1)/(1+0.003676*(AN260/1000+1))</f>
        <v>0.36579412802640476</v>
      </c>
      <c r="AP260" s="152">
        <f t="shared" ref="AP260:AP286" si="112">AO260-AM260</f>
        <v>-2.0587197359522857E-4</v>
      </c>
      <c r="AQ260" s="152">
        <f t="shared" ref="AQ260:AQ286" si="113">(AH260%*W260)/W260*1000</f>
        <v>42.40901872310431</v>
      </c>
      <c r="AR260" s="153">
        <f t="shared" ref="AR260:AR286" si="114">(AQ260*AP260%)*1000</f>
        <v>-8.7308283827624844E-2</v>
      </c>
      <c r="AS260" s="153">
        <f t="shared" ref="AS260:AS286" si="115">(((AF260*AP260%)/AF260)*1000)*1000</f>
        <v>-2.0587197359522857</v>
      </c>
      <c r="AT260" s="149">
        <v>1.077</v>
      </c>
      <c r="AU260" s="150">
        <f t="shared" ref="AU260:AU286" si="116">V260+(-26.03-AA260)</f>
        <v>-24.713112671349567</v>
      </c>
      <c r="AV260" s="150">
        <f t="shared" ref="AV260:AV286" si="117">100*0.011237*(AU260/1000+1)/(1+0.011237*(AU260/1000+1))</f>
        <v>1.0840494534677207</v>
      </c>
      <c r="AW260" s="154">
        <f t="shared" ref="AW260:AW286" si="118">AV260-AT260</f>
        <v>7.0494534677207898E-3</v>
      </c>
      <c r="AX260" s="154">
        <f t="shared" ref="AX260:AX286" si="119">(AI260%*W260)/W260*1000</f>
        <v>429.19705979615566</v>
      </c>
      <c r="AY260" s="154">
        <f t="shared" ref="AY260:AY286" si="120">(AX260*AW260%)*1000</f>
        <v>30.256047015155765</v>
      </c>
      <c r="AZ260" s="154">
        <f t="shared" ref="AZ260:AZ286" si="121">(((AG260*AW260%)/AG260)*1000)*1000</f>
        <v>70.494534677207895</v>
      </c>
    </row>
    <row r="261" spans="1:52" ht="18" x14ac:dyDescent="0.25">
      <c r="A261" s="104">
        <v>232</v>
      </c>
      <c r="B261">
        <v>6</v>
      </c>
      <c r="C261" t="s">
        <v>461</v>
      </c>
      <c r="D261" t="s">
        <v>28</v>
      </c>
      <c r="E261" t="s">
        <v>468</v>
      </c>
      <c r="F261">
        <v>3</v>
      </c>
      <c r="G261" t="s">
        <v>75</v>
      </c>
      <c r="H261">
        <v>1.0489999999999999</v>
      </c>
      <c r="I261" t="s">
        <v>469</v>
      </c>
      <c r="Q261" s="155">
        <v>644</v>
      </c>
      <c r="R261" s="155" t="s">
        <v>450</v>
      </c>
      <c r="S261" s="155">
        <v>1.0703568750000001</v>
      </c>
      <c r="T261" s="155">
        <v>-1.7542695424130006</v>
      </c>
      <c r="U261" s="155">
        <v>1.607161375</v>
      </c>
      <c r="V261" s="155">
        <v>-27.657326336761127</v>
      </c>
      <c r="W261" s="142">
        <v>1.0489999999999999</v>
      </c>
      <c r="X261" s="160">
        <v>6.0076442500000002</v>
      </c>
      <c r="Y261" s="160">
        <v>1.7773530247112701</v>
      </c>
      <c r="Z261" s="160">
        <v>4.1612238125000003</v>
      </c>
      <c r="AA261" s="160">
        <v>-24.63598008754283</v>
      </c>
      <c r="AB261" s="160">
        <v>2.5109999999999997</v>
      </c>
      <c r="AC261" s="160">
        <v>2.5109999999999997</v>
      </c>
      <c r="AD261" s="144">
        <f t="shared" si="102"/>
        <v>1.1786683274396614E-2</v>
      </c>
      <c r="AE261" s="144">
        <f t="shared" si="103"/>
        <v>0.27763733748940228</v>
      </c>
      <c r="AF261" s="145">
        <f t="shared" si="104"/>
        <v>1.2615957476197929E-2</v>
      </c>
      <c r="AG261" s="145">
        <f t="shared" si="105"/>
        <v>0.44620800507080682</v>
      </c>
      <c r="AH261" s="146">
        <f t="shared" si="106"/>
        <v>1.2026651550236349</v>
      </c>
      <c r="AI261" s="146">
        <f t="shared" si="107"/>
        <v>42.536511446216096</v>
      </c>
      <c r="AJ261" s="147">
        <f t="shared" si="108"/>
        <v>35.368540668645352</v>
      </c>
      <c r="AK261" s="148">
        <f t="shared" si="101"/>
        <v>-1.5516225671242707</v>
      </c>
      <c r="AL261" s="148">
        <f t="shared" si="109"/>
        <v>-29.051346249218298</v>
      </c>
      <c r="AM261" s="149">
        <v>0.36599999999999999</v>
      </c>
      <c r="AN261" s="150">
        <f t="shared" si="110"/>
        <v>-1.5516225671242707</v>
      </c>
      <c r="AO261" s="151">
        <f t="shared" si="111"/>
        <v>0.36568744230149702</v>
      </c>
      <c r="AP261" s="152">
        <f t="shared" si="112"/>
        <v>-3.1255769850296877E-4</v>
      </c>
      <c r="AQ261" s="152">
        <f t="shared" si="113"/>
        <v>12.026651550236348</v>
      </c>
      <c r="AR261" s="153">
        <f t="shared" si="114"/>
        <v>-3.7590225292390346E-2</v>
      </c>
      <c r="AS261" s="153">
        <f t="shared" si="115"/>
        <v>-3.1255769850296877</v>
      </c>
      <c r="AT261" s="149">
        <v>1.077</v>
      </c>
      <c r="AU261" s="150">
        <f t="shared" si="116"/>
        <v>-29.051346249218298</v>
      </c>
      <c r="AV261" s="150">
        <f t="shared" si="117"/>
        <v>1.0792794695789811</v>
      </c>
      <c r="AW261" s="154">
        <f t="shared" si="118"/>
        <v>2.2794695789811747E-3</v>
      </c>
      <c r="AX261" s="154">
        <f t="shared" si="119"/>
        <v>425.36511446216099</v>
      </c>
      <c r="AY261" s="154">
        <f t="shared" si="120"/>
        <v>9.6960683837634143</v>
      </c>
      <c r="AZ261" s="154">
        <f t="shared" si="121"/>
        <v>22.794695789811747</v>
      </c>
    </row>
    <row r="262" spans="1:52" ht="18" x14ac:dyDescent="0.25">
      <c r="I262" t="s">
        <v>152</v>
      </c>
      <c r="Q262" s="159">
        <v>645</v>
      </c>
      <c r="R262" s="159" t="s">
        <v>451</v>
      </c>
      <c r="S262" s="159">
        <v>5.4957205</v>
      </c>
      <c r="T262" s="159">
        <v>2.8639166014406885</v>
      </c>
      <c r="U262" s="159">
        <v>3.8646392500000002</v>
      </c>
      <c r="V262" s="159">
        <v>-24.963491067472688</v>
      </c>
      <c r="W262" s="141">
        <v>2.3180000000000001</v>
      </c>
      <c r="X262" s="160">
        <v>6.0076442500000002</v>
      </c>
      <c r="Y262" s="160">
        <v>1.7773530247112701</v>
      </c>
      <c r="Z262" s="160">
        <v>4.1612238125000003</v>
      </c>
      <c r="AA262" s="160">
        <v>-24.63598008754283</v>
      </c>
      <c r="AB262" s="160">
        <v>2.5109999999999997</v>
      </c>
      <c r="AC262" s="160">
        <v>2.5109999999999997</v>
      </c>
      <c r="AD262" s="144">
        <f t="shared" si="102"/>
        <v>1.1786683274396614E-2</v>
      </c>
      <c r="AE262" s="144">
        <f t="shared" si="103"/>
        <v>0.27763733748940228</v>
      </c>
      <c r="AF262" s="145">
        <f t="shared" si="104"/>
        <v>6.4776316898108602E-2</v>
      </c>
      <c r="AG262" s="145">
        <f t="shared" si="105"/>
        <v>1.0729681517270406</v>
      </c>
      <c r="AH262" s="146">
        <f t="shared" si="106"/>
        <v>2.794491669461113</v>
      </c>
      <c r="AI262" s="146">
        <f t="shared" si="107"/>
        <v>46.288531135765339</v>
      </c>
      <c r="AJ262" s="147">
        <f t="shared" si="108"/>
        <v>16.564204374490611</v>
      </c>
      <c r="AK262" s="148">
        <f t="shared" si="101"/>
        <v>3.0665635767294184</v>
      </c>
      <c r="AL262" s="148">
        <f t="shared" si="109"/>
        <v>-26.357510979929859</v>
      </c>
      <c r="AM262" s="149">
        <v>0.36599999999999999</v>
      </c>
      <c r="AN262" s="150">
        <f t="shared" si="110"/>
        <v>3.0665635767294184</v>
      </c>
      <c r="AO262" s="151">
        <f t="shared" si="111"/>
        <v>0.36737266557482123</v>
      </c>
      <c r="AP262" s="152">
        <f t="shared" si="112"/>
        <v>1.3726655748212413E-3</v>
      </c>
      <c r="AQ262" s="152">
        <f t="shared" si="113"/>
        <v>27.94491669461113</v>
      </c>
      <c r="AR262" s="153">
        <f t="shared" si="114"/>
        <v>0.38359025137940084</v>
      </c>
      <c r="AS262" s="153">
        <f t="shared" si="115"/>
        <v>13.726655748212412</v>
      </c>
      <c r="AT262" s="149">
        <v>1.077</v>
      </c>
      <c r="AU262" s="150">
        <f t="shared" si="116"/>
        <v>-26.357510979929859</v>
      </c>
      <c r="AV262" s="150">
        <f t="shared" si="117"/>
        <v>1.0822414552509116</v>
      </c>
      <c r="AW262" s="154">
        <f t="shared" si="118"/>
        <v>5.2414552509116863E-3</v>
      </c>
      <c r="AX262" s="154">
        <f t="shared" si="119"/>
        <v>462.88531135765345</v>
      </c>
      <c r="AY262" s="154">
        <f t="shared" si="120"/>
        <v>24.261926457854635</v>
      </c>
      <c r="AZ262" s="154">
        <f t="shared" si="121"/>
        <v>52.414552509116859</v>
      </c>
    </row>
    <row r="263" spans="1:52" ht="18" x14ac:dyDescent="0.25">
      <c r="I263" t="s">
        <v>152</v>
      </c>
      <c r="X263" s="11"/>
      <c r="Y263" s="11"/>
      <c r="Z263" s="11"/>
      <c r="AA263" s="11"/>
      <c r="AB263" s="11"/>
      <c r="AC263" s="11"/>
      <c r="AD263" s="2"/>
      <c r="AE263" s="2"/>
      <c r="AF263" s="6"/>
      <c r="AG263" s="6"/>
      <c r="AH263" s="3"/>
      <c r="AI263" s="4"/>
      <c r="AJ263" s="5"/>
      <c r="AK263" s="102"/>
      <c r="AL263" s="1"/>
      <c r="AM263" s="19"/>
      <c r="AN263" s="20"/>
      <c r="AO263" s="21"/>
      <c r="AP263" s="22"/>
      <c r="AQ263" s="23"/>
      <c r="AR263" s="103"/>
      <c r="AS263" s="103"/>
      <c r="AT263" s="19"/>
      <c r="AU263" s="20"/>
      <c r="AV263" s="24"/>
      <c r="AW263" s="25"/>
      <c r="AX263" s="26"/>
      <c r="AY263" s="27"/>
      <c r="AZ263" s="27"/>
    </row>
    <row r="264" spans="1:52" ht="18" x14ac:dyDescent="0.25">
      <c r="A264" s="18"/>
      <c r="B264" s="18"/>
      <c r="C264" s="18"/>
      <c r="D264" s="18"/>
      <c r="E264" s="18"/>
      <c r="F264" s="18"/>
      <c r="G264" s="18"/>
      <c r="H264" s="18"/>
      <c r="I264" s="106" t="s">
        <v>152</v>
      </c>
      <c r="J264" s="18"/>
      <c r="K264" s="18"/>
      <c r="L264" s="18"/>
      <c r="M264" s="18"/>
      <c r="N264" s="18"/>
      <c r="O264" s="18"/>
      <c r="P264" s="18"/>
      <c r="Q264" s="29">
        <v>391</v>
      </c>
      <c r="R264" s="29" t="s">
        <v>204</v>
      </c>
      <c r="S264" s="30">
        <v>5.7610869999999998</v>
      </c>
      <c r="T264" s="30">
        <v>2.0285208058244657</v>
      </c>
      <c r="U264" s="30">
        <v>3.9532482500000001</v>
      </c>
      <c r="V264" s="30">
        <v>-25.935249495513101</v>
      </c>
      <c r="W264" s="30">
        <v>2.2989999999999999</v>
      </c>
      <c r="X264" s="14">
        <v>7.0035672500000006</v>
      </c>
      <c r="Y264" s="14">
        <v>1.9166458325792195</v>
      </c>
      <c r="Z264" s="14">
        <v>4.5470909062499993</v>
      </c>
      <c r="AA264" s="14">
        <v>-25.930204084925705</v>
      </c>
      <c r="AB264" s="14">
        <v>2.7513749999999999</v>
      </c>
      <c r="AC264" s="14">
        <v>2.7513749999999999</v>
      </c>
      <c r="AD264" s="2">
        <f t="shared" si="102"/>
        <v>1.1078465049364664E-2</v>
      </c>
      <c r="AE264" s="2">
        <f t="shared" si="103"/>
        <v>0.27839945661961657</v>
      </c>
      <c r="AF264" s="6">
        <f t="shared" si="104"/>
        <v>6.3824000975849129E-2</v>
      </c>
      <c r="AG264" s="6">
        <f t="shared" si="105"/>
        <v>1.1005821646824501</v>
      </c>
      <c r="AH264" s="9">
        <f t="shared" si="106"/>
        <v>2.7761635918159691</v>
      </c>
      <c r="AI264" s="10">
        <f t="shared" si="107"/>
        <v>47.87221246987604</v>
      </c>
      <c r="AJ264" s="7">
        <f t="shared" si="108"/>
        <v>17.244017107277685</v>
      </c>
      <c r="AK264" s="8">
        <f t="shared" ref="AK264:AK288" si="122">T264+(1.98-Y264)</f>
        <v>2.091874973245246</v>
      </c>
      <c r="AL264" s="8">
        <f t="shared" si="109"/>
        <v>-26.035045410587397</v>
      </c>
      <c r="AM264" s="107">
        <v>0.36599999999999999</v>
      </c>
      <c r="AN264" s="108">
        <f t="shared" si="110"/>
        <v>2.091874973245246</v>
      </c>
      <c r="AO264" s="109">
        <f t="shared" si="111"/>
        <v>0.3670169964985463</v>
      </c>
      <c r="AP264" s="110">
        <f t="shared" si="112"/>
        <v>1.0169964985463076E-3</v>
      </c>
      <c r="AQ264" s="111">
        <f t="shared" si="113"/>
        <v>27.761635918159691</v>
      </c>
      <c r="AR264" s="111">
        <f t="shared" si="114"/>
        <v>0.28233486522685813</v>
      </c>
      <c r="AS264" s="111">
        <f t="shared" si="115"/>
        <v>10.169964985463075</v>
      </c>
      <c r="AT264" s="107">
        <v>1.08</v>
      </c>
      <c r="AU264" s="108">
        <f t="shared" si="116"/>
        <v>-26.035045410587397</v>
      </c>
      <c r="AV264" s="112">
        <f t="shared" si="117"/>
        <v>1.0825960078784691</v>
      </c>
      <c r="AW264" s="112">
        <f t="shared" si="118"/>
        <v>2.596007878469031E-3</v>
      </c>
      <c r="AX264" s="113">
        <f t="shared" si="119"/>
        <v>478.72212469876035</v>
      </c>
      <c r="AY264" s="108">
        <f t="shared" si="120"/>
        <v>12.427664073154158</v>
      </c>
      <c r="AZ264" s="108">
        <f t="shared" si="121"/>
        <v>25.96007878469031</v>
      </c>
    </row>
    <row r="265" spans="1:52" ht="18" x14ac:dyDescent="0.25">
      <c r="A265" s="18"/>
      <c r="B265" s="18"/>
      <c r="C265" s="18"/>
      <c r="D265" s="18"/>
      <c r="E265" s="18"/>
      <c r="F265" s="18"/>
      <c r="G265" s="18"/>
      <c r="H265" s="18"/>
      <c r="I265" s="106" t="s">
        <v>152</v>
      </c>
      <c r="J265" s="18"/>
      <c r="K265" s="18"/>
      <c r="L265" s="18"/>
      <c r="M265" s="18"/>
      <c r="N265" s="18"/>
      <c r="O265" s="18"/>
      <c r="P265" s="18"/>
      <c r="Q265" s="31">
        <v>404</v>
      </c>
      <c r="R265" s="31" t="s">
        <v>217</v>
      </c>
      <c r="S265" s="32">
        <v>6.5610024999999998</v>
      </c>
      <c r="T265" s="32">
        <v>1.9077591148391608</v>
      </c>
      <c r="U265" s="32">
        <v>4.3509405000000001</v>
      </c>
      <c r="V265" s="32">
        <v>-25.939051915755957</v>
      </c>
      <c r="W265" s="32">
        <v>2.6309999999999998</v>
      </c>
      <c r="X265" s="14">
        <v>7.0035672500000006</v>
      </c>
      <c r="Y265" s="14">
        <v>1.9166458325792195</v>
      </c>
      <c r="Z265" s="14">
        <v>4.5470909062499993</v>
      </c>
      <c r="AA265" s="14">
        <v>-25.930204084925705</v>
      </c>
      <c r="AB265" s="14">
        <v>2.7513749999999999</v>
      </c>
      <c r="AC265" s="14">
        <v>2.7513749999999999</v>
      </c>
      <c r="AD265" s="2">
        <f t="shared" si="102"/>
        <v>1.1078465049364664E-2</v>
      </c>
      <c r="AE265" s="2">
        <f t="shared" si="103"/>
        <v>0.27839945661961657</v>
      </c>
      <c r="AF265" s="6">
        <f t="shared" si="104"/>
        <v>7.268583688504418E-2</v>
      </c>
      <c r="AG265" s="6">
        <f t="shared" si="105"/>
        <v>1.2112994709842828</v>
      </c>
      <c r="AH265" s="9">
        <f t="shared" si="106"/>
        <v>2.7626695889412463</v>
      </c>
      <c r="AI265" s="10">
        <f t="shared" si="107"/>
        <v>46.039508589292396</v>
      </c>
      <c r="AJ265" s="7">
        <f t="shared" si="108"/>
        <v>16.664862411916722</v>
      </c>
      <c r="AK265" s="8">
        <f t="shared" si="122"/>
        <v>1.9711132822599413</v>
      </c>
      <c r="AL265" s="8">
        <f t="shared" si="109"/>
        <v>-26.038847830830253</v>
      </c>
      <c r="AM265" s="107">
        <v>0.36599999999999999</v>
      </c>
      <c r="AN265" s="108">
        <f t="shared" si="110"/>
        <v>1.9711132822599413</v>
      </c>
      <c r="AO265" s="109">
        <f t="shared" si="111"/>
        <v>0.36697292973583567</v>
      </c>
      <c r="AP265" s="110">
        <f t="shared" si="112"/>
        <v>9.7292973583568143E-4</v>
      </c>
      <c r="AQ265" s="111">
        <f t="shared" si="113"/>
        <v>27.62669588941246</v>
      </c>
      <c r="AR265" s="111">
        <f t="shared" si="114"/>
        <v>0.2687883393369877</v>
      </c>
      <c r="AS265" s="111">
        <f t="shared" si="115"/>
        <v>9.7292973583568134</v>
      </c>
      <c r="AT265" s="107">
        <v>1.08</v>
      </c>
      <c r="AU265" s="108">
        <f t="shared" si="116"/>
        <v>-26.038847830830253</v>
      </c>
      <c r="AV265" s="112">
        <f t="shared" si="117"/>
        <v>1.0825918271117732</v>
      </c>
      <c r="AW265" s="112">
        <f t="shared" si="118"/>
        <v>2.5918271117730818E-3</v>
      </c>
      <c r="AX265" s="113">
        <f t="shared" si="119"/>
        <v>460.39508589292393</v>
      </c>
      <c r="AY265" s="108">
        <f t="shared" si="120"/>
        <v>11.932644657443769</v>
      </c>
      <c r="AZ265" s="108">
        <f t="shared" si="121"/>
        <v>25.918271117730821</v>
      </c>
    </row>
    <row r="266" spans="1:52" ht="18" x14ac:dyDescent="0.25">
      <c r="A266" s="18"/>
      <c r="B266" s="18"/>
      <c r="C266" s="18"/>
      <c r="D266" s="18"/>
      <c r="E266" s="18"/>
      <c r="F266" s="18"/>
      <c r="G266" s="18"/>
      <c r="H266" s="18"/>
      <c r="I266" s="106" t="s">
        <v>152</v>
      </c>
      <c r="J266" s="18"/>
      <c r="K266" s="18"/>
      <c r="L266" s="18"/>
      <c r="M266" s="18"/>
      <c r="N266" s="18"/>
      <c r="O266" s="18"/>
      <c r="P266" s="18"/>
      <c r="Q266" s="29">
        <v>417</v>
      </c>
      <c r="R266" s="29" t="s">
        <v>230</v>
      </c>
      <c r="S266" s="30">
        <v>8.9709990000000008</v>
      </c>
      <c r="T266" s="30">
        <v>1.8659566249190296</v>
      </c>
      <c r="U266" s="30">
        <v>5.4869890000000003</v>
      </c>
      <c r="V266" s="30">
        <v>-26.043374947592572</v>
      </c>
      <c r="W266" s="30">
        <v>3.3540000000000001</v>
      </c>
      <c r="X266" s="14">
        <v>7.0035672500000006</v>
      </c>
      <c r="Y266" s="14">
        <v>1.9166458325792195</v>
      </c>
      <c r="Z266" s="14">
        <v>4.5470909062499993</v>
      </c>
      <c r="AA266" s="14">
        <v>-25.930204084925705</v>
      </c>
      <c r="AB266" s="14">
        <v>2.7513749999999999</v>
      </c>
      <c r="AC266" s="14">
        <v>2.7513749999999999</v>
      </c>
      <c r="AD266" s="2">
        <f t="shared" si="102"/>
        <v>1.1078465049364664E-2</v>
      </c>
      <c r="AE266" s="2">
        <f t="shared" si="103"/>
        <v>0.27839945661961657</v>
      </c>
      <c r="AF266" s="6">
        <f t="shared" si="104"/>
        <v>9.9384898879385369E-2</v>
      </c>
      <c r="AG266" s="6">
        <f t="shared" si="105"/>
        <v>1.5275747560778135</v>
      </c>
      <c r="AH266" s="9">
        <f t="shared" si="106"/>
        <v>2.9631752796477451</v>
      </c>
      <c r="AI266" s="10">
        <f t="shared" si="107"/>
        <v>45.544864522296166</v>
      </c>
      <c r="AJ266" s="7">
        <f t="shared" si="108"/>
        <v>15.37029038920385</v>
      </c>
      <c r="AK266" s="8">
        <f t="shared" si="122"/>
        <v>1.9293107923398101</v>
      </c>
      <c r="AL266" s="8">
        <f t="shared" si="109"/>
        <v>-26.143170862666867</v>
      </c>
      <c r="AM266" s="107">
        <v>0.36599999999999999</v>
      </c>
      <c r="AN266" s="108">
        <f t="shared" si="110"/>
        <v>1.9293107923398101</v>
      </c>
      <c r="AO266" s="109">
        <f t="shared" si="111"/>
        <v>0.36695767571375493</v>
      </c>
      <c r="AP266" s="110">
        <f t="shared" si="112"/>
        <v>9.5767571375493521E-4</v>
      </c>
      <c r="AQ266" s="111">
        <f t="shared" si="113"/>
        <v>29.63175279647745</v>
      </c>
      <c r="AR266" s="111">
        <f t="shared" si="114"/>
        <v>0.28377610009176341</v>
      </c>
      <c r="AS266" s="111">
        <f t="shared" si="115"/>
        <v>9.5767571375493521</v>
      </c>
      <c r="AT266" s="107">
        <v>1.08</v>
      </c>
      <c r="AU266" s="108">
        <f t="shared" si="116"/>
        <v>-26.143170862666867</v>
      </c>
      <c r="AV266" s="112">
        <f t="shared" si="117"/>
        <v>1.0824771236456996</v>
      </c>
      <c r="AW266" s="112">
        <f t="shared" si="118"/>
        <v>2.4771236456995194E-3</v>
      </c>
      <c r="AX266" s="113">
        <f t="shared" si="119"/>
        <v>455.44864522296166</v>
      </c>
      <c r="AY266" s="108">
        <f t="shared" si="120"/>
        <v>11.282026084836097</v>
      </c>
      <c r="AZ266" s="108">
        <f t="shared" si="121"/>
        <v>24.771236456995194</v>
      </c>
    </row>
    <row r="267" spans="1:52" ht="18" x14ac:dyDescent="0.25">
      <c r="A267" s="18"/>
      <c r="B267" s="18"/>
      <c r="C267" s="18"/>
      <c r="D267" s="18"/>
      <c r="E267" s="18"/>
      <c r="F267" s="18"/>
      <c r="G267" s="18"/>
      <c r="H267" s="18"/>
      <c r="I267" s="106" t="s">
        <v>152</v>
      </c>
      <c r="J267" s="18"/>
      <c r="K267" s="18"/>
      <c r="L267" s="18"/>
      <c r="M267" s="18"/>
      <c r="N267" s="18"/>
      <c r="O267" s="18"/>
      <c r="P267" s="18"/>
      <c r="Q267" s="31">
        <v>430</v>
      </c>
      <c r="R267" s="31" t="s">
        <v>243</v>
      </c>
      <c r="S267" s="32">
        <v>7.4125059999999996</v>
      </c>
      <c r="T267" s="32">
        <v>1.94541983891523</v>
      </c>
      <c r="U267" s="32">
        <v>4.7508419999999996</v>
      </c>
      <c r="V267" s="32">
        <v>-25.929364708605533</v>
      </c>
      <c r="W267" s="32">
        <v>2.9369999999999998</v>
      </c>
      <c r="X267" s="14">
        <v>7.0035672500000006</v>
      </c>
      <c r="Y267" s="14">
        <v>1.9166458325792195</v>
      </c>
      <c r="Z267" s="14">
        <v>4.5470909062499993</v>
      </c>
      <c r="AA267" s="14">
        <v>-25.930204084925705</v>
      </c>
      <c r="AB267" s="14">
        <v>2.7513749999999999</v>
      </c>
      <c r="AC267" s="14">
        <v>2.7513749999999999</v>
      </c>
      <c r="AD267" s="2">
        <f t="shared" si="102"/>
        <v>1.1078465049364664E-2</v>
      </c>
      <c r="AE267" s="2">
        <f t="shared" si="103"/>
        <v>0.27839945661961657</v>
      </c>
      <c r="AF267" s="6">
        <f t="shared" si="104"/>
        <v>8.2119188649205865E-2</v>
      </c>
      <c r="AG267" s="6">
        <f t="shared" si="105"/>
        <v>1.3226318312856522</v>
      </c>
      <c r="AH267" s="9">
        <f t="shared" si="106"/>
        <v>2.7960227664012898</v>
      </c>
      <c r="AI267" s="10">
        <f t="shared" si="107"/>
        <v>45.033429733934369</v>
      </c>
      <c r="AJ267" s="7">
        <f t="shared" si="108"/>
        <v>16.106245726996022</v>
      </c>
      <c r="AK267" s="8">
        <f t="shared" si="122"/>
        <v>2.0087740063360107</v>
      </c>
      <c r="AL267" s="8">
        <f t="shared" si="109"/>
        <v>-26.029160623679829</v>
      </c>
      <c r="AM267" s="107">
        <v>0.36599999999999999</v>
      </c>
      <c r="AN267" s="108">
        <f t="shared" si="110"/>
        <v>2.0087740063360107</v>
      </c>
      <c r="AO267" s="109">
        <f t="shared" si="111"/>
        <v>0.36698667239447957</v>
      </c>
      <c r="AP267" s="110">
        <f t="shared" si="112"/>
        <v>9.8667239447958188E-4</v>
      </c>
      <c r="AQ267" s="111">
        <f t="shared" si="113"/>
        <v>27.960227664012898</v>
      </c>
      <c r="AR267" s="111">
        <f t="shared" si="114"/>
        <v>0.27587584779445851</v>
      </c>
      <c r="AS267" s="111">
        <f t="shared" si="115"/>
        <v>9.8667239447958188</v>
      </c>
      <c r="AT267" s="107">
        <v>1.08</v>
      </c>
      <c r="AU267" s="108">
        <f t="shared" si="116"/>
        <v>-26.029160623679829</v>
      </c>
      <c r="AV267" s="112">
        <f t="shared" si="117"/>
        <v>1.0826024782097043</v>
      </c>
      <c r="AW267" s="112">
        <f t="shared" si="118"/>
        <v>2.6024782097042731E-3</v>
      </c>
      <c r="AX267" s="113">
        <f t="shared" si="119"/>
        <v>450.33429733934372</v>
      </c>
      <c r="AY267" s="108">
        <f t="shared" si="120"/>
        <v>11.719851959081272</v>
      </c>
      <c r="AZ267" s="108">
        <f t="shared" si="121"/>
        <v>26.024782097042731</v>
      </c>
    </row>
    <row r="268" spans="1:52" ht="18" x14ac:dyDescent="0.25">
      <c r="A268" s="18"/>
      <c r="B268" s="18"/>
      <c r="C268" s="18"/>
      <c r="D268" s="18"/>
      <c r="E268" s="18"/>
      <c r="F268" s="18"/>
      <c r="G268" s="18"/>
      <c r="H268" s="18"/>
      <c r="I268" s="106" t="s">
        <v>152</v>
      </c>
      <c r="J268" s="18"/>
      <c r="K268" s="18"/>
      <c r="L268" s="18"/>
      <c r="M268" s="18"/>
      <c r="N268" s="18"/>
      <c r="O268" s="18"/>
      <c r="P268" s="18"/>
      <c r="Q268" s="29">
        <v>443</v>
      </c>
      <c r="R268" s="29" t="s">
        <v>256</v>
      </c>
      <c r="S268" s="30">
        <v>6.2892530000000004</v>
      </c>
      <c r="T268" s="30">
        <v>1.8126892427879819</v>
      </c>
      <c r="U268" s="30">
        <v>4.2110655000000001</v>
      </c>
      <c r="V268" s="30">
        <v>-25.923653197377718</v>
      </c>
      <c r="W268" s="30">
        <v>2.508</v>
      </c>
      <c r="X268" s="14">
        <v>7.0035672500000006</v>
      </c>
      <c r="Y268" s="14">
        <v>1.9166458325792195</v>
      </c>
      <c r="Z268" s="14">
        <v>4.5470909062499993</v>
      </c>
      <c r="AA268" s="14">
        <v>-25.930204084925705</v>
      </c>
      <c r="AB268" s="14">
        <v>2.7513749999999999</v>
      </c>
      <c r="AC268" s="14">
        <v>2.7513749999999999</v>
      </c>
      <c r="AD268" s="2">
        <f t="shared" si="102"/>
        <v>1.1078465049364664E-2</v>
      </c>
      <c r="AE268" s="2">
        <f t="shared" si="103"/>
        <v>0.27839945661961657</v>
      </c>
      <c r="AF268" s="6">
        <f t="shared" si="104"/>
        <v>6.9675269547111868E-2</v>
      </c>
      <c r="AG268" s="6">
        <f t="shared" si="105"/>
        <v>1.1723583469896139</v>
      </c>
      <c r="AH268" s="9">
        <f t="shared" si="106"/>
        <v>2.7781207953393885</v>
      </c>
      <c r="AI268" s="10">
        <f t="shared" si="107"/>
        <v>46.744750677416825</v>
      </c>
      <c r="AJ268" s="7">
        <f t="shared" si="108"/>
        <v>16.826032459004814</v>
      </c>
      <c r="AK268" s="8">
        <f t="shared" si="122"/>
        <v>1.8760434102087624</v>
      </c>
      <c r="AL268" s="8">
        <f t="shared" si="109"/>
        <v>-26.023449112452013</v>
      </c>
      <c r="AM268" s="107">
        <v>0.36599999999999999</v>
      </c>
      <c r="AN268" s="108">
        <f t="shared" si="110"/>
        <v>1.8760434102087624</v>
      </c>
      <c r="AO268" s="109">
        <f t="shared" si="111"/>
        <v>0.36693823806523951</v>
      </c>
      <c r="AP268" s="110">
        <f t="shared" si="112"/>
        <v>9.3823806523951614E-4</v>
      </c>
      <c r="AQ268" s="111">
        <f t="shared" si="113"/>
        <v>27.781207953393881</v>
      </c>
      <c r="AR268" s="111">
        <f t="shared" si="114"/>
        <v>0.26065386800208934</v>
      </c>
      <c r="AS268" s="111">
        <f t="shared" si="115"/>
        <v>9.3823806523951614</v>
      </c>
      <c r="AT268" s="107">
        <v>1.08</v>
      </c>
      <c r="AU268" s="108">
        <f t="shared" si="116"/>
        <v>-26.023449112452013</v>
      </c>
      <c r="AV268" s="112">
        <f t="shared" si="117"/>
        <v>1.0826087580232844</v>
      </c>
      <c r="AW268" s="112">
        <f t="shared" si="118"/>
        <v>2.6087580232843077E-3</v>
      </c>
      <c r="AX268" s="113">
        <f t="shared" si="119"/>
        <v>467.44750677416823</v>
      </c>
      <c r="AY268" s="108">
        <f t="shared" si="120"/>
        <v>12.194574337613572</v>
      </c>
      <c r="AZ268" s="108">
        <f t="shared" si="121"/>
        <v>26.087580232843077</v>
      </c>
    </row>
    <row r="269" spans="1:52" ht="18" x14ac:dyDescent="0.25">
      <c r="A269" s="18"/>
      <c r="B269" s="18"/>
      <c r="C269" s="18"/>
      <c r="D269" s="18"/>
      <c r="E269" s="18"/>
      <c r="F269" s="18"/>
      <c r="G269" s="18"/>
      <c r="H269" s="18"/>
      <c r="I269" s="106" t="s">
        <v>152</v>
      </c>
      <c r="J269" s="18"/>
      <c r="K269" s="18"/>
      <c r="L269" s="18"/>
      <c r="M269" s="18"/>
      <c r="N269" s="18"/>
      <c r="O269" s="18"/>
      <c r="P269" s="18"/>
      <c r="Q269" s="31">
        <v>456</v>
      </c>
      <c r="R269" s="31" t="s">
        <v>269</v>
      </c>
      <c r="S269" s="32">
        <v>6.4883160000000002</v>
      </c>
      <c r="T269" s="32">
        <v>1.9114161095870692</v>
      </c>
      <c r="U269" s="32">
        <v>4.2472335000000001</v>
      </c>
      <c r="V269" s="32">
        <v>-25.898736854755978</v>
      </c>
      <c r="W269" s="32">
        <v>2.5310000000000001</v>
      </c>
      <c r="X269" s="14">
        <v>7.0035672500000006</v>
      </c>
      <c r="Y269" s="14">
        <v>1.9166458325792195</v>
      </c>
      <c r="Z269" s="14">
        <v>4.5470909062499993</v>
      </c>
      <c r="AA269" s="14">
        <v>-25.930204084925705</v>
      </c>
      <c r="AB269" s="14">
        <v>2.7513749999999999</v>
      </c>
      <c r="AC269" s="14">
        <v>2.7513749999999999</v>
      </c>
      <c r="AD269" s="2">
        <f t="shared" si="102"/>
        <v>1.1078465049364664E-2</v>
      </c>
      <c r="AE269" s="2">
        <f t="shared" si="103"/>
        <v>0.27839945661961657</v>
      </c>
      <c r="AF269" s="6">
        <f t="shared" si="104"/>
        <v>7.1880582035233537E-2</v>
      </c>
      <c r="AG269" s="6">
        <f t="shared" si="105"/>
        <v>1.1824274985366323</v>
      </c>
      <c r="AH269" s="9">
        <f t="shared" si="106"/>
        <v>2.8400071922257419</v>
      </c>
      <c r="AI269" s="10">
        <f t="shared" si="107"/>
        <v>46.717799231000875</v>
      </c>
      <c r="AJ269" s="7">
        <f t="shared" si="108"/>
        <v>16.449887647780098</v>
      </c>
      <c r="AK269" s="8">
        <f t="shared" si="122"/>
        <v>1.9747702770078497</v>
      </c>
      <c r="AL269" s="8">
        <f t="shared" si="109"/>
        <v>-25.998532769830273</v>
      </c>
      <c r="AM269" s="107">
        <v>0.36599999999999999</v>
      </c>
      <c r="AN269" s="108">
        <f t="shared" si="110"/>
        <v>1.9747702770078497</v>
      </c>
      <c r="AO269" s="109">
        <f t="shared" si="111"/>
        <v>0.36697426419867396</v>
      </c>
      <c r="AP269" s="110">
        <f t="shared" si="112"/>
        <v>9.7426419867396863E-4</v>
      </c>
      <c r="AQ269" s="111">
        <f t="shared" si="113"/>
        <v>28.400071922257421</v>
      </c>
      <c r="AR269" s="111">
        <f t="shared" si="114"/>
        <v>0.27669173313621204</v>
      </c>
      <c r="AS269" s="111">
        <f t="shared" si="115"/>
        <v>9.7426419867396863</v>
      </c>
      <c r="AT269" s="107">
        <v>1.08</v>
      </c>
      <c r="AU269" s="108">
        <f t="shared" si="116"/>
        <v>-25.998532769830273</v>
      </c>
      <c r="AV269" s="112">
        <f t="shared" si="117"/>
        <v>1.0826361535631406</v>
      </c>
      <c r="AW269" s="112">
        <f t="shared" si="118"/>
        <v>2.6361535631405086E-3</v>
      </c>
      <c r="AX269" s="113">
        <f t="shared" si="119"/>
        <v>467.17799231000873</v>
      </c>
      <c r="AY269" s="108">
        <f t="shared" si="120"/>
        <v>12.315529290488588</v>
      </c>
      <c r="AZ269" s="108">
        <f t="shared" si="121"/>
        <v>26.36153563140509</v>
      </c>
    </row>
    <row r="270" spans="1:52" ht="18" x14ac:dyDescent="0.25">
      <c r="A270" s="18"/>
      <c r="B270" s="18"/>
      <c r="C270" s="18"/>
      <c r="D270" s="18"/>
      <c r="E270" s="18"/>
      <c r="F270" s="18"/>
      <c r="G270" s="18"/>
      <c r="H270" s="18"/>
      <c r="I270" s="106" t="s">
        <v>152</v>
      </c>
      <c r="J270" s="18"/>
      <c r="K270" s="18"/>
      <c r="L270" s="18"/>
      <c r="M270" s="18"/>
      <c r="N270" s="18"/>
      <c r="O270" s="18"/>
      <c r="P270" s="18"/>
      <c r="Q270" s="29">
        <v>469</v>
      </c>
      <c r="R270" s="29" t="s">
        <v>282</v>
      </c>
      <c r="S270" s="30">
        <v>6.3896499999999996</v>
      </c>
      <c r="T270" s="30">
        <v>1.9134869625201112</v>
      </c>
      <c r="U270" s="30">
        <v>4.2416840000000002</v>
      </c>
      <c r="V270" s="30">
        <v>-25.856895474679931</v>
      </c>
      <c r="W270" s="30">
        <v>2.5390000000000001</v>
      </c>
      <c r="X270" s="14">
        <v>7.0035672500000006</v>
      </c>
      <c r="Y270" s="14">
        <v>1.9166458325792195</v>
      </c>
      <c r="Z270" s="14">
        <v>4.5470909062499993</v>
      </c>
      <c r="AA270" s="14">
        <v>-25.930204084925705</v>
      </c>
      <c r="AB270" s="14">
        <v>2.7513749999999999</v>
      </c>
      <c r="AC270" s="14">
        <v>2.7513749999999999</v>
      </c>
      <c r="AD270" s="2">
        <f t="shared" si="102"/>
        <v>1.1078465049364664E-2</v>
      </c>
      <c r="AE270" s="2">
        <f t="shared" si="103"/>
        <v>0.27839945661961657</v>
      </c>
      <c r="AF270" s="6">
        <f t="shared" si="104"/>
        <v>7.0787514202672916E-2</v>
      </c>
      <c r="AG270" s="6">
        <f t="shared" si="105"/>
        <v>1.1808825207521219</v>
      </c>
      <c r="AH270" s="9">
        <f t="shared" si="106"/>
        <v>2.7880076487858569</v>
      </c>
      <c r="AI270" s="10">
        <f t="shared" si="107"/>
        <v>46.509748749591246</v>
      </c>
      <c r="AJ270" s="7">
        <f t="shared" si="108"/>
        <v>16.682073583924947</v>
      </c>
      <c r="AK270" s="8">
        <f t="shared" si="122"/>
        <v>1.9768411299408917</v>
      </c>
      <c r="AL270" s="8">
        <f t="shared" si="109"/>
        <v>-25.956691389754226</v>
      </c>
      <c r="AM270" s="107">
        <v>0.36599999999999999</v>
      </c>
      <c r="AN270" s="108">
        <f t="shared" si="110"/>
        <v>1.9768411299408917</v>
      </c>
      <c r="AO270" s="109">
        <f t="shared" si="111"/>
        <v>0.36697501986730768</v>
      </c>
      <c r="AP270" s="110">
        <f t="shared" si="112"/>
        <v>9.7501986730769152E-4</v>
      </c>
      <c r="AQ270" s="111">
        <f t="shared" si="113"/>
        <v>27.88007648785857</v>
      </c>
      <c r="AR270" s="111">
        <f t="shared" si="114"/>
        <v>0.27183628477720151</v>
      </c>
      <c r="AS270" s="111">
        <f t="shared" si="115"/>
        <v>9.7501986730769161</v>
      </c>
      <c r="AT270" s="107">
        <v>1.08</v>
      </c>
      <c r="AU270" s="108">
        <f t="shared" si="116"/>
        <v>-25.956691389754226</v>
      </c>
      <c r="AV270" s="112">
        <f t="shared" si="117"/>
        <v>1.0826821581619033</v>
      </c>
      <c r="AW270" s="112">
        <f t="shared" si="118"/>
        <v>2.6821581619032031E-3</v>
      </c>
      <c r="AX270" s="113">
        <f t="shared" si="119"/>
        <v>465.09748749591245</v>
      </c>
      <c r="AY270" s="108">
        <f t="shared" si="120"/>
        <v>12.474650221678345</v>
      </c>
      <c r="AZ270" s="108">
        <f t="shared" si="121"/>
        <v>26.821581619032035</v>
      </c>
    </row>
    <row r="271" spans="1:52" ht="18" x14ac:dyDescent="0.25">
      <c r="A271" s="18"/>
      <c r="B271" s="18"/>
      <c r="C271" s="18"/>
      <c r="D271" s="18"/>
      <c r="E271" s="18"/>
      <c r="F271" s="18"/>
      <c r="G271" s="18"/>
      <c r="H271" s="18"/>
      <c r="I271" s="106" t="s">
        <v>152</v>
      </c>
      <c r="J271" s="18"/>
      <c r="K271" s="18"/>
      <c r="L271" s="18"/>
      <c r="M271" s="18"/>
      <c r="N271" s="18"/>
      <c r="O271" s="18"/>
      <c r="P271" s="18"/>
      <c r="Q271" s="33">
        <v>482</v>
      </c>
      <c r="R271" s="33" t="s">
        <v>295</v>
      </c>
      <c r="S271" s="34">
        <v>8.1557244999999998</v>
      </c>
      <c r="T271" s="34">
        <v>1.9479179612407083</v>
      </c>
      <c r="U271" s="34">
        <v>5.1347244999999999</v>
      </c>
      <c r="V271" s="34">
        <v>-25.915306085124868</v>
      </c>
      <c r="W271" s="32">
        <v>3.2120000000000002</v>
      </c>
      <c r="X271" s="14">
        <v>7.0035672500000006</v>
      </c>
      <c r="Y271" s="14">
        <v>1.9166458325792195</v>
      </c>
      <c r="Z271" s="14">
        <v>4.5470909062499993</v>
      </c>
      <c r="AA271" s="14">
        <v>-25.930204084925705</v>
      </c>
      <c r="AB271" s="14">
        <v>2.7513749999999999</v>
      </c>
      <c r="AC271" s="14">
        <v>2.7513749999999999</v>
      </c>
      <c r="AD271" s="2">
        <f t="shared" si="102"/>
        <v>1.1078465049364664E-2</v>
      </c>
      <c r="AE271" s="2">
        <f t="shared" si="103"/>
        <v>0.27839945661961657</v>
      </c>
      <c r="AF271" s="6">
        <f t="shared" si="104"/>
        <v>9.0352908825497097E-2</v>
      </c>
      <c r="AG271" s="6">
        <f t="shared" si="105"/>
        <v>1.4295045106914324</v>
      </c>
      <c r="AH271" s="9">
        <f t="shared" si="106"/>
        <v>2.8129797268212045</v>
      </c>
      <c r="AI271" s="10">
        <f t="shared" si="107"/>
        <v>44.505121752535253</v>
      </c>
      <c r="AJ271" s="7">
        <f t="shared" si="108"/>
        <v>15.821344650367626</v>
      </c>
      <c r="AK271" s="8">
        <f t="shared" si="122"/>
        <v>2.0112721286614885</v>
      </c>
      <c r="AL271" s="8">
        <f t="shared" si="109"/>
        <v>-26.015102000199164</v>
      </c>
      <c r="AM271" s="107">
        <v>0.36599999999999999</v>
      </c>
      <c r="AN271" s="108">
        <f t="shared" si="110"/>
        <v>2.0112721286614885</v>
      </c>
      <c r="AO271" s="109">
        <f t="shared" si="111"/>
        <v>0.36698758397645703</v>
      </c>
      <c r="AP271" s="110">
        <f t="shared" si="112"/>
        <v>9.8758397645704044E-4</v>
      </c>
      <c r="AQ271" s="111">
        <f t="shared" si="113"/>
        <v>28.129797268212045</v>
      </c>
      <c r="AR271" s="111">
        <f t="shared" si="114"/>
        <v>0.27780537043071246</v>
      </c>
      <c r="AS271" s="111">
        <f t="shared" si="115"/>
        <v>9.8758397645704044</v>
      </c>
      <c r="AT271" s="107">
        <v>1.08</v>
      </c>
      <c r="AU271" s="108">
        <f t="shared" si="116"/>
        <v>-26.015102000199164</v>
      </c>
      <c r="AV271" s="112">
        <f t="shared" si="117"/>
        <v>1.0826179356819798</v>
      </c>
      <c r="AW271" s="112">
        <f t="shared" si="118"/>
        <v>2.6179356819797661E-3</v>
      </c>
      <c r="AX271" s="113">
        <f t="shared" si="119"/>
        <v>445.05121752535251</v>
      </c>
      <c r="AY271" s="108">
        <f t="shared" si="120"/>
        <v>11.65115462668159</v>
      </c>
      <c r="AZ271" s="108">
        <f t="shared" si="121"/>
        <v>26.179356819797665</v>
      </c>
    </row>
    <row r="272" spans="1:52" ht="18" x14ac:dyDescent="0.25">
      <c r="A272" s="18"/>
      <c r="B272" s="18"/>
      <c r="C272" s="18"/>
      <c r="D272" s="18"/>
      <c r="E272" s="18"/>
      <c r="F272" s="18"/>
      <c r="G272" s="18"/>
      <c r="H272" s="18"/>
      <c r="I272" s="106" t="s">
        <v>152</v>
      </c>
      <c r="J272" s="18"/>
      <c r="K272" s="18"/>
      <c r="L272" s="18"/>
      <c r="M272" s="18"/>
      <c r="N272" s="18"/>
      <c r="O272" s="18"/>
      <c r="P272" s="18"/>
      <c r="Q272" s="35"/>
      <c r="R272" s="35"/>
      <c r="S272" s="14">
        <f>AVERAGE(S264:S271)</f>
        <v>7.0035672500000006</v>
      </c>
      <c r="T272" s="14">
        <f t="shared" ref="T272:W272" si="123">AVERAGE(T264:T271)</f>
        <v>1.9166458325792195</v>
      </c>
      <c r="U272" s="14">
        <f t="shared" si="123"/>
        <v>4.5470909062499993</v>
      </c>
      <c r="V272" s="14">
        <f t="shared" si="123"/>
        <v>-25.930204084925705</v>
      </c>
      <c r="W272" s="14">
        <f t="shared" si="123"/>
        <v>2.7513749999999999</v>
      </c>
      <c r="X272" s="14">
        <v>7.0035672500000006</v>
      </c>
      <c r="Y272" s="14">
        <v>1.9166458325792195</v>
      </c>
      <c r="Z272" s="14">
        <v>4.5470909062499993</v>
      </c>
      <c r="AA272" s="14">
        <v>-25.930204084925705</v>
      </c>
      <c r="AB272" s="14">
        <v>2.7513749999999999</v>
      </c>
      <c r="AC272" s="14">
        <v>2.7513749999999999</v>
      </c>
      <c r="AD272" s="2">
        <f t="shared" si="102"/>
        <v>1.1078465049364664E-2</v>
      </c>
      <c r="AE272" s="2">
        <f t="shared" si="103"/>
        <v>0.27839945661961657</v>
      </c>
      <c r="AF272" s="6">
        <f t="shared" si="104"/>
        <v>7.7588774999999999E-2</v>
      </c>
      <c r="AG272" s="6">
        <f t="shared" si="105"/>
        <v>1.2659076374999998</v>
      </c>
      <c r="AH272" s="9">
        <f t="shared" si="106"/>
        <v>2.82</v>
      </c>
      <c r="AI272" s="10">
        <f t="shared" si="107"/>
        <v>46.009999999999991</v>
      </c>
      <c r="AJ272" s="7">
        <f t="shared" si="108"/>
        <v>16.315602836879432</v>
      </c>
      <c r="AK272" s="8">
        <f t="shared" si="122"/>
        <v>1.98</v>
      </c>
      <c r="AL272" s="8">
        <f t="shared" si="109"/>
        <v>-26.03</v>
      </c>
      <c r="AM272" s="107">
        <v>0.36599999999999999</v>
      </c>
      <c r="AN272" s="108">
        <f t="shared" si="110"/>
        <v>1.98</v>
      </c>
      <c r="AO272" s="109">
        <f t="shared" si="111"/>
        <v>0.36697617256093357</v>
      </c>
      <c r="AP272" s="110">
        <f t="shared" si="112"/>
        <v>9.7617256093357474E-4</v>
      </c>
      <c r="AQ272" s="111">
        <f t="shared" si="113"/>
        <v>28.2</v>
      </c>
      <c r="AR272" s="111">
        <f t="shared" si="114"/>
        <v>0.27528066218326813</v>
      </c>
      <c r="AS272" s="111">
        <f t="shared" si="115"/>
        <v>9.7617256093357483</v>
      </c>
      <c r="AT272" s="107">
        <v>1.08</v>
      </c>
      <c r="AU272" s="108">
        <f t="shared" si="116"/>
        <v>-26.03</v>
      </c>
      <c r="AV272" s="112">
        <f t="shared" si="117"/>
        <v>1.0826015553143469</v>
      </c>
      <c r="AW272" s="112">
        <f t="shared" si="118"/>
        <v>2.601555314346804E-3</v>
      </c>
      <c r="AX272" s="113">
        <f t="shared" si="119"/>
        <v>460.09999999999985</v>
      </c>
      <c r="AY272" s="108">
        <f t="shared" si="120"/>
        <v>11.969756001309641</v>
      </c>
      <c r="AZ272" s="108">
        <f t="shared" si="121"/>
        <v>26.01555314346804</v>
      </c>
    </row>
    <row r="273" spans="1:52" ht="18" x14ac:dyDescent="0.25">
      <c r="A273" s="18"/>
      <c r="B273" s="18"/>
      <c r="C273" s="18"/>
      <c r="D273" s="18"/>
      <c r="E273" s="18"/>
      <c r="F273" s="18"/>
      <c r="G273" s="18"/>
      <c r="H273" s="18"/>
      <c r="I273" s="106" t="s">
        <v>152</v>
      </c>
      <c r="J273" s="18"/>
      <c r="K273" s="18"/>
      <c r="L273" s="18"/>
      <c r="M273" s="18"/>
      <c r="N273" s="18"/>
      <c r="O273" s="18"/>
      <c r="P273" s="18"/>
      <c r="Q273" s="29">
        <v>499</v>
      </c>
      <c r="R273" s="29" t="s">
        <v>308</v>
      </c>
      <c r="S273" s="30">
        <v>6.4743740000000001</v>
      </c>
      <c r="T273" s="30">
        <v>1.9183078823454798</v>
      </c>
      <c r="U273" s="30">
        <v>4.2734319999999997</v>
      </c>
      <c r="V273" s="30">
        <v>-25.835770576620401</v>
      </c>
      <c r="W273" s="30">
        <v>2.5510000000000002</v>
      </c>
      <c r="X273" s="17">
        <v>6.1372437857142854</v>
      </c>
      <c r="Y273" s="17">
        <v>2.165951323344959</v>
      </c>
      <c r="Z273" s="17">
        <v>4.1588204642857134</v>
      </c>
      <c r="AA273" s="17">
        <v>-25.525093669069488</v>
      </c>
      <c r="AB273" s="17">
        <v>2.4814285714285718</v>
      </c>
      <c r="AC273" s="17">
        <v>2.4814285714285718</v>
      </c>
      <c r="AD273" s="2">
        <f t="shared" si="102"/>
        <v>1.1401907461647542E-2</v>
      </c>
      <c r="AE273" s="2">
        <f t="shared" si="103"/>
        <v>0.27452622576973307</v>
      </c>
      <c r="AF273" s="6">
        <f t="shared" si="104"/>
        <v>7.3820213220096853E-2</v>
      </c>
      <c r="AG273" s="6">
        <f t="shared" si="105"/>
        <v>1.1731691580436019</v>
      </c>
      <c r="AH273" s="9">
        <f t="shared" si="106"/>
        <v>2.8937755084318639</v>
      </c>
      <c r="AI273" s="10">
        <f t="shared" si="107"/>
        <v>45.988598904100428</v>
      </c>
      <c r="AJ273" s="7">
        <f t="shared" si="108"/>
        <v>15.892248299876458</v>
      </c>
      <c r="AK273" s="8">
        <f t="shared" si="122"/>
        <v>1.7323565590005208</v>
      </c>
      <c r="AL273" s="8">
        <f t="shared" si="109"/>
        <v>-26.340676907550915</v>
      </c>
      <c r="AM273" s="107">
        <v>0.36599999999999999</v>
      </c>
      <c r="AN273" s="108">
        <f t="shared" si="110"/>
        <v>1.7323565590005208</v>
      </c>
      <c r="AO273" s="109">
        <f t="shared" si="111"/>
        <v>0.36688580566828288</v>
      </c>
      <c r="AP273" s="110">
        <f t="shared" si="112"/>
        <v>8.8580566828289076E-4</v>
      </c>
      <c r="AQ273" s="111">
        <f t="shared" si="113"/>
        <v>28.937755084318638</v>
      </c>
      <c r="AR273" s="111">
        <f t="shared" si="114"/>
        <v>0.25633227481071491</v>
      </c>
      <c r="AS273" s="111">
        <f t="shared" si="115"/>
        <v>8.8580566828289076</v>
      </c>
      <c r="AT273" s="107">
        <v>1.08</v>
      </c>
      <c r="AU273" s="108">
        <f t="shared" si="116"/>
        <v>-26.340676907550915</v>
      </c>
      <c r="AV273" s="112">
        <f t="shared" si="117"/>
        <v>1.0822599644668975</v>
      </c>
      <c r="AW273" s="112">
        <f t="shared" si="118"/>
        <v>2.2599644668974683E-3</v>
      </c>
      <c r="AX273" s="113">
        <f t="shared" si="119"/>
        <v>459.88598904100428</v>
      </c>
      <c r="AY273" s="108">
        <f t="shared" si="120"/>
        <v>10.393259940566683</v>
      </c>
      <c r="AZ273" s="108">
        <f t="shared" si="121"/>
        <v>22.599644668974683</v>
      </c>
    </row>
    <row r="274" spans="1:52" ht="18" x14ac:dyDescent="0.25">
      <c r="A274" s="18"/>
      <c r="B274" s="18"/>
      <c r="C274" s="18"/>
      <c r="D274" s="18"/>
      <c r="E274" s="18"/>
      <c r="F274" s="18"/>
      <c r="G274" s="18"/>
      <c r="H274" s="18"/>
      <c r="I274" s="106" t="s">
        <v>152</v>
      </c>
      <c r="J274" s="18"/>
      <c r="K274" s="18"/>
      <c r="L274" s="18"/>
      <c r="M274" s="18"/>
      <c r="N274" s="18"/>
      <c r="O274" s="18"/>
      <c r="P274" s="18"/>
      <c r="Q274" s="31">
        <v>512</v>
      </c>
      <c r="R274" s="31" t="s">
        <v>321</v>
      </c>
      <c r="S274" s="32">
        <v>5.6666650000000001</v>
      </c>
      <c r="T274" s="32">
        <v>1.8742945076161699</v>
      </c>
      <c r="U274" s="32">
        <v>3.8467782499999998</v>
      </c>
      <c r="V274" s="32">
        <v>-25.825681818241609</v>
      </c>
      <c r="W274" s="32">
        <v>2.2559999999999998</v>
      </c>
      <c r="X274" s="17">
        <v>6.1372437857142854</v>
      </c>
      <c r="Y274" s="17">
        <v>2.165951323344959</v>
      </c>
      <c r="Z274" s="17">
        <v>4.1588204642857134</v>
      </c>
      <c r="AA274" s="17">
        <v>-25.525093669069488</v>
      </c>
      <c r="AB274" s="17">
        <v>2.4814285714285718</v>
      </c>
      <c r="AC274" s="17">
        <v>2.4814285714285718</v>
      </c>
      <c r="AD274" s="2">
        <f t="shared" si="102"/>
        <v>1.1401907461647542E-2</v>
      </c>
      <c r="AE274" s="2">
        <f t="shared" si="103"/>
        <v>0.27452622576973307</v>
      </c>
      <c r="AF274" s="6">
        <f t="shared" si="104"/>
        <v>6.4610789946156974E-2</v>
      </c>
      <c r="AG274" s="6">
        <f t="shared" si="105"/>
        <v>1.0560415143455986</v>
      </c>
      <c r="AH274" s="9">
        <f t="shared" si="106"/>
        <v>2.8639534550601495</v>
      </c>
      <c r="AI274" s="10">
        <f t="shared" si="107"/>
        <v>46.810350813191427</v>
      </c>
      <c r="AJ274" s="7">
        <f t="shared" si="108"/>
        <v>16.344661862602898</v>
      </c>
      <c r="AK274" s="8">
        <f t="shared" si="122"/>
        <v>1.6883431842712109</v>
      </c>
      <c r="AL274" s="8">
        <f t="shared" si="109"/>
        <v>-26.330588149172122</v>
      </c>
      <c r="AM274" s="107">
        <v>0.36599999999999999</v>
      </c>
      <c r="AN274" s="108">
        <f t="shared" si="110"/>
        <v>1.6883431842712109</v>
      </c>
      <c r="AO274" s="109">
        <f t="shared" si="111"/>
        <v>0.36686974485059309</v>
      </c>
      <c r="AP274" s="110">
        <f t="shared" si="112"/>
        <v>8.6974485059310158E-4</v>
      </c>
      <c r="AQ274" s="111">
        <f t="shared" si="113"/>
        <v>28.6395345506015</v>
      </c>
      <c r="AR274" s="111">
        <f t="shared" si="114"/>
        <v>0.24909087698768873</v>
      </c>
      <c r="AS274" s="111">
        <f t="shared" si="115"/>
        <v>8.6974485059310158</v>
      </c>
      <c r="AT274" s="107">
        <v>1.08</v>
      </c>
      <c r="AU274" s="108">
        <f t="shared" si="116"/>
        <v>-26.330588149172122</v>
      </c>
      <c r="AV274" s="112">
        <f t="shared" si="117"/>
        <v>1.0822710571453518</v>
      </c>
      <c r="AW274" s="112">
        <f t="shared" si="118"/>
        <v>2.2710571453516959E-3</v>
      </c>
      <c r="AX274" s="113">
        <f t="shared" si="119"/>
        <v>468.10350813191434</v>
      </c>
      <c r="AY274" s="108">
        <f t="shared" si="120"/>
        <v>10.630898169071797</v>
      </c>
      <c r="AZ274" s="108">
        <f t="shared" si="121"/>
        <v>22.710571453516959</v>
      </c>
    </row>
    <row r="275" spans="1:52" ht="18" x14ac:dyDescent="0.25">
      <c r="A275" s="18"/>
      <c r="B275" s="18"/>
      <c r="C275" s="18"/>
      <c r="D275" s="18"/>
      <c r="E275" s="18"/>
      <c r="F275" s="18"/>
      <c r="G275" s="18"/>
      <c r="H275" s="18"/>
      <c r="I275" s="106" t="s">
        <v>152</v>
      </c>
      <c r="J275" s="18"/>
      <c r="K275" s="18"/>
      <c r="L275" s="18"/>
      <c r="M275" s="18"/>
      <c r="N275" s="18"/>
      <c r="O275" s="18"/>
      <c r="P275" s="18"/>
      <c r="Q275" s="29">
        <v>525</v>
      </c>
      <c r="R275" s="29" t="s">
        <v>334</v>
      </c>
      <c r="S275" s="30">
        <v>6.2137190000000002</v>
      </c>
      <c r="T275" s="30">
        <v>1.9343952204841419</v>
      </c>
      <c r="U275" s="30">
        <v>4.1590737500000001</v>
      </c>
      <c r="V275" s="30">
        <v>-25.893249687943943</v>
      </c>
      <c r="W275" s="30">
        <v>2.4750000000000001</v>
      </c>
      <c r="X275" s="17">
        <v>6.1372437857142854</v>
      </c>
      <c r="Y275" s="17">
        <v>2.165951323344959</v>
      </c>
      <c r="Z275" s="17">
        <v>4.1588204642857134</v>
      </c>
      <c r="AA275" s="17">
        <v>-25.525093669069488</v>
      </c>
      <c r="AB275" s="17">
        <v>2.4814285714285718</v>
      </c>
      <c r="AC275" s="17">
        <v>2.4814285714285718</v>
      </c>
      <c r="AD275" s="2">
        <f t="shared" si="102"/>
        <v>1.1401907461647542E-2</v>
      </c>
      <c r="AE275" s="2">
        <f t="shared" si="103"/>
        <v>0.27452622576973307</v>
      </c>
      <c r="AF275" s="6">
        <f t="shared" si="104"/>
        <v>7.0848249030681112E-2</v>
      </c>
      <c r="AG275" s="6">
        <f t="shared" si="105"/>
        <v>1.1417748192854704</v>
      </c>
      <c r="AH275" s="9">
        <f t="shared" si="106"/>
        <v>2.862555516391156</v>
      </c>
      <c r="AI275" s="10">
        <f t="shared" si="107"/>
        <v>46.132315930726072</v>
      </c>
      <c r="AJ275" s="7">
        <f t="shared" si="108"/>
        <v>16.115780346117241</v>
      </c>
      <c r="AK275" s="8">
        <f t="shared" si="122"/>
        <v>1.7484438971391829</v>
      </c>
      <c r="AL275" s="8">
        <f t="shared" si="109"/>
        <v>-26.398156018874456</v>
      </c>
      <c r="AM275" s="107">
        <v>0.36599999999999999</v>
      </c>
      <c r="AN275" s="108">
        <f t="shared" si="110"/>
        <v>1.7484438971391829</v>
      </c>
      <c r="AO275" s="109">
        <f t="shared" si="111"/>
        <v>0.3668916760599461</v>
      </c>
      <c r="AP275" s="110">
        <f t="shared" si="112"/>
        <v>8.9167605994611154E-4</v>
      </c>
      <c r="AQ275" s="111">
        <f t="shared" si="113"/>
        <v>28.625555163911557</v>
      </c>
      <c r="AR275" s="111">
        <f t="shared" si="114"/>
        <v>0.25524722242326725</v>
      </c>
      <c r="AS275" s="111">
        <f t="shared" si="115"/>
        <v>8.9167605994611154</v>
      </c>
      <c r="AT275" s="107">
        <v>1.08</v>
      </c>
      <c r="AU275" s="108">
        <f t="shared" si="116"/>
        <v>-26.398156018874456</v>
      </c>
      <c r="AV275" s="112">
        <f t="shared" si="117"/>
        <v>1.0821967656316509</v>
      </c>
      <c r="AW275" s="112">
        <f t="shared" si="118"/>
        <v>2.1967656316508322E-3</v>
      </c>
      <c r="AX275" s="113">
        <f t="shared" si="119"/>
        <v>461.32315930726065</v>
      </c>
      <c r="AY275" s="108">
        <f t="shared" si="120"/>
        <v>10.134188614507719</v>
      </c>
      <c r="AZ275" s="108">
        <f t="shared" si="121"/>
        <v>21.967656316508322</v>
      </c>
    </row>
    <row r="276" spans="1:52" ht="18" x14ac:dyDescent="0.25">
      <c r="A276" s="18"/>
      <c r="B276" s="18"/>
      <c r="C276" s="18"/>
      <c r="D276" s="18"/>
      <c r="E276" s="18"/>
      <c r="F276" s="18"/>
      <c r="G276" s="18"/>
      <c r="H276" s="18"/>
      <c r="I276" s="106" t="s">
        <v>152</v>
      </c>
      <c r="J276" s="18"/>
      <c r="K276" s="18"/>
      <c r="L276" s="18"/>
      <c r="M276" s="18"/>
      <c r="N276" s="18"/>
      <c r="O276" s="18"/>
      <c r="P276" s="18"/>
      <c r="Q276" s="31">
        <v>538</v>
      </c>
      <c r="R276" s="31" t="s">
        <v>347</v>
      </c>
      <c r="S276" s="32">
        <v>5.9468540000000001</v>
      </c>
      <c r="T276" s="32">
        <v>2.0267312326736535</v>
      </c>
      <c r="U276" s="32">
        <v>4.0057404999999999</v>
      </c>
      <c r="V276" s="32">
        <v>-25.80174184691754</v>
      </c>
      <c r="W276" s="32">
        <v>2.3679999999999999</v>
      </c>
      <c r="X276" s="17">
        <v>6.1372437857142854</v>
      </c>
      <c r="Y276" s="17">
        <v>2.165951323344959</v>
      </c>
      <c r="Z276" s="17">
        <v>4.1588204642857134</v>
      </c>
      <c r="AA276" s="17">
        <v>-25.525093669069488</v>
      </c>
      <c r="AB276" s="17">
        <v>2.4814285714285718</v>
      </c>
      <c r="AC276" s="17">
        <v>2.4814285714285718</v>
      </c>
      <c r="AD276" s="2">
        <f t="shared" si="102"/>
        <v>1.1401907461647542E-2</v>
      </c>
      <c r="AE276" s="2">
        <f t="shared" si="103"/>
        <v>0.27452622576973307</v>
      </c>
      <c r="AF276" s="6">
        <f t="shared" si="104"/>
        <v>6.7805478995928536E-2</v>
      </c>
      <c r="AG276" s="6">
        <f t="shared" si="105"/>
        <v>1.0996808208779634</v>
      </c>
      <c r="AH276" s="9">
        <f t="shared" si="106"/>
        <v>2.8634070521929282</v>
      </c>
      <c r="AI276" s="10">
        <f t="shared" si="107"/>
        <v>46.439223854643721</v>
      </c>
      <c r="AJ276" s="7">
        <f t="shared" si="108"/>
        <v>16.218170524892169</v>
      </c>
      <c r="AK276" s="8">
        <f t="shared" si="122"/>
        <v>1.8407799093286945</v>
      </c>
      <c r="AL276" s="8">
        <f t="shared" si="109"/>
        <v>-26.306648177848054</v>
      </c>
      <c r="AM276" s="107">
        <v>0.36599999999999999</v>
      </c>
      <c r="AN276" s="108">
        <f t="shared" si="110"/>
        <v>1.8407799093286945</v>
      </c>
      <c r="AO276" s="109">
        <f t="shared" si="111"/>
        <v>0.36692537015751903</v>
      </c>
      <c r="AP276" s="110">
        <f t="shared" si="112"/>
        <v>9.2537015751903429E-4</v>
      </c>
      <c r="AQ276" s="111">
        <f t="shared" si="113"/>
        <v>28.634070521929281</v>
      </c>
      <c r="AR276" s="111">
        <f t="shared" si="114"/>
        <v>0.26497114349288831</v>
      </c>
      <c r="AS276" s="111">
        <f t="shared" si="115"/>
        <v>9.2537015751903429</v>
      </c>
      <c r="AT276" s="107">
        <v>1.08</v>
      </c>
      <c r="AU276" s="108">
        <f t="shared" si="116"/>
        <v>-26.306648177848054</v>
      </c>
      <c r="AV276" s="112">
        <f t="shared" si="117"/>
        <v>1.082297379344149</v>
      </c>
      <c r="AW276" s="112">
        <f t="shared" si="118"/>
        <v>2.2973793441489754E-3</v>
      </c>
      <c r="AX276" s="113">
        <f t="shared" si="119"/>
        <v>464.39223854643717</v>
      </c>
      <c r="AY276" s="108">
        <f t="shared" si="120"/>
        <v>10.668851364196884</v>
      </c>
      <c r="AZ276" s="108">
        <f t="shared" si="121"/>
        <v>22.973793441489754</v>
      </c>
    </row>
    <row r="277" spans="1:52" ht="18" x14ac:dyDescent="0.25">
      <c r="A277" s="18"/>
      <c r="B277" s="18"/>
      <c r="C277" s="18"/>
      <c r="D277" s="18"/>
      <c r="E277" s="18"/>
      <c r="F277" s="18"/>
      <c r="G277" s="18"/>
      <c r="H277" s="18"/>
      <c r="I277" s="106" t="s">
        <v>152</v>
      </c>
      <c r="J277" s="18"/>
      <c r="K277" s="18"/>
      <c r="L277" s="18"/>
      <c r="M277" s="18"/>
      <c r="N277" s="18"/>
      <c r="O277" s="18"/>
      <c r="P277" s="18"/>
      <c r="Q277" s="31">
        <v>552</v>
      </c>
      <c r="R277" s="31" t="s">
        <v>361</v>
      </c>
      <c r="S277" s="32"/>
      <c r="T277" s="32"/>
      <c r="U277" s="32"/>
      <c r="V277" s="114"/>
      <c r="W277" s="32"/>
      <c r="X277" s="17"/>
      <c r="Y277" s="17"/>
      <c r="Z277" s="17"/>
      <c r="AA277" s="17"/>
      <c r="AB277" s="17"/>
      <c r="AC277" s="17"/>
      <c r="AD277" s="2"/>
      <c r="AE277" s="2"/>
      <c r="AF277" s="6"/>
      <c r="AG277" s="6"/>
      <c r="AH277" s="9"/>
      <c r="AI277" s="10"/>
      <c r="AJ277" s="7"/>
      <c r="AK277" s="8"/>
      <c r="AL277" s="8"/>
      <c r="AM277" s="107"/>
      <c r="AN277" s="108"/>
      <c r="AO277" s="109"/>
      <c r="AP277" s="110"/>
      <c r="AQ277" s="111"/>
      <c r="AR277" s="111"/>
      <c r="AS277" s="111"/>
      <c r="AT277" s="107"/>
      <c r="AU277" s="108"/>
      <c r="AV277" s="112"/>
      <c r="AW277" s="112"/>
      <c r="AX277" s="113"/>
      <c r="AY277" s="108"/>
      <c r="AZ277" s="108"/>
    </row>
    <row r="278" spans="1:52" ht="18" x14ac:dyDescent="0.25">
      <c r="A278" s="18"/>
      <c r="B278" s="18"/>
      <c r="C278" s="18"/>
      <c r="D278" s="18"/>
      <c r="E278" s="18"/>
      <c r="F278" s="18"/>
      <c r="G278" s="18"/>
      <c r="H278" s="18"/>
      <c r="I278" s="106" t="s">
        <v>152</v>
      </c>
      <c r="J278" s="18"/>
      <c r="K278" s="18"/>
      <c r="L278" s="18"/>
      <c r="M278" s="18"/>
      <c r="N278" s="18"/>
      <c r="O278" s="18"/>
      <c r="P278" s="18"/>
      <c r="Q278" s="29">
        <v>565</v>
      </c>
      <c r="R278" s="29" t="s">
        <v>374</v>
      </c>
      <c r="S278" s="30">
        <v>7.0482889999999996</v>
      </c>
      <c r="T278" s="30">
        <v>2.3281316928067368</v>
      </c>
      <c r="U278" s="30">
        <v>4.7131474999999998</v>
      </c>
      <c r="V278" s="30">
        <v>-24.866322270291796</v>
      </c>
      <c r="W278" s="30">
        <v>2.8809999999999998</v>
      </c>
      <c r="X278" s="17">
        <v>6.1372437857142854</v>
      </c>
      <c r="Y278" s="17">
        <v>2.165951323344959</v>
      </c>
      <c r="Z278" s="17">
        <v>4.1588204642857134</v>
      </c>
      <c r="AA278" s="17">
        <v>-25.525093669069488</v>
      </c>
      <c r="AB278" s="17">
        <v>2.4814285714285718</v>
      </c>
      <c r="AC278" s="17">
        <v>2.4814285714285718</v>
      </c>
      <c r="AD278" s="2">
        <f t="shared" si="102"/>
        <v>1.1401907461647542E-2</v>
      </c>
      <c r="AE278" s="2">
        <f t="shared" si="103"/>
        <v>0.27452622576973307</v>
      </c>
      <c r="AF278" s="6">
        <f t="shared" si="104"/>
        <v>8.0363938940948287E-2</v>
      </c>
      <c r="AG278" s="6">
        <f t="shared" si="105"/>
        <v>1.293882594671053</v>
      </c>
      <c r="AH278" s="9">
        <f t="shared" si="106"/>
        <v>2.7894459889256611</v>
      </c>
      <c r="AI278" s="10">
        <f t="shared" si="107"/>
        <v>44.910884924368389</v>
      </c>
      <c r="AJ278" s="7">
        <f t="shared" si="108"/>
        <v>16.100288409479315</v>
      </c>
      <c r="AK278" s="8">
        <f t="shared" si="122"/>
        <v>2.1421803694617778</v>
      </c>
      <c r="AL278" s="8">
        <f t="shared" si="109"/>
        <v>-25.37122860122231</v>
      </c>
      <c r="AM278" s="107">
        <v>0.36599999999999999</v>
      </c>
      <c r="AN278" s="108">
        <f t="shared" si="110"/>
        <v>2.1421803694617778</v>
      </c>
      <c r="AO278" s="109">
        <f t="shared" si="111"/>
        <v>0.36703535326840564</v>
      </c>
      <c r="AP278" s="110">
        <f t="shared" si="112"/>
        <v>1.0353532684056477E-3</v>
      </c>
      <c r="AQ278" s="111">
        <f t="shared" si="113"/>
        <v>27.894459889256609</v>
      </c>
      <c r="AR278" s="111">
        <f t="shared" si="114"/>
        <v>0.28880620216752073</v>
      </c>
      <c r="AS278" s="111">
        <f t="shared" si="115"/>
        <v>10.353532684056477</v>
      </c>
      <c r="AT278" s="107">
        <v>1.08</v>
      </c>
      <c r="AU278" s="108">
        <f t="shared" si="116"/>
        <v>-25.37122860122231</v>
      </c>
      <c r="AV278" s="112">
        <f t="shared" si="117"/>
        <v>1.0833258700286408</v>
      </c>
      <c r="AW278" s="112">
        <f t="shared" si="118"/>
        <v>3.3258700286407095E-3</v>
      </c>
      <c r="AX278" s="113">
        <f t="shared" si="119"/>
        <v>449.10884924368395</v>
      </c>
      <c r="AY278" s="108">
        <f t="shared" si="120"/>
        <v>14.936776612968872</v>
      </c>
      <c r="AZ278" s="108">
        <f t="shared" si="121"/>
        <v>33.258700286407091</v>
      </c>
    </row>
    <row r="279" spans="1:52" ht="18" x14ac:dyDescent="0.25">
      <c r="A279" s="18"/>
      <c r="B279" s="18"/>
      <c r="C279" s="18"/>
      <c r="D279" s="18"/>
      <c r="E279" s="18"/>
      <c r="F279" s="18"/>
      <c r="G279" s="18"/>
      <c r="H279" s="18"/>
      <c r="I279" s="106" t="s">
        <v>152</v>
      </c>
      <c r="J279" s="18"/>
      <c r="K279" s="18"/>
      <c r="L279" s="18"/>
      <c r="M279" s="18"/>
      <c r="N279" s="18"/>
      <c r="O279" s="18"/>
      <c r="P279" s="18"/>
      <c r="Q279" s="31">
        <v>578</v>
      </c>
      <c r="R279" s="31" t="s">
        <v>387</v>
      </c>
      <c r="S279" s="32">
        <v>5.8182185000000004</v>
      </c>
      <c r="T279" s="32">
        <v>2.2435791775781313</v>
      </c>
      <c r="U279" s="32">
        <v>4.0831549999999996</v>
      </c>
      <c r="V279" s="32">
        <v>-25.657798962592516</v>
      </c>
      <c r="W279" s="32">
        <v>2.4209999999999998</v>
      </c>
      <c r="X279" s="17">
        <v>6.1372437857142854</v>
      </c>
      <c r="Y279" s="17">
        <v>2.165951323344959</v>
      </c>
      <c r="Z279" s="17">
        <v>4.1588204642857134</v>
      </c>
      <c r="AA279" s="17">
        <v>-25.525093669069488</v>
      </c>
      <c r="AB279" s="17">
        <v>2.4814285714285718</v>
      </c>
      <c r="AC279" s="17">
        <v>2.4814285714285718</v>
      </c>
      <c r="AD279" s="2">
        <f t="shared" si="102"/>
        <v>1.1401907461647542E-2</v>
      </c>
      <c r="AE279" s="2">
        <f t="shared" si="103"/>
        <v>0.27452622576973307</v>
      </c>
      <c r="AF279" s="6">
        <f t="shared" si="104"/>
        <v>6.6338788928645781E-2</v>
      </c>
      <c r="AG279" s="6">
        <f t="shared" si="105"/>
        <v>1.1209331313828144</v>
      </c>
      <c r="AH279" s="9">
        <f t="shared" si="106"/>
        <v>2.7401399805305982</v>
      </c>
      <c r="AI279" s="10">
        <f t="shared" si="107"/>
        <v>46.300418479257097</v>
      </c>
      <c r="AJ279" s="7">
        <f t="shared" si="108"/>
        <v>16.897099713238564</v>
      </c>
      <c r="AK279" s="8">
        <f t="shared" si="122"/>
        <v>2.0576278542331723</v>
      </c>
      <c r="AL279" s="8">
        <f t="shared" si="109"/>
        <v>-26.162705293523029</v>
      </c>
      <c r="AM279" s="107">
        <v>0.36599999999999999</v>
      </c>
      <c r="AN279" s="108">
        <f t="shared" si="110"/>
        <v>2.0576278542331723</v>
      </c>
      <c r="AO279" s="109">
        <f t="shared" si="111"/>
        <v>0.36700449949575914</v>
      </c>
      <c r="AP279" s="110">
        <f t="shared" si="112"/>
        <v>1.004499495759148E-3</v>
      </c>
      <c r="AQ279" s="111">
        <f t="shared" si="113"/>
        <v>27.401399805305985</v>
      </c>
      <c r="AR279" s="111">
        <f t="shared" si="114"/>
        <v>0.27524692287524682</v>
      </c>
      <c r="AS279" s="111">
        <f t="shared" si="115"/>
        <v>10.044994957591481</v>
      </c>
      <c r="AT279" s="107">
        <v>1.08</v>
      </c>
      <c r="AU279" s="108">
        <f t="shared" si="116"/>
        <v>-26.162705293523029</v>
      </c>
      <c r="AV279" s="112">
        <f t="shared" si="117"/>
        <v>1.0824556454546201</v>
      </c>
      <c r="AW279" s="112">
        <f t="shared" si="118"/>
        <v>2.4556454546200701E-3</v>
      </c>
      <c r="AX279" s="113">
        <f t="shared" si="119"/>
        <v>463.00418479257104</v>
      </c>
      <c r="AY279" s="108">
        <f t="shared" si="120"/>
        <v>11.369741218559481</v>
      </c>
      <c r="AZ279" s="108">
        <f t="shared" si="121"/>
        <v>24.556454546200701</v>
      </c>
    </row>
    <row r="280" spans="1:52" ht="18" x14ac:dyDescent="0.25">
      <c r="A280" s="18"/>
      <c r="B280" s="18"/>
      <c r="C280" s="18"/>
      <c r="D280" s="18"/>
      <c r="E280" s="18"/>
      <c r="F280" s="18"/>
      <c r="G280" s="18"/>
      <c r="H280" s="18"/>
      <c r="I280" s="106" t="s">
        <v>152</v>
      </c>
      <c r="J280" s="18"/>
      <c r="K280" s="18"/>
      <c r="L280" s="18"/>
      <c r="M280" s="18"/>
      <c r="N280" s="18"/>
      <c r="O280" s="18"/>
      <c r="P280" s="18"/>
      <c r="Q280" s="115">
        <v>591</v>
      </c>
      <c r="R280" s="115" t="s">
        <v>400</v>
      </c>
      <c r="S280" s="116">
        <v>5.7925870000000002</v>
      </c>
      <c r="T280" s="116">
        <v>2.8362195499104015</v>
      </c>
      <c r="U280" s="116">
        <v>4.03041625</v>
      </c>
      <c r="V280" s="116">
        <v>-24.795090520878603</v>
      </c>
      <c r="W280" s="30">
        <v>2.4180000000000001</v>
      </c>
      <c r="X280" s="17">
        <v>6.1372437857142854</v>
      </c>
      <c r="Y280" s="17">
        <v>2.165951323344959</v>
      </c>
      <c r="Z280" s="17">
        <v>4.1588204642857134</v>
      </c>
      <c r="AA280" s="17">
        <v>-25.525093669069488</v>
      </c>
      <c r="AB280" s="17">
        <v>2.4814285714285718</v>
      </c>
      <c r="AC280" s="17">
        <v>2.4814285714285718</v>
      </c>
      <c r="AD280" s="2">
        <f t="shared" ref="AD280" si="124">((2.82/100)*AB280)/X280</f>
        <v>1.1401907461647542E-2</v>
      </c>
      <c r="AE280" s="2">
        <f t="shared" ref="AE280" si="125">((46.01/100)*AC280)/Z280</f>
        <v>0.27452622576973307</v>
      </c>
      <c r="AF280" s="6">
        <f t="shared" ref="AF280" si="126">S280*AD280</f>
        <v>6.6046540937542558E-2</v>
      </c>
      <c r="AG280" s="6">
        <f t="shared" ref="AG280" si="127">U280*AE280</f>
        <v>1.1064549613935009</v>
      </c>
      <c r="AH280" s="9">
        <f t="shared" ref="AH280" si="128">100*AF280/W280</f>
        <v>2.7314533059364168</v>
      </c>
      <c r="AI280" s="10">
        <f t="shared" ref="AI280" si="129">100*AG280/W280</f>
        <v>45.759096831823854</v>
      </c>
      <c r="AJ280" s="7">
        <f t="shared" ref="AJ280" si="130">AG280/AF280</f>
        <v>16.752655713488899</v>
      </c>
      <c r="AK280" s="8">
        <f t="shared" si="122"/>
        <v>2.6502682265654425</v>
      </c>
      <c r="AL280" s="8">
        <f t="shared" ref="AL280" si="131">V280+(-26.03-AA280)</f>
        <v>-25.299996851809116</v>
      </c>
      <c r="AM280" s="107">
        <v>0.36599999999999999</v>
      </c>
      <c r="AN280" s="108">
        <f t="shared" ref="AN280" si="132">T280+(1.98-Y280)</f>
        <v>2.6502682265654425</v>
      </c>
      <c r="AO280" s="109">
        <f t="shared" ref="AO280" si="133">100*0.003676*(AN280/1000+1)/(1+0.003676*(AN280/1000+1))</f>
        <v>0.3672207574891882</v>
      </c>
      <c r="AP280" s="110">
        <f t="shared" ref="AP280" si="134">AO280-AM280</f>
        <v>1.2207574891882067E-3</v>
      </c>
      <c r="AQ280" s="111">
        <f t="shared" ref="AQ280" si="135">(AH280%*W280)/W280*1000</f>
        <v>27.314533059364166</v>
      </c>
      <c r="AR280" s="111">
        <f t="shared" ref="AR280" si="136">(AQ280*AP280%)*1000</f>
        <v>0.33344420795897667</v>
      </c>
      <c r="AS280" s="111">
        <f t="shared" ref="AS280" si="137">(((AF280*AP280%)/AF280)*1000)*1000</f>
        <v>12.207574891882068</v>
      </c>
      <c r="AT280" s="107">
        <v>1.08</v>
      </c>
      <c r="AU280" s="108">
        <f t="shared" ref="AU280" si="138">V280+(-26.03-AA280)</f>
        <v>-25.299996851809116</v>
      </c>
      <c r="AV280" s="112">
        <f t="shared" ref="AV280" si="139">100*0.011237*(AU280/1000+1)/(1+0.011237*(AU280/1000+1))</f>
        <v>1.0834041882216834</v>
      </c>
      <c r="AW280" s="112">
        <f t="shared" ref="AW280" si="140">AV280-AT280</f>
        <v>3.404188221683313E-3</v>
      </c>
      <c r="AX280" s="113">
        <f t="shared" ref="AX280" si="141">(AI280%*W280)/W280*1000</f>
        <v>457.59096831823854</v>
      </c>
      <c r="AY280" s="108">
        <f t="shared" ref="AY280" si="142">(AX280*AW280%)*1000</f>
        <v>15.577257846976098</v>
      </c>
      <c r="AZ280" s="108">
        <f t="shared" ref="AZ280" si="143">(((AG280*AW280%)/AG280)*1000)*1000</f>
        <v>34.04188221683313</v>
      </c>
    </row>
    <row r="281" spans="1:52" ht="18" x14ac:dyDescent="0.25">
      <c r="A281" s="18"/>
      <c r="B281" s="18"/>
      <c r="C281" s="18"/>
      <c r="D281" s="18"/>
      <c r="E281" s="18"/>
      <c r="F281" s="18"/>
      <c r="G281" s="18"/>
      <c r="H281" s="18"/>
      <c r="I281" s="106" t="s">
        <v>152</v>
      </c>
      <c r="J281" s="18"/>
      <c r="K281" s="18"/>
      <c r="L281" s="18"/>
      <c r="M281" s="18"/>
      <c r="N281" s="18"/>
      <c r="O281" s="18"/>
      <c r="P281" s="18"/>
      <c r="Q281" s="36"/>
      <c r="R281" s="36"/>
      <c r="S281" s="17">
        <f>AVERAGE(S273:S280)</f>
        <v>6.1372437857142854</v>
      </c>
      <c r="T281" s="17">
        <f t="shared" ref="T281:W281" si="144">AVERAGE(T273:T280)</f>
        <v>2.165951323344959</v>
      </c>
      <c r="U281" s="17">
        <f t="shared" si="144"/>
        <v>4.1588204642857134</v>
      </c>
      <c r="V281" s="17">
        <f t="shared" si="144"/>
        <v>-25.525093669069488</v>
      </c>
      <c r="W281" s="17">
        <f t="shared" si="144"/>
        <v>2.4814285714285718</v>
      </c>
      <c r="X281" s="17">
        <v>6.1372437857142854</v>
      </c>
      <c r="Y281" s="17">
        <v>2.165951323344959</v>
      </c>
      <c r="Z281" s="17">
        <v>4.1588204642857134</v>
      </c>
      <c r="AA281" s="17">
        <v>-25.525093669069488</v>
      </c>
      <c r="AB281" s="17">
        <v>2.4814285714285718</v>
      </c>
      <c r="AC281" s="17">
        <v>2.4814285714285718</v>
      </c>
      <c r="AD281" s="2">
        <f t="shared" si="102"/>
        <v>1.1401907461647542E-2</v>
      </c>
      <c r="AE281" s="2">
        <f t="shared" si="103"/>
        <v>0.27452622576973307</v>
      </c>
      <c r="AF281" s="6">
        <f t="shared" si="104"/>
        <v>6.9976285714285727E-2</v>
      </c>
      <c r="AG281" s="6">
        <f t="shared" si="105"/>
        <v>1.1417052857142858</v>
      </c>
      <c r="AH281" s="9">
        <f t="shared" si="106"/>
        <v>2.8200000000000003</v>
      </c>
      <c r="AI281" s="10">
        <f t="shared" si="107"/>
        <v>46.01</v>
      </c>
      <c r="AJ281" s="7">
        <f t="shared" si="108"/>
        <v>16.315602836879432</v>
      </c>
      <c r="AK281" s="8">
        <f t="shared" si="122"/>
        <v>1.98</v>
      </c>
      <c r="AL281" s="8">
        <f t="shared" si="109"/>
        <v>-26.03</v>
      </c>
      <c r="AM281" s="107">
        <v>0.36599999999999999</v>
      </c>
      <c r="AN281" s="108">
        <f t="shared" si="110"/>
        <v>1.98</v>
      </c>
      <c r="AO281" s="109">
        <f t="shared" si="111"/>
        <v>0.36697617256093357</v>
      </c>
      <c r="AP281" s="110">
        <f t="shared" si="112"/>
        <v>9.7617256093357474E-4</v>
      </c>
      <c r="AQ281" s="111">
        <f t="shared" si="113"/>
        <v>28.200000000000003</v>
      </c>
      <c r="AR281" s="111">
        <f t="shared" si="114"/>
        <v>0.27528066218326813</v>
      </c>
      <c r="AS281" s="111">
        <f t="shared" si="115"/>
        <v>9.7617256093357483</v>
      </c>
      <c r="AT281" s="107">
        <v>1.08</v>
      </c>
      <c r="AU281" s="108">
        <f t="shared" si="116"/>
        <v>-26.03</v>
      </c>
      <c r="AV281" s="112">
        <f t="shared" si="117"/>
        <v>1.0826015553143469</v>
      </c>
      <c r="AW281" s="112">
        <f t="shared" si="118"/>
        <v>2.601555314346804E-3</v>
      </c>
      <c r="AX281" s="113">
        <f t="shared" si="119"/>
        <v>460.09999999999997</v>
      </c>
      <c r="AY281" s="108">
        <f t="shared" si="120"/>
        <v>11.969756001309642</v>
      </c>
      <c r="AZ281" s="108">
        <f t="shared" si="121"/>
        <v>26.01555314346804</v>
      </c>
    </row>
    <row r="282" spans="1:52" ht="18" x14ac:dyDescent="0.25">
      <c r="A282" s="18"/>
      <c r="B282" s="18"/>
      <c r="C282" s="18"/>
      <c r="D282" s="18"/>
      <c r="E282" s="18"/>
      <c r="F282" s="18"/>
      <c r="G282" s="18"/>
      <c r="H282" s="18"/>
      <c r="I282" s="106" t="s">
        <v>152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1"/>
      <c r="Y282" s="11"/>
      <c r="Z282" s="11"/>
      <c r="AA282" s="11"/>
      <c r="AB282" s="11"/>
      <c r="AC282" s="11"/>
      <c r="AD282" s="2"/>
      <c r="AE282" s="2"/>
      <c r="AF282" s="6"/>
      <c r="AG282" s="6"/>
      <c r="AH282" s="9"/>
      <c r="AI282" s="10"/>
      <c r="AJ282" s="7"/>
      <c r="AK282" s="8"/>
      <c r="AL282" s="8"/>
      <c r="AM282" s="107"/>
      <c r="AN282" s="108"/>
      <c r="AO282" s="109"/>
      <c r="AP282" s="110"/>
      <c r="AQ282" s="111"/>
      <c r="AR282" s="111"/>
      <c r="AS282" s="111"/>
      <c r="AT282" s="107"/>
      <c r="AU282" s="108"/>
      <c r="AV282" s="112"/>
      <c r="AW282" s="112"/>
      <c r="AX282" s="113"/>
      <c r="AY282" s="108"/>
      <c r="AZ282" s="108"/>
    </row>
    <row r="283" spans="1:52" ht="18" x14ac:dyDescent="0.25">
      <c r="A283" s="18"/>
      <c r="B283" s="18"/>
      <c r="C283" s="18"/>
      <c r="D283" s="18"/>
      <c r="E283" s="18"/>
      <c r="F283" s="18"/>
      <c r="G283" s="18"/>
      <c r="H283" s="18"/>
      <c r="I283" s="106" t="s">
        <v>152</v>
      </c>
      <c r="J283" s="18"/>
      <c r="K283" s="18"/>
      <c r="L283" s="18"/>
      <c r="M283" s="18"/>
      <c r="N283" s="18"/>
      <c r="O283" s="18"/>
      <c r="P283" s="18"/>
      <c r="Q283" s="29">
        <v>607</v>
      </c>
      <c r="R283" s="29" t="s">
        <v>413</v>
      </c>
      <c r="S283" s="30">
        <v>7.539828</v>
      </c>
      <c r="T283" s="30">
        <v>2.1231821596228966</v>
      </c>
      <c r="U283" s="30">
        <v>5.0015710000000002</v>
      </c>
      <c r="V283" s="30">
        <v>-24.552309883965798</v>
      </c>
      <c r="W283" s="30">
        <v>3.101</v>
      </c>
      <c r="X283" s="16">
        <v>6.0076442500000002</v>
      </c>
      <c r="Y283" s="16">
        <v>1.7773530247112701</v>
      </c>
      <c r="Z283" s="16">
        <v>4.1612238125000003</v>
      </c>
      <c r="AA283" s="16">
        <v>-24.63598008754283</v>
      </c>
      <c r="AB283" s="16">
        <v>2.5109999999999997</v>
      </c>
      <c r="AC283" s="16">
        <v>2.5109999999999997</v>
      </c>
      <c r="AD283" s="2">
        <f t="shared" si="102"/>
        <v>1.1786683274396614E-2</v>
      </c>
      <c r="AE283" s="2">
        <f t="shared" si="103"/>
        <v>0.27763733748940228</v>
      </c>
      <c r="AF283" s="6">
        <f t="shared" si="104"/>
        <v>8.8869564579427268E-2</v>
      </c>
      <c r="AG283" s="6">
        <f t="shared" si="105"/>
        <v>1.3886228557042073</v>
      </c>
      <c r="AH283" s="9">
        <f t="shared" si="106"/>
        <v>2.865835684599396</v>
      </c>
      <c r="AI283" s="10">
        <f t="shared" si="107"/>
        <v>44.779840558020233</v>
      </c>
      <c r="AJ283" s="7">
        <f t="shared" si="108"/>
        <v>15.625404065788171</v>
      </c>
      <c r="AK283" s="8">
        <f t="shared" si="122"/>
        <v>2.3258291349116265</v>
      </c>
      <c r="AL283" s="8">
        <f t="shared" si="109"/>
        <v>-25.946329796422969</v>
      </c>
      <c r="AM283" s="107">
        <v>0.36599999999999999</v>
      </c>
      <c r="AN283" s="108">
        <f t="shared" si="110"/>
        <v>2.3258291349116265</v>
      </c>
      <c r="AO283" s="109">
        <f t="shared" si="111"/>
        <v>0.36710236785306699</v>
      </c>
      <c r="AP283" s="110">
        <f t="shared" si="112"/>
        <v>1.1023678530669989E-3</v>
      </c>
      <c r="AQ283" s="111">
        <f t="shared" si="113"/>
        <v>28.658356845993957</v>
      </c>
      <c r="AR283" s="111">
        <f t="shared" si="114"/>
        <v>0.31592051308746288</v>
      </c>
      <c r="AS283" s="111">
        <f t="shared" si="115"/>
        <v>11.02367853066999</v>
      </c>
      <c r="AT283" s="107">
        <v>1.08</v>
      </c>
      <c r="AU283" s="108">
        <f t="shared" si="116"/>
        <v>-25.946329796422969</v>
      </c>
      <c r="AV283" s="112">
        <f t="shared" si="117"/>
        <v>1.0826935507274995</v>
      </c>
      <c r="AW283" s="112">
        <f t="shared" si="118"/>
        <v>2.6935507274994386E-3</v>
      </c>
      <c r="AX283" s="113">
        <f t="shared" si="119"/>
        <v>447.79840558020231</v>
      </c>
      <c r="AY283" s="108">
        <f t="shared" si="120"/>
        <v>12.061677211236425</v>
      </c>
      <c r="AZ283" s="108">
        <f t="shared" si="121"/>
        <v>26.935507274994386</v>
      </c>
    </row>
    <row r="284" spans="1:52" ht="18" x14ac:dyDescent="0.25">
      <c r="A284" s="18"/>
      <c r="B284" s="18"/>
      <c r="C284" s="18"/>
      <c r="D284" s="18"/>
      <c r="E284" s="18"/>
      <c r="F284" s="18"/>
      <c r="G284" s="18"/>
      <c r="H284" s="18"/>
      <c r="I284" s="106" t="s">
        <v>152</v>
      </c>
      <c r="J284" s="18"/>
      <c r="K284" s="18"/>
      <c r="L284" s="18"/>
      <c r="M284" s="18"/>
      <c r="N284" s="18"/>
      <c r="O284" s="18"/>
      <c r="P284" s="18"/>
      <c r="Q284" s="31">
        <v>620</v>
      </c>
      <c r="R284" s="31" t="s">
        <v>426</v>
      </c>
      <c r="S284" s="32">
        <v>4.8029925000000002</v>
      </c>
      <c r="T284" s="32">
        <v>1.4662488744545761</v>
      </c>
      <c r="U284" s="32">
        <v>3.4611160000000001</v>
      </c>
      <c r="V284" s="32">
        <v>-24.62146021730711</v>
      </c>
      <c r="W284" s="32">
        <v>2.0379999999999998</v>
      </c>
      <c r="X284" s="16">
        <v>6.0076442500000002</v>
      </c>
      <c r="Y284" s="16">
        <v>1.7773530247112701</v>
      </c>
      <c r="Z284" s="16">
        <v>4.1612238125000003</v>
      </c>
      <c r="AA284" s="16">
        <v>-24.63598008754283</v>
      </c>
      <c r="AB284" s="16">
        <v>2.5109999999999997</v>
      </c>
      <c r="AC284" s="16">
        <v>2.5109999999999997</v>
      </c>
      <c r="AD284" s="2">
        <f t="shared" si="102"/>
        <v>1.1786683274396614E-2</v>
      </c>
      <c r="AE284" s="2">
        <f t="shared" si="103"/>
        <v>0.27763733748940228</v>
      </c>
      <c r="AF284" s="6">
        <f t="shared" si="104"/>
        <v>5.6611351366802384E-2</v>
      </c>
      <c r="AG284" s="6">
        <f t="shared" si="105"/>
        <v>0.96093503098197008</v>
      </c>
      <c r="AH284" s="9">
        <f t="shared" si="106"/>
        <v>2.777789566575191</v>
      </c>
      <c r="AI284" s="10">
        <f t="shared" si="107"/>
        <v>47.150884739056437</v>
      </c>
      <c r="AJ284" s="7">
        <f t="shared" si="108"/>
        <v>16.97424646791729</v>
      </c>
      <c r="AK284" s="8">
        <f t="shared" si="122"/>
        <v>1.668895849743306</v>
      </c>
      <c r="AL284" s="8">
        <f t="shared" si="109"/>
        <v>-26.015480129764281</v>
      </c>
      <c r="AM284" s="107">
        <v>0.36599999999999999</v>
      </c>
      <c r="AN284" s="108">
        <f t="shared" si="110"/>
        <v>1.668895849743306</v>
      </c>
      <c r="AO284" s="109">
        <f t="shared" si="111"/>
        <v>0.36686264836755994</v>
      </c>
      <c r="AP284" s="110">
        <f t="shared" si="112"/>
        <v>8.6264836755994834E-4</v>
      </c>
      <c r="AQ284" s="111">
        <f t="shared" si="113"/>
        <v>27.77789566575191</v>
      </c>
      <c r="AR284" s="111">
        <f t="shared" si="114"/>
        <v>0.23962556350311451</v>
      </c>
      <c r="AS284" s="111">
        <f t="shared" si="115"/>
        <v>8.6264836755994843</v>
      </c>
      <c r="AT284" s="107">
        <v>1.08</v>
      </c>
      <c r="AU284" s="108">
        <f t="shared" si="116"/>
        <v>-26.015480129764281</v>
      </c>
      <c r="AV284" s="112">
        <f t="shared" si="117"/>
        <v>1.0826175199281622</v>
      </c>
      <c r="AW284" s="112">
        <f t="shared" si="118"/>
        <v>2.6175199281621708E-3</v>
      </c>
      <c r="AX284" s="113">
        <f t="shared" si="119"/>
        <v>471.50884739056437</v>
      </c>
      <c r="AY284" s="108">
        <f t="shared" si="120"/>
        <v>12.34183804349578</v>
      </c>
      <c r="AZ284" s="108">
        <f t="shared" si="121"/>
        <v>26.175199281621708</v>
      </c>
    </row>
    <row r="285" spans="1:52" ht="18" x14ac:dyDescent="0.25">
      <c r="A285" s="18"/>
      <c r="B285" s="18"/>
      <c r="C285" s="18"/>
      <c r="D285" s="18"/>
      <c r="E285" s="18"/>
      <c r="F285" s="18"/>
      <c r="G285" s="18"/>
      <c r="H285" s="18"/>
      <c r="I285" s="106" t="s">
        <v>152</v>
      </c>
      <c r="J285" s="18"/>
      <c r="K285" s="18"/>
      <c r="L285" s="18"/>
      <c r="M285" s="18"/>
      <c r="N285" s="18"/>
      <c r="O285" s="18"/>
      <c r="P285" s="18"/>
      <c r="Q285" s="29">
        <v>633</v>
      </c>
      <c r="R285" s="29" t="s">
        <v>439</v>
      </c>
      <c r="S285" s="30">
        <v>6.1920359999999999</v>
      </c>
      <c r="T285" s="30">
        <v>0.65606446332691915</v>
      </c>
      <c r="U285" s="30">
        <v>4.3175689999999998</v>
      </c>
      <c r="V285" s="30">
        <v>-24.406659181425724</v>
      </c>
      <c r="W285" s="30">
        <v>2.5870000000000002</v>
      </c>
      <c r="X285" s="16">
        <v>6.0076442500000002</v>
      </c>
      <c r="Y285" s="16">
        <v>1.7773530247112701</v>
      </c>
      <c r="Z285" s="16">
        <v>4.1612238125000003</v>
      </c>
      <c r="AA285" s="16">
        <v>-24.63598008754283</v>
      </c>
      <c r="AB285" s="16">
        <v>2.5109999999999997</v>
      </c>
      <c r="AC285" s="16">
        <v>2.5109999999999997</v>
      </c>
      <c r="AD285" s="2">
        <f t="shared" si="102"/>
        <v>1.1786683274396614E-2</v>
      </c>
      <c r="AE285" s="2">
        <f t="shared" si="103"/>
        <v>0.27763733748940228</v>
      </c>
      <c r="AF285" s="6">
        <f t="shared" si="104"/>
        <v>7.2983567155661705E-2</v>
      </c>
      <c r="AG285" s="6">
        <f t="shared" si="105"/>
        <v>1.1987183615867811</v>
      </c>
      <c r="AH285" s="9">
        <f t="shared" si="106"/>
        <v>2.8211661057464901</v>
      </c>
      <c r="AI285" s="10">
        <f t="shared" si="107"/>
        <v>46.336233536404364</v>
      </c>
      <c r="AJ285" s="7">
        <f t="shared" si="108"/>
        <v>16.424496750482419</v>
      </c>
      <c r="AK285" s="8">
        <f t="shared" si="122"/>
        <v>0.85871143861564903</v>
      </c>
      <c r="AL285" s="8">
        <f t="shared" si="109"/>
        <v>-25.800679093882895</v>
      </c>
      <c r="AM285" s="107">
        <v>0.36599999999999999</v>
      </c>
      <c r="AN285" s="108">
        <f t="shared" si="110"/>
        <v>0.85871143861564903</v>
      </c>
      <c r="AO285" s="109">
        <f t="shared" si="111"/>
        <v>0.36656700490088967</v>
      </c>
      <c r="AP285" s="110">
        <f t="shared" si="112"/>
        <v>5.6700490088967825E-4</v>
      </c>
      <c r="AQ285" s="111">
        <f t="shared" si="113"/>
        <v>28.211661057464902</v>
      </c>
      <c r="AR285" s="111">
        <f t="shared" si="114"/>
        <v>0.15996150081821081</v>
      </c>
      <c r="AS285" s="111">
        <f t="shared" si="115"/>
        <v>5.6700490088967825</v>
      </c>
      <c r="AT285" s="107">
        <v>1.08</v>
      </c>
      <c r="AU285" s="108">
        <f t="shared" si="116"/>
        <v>-25.800679093882895</v>
      </c>
      <c r="AV285" s="112">
        <f t="shared" si="117"/>
        <v>1.0828536933090767</v>
      </c>
      <c r="AW285" s="112">
        <f t="shared" si="118"/>
        <v>2.8536933090765881E-3</v>
      </c>
      <c r="AX285" s="113">
        <f t="shared" si="119"/>
        <v>463.36233536404359</v>
      </c>
      <c r="AY285" s="108">
        <f t="shared" si="120"/>
        <v>13.222939961064732</v>
      </c>
      <c r="AZ285" s="108">
        <f t="shared" si="121"/>
        <v>28.536933090765878</v>
      </c>
    </row>
    <row r="286" spans="1:52" ht="18" x14ac:dyDescent="0.25">
      <c r="A286" s="18"/>
      <c r="B286" s="18"/>
      <c r="C286" s="18"/>
      <c r="D286" s="18"/>
      <c r="E286" s="18"/>
      <c r="F286" s="18"/>
      <c r="G286" s="18"/>
      <c r="H286" s="18"/>
      <c r="I286" s="106" t="s">
        <v>152</v>
      </c>
      <c r="J286" s="18"/>
      <c r="K286" s="18"/>
      <c r="L286" s="18"/>
      <c r="M286" s="18"/>
      <c r="N286" s="18"/>
      <c r="O286" s="18"/>
      <c r="P286" s="18"/>
      <c r="Q286" s="115">
        <v>645</v>
      </c>
      <c r="R286" s="115" t="s">
        <v>451</v>
      </c>
      <c r="S286" s="116">
        <v>5.4957205</v>
      </c>
      <c r="T286" s="116">
        <v>2.8639166014406885</v>
      </c>
      <c r="U286" s="116">
        <v>3.8646392500000002</v>
      </c>
      <c r="V286" s="116">
        <v>-24.963491067472688</v>
      </c>
      <c r="W286" s="30">
        <v>2.3180000000000001</v>
      </c>
      <c r="X286" s="16">
        <v>6.0076442500000002</v>
      </c>
      <c r="Y286" s="16">
        <v>1.7773530247112701</v>
      </c>
      <c r="Z286" s="16">
        <v>4.1612238125000003</v>
      </c>
      <c r="AA286" s="16">
        <v>-24.63598008754283</v>
      </c>
      <c r="AB286" s="16">
        <v>2.5109999999999997</v>
      </c>
      <c r="AC286" s="16">
        <v>2.5109999999999997</v>
      </c>
      <c r="AD286" s="2">
        <f t="shared" si="102"/>
        <v>1.1786683274396614E-2</v>
      </c>
      <c r="AE286" s="2">
        <f t="shared" si="103"/>
        <v>0.27763733748940228</v>
      </c>
      <c r="AF286" s="6">
        <f t="shared" si="104"/>
        <v>6.4776316898108602E-2</v>
      </c>
      <c r="AG286" s="6">
        <f t="shared" si="105"/>
        <v>1.0729681517270406</v>
      </c>
      <c r="AH286" s="9">
        <f t="shared" si="106"/>
        <v>2.794491669461113</v>
      </c>
      <c r="AI286" s="10">
        <f t="shared" si="107"/>
        <v>46.288531135765339</v>
      </c>
      <c r="AJ286" s="7">
        <f t="shared" si="108"/>
        <v>16.564204374490611</v>
      </c>
      <c r="AK286" s="8">
        <f t="shared" si="122"/>
        <v>3.0665635767294184</v>
      </c>
      <c r="AL286" s="8">
        <f t="shared" si="109"/>
        <v>-26.357510979929859</v>
      </c>
      <c r="AM286" s="107">
        <v>0.36599999999999999</v>
      </c>
      <c r="AN286" s="108">
        <f t="shared" si="110"/>
        <v>3.0665635767294184</v>
      </c>
      <c r="AO286" s="109">
        <f t="shared" si="111"/>
        <v>0.36737266557482123</v>
      </c>
      <c r="AP286" s="110">
        <f t="shared" si="112"/>
        <v>1.3726655748212413E-3</v>
      </c>
      <c r="AQ286" s="111">
        <f t="shared" si="113"/>
        <v>27.94491669461113</v>
      </c>
      <c r="AR286" s="111">
        <f t="shared" si="114"/>
        <v>0.38359025137940084</v>
      </c>
      <c r="AS286" s="111">
        <f t="shared" si="115"/>
        <v>13.726655748212412</v>
      </c>
      <c r="AT286" s="107">
        <v>1.08</v>
      </c>
      <c r="AU286" s="108">
        <f t="shared" si="116"/>
        <v>-26.357510979929859</v>
      </c>
      <c r="AV286" s="112">
        <f t="shared" si="117"/>
        <v>1.0822414552509116</v>
      </c>
      <c r="AW286" s="112">
        <f t="shared" si="118"/>
        <v>2.2414552509115726E-3</v>
      </c>
      <c r="AX286" s="113">
        <f t="shared" si="119"/>
        <v>462.88531135765345</v>
      </c>
      <c r="AY286" s="108">
        <f t="shared" si="120"/>
        <v>10.375367117124505</v>
      </c>
      <c r="AZ286" s="108">
        <f t="shared" si="121"/>
        <v>22.414552509115726</v>
      </c>
    </row>
    <row r="287" spans="1:52" ht="18" x14ac:dyDescent="0.25">
      <c r="A287" s="18"/>
      <c r="B287" s="18"/>
      <c r="C287" s="18"/>
      <c r="D287" s="18"/>
      <c r="E287" s="18"/>
      <c r="F287" s="18"/>
      <c r="G287" s="18"/>
      <c r="H287" s="18"/>
      <c r="I287" s="106" t="s">
        <v>152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</row>
    <row r="288" spans="1:52" ht="18" x14ac:dyDescent="0.25">
      <c r="A288" s="18"/>
      <c r="B288" s="18"/>
      <c r="C288" s="18"/>
      <c r="D288" s="18"/>
      <c r="E288" s="18"/>
      <c r="F288" s="18"/>
      <c r="G288" s="18"/>
      <c r="H288" s="18"/>
      <c r="I288" s="106" t="s">
        <v>152</v>
      </c>
      <c r="J288" s="18"/>
      <c r="K288" s="18"/>
      <c r="L288" s="18"/>
      <c r="M288" s="18"/>
      <c r="N288" s="18"/>
      <c r="O288" s="18"/>
      <c r="P288" s="18"/>
      <c r="Q288" s="15"/>
      <c r="R288" s="15"/>
      <c r="S288" s="16">
        <f>AVERAGE(S283:S286)</f>
        <v>6.0076442500000002</v>
      </c>
      <c r="T288" s="16">
        <f t="shared" ref="T288:W288" si="145">AVERAGE(T283:T286)</f>
        <v>1.7773530247112701</v>
      </c>
      <c r="U288" s="16">
        <f t="shared" si="145"/>
        <v>4.1612238125000003</v>
      </c>
      <c r="V288" s="16">
        <f t="shared" si="145"/>
        <v>-24.63598008754283</v>
      </c>
      <c r="W288" s="16">
        <f t="shared" si="145"/>
        <v>2.5109999999999997</v>
      </c>
      <c r="X288" s="16">
        <v>6.0076442500000002</v>
      </c>
      <c r="Y288" s="16">
        <v>1.7773530247112701</v>
      </c>
      <c r="Z288" s="16">
        <v>4.1612238125000003</v>
      </c>
      <c r="AA288" s="16">
        <v>-24.63598008754283</v>
      </c>
      <c r="AB288" s="16">
        <v>2.5109999999999997</v>
      </c>
      <c r="AC288" s="16">
        <v>2.5109999999999997</v>
      </c>
      <c r="AD288" s="2">
        <f t="shared" ref="AD288" si="146">((2.82/100)*AB288)/X288</f>
        <v>1.1786683274396614E-2</v>
      </c>
      <c r="AE288" s="2">
        <f t="shared" ref="AE288" si="147">((46.01/100)*AC288)/Z288</f>
        <v>0.27763733748940228</v>
      </c>
      <c r="AF288" s="6">
        <f t="shared" ref="AF288" si="148">S288*AD288</f>
        <v>7.081019999999999E-2</v>
      </c>
      <c r="AG288" s="6">
        <f t="shared" ref="AG288" si="149">U288*AE288</f>
        <v>1.1553110999999998</v>
      </c>
      <c r="AH288" s="9">
        <f t="shared" ref="AH288" si="150">100*AF288/W288</f>
        <v>2.82</v>
      </c>
      <c r="AI288" s="10">
        <f t="shared" ref="AI288" si="151">100*AG288/W288</f>
        <v>46.01</v>
      </c>
      <c r="AJ288" s="7">
        <f t="shared" ref="AJ288" si="152">AG288/AF288</f>
        <v>16.315602836879432</v>
      </c>
      <c r="AK288" s="8">
        <f t="shared" si="122"/>
        <v>1.98</v>
      </c>
      <c r="AL288" s="8">
        <f t="shared" ref="AL288" si="153">V288+(-26.03-AA288)</f>
        <v>-26.03</v>
      </c>
      <c r="AM288" s="107">
        <v>0.36599999999999999</v>
      </c>
      <c r="AN288" s="108">
        <f t="shared" ref="AN288" si="154">T288+(1.98-Y288)</f>
        <v>1.98</v>
      </c>
      <c r="AO288" s="109">
        <f t="shared" ref="AO288" si="155">100*0.003676*(AN288/1000+1)/(1+0.003676*(AN288/1000+1))</f>
        <v>0.36697617256093357</v>
      </c>
      <c r="AP288" s="110">
        <f t="shared" ref="AP288" si="156">AO288-AM288</f>
        <v>9.7617256093357474E-4</v>
      </c>
      <c r="AQ288" s="111">
        <f t="shared" ref="AQ288" si="157">(AH288%*W288)/W288*1000</f>
        <v>28.2</v>
      </c>
      <c r="AR288" s="111">
        <f t="shared" ref="AR288" si="158">(AQ288*AP288%)*1000</f>
        <v>0.27528066218326813</v>
      </c>
      <c r="AS288" s="111">
        <f t="shared" ref="AS288" si="159">(((AF288*AP288%)/AF288)*1000)*1000</f>
        <v>9.7617256093357483</v>
      </c>
      <c r="AT288" s="107">
        <v>1.08</v>
      </c>
      <c r="AU288" s="108">
        <f t="shared" ref="AU288" si="160">V288+(-26.03-AA288)</f>
        <v>-26.03</v>
      </c>
      <c r="AV288" s="112">
        <f t="shared" ref="AV288" si="161">100*0.011237*(AU288/1000+1)/(1+0.011237*(AU288/1000+1))</f>
        <v>1.0826015553143469</v>
      </c>
      <c r="AW288" s="112">
        <f t="shared" ref="AW288" si="162">AV288-AT288</f>
        <v>2.601555314346804E-3</v>
      </c>
      <c r="AX288" s="113">
        <f t="shared" ref="AX288" si="163">(AI288%*W288)/W288*1000</f>
        <v>460.1</v>
      </c>
      <c r="AY288" s="108">
        <f t="shared" ref="AY288" si="164">(AX288*AW288%)*1000</f>
        <v>11.969756001309644</v>
      </c>
      <c r="AZ288" s="108">
        <f t="shared" ref="AZ288" si="165">(((AG288*AW288%)/AG288)*1000)*1000</f>
        <v>26.01555314346804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15B2-0080-429A-9809-3405254D92C7}">
  <dimension ref="A1:S51"/>
  <sheetViews>
    <sheetView topLeftCell="A22" zoomScale="85" zoomScaleNormal="85" workbookViewId="0">
      <selection activeCell="V54" sqref="V54"/>
    </sheetView>
  </sheetViews>
  <sheetFormatPr defaultRowHeight="15" x14ac:dyDescent="0.25"/>
  <cols>
    <col min="1" max="1" width="22.28515625" customWidth="1"/>
    <col min="3" max="3" width="12.7109375" customWidth="1"/>
    <col min="4" max="4" width="13" customWidth="1"/>
    <col min="5" max="5" width="13.28515625" customWidth="1"/>
    <col min="17" max="17" width="23.7109375" bestFit="1" customWidth="1"/>
    <col min="18" max="18" width="25.28515625" bestFit="1" customWidth="1"/>
  </cols>
  <sheetData>
    <row r="1" spans="1:19" ht="23.25" x14ac:dyDescent="0.35">
      <c r="A1" s="37" t="s">
        <v>153</v>
      </c>
      <c r="B1" s="38"/>
      <c r="C1" s="38"/>
      <c r="D1" s="39"/>
      <c r="E1" s="39"/>
      <c r="F1" s="39"/>
      <c r="G1" s="39"/>
      <c r="H1" s="39"/>
      <c r="I1" s="39"/>
      <c r="J1" s="39"/>
      <c r="K1" s="39"/>
      <c r="L1" s="39"/>
      <c r="N1" s="100" t="s">
        <v>181</v>
      </c>
      <c r="O1" s="100" t="s">
        <v>191</v>
      </c>
    </row>
    <row r="2" spans="1:19" x14ac:dyDescent="0.25">
      <c r="A2" s="13"/>
      <c r="B2" s="13"/>
      <c r="C2" s="13"/>
      <c r="D2" s="13"/>
      <c r="E2" s="13"/>
      <c r="F2" s="13"/>
      <c r="G2" s="13" t="s">
        <v>154</v>
      </c>
      <c r="H2" s="13"/>
      <c r="I2" s="13"/>
      <c r="J2" s="13"/>
      <c r="K2" s="13"/>
      <c r="L2" s="13"/>
      <c r="N2" s="101" t="s">
        <v>160</v>
      </c>
      <c r="O2" s="101" t="s">
        <v>4</v>
      </c>
      <c r="Q2" s="125"/>
      <c r="R2" s="126"/>
      <c r="S2" t="s">
        <v>453</v>
      </c>
    </row>
    <row r="3" spans="1:19" ht="18" x14ac:dyDescent="0.25">
      <c r="A3" s="13" t="s">
        <v>155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N3" s="95">
        <v>1.572995761294786</v>
      </c>
      <c r="O3" s="95">
        <v>-26.998600937651158</v>
      </c>
      <c r="Q3" s="148">
        <v>-2.3340780836621375</v>
      </c>
      <c r="R3" s="148">
        <v>-27.744791714078506</v>
      </c>
      <c r="S3" t="s">
        <v>457</v>
      </c>
    </row>
    <row r="4" spans="1:19" ht="18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N4" s="95">
        <v>2.5185982027676008</v>
      </c>
      <c r="O4" s="95">
        <v>-26.919940780647767</v>
      </c>
      <c r="Q4" s="148">
        <v>-1.7948372606290659</v>
      </c>
      <c r="R4" s="148">
        <v>-27.342737831783946</v>
      </c>
      <c r="S4" t="s">
        <v>457</v>
      </c>
    </row>
    <row r="5" spans="1:19" ht="18" x14ac:dyDescent="0.25">
      <c r="A5" s="13" t="s">
        <v>156</v>
      </c>
      <c r="B5" s="13">
        <v>3.676E-3</v>
      </c>
      <c r="C5" s="13"/>
      <c r="D5" s="13"/>
      <c r="E5" s="13"/>
      <c r="F5" s="13"/>
      <c r="G5" s="13"/>
      <c r="H5" s="13"/>
      <c r="I5" s="13"/>
      <c r="J5" s="13"/>
      <c r="K5" s="13"/>
      <c r="L5" s="13"/>
      <c r="N5" s="95">
        <v>-1.548894767335431</v>
      </c>
      <c r="O5" s="95">
        <v>-28.505475833017826</v>
      </c>
      <c r="Q5" s="148">
        <v>0.10772368669966673</v>
      </c>
      <c r="R5" s="148">
        <v>-26.572911042595905</v>
      </c>
      <c r="S5" t="s">
        <v>457</v>
      </c>
    </row>
    <row r="6" spans="1:19" ht="18" x14ac:dyDescent="0.25">
      <c r="A6" s="13" t="s">
        <v>157</v>
      </c>
      <c r="B6" s="13">
        <v>1.1237E-2</v>
      </c>
      <c r="C6" s="13"/>
      <c r="D6" s="13"/>
      <c r="E6" s="13"/>
      <c r="F6" s="13"/>
      <c r="G6" s="13"/>
      <c r="H6" s="13"/>
      <c r="I6" s="13"/>
      <c r="J6" s="13"/>
      <c r="K6" s="13"/>
      <c r="L6" s="13"/>
      <c r="N6" s="95">
        <v>-1.8922587606359493</v>
      </c>
      <c r="O6" s="95">
        <v>-26.364614246438375</v>
      </c>
      <c r="Q6" s="148">
        <v>0.15571260013291677</v>
      </c>
      <c r="R6" s="148">
        <v>-26.861229416640505</v>
      </c>
      <c r="S6" t="s">
        <v>457</v>
      </c>
    </row>
    <row r="7" spans="1:19" ht="18" x14ac:dyDescent="0.25">
      <c r="A7" s="13"/>
      <c r="B7" s="13"/>
      <c r="C7" s="13"/>
      <c r="D7" s="13"/>
      <c r="E7" s="13"/>
      <c r="F7" s="13"/>
      <c r="G7" s="40" t="s">
        <v>158</v>
      </c>
      <c r="H7" s="39"/>
      <c r="I7" s="39"/>
      <c r="J7" s="39"/>
      <c r="K7" s="13"/>
      <c r="L7" s="13"/>
      <c r="N7" s="95">
        <v>-3.6088814664431852</v>
      </c>
      <c r="O7" s="95">
        <v>-27.795870405601409</v>
      </c>
      <c r="Q7" s="148">
        <v>2.9709237271471833</v>
      </c>
      <c r="R7" s="148">
        <v>-27.951701962787105</v>
      </c>
      <c r="S7" t="s">
        <v>457</v>
      </c>
    </row>
    <row r="8" spans="1:19" ht="18" x14ac:dyDescent="0.25">
      <c r="A8" s="13"/>
      <c r="B8" s="41" t="s">
        <v>159</v>
      </c>
      <c r="C8" s="41"/>
      <c r="D8" s="42"/>
      <c r="E8" s="42"/>
      <c r="F8" s="13"/>
      <c r="G8" s="43" t="s">
        <v>160</v>
      </c>
      <c r="H8" s="43"/>
      <c r="I8" s="43" t="s">
        <v>4</v>
      </c>
      <c r="J8" s="44"/>
      <c r="K8" s="13"/>
      <c r="L8" s="13"/>
      <c r="N8" s="95">
        <v>-1.4751202956880411</v>
      </c>
      <c r="O8" s="95">
        <v>-26.709177173545527</v>
      </c>
      <c r="Q8" s="148">
        <v>1.0555668820720028</v>
      </c>
      <c r="R8" s="148">
        <v>-27.77395312568386</v>
      </c>
      <c r="S8" t="s">
        <v>457</v>
      </c>
    </row>
    <row r="9" spans="1:19" ht="18" x14ac:dyDescent="0.25">
      <c r="A9" s="13"/>
      <c r="B9" s="45" t="s">
        <v>160</v>
      </c>
      <c r="C9" s="45"/>
      <c r="D9" s="45" t="s">
        <v>4</v>
      </c>
      <c r="E9" s="45"/>
      <c r="F9" s="13"/>
      <c r="G9" s="46" t="s">
        <v>161</v>
      </c>
      <c r="H9" s="46" t="s">
        <v>162</v>
      </c>
      <c r="I9" s="46" t="s">
        <v>161</v>
      </c>
      <c r="J9" s="46" t="s">
        <v>162</v>
      </c>
      <c r="K9" s="13"/>
      <c r="L9" s="13"/>
      <c r="N9" s="95">
        <v>-0.61233604830003996</v>
      </c>
      <c r="O9" s="95">
        <v>-27.729330844125514</v>
      </c>
      <c r="Q9" s="148">
        <v>4.0978290446965215E-2</v>
      </c>
      <c r="R9" s="148">
        <v>-28.26562918687738</v>
      </c>
      <c r="S9" t="s">
        <v>457</v>
      </c>
    </row>
    <row r="10" spans="1:19" ht="18" x14ac:dyDescent="0.25">
      <c r="A10" s="13"/>
      <c r="B10" s="47" t="s">
        <v>162</v>
      </c>
      <c r="C10" s="47" t="s">
        <v>161</v>
      </c>
      <c r="D10" s="47" t="s">
        <v>162</v>
      </c>
      <c r="E10" s="47" t="s">
        <v>161</v>
      </c>
      <c r="F10" s="13"/>
      <c r="G10" s="48">
        <v>0.36625400000000002</v>
      </c>
      <c r="H10" s="49">
        <f>(1/((100/G10-1)*B$5)-1)*1000</f>
        <v>9.5481369188910037E-4</v>
      </c>
      <c r="I10" s="48">
        <v>1.111213</v>
      </c>
      <c r="J10" s="49">
        <f>(1/((100/I10-1)*B$6)-1)*1000</f>
        <v>-2.6954231024944875E-4</v>
      </c>
      <c r="K10" s="13"/>
      <c r="L10" s="13"/>
      <c r="N10" s="95">
        <v>-0.75607780146539261</v>
      </c>
      <c r="O10" s="95">
        <v>-26.370139322061156</v>
      </c>
      <c r="Q10" s="148">
        <v>3.1116674665083073</v>
      </c>
      <c r="R10" s="148">
        <v>-27.302783358546318</v>
      </c>
      <c r="S10" t="s">
        <v>457</v>
      </c>
    </row>
    <row r="11" spans="1:19" ht="18" x14ac:dyDescent="0.25">
      <c r="A11" s="13"/>
      <c r="B11" s="50">
        <v>-8</v>
      </c>
      <c r="C11" s="50">
        <f>100*B$5*((B11/1000)+1)/(1+B$5*(B11/1000+1))</f>
        <v>0.36333426816438585</v>
      </c>
      <c r="D11" s="50">
        <v>-30</v>
      </c>
      <c r="E11" s="50">
        <f>100*B$6*((D11/1000)+1)/(1+B$6*(D11/1000+1))</f>
        <v>1.0782363424730417</v>
      </c>
      <c r="F11" s="13"/>
      <c r="G11" s="48">
        <v>0.5</v>
      </c>
      <c r="H11" s="49">
        <f>(1/((100/G11-1)*B$5)-1)*1000</f>
        <v>367.00914802521868</v>
      </c>
      <c r="I11" s="48">
        <v>1.2</v>
      </c>
      <c r="J11" s="49">
        <f>(1/((100/I11-1)*B$6)-1)*1000</f>
        <v>80.871138903110037</v>
      </c>
      <c r="K11" s="13"/>
      <c r="L11" s="13"/>
      <c r="N11" s="95"/>
      <c r="O11" s="95"/>
      <c r="P11" s="28" t="s">
        <v>152</v>
      </c>
      <c r="Q11" s="148">
        <v>-1.4652399305287538</v>
      </c>
      <c r="R11" s="148">
        <v>-28.852494831472654</v>
      </c>
      <c r="S11" t="s">
        <v>465</v>
      </c>
    </row>
    <row r="12" spans="1:19" ht="18" x14ac:dyDescent="0.25">
      <c r="A12" t="s">
        <v>163</v>
      </c>
      <c r="B12" s="12">
        <v>-4.5758120176019217</v>
      </c>
      <c r="C12" s="50">
        <f>100*B$5*((B12/1000)+1)/(1+B$5*(B12/1000+1))</f>
        <v>0.36458385380589148</v>
      </c>
      <c r="D12" s="12">
        <v>-30.665761552179124</v>
      </c>
      <c r="E12" s="50">
        <f t="shared" ref="E12:E25" si="0">100*B$6*((D12/1000)+1)/(1+B$6*(D12/1000+1))</f>
        <v>1.0775042667463313</v>
      </c>
      <c r="F12" s="13"/>
      <c r="G12" s="48">
        <v>0.75</v>
      </c>
      <c r="H12" s="49">
        <f>(1/((100/G12-1)*B$5)-1)*1000</f>
        <v>1055.6787440076962</v>
      </c>
      <c r="I12" s="48">
        <v>1.5</v>
      </c>
      <c r="J12" s="49">
        <f>(1/((100/I12-1)*B$6)-1)*1000</f>
        <v>355.20391527445815</v>
      </c>
      <c r="K12" s="13"/>
      <c r="L12" s="13"/>
      <c r="N12" s="95">
        <v>-2.5731809622073372</v>
      </c>
      <c r="O12" s="95">
        <v>-27.935029930251016</v>
      </c>
      <c r="Q12" s="148">
        <v>-0.25386641097164653</v>
      </c>
      <c r="R12" s="148">
        <v>-28.252143431858759</v>
      </c>
      <c r="S12" t="s">
        <v>465</v>
      </c>
    </row>
    <row r="13" spans="1:19" ht="18" x14ac:dyDescent="0.25">
      <c r="A13" t="s">
        <v>164</v>
      </c>
      <c r="B13" s="51">
        <v>-4.1450581850499768</v>
      </c>
      <c r="C13" s="50">
        <f>100*B$5*((B13/1000)+1)/(1+B$5*(B13/1000+1))</f>
        <v>0.36474104617008352</v>
      </c>
      <c r="D13" s="51">
        <v>-31.709305540950982</v>
      </c>
      <c r="E13" s="50">
        <f t="shared" si="0"/>
        <v>1.0763567571956534</v>
      </c>
      <c r="F13" s="13"/>
      <c r="G13" s="48">
        <v>1</v>
      </c>
      <c r="H13" s="49">
        <f>(1/((100/G13-1)*B$5)-1)*1000</f>
        <v>1747.8264692628129</v>
      </c>
      <c r="I13" s="48">
        <v>1.8</v>
      </c>
      <c r="J13" s="49">
        <f>(1/((100/I13-1)*B$6)-1)*1000</f>
        <v>631.21285932220928</v>
      </c>
      <c r="K13" s="13"/>
      <c r="L13" s="13"/>
      <c r="N13" s="95">
        <v>3.836235269823336</v>
      </c>
      <c r="O13" s="95">
        <v>-25.100908062892564</v>
      </c>
      <c r="Q13" s="148">
        <v>-0.11278194757184501</v>
      </c>
      <c r="R13" s="148">
        <v>-28.764036642349382</v>
      </c>
      <c r="S13" t="s">
        <v>465</v>
      </c>
    </row>
    <row r="14" spans="1:19" ht="18" x14ac:dyDescent="0.25">
      <c r="A14" s="13"/>
      <c r="B14" s="52">
        <v>-5</v>
      </c>
      <c r="C14" s="50">
        <f t="shared" ref="C14:C24" si="1">100*B$5*((B14/1000)+1)/(1+B$5*(B14/1000+1))</f>
        <v>0.36442905699256284</v>
      </c>
      <c r="D14" s="52">
        <v>-27</v>
      </c>
      <c r="E14" s="50">
        <f t="shared" si="0"/>
        <v>1.0815350275413391</v>
      </c>
      <c r="F14" s="13"/>
      <c r="G14" s="48">
        <v>10</v>
      </c>
      <c r="H14" s="49">
        <f>(1/((100/G14-1)*B$5)-1)*1000</f>
        <v>29226.091161890941</v>
      </c>
      <c r="I14" s="48">
        <v>2</v>
      </c>
      <c r="J14" s="49">
        <f>(1/((100/I14-1)*B$6)-1)*1000</f>
        <v>816.15762795284525</v>
      </c>
      <c r="K14" s="13"/>
      <c r="L14" s="13"/>
      <c r="N14" s="95">
        <v>-0.39249904202048436</v>
      </c>
      <c r="O14" s="95">
        <v>-27.133739107563105</v>
      </c>
      <c r="Q14" s="148">
        <v>0.44627170190339072</v>
      </c>
      <c r="R14" s="148">
        <v>-29.323218630539397</v>
      </c>
      <c r="S14" t="s">
        <v>465</v>
      </c>
    </row>
    <row r="15" spans="1:19" ht="18" x14ac:dyDescent="0.25">
      <c r="A15" s="13"/>
      <c r="B15" s="12">
        <v>-2.6581644588492788</v>
      </c>
      <c r="C15" s="50">
        <f t="shared" si="1"/>
        <v>0.36528364540162783</v>
      </c>
      <c r="D15" s="12">
        <v>-28.913008420706802</v>
      </c>
      <c r="E15" s="50">
        <f t="shared" si="0"/>
        <v>1.0794315821859262</v>
      </c>
      <c r="F15" s="13"/>
      <c r="G15" s="13"/>
      <c r="H15" s="13"/>
      <c r="I15" s="13"/>
      <c r="J15" s="13"/>
      <c r="K15" s="13"/>
      <c r="L15" s="13"/>
      <c r="N15" s="95">
        <v>-1.2713625477884141</v>
      </c>
      <c r="O15" s="95">
        <v>-26.608784761803804</v>
      </c>
      <c r="Q15" s="148">
        <v>2.091874973245246</v>
      </c>
      <c r="R15" s="148">
        <v>-26.035045410587397</v>
      </c>
      <c r="S15" t="s">
        <v>152</v>
      </c>
    </row>
    <row r="16" spans="1:19" ht="18" x14ac:dyDescent="0.25">
      <c r="A16" s="13"/>
      <c r="B16" s="12">
        <v>-1.2689927303572093</v>
      </c>
      <c r="C16" s="50">
        <f t="shared" si="1"/>
        <v>0.36579057845214069</v>
      </c>
      <c r="D16" s="12">
        <v>-30.504383582891304</v>
      </c>
      <c r="E16" s="50">
        <f t="shared" si="0"/>
        <v>1.0776817200043827</v>
      </c>
      <c r="F16" s="13"/>
      <c r="G16" s="13"/>
      <c r="H16" s="13"/>
      <c r="I16" s="13"/>
      <c r="J16" s="13"/>
      <c r="K16" s="13"/>
      <c r="L16" s="13"/>
      <c r="N16" s="95">
        <v>-2.3910091182222799</v>
      </c>
      <c r="O16" s="95">
        <v>-27.046137223050184</v>
      </c>
      <c r="Q16" s="148">
        <v>1.2611364457026863</v>
      </c>
      <c r="R16" s="148">
        <v>-29.125229078540158</v>
      </c>
      <c r="S16" t="s">
        <v>465</v>
      </c>
    </row>
    <row r="17" spans="1:19" ht="18" x14ac:dyDescent="0.25">
      <c r="A17" s="13"/>
      <c r="B17" s="12">
        <v>-5.4894210892118593</v>
      </c>
      <c r="C17" s="53">
        <f t="shared" si="1"/>
        <v>0.36425045438796294</v>
      </c>
      <c r="D17" s="12">
        <v>-30.140916718579355</v>
      </c>
      <c r="E17" s="53">
        <f t="shared" si="0"/>
        <v>1.0780813904380881</v>
      </c>
      <c r="F17" s="13"/>
      <c r="G17" s="54"/>
      <c r="H17" s="55"/>
      <c r="I17" s="56"/>
      <c r="J17" s="56"/>
      <c r="K17" s="57"/>
      <c r="L17" s="58"/>
      <c r="N17" s="95">
        <v>-1.5644814408272469</v>
      </c>
      <c r="O17" s="95">
        <v>-26.61790613380245</v>
      </c>
      <c r="Q17" s="148">
        <v>-1.8896348133339942</v>
      </c>
      <c r="R17" s="148">
        <v>-28.470901164433577</v>
      </c>
      <c r="S17" t="s">
        <v>465</v>
      </c>
    </row>
    <row r="18" spans="1:19" ht="18" x14ac:dyDescent="0.25">
      <c r="A18" s="59"/>
      <c r="B18" s="12">
        <v>-5.1643423896774925</v>
      </c>
      <c r="C18" s="19">
        <f t="shared" si="1"/>
        <v>0.36436908421136882</v>
      </c>
      <c r="D18" s="12">
        <v>-30.439658632142198</v>
      </c>
      <c r="E18" s="60">
        <f t="shared" si="0"/>
        <v>1.0777528922007547</v>
      </c>
      <c r="G18" s="61"/>
      <c r="I18" s="19"/>
      <c r="J18" s="19"/>
      <c r="K18" s="12"/>
      <c r="L18" s="62"/>
      <c r="N18" s="95">
        <v>-1.2007783584411276</v>
      </c>
      <c r="O18" s="95">
        <v>-28.255602976398894</v>
      </c>
      <c r="Q18" s="148">
        <v>-1.9192508826014902</v>
      </c>
      <c r="R18" s="148">
        <v>-28.576389319475208</v>
      </c>
      <c r="S18" t="s">
        <v>465</v>
      </c>
    </row>
    <row r="19" spans="1:19" ht="18" x14ac:dyDescent="0.25">
      <c r="A19" s="59"/>
      <c r="B19" s="63">
        <v>-3.7993147467586903</v>
      </c>
      <c r="C19" s="64">
        <f t="shared" si="1"/>
        <v>0.3648672158516883</v>
      </c>
      <c r="D19" s="63">
        <v>-29.947034184738936</v>
      </c>
      <c r="E19" s="65">
        <f t="shared" si="0"/>
        <v>1.0782945835621942</v>
      </c>
      <c r="F19" s="13"/>
      <c r="G19" s="66"/>
      <c r="H19" s="67"/>
      <c r="I19" s="64"/>
      <c r="J19" s="64"/>
      <c r="K19" s="63"/>
      <c r="L19" s="68"/>
      <c r="N19" s="95">
        <v>-0.61144955335888218</v>
      </c>
      <c r="O19" s="95">
        <v>-25.7165414932375</v>
      </c>
      <c r="Q19" s="148">
        <v>-2.9110832092048011E-2</v>
      </c>
      <c r="R19" s="148">
        <v>-28.938964565764945</v>
      </c>
      <c r="S19" t="s">
        <v>465</v>
      </c>
    </row>
    <row r="20" spans="1:19" ht="18" x14ac:dyDescent="0.25">
      <c r="A20" s="13"/>
      <c r="B20" s="63">
        <v>-2.004370675907571</v>
      </c>
      <c r="C20" s="69">
        <f t="shared" si="1"/>
        <v>0.36552222682583729</v>
      </c>
      <c r="D20" s="63">
        <v>-31.057025720939897</v>
      </c>
      <c r="E20" s="69">
        <f t="shared" si="0"/>
        <v>1.0770740250699888</v>
      </c>
      <c r="F20" s="13"/>
      <c r="G20" s="66"/>
      <c r="H20" s="13"/>
      <c r="I20" s="70"/>
      <c r="J20" s="70"/>
      <c r="K20" s="63"/>
      <c r="L20" s="68"/>
      <c r="N20" s="95">
        <v>-3.3881430329817097</v>
      </c>
      <c r="O20" s="95">
        <v>-27.074798716117325</v>
      </c>
      <c r="Q20" s="148">
        <v>-1.1872014122862273</v>
      </c>
      <c r="R20" s="148">
        <v>-23.207136853534994</v>
      </c>
      <c r="S20" t="s">
        <v>466</v>
      </c>
    </row>
    <row r="21" spans="1:19" ht="18" x14ac:dyDescent="0.25">
      <c r="A21" s="13"/>
      <c r="B21" s="12">
        <v>-3.1789297141235893</v>
      </c>
      <c r="C21" s="71">
        <f t="shared" si="1"/>
        <v>0.36509360772611765</v>
      </c>
      <c r="D21" s="12">
        <v>-31.480325847542808</v>
      </c>
      <c r="E21" s="71">
        <f t="shared" si="0"/>
        <v>1.0766085518177375</v>
      </c>
      <c r="F21" s="13"/>
      <c r="G21" s="61"/>
      <c r="I21" s="72"/>
      <c r="J21" s="72"/>
      <c r="K21" s="12"/>
      <c r="L21" s="62"/>
      <c r="N21" s="95">
        <v>-0.70875914861876099</v>
      </c>
      <c r="O21" s="95">
        <v>-26.95152997901387</v>
      </c>
      <c r="Q21" s="148">
        <v>-0.12129120989009923</v>
      </c>
      <c r="R21" s="148">
        <v>-24.875963737821714</v>
      </c>
      <c r="S21" t="s">
        <v>466</v>
      </c>
    </row>
    <row r="22" spans="1:19" ht="18" x14ac:dyDescent="0.25">
      <c r="A22" s="13"/>
      <c r="B22" s="63">
        <v>-2.4742540961763702</v>
      </c>
      <c r="C22" s="73">
        <f t="shared" si="1"/>
        <v>0.36535075780451498</v>
      </c>
      <c r="D22" s="63">
        <v>-31.974076928766411</v>
      </c>
      <c r="E22" s="73">
        <f t="shared" si="0"/>
        <v>1.0760656030917501</v>
      </c>
      <c r="F22" s="13"/>
      <c r="G22" s="74"/>
      <c r="H22" s="75"/>
      <c r="I22" s="76"/>
      <c r="J22" s="76"/>
      <c r="K22" s="77"/>
      <c r="L22" s="78"/>
      <c r="N22" s="95">
        <v>-3.1913983090466629</v>
      </c>
      <c r="O22" s="95">
        <v>-28.264215175037467</v>
      </c>
      <c r="Q22" s="148">
        <v>-0.55512429833470656</v>
      </c>
      <c r="R22" s="148">
        <v>-24.135039688806529</v>
      </c>
      <c r="S22" t="s">
        <v>466</v>
      </c>
    </row>
    <row r="23" spans="1:19" ht="18" x14ac:dyDescent="0.25">
      <c r="A23" s="13"/>
      <c r="B23" s="50">
        <v>0</v>
      </c>
      <c r="C23" s="50">
        <f t="shared" si="1"/>
        <v>0.36625365157680367</v>
      </c>
      <c r="D23" s="50">
        <v>-31</v>
      </c>
      <c r="E23" s="50">
        <f t="shared" si="0"/>
        <v>1.0771367318928646</v>
      </c>
      <c r="F23" s="13"/>
      <c r="G23" s="13"/>
      <c r="H23" s="13"/>
      <c r="I23" s="13"/>
      <c r="J23" s="13"/>
      <c r="K23" s="13"/>
      <c r="L23" s="13"/>
      <c r="N23" s="95">
        <v>-1.3153751032739653</v>
      </c>
      <c r="O23" s="95">
        <v>-26.451194935231044</v>
      </c>
      <c r="Q23" s="148">
        <v>-0.67474937584669881</v>
      </c>
      <c r="R23" s="148">
        <v>-27.127636039210433</v>
      </c>
      <c r="S23" t="s">
        <v>466</v>
      </c>
    </row>
    <row r="24" spans="1:19" ht="18" x14ac:dyDescent="0.25">
      <c r="A24" s="79"/>
      <c r="B24" s="80">
        <v>1.0397630667569111</v>
      </c>
      <c r="C24" s="50">
        <f t="shared" si="1"/>
        <v>0.36663307239563747</v>
      </c>
      <c r="D24" s="80">
        <v>-27.400348250812158</v>
      </c>
      <c r="E24" s="50">
        <f t="shared" si="0"/>
        <v>1.0810948326627625</v>
      </c>
      <c r="F24" s="13"/>
      <c r="G24" s="79"/>
      <c r="H24" s="81"/>
      <c r="I24" s="81"/>
      <c r="J24" s="80"/>
      <c r="K24" s="80"/>
      <c r="L24" s="13"/>
      <c r="N24" s="95"/>
      <c r="O24" s="95"/>
      <c r="P24" s="28" t="s">
        <v>152</v>
      </c>
      <c r="Q24" s="148">
        <v>0.5259858363034764</v>
      </c>
      <c r="R24" s="148">
        <v>-28.275807926226523</v>
      </c>
      <c r="S24" t="s">
        <v>467</v>
      </c>
    </row>
    <row r="25" spans="1:19" ht="18" x14ac:dyDescent="0.25">
      <c r="A25" s="93" t="s">
        <v>179</v>
      </c>
      <c r="B25" s="99">
        <v>-0.7</v>
      </c>
      <c r="C25" s="92">
        <f>100*B$5*((B25/1000)+1)/(1+B$5*(B25/1000+1))</f>
        <v>0.36599821235797209</v>
      </c>
      <c r="D25" s="99">
        <v>-28.15</v>
      </c>
      <c r="E25" s="92">
        <f t="shared" si="0"/>
        <v>1.0802705576014326</v>
      </c>
      <c r="F25" s="13"/>
      <c r="G25" s="82"/>
      <c r="H25" s="82"/>
      <c r="I25" s="82"/>
      <c r="J25" s="63"/>
      <c r="K25" s="63"/>
      <c r="L25" s="13"/>
      <c r="N25" s="95"/>
      <c r="O25" s="95"/>
      <c r="P25" s="28" t="s">
        <v>152</v>
      </c>
      <c r="Q25" s="148">
        <v>-0.13608987236988612</v>
      </c>
      <c r="R25" s="148">
        <v>-28.515135445618633</v>
      </c>
      <c r="S25" t="s">
        <v>467</v>
      </c>
    </row>
    <row r="26" spans="1:19" ht="18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N26" s="95">
        <v>-2.1692961322292241</v>
      </c>
      <c r="O26" s="95">
        <v>-29.806406579286122</v>
      </c>
      <c r="Q26" s="148">
        <v>0.27869691324601709</v>
      </c>
      <c r="R26" s="148">
        <v>-29.150218155021847</v>
      </c>
      <c r="S26" t="s">
        <v>467</v>
      </c>
    </row>
    <row r="27" spans="1:19" ht="18" x14ac:dyDescent="0.25">
      <c r="A27" s="83" t="s">
        <v>165</v>
      </c>
      <c r="B27" s="83"/>
      <c r="C27" s="83"/>
      <c r="D27" s="83"/>
      <c r="E27" s="83"/>
      <c r="F27" s="83"/>
      <c r="G27" s="83"/>
      <c r="H27" s="84"/>
      <c r="I27" s="84"/>
      <c r="J27" s="84"/>
      <c r="K27" s="84"/>
      <c r="L27" s="84"/>
      <c r="N27" s="95">
        <v>-5.3657816718851317</v>
      </c>
      <c r="O27" s="95">
        <v>-30.388567716176009</v>
      </c>
      <c r="Q27" s="148">
        <v>1.208672946749269</v>
      </c>
      <c r="R27" s="148">
        <v>-27.953895765295787</v>
      </c>
      <c r="S27" t="s">
        <v>467</v>
      </c>
    </row>
    <row r="28" spans="1:19" ht="23.25" x14ac:dyDescent="0.35">
      <c r="A28" s="85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N28" s="95">
        <v>1.1653194360814734</v>
      </c>
      <c r="O28" s="95">
        <v>-29.000224244194584</v>
      </c>
      <c r="Q28" s="148">
        <v>1.9711132822599413</v>
      </c>
      <c r="R28" s="148">
        <v>-26.038847830830253</v>
      </c>
      <c r="S28" t="s">
        <v>152</v>
      </c>
    </row>
    <row r="29" spans="1:19" ht="18" x14ac:dyDescent="0.25">
      <c r="A29" s="84"/>
      <c r="B29" s="86" t="s">
        <v>166</v>
      </c>
      <c r="C29" s="84" t="s">
        <v>167</v>
      </c>
      <c r="D29" s="84"/>
      <c r="E29" s="84"/>
      <c r="F29" s="84" t="s">
        <v>168</v>
      </c>
      <c r="G29" s="84"/>
      <c r="H29" s="84"/>
      <c r="I29" s="84"/>
      <c r="J29" s="84" t="s">
        <v>169</v>
      </c>
      <c r="K29" s="84"/>
      <c r="L29" s="84"/>
      <c r="N29" s="95">
        <v>-0.3045697424689392</v>
      </c>
      <c r="O29" s="95">
        <v>-28.409641159746062</v>
      </c>
      <c r="Q29" s="148">
        <v>0.38209551687278409</v>
      </c>
      <c r="R29" s="148">
        <v>-29.273303929279791</v>
      </c>
      <c r="S29" t="s">
        <v>467</v>
      </c>
    </row>
    <row r="30" spans="1:19" ht="18" x14ac:dyDescent="0.25">
      <c r="A30" s="84"/>
      <c r="B30" s="86"/>
      <c r="C30" s="84"/>
      <c r="D30" s="84"/>
      <c r="E30" s="84"/>
      <c r="F30" s="84"/>
      <c r="G30" s="84"/>
      <c r="H30" s="84"/>
      <c r="I30" s="84"/>
      <c r="J30" s="84"/>
      <c r="K30" s="84"/>
      <c r="L30" s="84"/>
      <c r="N30" s="95">
        <v>-0.64466358413186986</v>
      </c>
      <c r="O30" s="95">
        <v>-28.92468759162638</v>
      </c>
      <c r="Q30" s="148">
        <v>-0.40047226179588502</v>
      </c>
      <c r="R30" s="148">
        <v>-28.67099261914678</v>
      </c>
      <c r="S30" t="s">
        <v>467</v>
      </c>
    </row>
    <row r="31" spans="1:19" ht="18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N31" s="95">
        <v>0.52915708459488509</v>
      </c>
      <c r="O31" s="95">
        <v>-26.587436575322588</v>
      </c>
      <c r="Q31" s="148">
        <v>-1.2108322588292764</v>
      </c>
      <c r="R31" s="148">
        <v>-29.630980004087288</v>
      </c>
      <c r="S31" t="s">
        <v>467</v>
      </c>
    </row>
    <row r="32" spans="1:19" ht="18" x14ac:dyDescent="0.25">
      <c r="A32" s="84"/>
      <c r="B32" s="84"/>
      <c r="C32" s="87" t="s">
        <v>170</v>
      </c>
      <c r="D32" s="87" t="s">
        <v>171</v>
      </c>
      <c r="E32" s="87" t="s">
        <v>172</v>
      </c>
      <c r="F32" s="87" t="s">
        <v>173</v>
      </c>
      <c r="G32" s="87" t="s">
        <v>174</v>
      </c>
      <c r="H32" s="87" t="s">
        <v>175</v>
      </c>
      <c r="I32" s="87" t="s">
        <v>176</v>
      </c>
      <c r="J32" s="88" t="s">
        <v>177</v>
      </c>
      <c r="K32" s="88" t="s">
        <v>178</v>
      </c>
      <c r="L32" s="84"/>
      <c r="N32" s="95">
        <v>-2.0857620694012295</v>
      </c>
      <c r="O32" s="95">
        <v>-29.317790908933283</v>
      </c>
      <c r="Q32" s="148">
        <v>-0.14480676255803182</v>
      </c>
      <c r="R32" s="148">
        <v>-29.140948515044013</v>
      </c>
      <c r="S32" t="s">
        <v>467</v>
      </c>
    </row>
    <row r="33" spans="1:19" ht="18" x14ac:dyDescent="0.25">
      <c r="A33" s="84"/>
      <c r="B33" s="84"/>
      <c r="C33" s="89">
        <v>100</v>
      </c>
      <c r="D33" s="89">
        <v>0.402731514846566</v>
      </c>
      <c r="E33" s="89">
        <v>0.36625365157680367</v>
      </c>
      <c r="F33" s="90">
        <f>D33-E33</f>
        <v>3.6477863269762323E-2</v>
      </c>
      <c r="G33" s="84">
        <f>F33*15/((F33/100*15)+(100-F33)/100*14)</f>
        <v>3.9082406615684795E-2</v>
      </c>
      <c r="H33" s="89">
        <v>10</v>
      </c>
      <c r="I33" s="90">
        <f>G33*H33/100</f>
        <v>3.9082406615684791E-3</v>
      </c>
      <c r="J33" s="91">
        <f>I33*1000</f>
        <v>3.9082406615684793</v>
      </c>
      <c r="K33" s="91">
        <f>J33/15</f>
        <v>0.26054937743789863</v>
      </c>
      <c r="L33" s="84"/>
      <c r="N33" s="95">
        <v>-3.2299254673651534</v>
      </c>
      <c r="O33" s="95">
        <v>-29.584145375992176</v>
      </c>
      <c r="Q33" s="148">
        <v>-4.6647277668166076</v>
      </c>
      <c r="R33" s="148">
        <v>-30.34142464722089</v>
      </c>
      <c r="S33" t="s">
        <v>468</v>
      </c>
    </row>
    <row r="34" spans="1:19" ht="18" x14ac:dyDescent="0.25">
      <c r="N34" s="95">
        <v>-0.57367924872246234</v>
      </c>
      <c r="O34" s="95">
        <v>-28.911913952832347</v>
      </c>
      <c r="Q34" s="148">
        <v>-1.9299122832414011</v>
      </c>
      <c r="R34" s="148">
        <v>-29.833958977252713</v>
      </c>
      <c r="S34" t="s">
        <v>468</v>
      </c>
    </row>
    <row r="35" spans="1:19" ht="18" x14ac:dyDescent="0.25">
      <c r="N35" s="95">
        <v>-1.5662041363964359</v>
      </c>
      <c r="O35" s="95">
        <v>-29.183498569990306</v>
      </c>
      <c r="Q35" s="148">
        <v>-3.7383713837573422</v>
      </c>
      <c r="R35" s="148">
        <v>-30.389149628516648</v>
      </c>
      <c r="S35" t="s">
        <v>468</v>
      </c>
    </row>
    <row r="36" spans="1:19" ht="18" x14ac:dyDescent="0.25">
      <c r="N36" s="95">
        <v>2.6359327048377388</v>
      </c>
      <c r="O36" s="95">
        <v>-28.695901283257431</v>
      </c>
      <c r="Q36" s="148">
        <v>-4.3284084170815511</v>
      </c>
      <c r="R36" s="148">
        <v>-29.961012649812623</v>
      </c>
      <c r="S36" t="s">
        <v>468</v>
      </c>
    </row>
    <row r="37" spans="1:19" ht="18" x14ac:dyDescent="0.25">
      <c r="N37" s="95">
        <v>3.7916853602788558</v>
      </c>
      <c r="O37" s="95">
        <v>-26.982676741060146</v>
      </c>
      <c r="Q37" s="148">
        <v>-3.349354481178219</v>
      </c>
      <c r="R37" s="148">
        <v>-30.816143281974878</v>
      </c>
      <c r="S37" t="s">
        <v>468</v>
      </c>
    </row>
    <row r="38" spans="1:19" ht="18" x14ac:dyDescent="0.25">
      <c r="N38" s="95"/>
      <c r="O38" s="95"/>
      <c r="P38" s="28" t="s">
        <v>152</v>
      </c>
      <c r="Q38" s="148">
        <v>-6.2524707559100348</v>
      </c>
      <c r="R38" s="148">
        <v>-30.481551791799809</v>
      </c>
      <c r="S38" t="s">
        <v>468</v>
      </c>
    </row>
    <row r="39" spans="1:19" ht="18" x14ac:dyDescent="0.25">
      <c r="N39" s="95">
        <v>-0.61572461110105225</v>
      </c>
      <c r="O39" s="95">
        <v>-30.556804534032352</v>
      </c>
      <c r="Q39" s="148">
        <v>-4.9822206981570174</v>
      </c>
      <c r="R39" s="148">
        <v>-31.297028939463711</v>
      </c>
      <c r="S39" t="s">
        <v>468</v>
      </c>
    </row>
    <row r="40" spans="1:19" ht="18" x14ac:dyDescent="0.25">
      <c r="N40" s="95">
        <v>-3.6030142064232393</v>
      </c>
      <c r="O40" s="95">
        <v>-30.579366609566662</v>
      </c>
      <c r="Q40" s="148">
        <v>-4.6482852071414902</v>
      </c>
      <c r="R40" s="148">
        <v>-30.745060738710567</v>
      </c>
      <c r="S40" t="s">
        <v>470</v>
      </c>
    </row>
    <row r="41" spans="1:19" ht="18" x14ac:dyDescent="0.25">
      <c r="N41" s="95">
        <v>-1.2566769119879622</v>
      </c>
      <c r="O41" s="95">
        <v>-29.571735057907052</v>
      </c>
      <c r="Q41" s="148">
        <v>1.9293107923398101</v>
      </c>
      <c r="R41" s="148">
        <v>-26.143170862666867</v>
      </c>
      <c r="S41" t="s">
        <v>152</v>
      </c>
    </row>
    <row r="42" spans="1:19" ht="18" x14ac:dyDescent="0.25">
      <c r="N42" s="96">
        <v>-2.5413004979459872</v>
      </c>
      <c r="O42" s="95">
        <v>-30.181838126035053</v>
      </c>
      <c r="Q42" s="148">
        <v>-1.0759222772218091</v>
      </c>
      <c r="R42" s="148">
        <v>-30.578527232957555</v>
      </c>
      <c r="S42" t="s">
        <v>470</v>
      </c>
    </row>
    <row r="43" spans="1:19" ht="18" x14ac:dyDescent="0.25">
      <c r="N43" s="96">
        <v>-1.1688176210412387</v>
      </c>
      <c r="O43" s="95">
        <v>-29.494021835189361</v>
      </c>
      <c r="Q43" s="148">
        <v>-3.2220772392679438</v>
      </c>
      <c r="R43" s="148">
        <v>-30.805715041956507</v>
      </c>
      <c r="S43" t="s">
        <v>470</v>
      </c>
    </row>
    <row r="44" spans="1:19" ht="18" x14ac:dyDescent="0.25">
      <c r="N44" s="96">
        <v>-0.66996516800450323</v>
      </c>
      <c r="O44" s="95">
        <v>-30.273955014687434</v>
      </c>
      <c r="Q44" s="148">
        <v>-3.7849721594291159</v>
      </c>
      <c r="R44" s="148">
        <v>-30.610711920001236</v>
      </c>
      <c r="S44" t="s">
        <v>470</v>
      </c>
    </row>
    <row r="45" spans="1:19" ht="18" x14ac:dyDescent="0.25">
      <c r="N45" s="96">
        <v>-0.82413221891652733</v>
      </c>
      <c r="O45" s="95">
        <v>-30.071069955843111</v>
      </c>
      <c r="Q45" s="148">
        <v>-5.8590602176525932</v>
      </c>
      <c r="R45" s="148">
        <v>-30.484537754760996</v>
      </c>
      <c r="S45" t="s">
        <v>470</v>
      </c>
    </row>
    <row r="46" spans="1:19" ht="18" x14ac:dyDescent="0.25">
      <c r="N46" s="96">
        <v>0.17732331492664621</v>
      </c>
      <c r="O46" s="95">
        <v>-29.402051774330886</v>
      </c>
      <c r="Q46" s="148">
        <v>-5.0490398801452461</v>
      </c>
      <c r="R46" s="148">
        <v>-31.789518005070342</v>
      </c>
      <c r="S46" t="s">
        <v>470</v>
      </c>
    </row>
    <row r="47" spans="1:19" x14ac:dyDescent="0.25">
      <c r="N47" s="96">
        <v>3.7254070841054245</v>
      </c>
      <c r="O47" s="95">
        <v>-28.182626671666171</v>
      </c>
    </row>
    <row r="48" spans="1:19" ht="18.75" x14ac:dyDescent="0.3">
      <c r="N48" s="95">
        <v>0.76826046575739382</v>
      </c>
      <c r="O48" s="95">
        <v>-28.718911845055686</v>
      </c>
      <c r="P48" s="97" t="s">
        <v>180</v>
      </c>
      <c r="Q48" s="98">
        <f>AVERAGE(Q3:Q46)</f>
        <v>-1.1267377117880115</v>
      </c>
      <c r="R48" s="98">
        <f>AVERAGE(R3:R46)</f>
        <v>-28.555172243093295</v>
      </c>
    </row>
    <row r="49" spans="13:15" x14ac:dyDescent="0.25">
      <c r="N49" s="95">
        <v>4.4518425702024791</v>
      </c>
      <c r="O49" s="95">
        <v>-26.965048333365136</v>
      </c>
    </row>
    <row r="50" spans="13:15" x14ac:dyDescent="0.25">
      <c r="N50" s="94"/>
      <c r="O50" s="94"/>
    </row>
    <row r="51" spans="13:15" ht="18.75" x14ac:dyDescent="0.3">
      <c r="M51" s="97" t="s">
        <v>180</v>
      </c>
      <c r="N51" s="98">
        <f>AVERAGE(N3:N49)</f>
        <v>-0.69648283232570352</v>
      </c>
      <c r="O51" s="98">
        <f>AVERAGE(O3:O49)</f>
        <v>-28.147438569618238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4031-B527-4D03-ABED-2C4396F5251E}">
  <dimension ref="A1:AB262"/>
  <sheetViews>
    <sheetView tabSelected="1" zoomScale="85" zoomScaleNormal="85" workbookViewId="0">
      <selection activeCell="N14" sqref="N14"/>
    </sheetView>
  </sheetViews>
  <sheetFormatPr defaultRowHeight="15" x14ac:dyDescent="0.25"/>
  <cols>
    <col min="1" max="1" width="5.28515625" customWidth="1"/>
    <col min="2" max="2" width="5" customWidth="1"/>
    <col min="3" max="3" width="5.5703125" customWidth="1"/>
    <col min="4" max="4" width="9.42578125" customWidth="1"/>
    <col min="5" max="5" width="11.7109375" customWidth="1"/>
    <col min="6" max="6" width="4.28515625" customWidth="1"/>
    <col min="7" max="7" width="8.42578125" customWidth="1"/>
    <col min="8" max="8" width="7.28515625" customWidth="1"/>
    <col min="9" max="9" width="8.140625" customWidth="1"/>
    <col min="10" max="10" width="13.85546875" bestFit="1" customWidth="1"/>
    <col min="11" max="12" width="15" bestFit="1" customWidth="1"/>
    <col min="13" max="13" width="10" customWidth="1"/>
    <col min="14" max="14" width="15.5703125" bestFit="1" customWidth="1"/>
    <col min="15" max="15" width="13.85546875" bestFit="1" customWidth="1"/>
    <col min="16" max="16" width="16" bestFit="1" customWidth="1"/>
    <col min="17" max="17" width="13.85546875" bestFit="1" customWidth="1"/>
    <col min="18" max="18" width="14.5703125" bestFit="1" customWidth="1"/>
    <col min="19" max="20" width="15" bestFit="1" customWidth="1"/>
    <col min="21" max="21" width="17" bestFit="1" customWidth="1"/>
    <col min="22" max="22" width="13.85546875" bestFit="1" customWidth="1"/>
    <col min="23" max="23" width="15.5703125" bestFit="1" customWidth="1"/>
    <col min="24" max="24" width="13.85546875" bestFit="1" customWidth="1"/>
    <col min="25" max="25" width="14.5703125" bestFit="1" customWidth="1"/>
    <col min="26" max="26" width="16" bestFit="1" customWidth="1"/>
    <col min="27" max="27" width="15.5703125" bestFit="1" customWidth="1"/>
    <col min="28" max="28" width="16.5703125" bestFit="1" customWidth="1"/>
  </cols>
  <sheetData>
    <row r="1" spans="1:28" ht="24" x14ac:dyDescent="0.25">
      <c r="A1" s="171" t="s">
        <v>20</v>
      </c>
      <c r="B1" s="171" t="s">
        <v>21</v>
      </c>
      <c r="C1" s="171" t="s">
        <v>452</v>
      </c>
      <c r="D1" s="171" t="s">
        <v>22</v>
      </c>
      <c r="E1" s="171" t="s">
        <v>453</v>
      </c>
      <c r="F1" s="171" t="s">
        <v>23</v>
      </c>
      <c r="G1" s="171" t="s">
        <v>454</v>
      </c>
      <c r="H1" s="171" t="s">
        <v>455</v>
      </c>
      <c r="I1" s="171" t="s">
        <v>119</v>
      </c>
      <c r="J1" s="172" t="s">
        <v>14</v>
      </c>
      <c r="K1" s="173" t="s">
        <v>15</v>
      </c>
      <c r="L1" s="173" t="s">
        <v>16</v>
      </c>
      <c r="M1" s="174" t="s">
        <v>17</v>
      </c>
      <c r="N1" s="175" t="s">
        <v>18</v>
      </c>
      <c r="O1" s="176" t="s">
        <v>182</v>
      </c>
      <c r="P1" s="177" t="s">
        <v>183</v>
      </c>
      <c r="Q1" s="176" t="s">
        <v>184</v>
      </c>
      <c r="R1" s="178" t="s">
        <v>132</v>
      </c>
      <c r="S1" s="178" t="s">
        <v>133</v>
      </c>
      <c r="T1" s="179" t="s">
        <v>134</v>
      </c>
      <c r="U1" s="179" t="s">
        <v>185</v>
      </c>
      <c r="V1" s="180" t="s">
        <v>186</v>
      </c>
      <c r="W1" s="181" t="s">
        <v>187</v>
      </c>
      <c r="X1" s="180" t="s">
        <v>188</v>
      </c>
      <c r="Y1" s="182" t="s">
        <v>132</v>
      </c>
      <c r="Z1" s="182" t="s">
        <v>139</v>
      </c>
      <c r="AA1" s="182" t="s">
        <v>189</v>
      </c>
      <c r="AB1" s="182" t="s">
        <v>190</v>
      </c>
    </row>
    <row r="2" spans="1:28" ht="15.75" x14ac:dyDescent="0.25">
      <c r="A2" s="171" t="s">
        <v>20</v>
      </c>
      <c r="B2" s="171" t="s">
        <v>21</v>
      </c>
      <c r="C2" s="171" t="s">
        <v>452</v>
      </c>
      <c r="D2" s="171" t="s">
        <v>22</v>
      </c>
      <c r="E2" s="171" t="s">
        <v>453</v>
      </c>
      <c r="F2" s="171" t="s">
        <v>23</v>
      </c>
      <c r="G2" s="171" t="s">
        <v>454</v>
      </c>
      <c r="H2" s="171" t="s">
        <v>455</v>
      </c>
      <c r="I2" s="171" t="s">
        <v>119</v>
      </c>
      <c r="J2" s="172" t="s">
        <v>14</v>
      </c>
      <c r="K2" s="173" t="s">
        <v>15</v>
      </c>
      <c r="L2" s="173" t="s">
        <v>16</v>
      </c>
      <c r="M2" s="174" t="s">
        <v>17</v>
      </c>
      <c r="N2" s="175" t="s">
        <v>18</v>
      </c>
      <c r="O2" s="183" t="s">
        <v>142</v>
      </c>
      <c r="P2" s="184" t="s">
        <v>143</v>
      </c>
      <c r="Q2" s="183" t="s">
        <v>144</v>
      </c>
      <c r="R2" s="185" t="s">
        <v>145</v>
      </c>
      <c r="S2" s="186" t="s">
        <v>146</v>
      </c>
      <c r="T2" s="186" t="s">
        <v>147</v>
      </c>
      <c r="U2" s="186" t="s">
        <v>148</v>
      </c>
      <c r="V2" s="187" t="s">
        <v>142</v>
      </c>
      <c r="W2" s="188" t="s">
        <v>143</v>
      </c>
      <c r="X2" s="187" t="s">
        <v>149</v>
      </c>
      <c r="Y2" s="189" t="s">
        <v>145</v>
      </c>
      <c r="Z2" s="189" t="s">
        <v>150</v>
      </c>
      <c r="AA2" s="189" t="s">
        <v>147</v>
      </c>
      <c r="AB2" s="189" t="s">
        <v>151</v>
      </c>
    </row>
    <row r="3" spans="1:28" x14ac:dyDescent="0.25">
      <c r="A3" s="190">
        <v>1</v>
      </c>
      <c r="B3" s="171">
        <v>1</v>
      </c>
      <c r="C3" s="171" t="s">
        <v>456</v>
      </c>
      <c r="D3" s="171" t="s">
        <v>44</v>
      </c>
      <c r="E3" s="171" t="s">
        <v>457</v>
      </c>
      <c r="F3" s="171">
        <v>1</v>
      </c>
      <c r="G3" s="171" t="s">
        <v>25</v>
      </c>
      <c r="H3" s="171">
        <v>3.968</v>
      </c>
      <c r="I3" s="171"/>
      <c r="J3" s="191">
        <v>2.7421297753037441</v>
      </c>
      <c r="K3" s="191">
        <v>39.887457631484743</v>
      </c>
      <c r="L3" s="192">
        <v>14.546159700653275</v>
      </c>
      <c r="M3" s="192">
        <v>-2.3340780836621375</v>
      </c>
      <c r="N3" s="192">
        <v>-27.744791714078506</v>
      </c>
      <c r="O3" s="193">
        <v>0.36599999999999999</v>
      </c>
      <c r="P3" s="194">
        <v>-2.3340780836621375</v>
      </c>
      <c r="Q3" s="195">
        <v>0.36540191064725636</v>
      </c>
      <c r="R3" s="196">
        <v>-5.9808935274363595E-4</v>
      </c>
      <c r="S3" s="196">
        <v>27.421297753037443</v>
      </c>
      <c r="T3" s="197">
        <v>-0.16400386224504684</v>
      </c>
      <c r="U3" s="197">
        <v>-5.9808935274363595</v>
      </c>
      <c r="V3" s="193">
        <v>1.077</v>
      </c>
      <c r="W3" s="194">
        <v>-27.744791714078506</v>
      </c>
      <c r="X3" s="194">
        <v>1.0807161036351511</v>
      </c>
      <c r="Y3" s="196">
        <v>3.71610363515118E-3</v>
      </c>
      <c r="Z3" s="196">
        <v>398.87457631484739</v>
      </c>
      <c r="AA3" s="196">
        <v>14.822592630129911</v>
      </c>
      <c r="AB3" s="196">
        <v>37.161036351511797</v>
      </c>
    </row>
    <row r="4" spans="1:28" x14ac:dyDescent="0.25">
      <c r="A4" s="190">
        <v>2</v>
      </c>
      <c r="B4" s="171">
        <v>1</v>
      </c>
      <c r="C4" s="171" t="s">
        <v>458</v>
      </c>
      <c r="D4" s="171" t="s">
        <v>36</v>
      </c>
      <c r="E4" s="171" t="s">
        <v>457</v>
      </c>
      <c r="F4" s="171">
        <v>1</v>
      </c>
      <c r="G4" s="171" t="s">
        <v>26</v>
      </c>
      <c r="H4" s="171">
        <v>3.6469999999999998</v>
      </c>
      <c r="I4" s="171"/>
      <c r="J4" s="191">
        <v>2.2285360705754855</v>
      </c>
      <c r="K4" s="191">
        <v>39.234025490436096</v>
      </c>
      <c r="L4" s="192">
        <v>17.605290759464577</v>
      </c>
      <c r="M4" s="192">
        <v>-1.7948372606290659</v>
      </c>
      <c r="N4" s="192">
        <v>-27.342737831783946</v>
      </c>
      <c r="O4" s="193">
        <v>0.36599999999999999</v>
      </c>
      <c r="P4" s="194">
        <v>-1.7948372606290659</v>
      </c>
      <c r="Q4" s="195">
        <v>0.36559868919649707</v>
      </c>
      <c r="R4" s="196">
        <v>-4.0131080350291892E-4</v>
      </c>
      <c r="S4" s="196">
        <v>22.285360705754854</v>
      </c>
      <c r="T4" s="197">
        <v>-8.943356011178856E-2</v>
      </c>
      <c r="U4" s="197">
        <v>-4.0131080350291892</v>
      </c>
      <c r="V4" s="193">
        <v>1.077</v>
      </c>
      <c r="W4" s="194">
        <v>-27.342737831783946</v>
      </c>
      <c r="X4" s="194">
        <v>1.081158177283279</v>
      </c>
      <c r="Y4" s="196">
        <v>4.158177283279052E-3</v>
      </c>
      <c r="Z4" s="196">
        <v>392.34025490436102</v>
      </c>
      <c r="AA4" s="196">
        <v>16.314203352592266</v>
      </c>
      <c r="AB4" s="196">
        <v>41.58177283279052</v>
      </c>
    </row>
    <row r="5" spans="1:28" x14ac:dyDescent="0.25">
      <c r="A5" s="190">
        <v>3</v>
      </c>
      <c r="B5" s="171">
        <v>1</v>
      </c>
      <c r="C5" s="171" t="s">
        <v>459</v>
      </c>
      <c r="D5" s="171" t="s">
        <v>28</v>
      </c>
      <c r="E5" s="171" t="s">
        <v>457</v>
      </c>
      <c r="F5" s="171">
        <v>1</v>
      </c>
      <c r="G5" s="171" t="s">
        <v>27</v>
      </c>
      <c r="H5" s="171">
        <v>3.4809999999999999</v>
      </c>
      <c r="I5" s="171"/>
      <c r="J5" s="191">
        <v>2.7564926890928003</v>
      </c>
      <c r="K5" s="191">
        <v>38.760206335718664</v>
      </c>
      <c r="L5" s="192">
        <v>14.061421780325917</v>
      </c>
      <c r="M5" s="192">
        <v>0.10772368669966673</v>
      </c>
      <c r="N5" s="192">
        <v>-26.572911042595905</v>
      </c>
      <c r="O5" s="193">
        <v>0.36599999999999999</v>
      </c>
      <c r="P5" s="194">
        <v>0.10772368669966673</v>
      </c>
      <c r="Q5" s="195">
        <v>0.36629296125248462</v>
      </c>
      <c r="R5" s="196">
        <v>2.9296125248462479E-4</v>
      </c>
      <c r="S5" s="196">
        <v>27.564926890928003</v>
      </c>
      <c r="T5" s="197">
        <v>8.0754555066133826E-2</v>
      </c>
      <c r="U5" s="197">
        <v>2.9296125248462479</v>
      </c>
      <c r="V5" s="193">
        <v>1.077</v>
      </c>
      <c r="W5" s="194">
        <v>-26.572911042595905</v>
      </c>
      <c r="X5" s="194">
        <v>1.0820046203077591</v>
      </c>
      <c r="Y5" s="196">
        <v>5.0046203077591667E-3</v>
      </c>
      <c r="Z5" s="196">
        <v>387.60206335718669</v>
      </c>
      <c r="AA5" s="196">
        <v>19.398011576067315</v>
      </c>
      <c r="AB5" s="196">
        <v>50.046203077591663</v>
      </c>
    </row>
    <row r="6" spans="1:28" ht="12.6" customHeight="1" x14ac:dyDescent="0.25">
      <c r="A6" s="190">
        <v>4</v>
      </c>
      <c r="B6" s="171">
        <v>1</v>
      </c>
      <c r="C6" s="171" t="s">
        <v>460</v>
      </c>
      <c r="D6" s="171" t="s">
        <v>24</v>
      </c>
      <c r="E6" s="171" t="s">
        <v>457</v>
      </c>
      <c r="F6" s="171">
        <v>1</v>
      </c>
      <c r="G6" s="171" t="s">
        <v>29</v>
      </c>
      <c r="H6" s="171">
        <v>3.7749999999999999</v>
      </c>
      <c r="I6" s="171"/>
      <c r="J6" s="191">
        <v>1.7706756176136831</v>
      </c>
      <c r="K6" s="191">
        <v>34.637981029309906</v>
      </c>
      <c r="L6" s="192">
        <v>19.562013891618992</v>
      </c>
      <c r="M6" s="192">
        <v>0.15571260013291677</v>
      </c>
      <c r="N6" s="192">
        <v>-26.861229416640505</v>
      </c>
      <c r="O6" s="193">
        <v>0.36599999999999999</v>
      </c>
      <c r="P6" s="194">
        <v>0.15571260013291677</v>
      </c>
      <c r="Q6" s="195">
        <v>0.36631047297720642</v>
      </c>
      <c r="R6" s="196">
        <v>3.1047297720643297E-4</v>
      </c>
      <c r="S6" s="196">
        <v>17.706756176136832</v>
      </c>
      <c r="T6" s="197">
        <v>5.4974693066735969E-2</v>
      </c>
      <c r="U6" s="197">
        <v>3.1047297720643297</v>
      </c>
      <c r="V6" s="193">
        <v>1.077</v>
      </c>
      <c r="W6" s="194">
        <v>-26.861229416640505</v>
      </c>
      <c r="X6" s="194">
        <v>1.0816876090348428</v>
      </c>
      <c r="Y6" s="196">
        <v>4.6876090348428878E-3</v>
      </c>
      <c r="Z6" s="196">
        <v>346.37981029309907</v>
      </c>
      <c r="AA6" s="196">
        <v>16.236931282170968</v>
      </c>
      <c r="AB6" s="196">
        <v>46.876090348428875</v>
      </c>
    </row>
    <row r="7" spans="1:28" x14ac:dyDescent="0.25">
      <c r="A7" s="190">
        <v>5</v>
      </c>
      <c r="B7" s="171">
        <v>1</v>
      </c>
      <c r="C7" s="171" t="s">
        <v>461</v>
      </c>
      <c r="D7" s="171" t="s">
        <v>52</v>
      </c>
      <c r="E7" s="171" t="s">
        <v>457</v>
      </c>
      <c r="F7" s="171">
        <v>1</v>
      </c>
      <c r="G7" s="171" t="s">
        <v>30</v>
      </c>
      <c r="H7" s="171">
        <v>3.5760000000000001</v>
      </c>
      <c r="I7" s="171"/>
      <c r="J7" s="191">
        <v>2.4461825508881589</v>
      </c>
      <c r="K7" s="191">
        <v>37.192949017497078</v>
      </c>
      <c r="L7" s="192">
        <v>15.204486273517517</v>
      </c>
      <c r="M7" s="192">
        <v>2.9709237271471833</v>
      </c>
      <c r="N7" s="192">
        <v>-27.951701962787105</v>
      </c>
      <c r="O7" s="193">
        <v>0.36599999999999999</v>
      </c>
      <c r="P7" s="194">
        <v>2.9709237271471833</v>
      </c>
      <c r="Q7" s="195">
        <v>0.36733776619534858</v>
      </c>
      <c r="R7" s="196">
        <v>1.3377661953485886E-3</v>
      </c>
      <c r="S7" s="196">
        <v>24.461825508881585</v>
      </c>
      <c r="T7" s="197">
        <v>0.32724203242297573</v>
      </c>
      <c r="U7" s="197">
        <v>13.377661953485887</v>
      </c>
      <c r="V7" s="193">
        <v>1.077</v>
      </c>
      <c r="W7" s="194">
        <v>-27.951701962787105</v>
      </c>
      <c r="X7" s="194">
        <v>1.0804885963490221</v>
      </c>
      <c r="Y7" s="196">
        <v>3.4885963490220995E-3</v>
      </c>
      <c r="Z7" s="196">
        <v>371.92949017497079</v>
      </c>
      <c r="AA7" s="196">
        <v>12.97511861518054</v>
      </c>
      <c r="AB7" s="196">
        <v>34.885963490220995</v>
      </c>
    </row>
    <row r="8" spans="1:28" x14ac:dyDescent="0.25">
      <c r="A8" s="190">
        <v>6</v>
      </c>
      <c r="B8" s="171">
        <v>1</v>
      </c>
      <c r="C8" s="171" t="s">
        <v>462</v>
      </c>
      <c r="D8" s="171" t="s">
        <v>40</v>
      </c>
      <c r="E8" s="171" t="s">
        <v>457</v>
      </c>
      <c r="F8" s="171">
        <v>1</v>
      </c>
      <c r="G8" s="171" t="s">
        <v>31</v>
      </c>
      <c r="H8" s="171">
        <v>3.5270000000000001</v>
      </c>
      <c r="I8" s="171"/>
      <c r="J8" s="191">
        <v>2.2740964977280842</v>
      </c>
      <c r="K8" s="191">
        <v>33.971565426609509</v>
      </c>
      <c r="L8" s="192">
        <v>14.938488960582147</v>
      </c>
      <c r="M8" s="192">
        <v>1.0555668820720028</v>
      </c>
      <c r="N8" s="192">
        <v>-27.77395312568386</v>
      </c>
      <c r="O8" s="193">
        <v>0.36599999999999999</v>
      </c>
      <c r="P8" s="194">
        <v>1.0555668820720028</v>
      </c>
      <c r="Q8" s="195">
        <v>0.36663883935693609</v>
      </c>
      <c r="R8" s="196">
        <v>6.3883935693609395E-4</v>
      </c>
      <c r="S8" s="196">
        <v>22.740964977280846</v>
      </c>
      <c r="T8" s="197">
        <v>0.14527823442192331</v>
      </c>
      <c r="U8" s="197">
        <v>6.3883935693609395</v>
      </c>
      <c r="V8" s="193">
        <v>1.077</v>
      </c>
      <c r="W8" s="194">
        <v>-27.77395312568386</v>
      </c>
      <c r="X8" s="194">
        <v>1.0806840393920929</v>
      </c>
      <c r="Y8" s="196">
        <v>3.6840393920929415E-3</v>
      </c>
      <c r="Z8" s="196">
        <v>339.71565426609504</v>
      </c>
      <c r="AA8" s="196">
        <v>12.515258524269207</v>
      </c>
      <c r="AB8" s="196">
        <v>36.840393920929415</v>
      </c>
    </row>
    <row r="9" spans="1:28" x14ac:dyDescent="0.25">
      <c r="A9" s="190">
        <v>7</v>
      </c>
      <c r="B9" s="171">
        <v>1</v>
      </c>
      <c r="C9" s="171" t="s">
        <v>463</v>
      </c>
      <c r="D9" s="171" t="s">
        <v>48</v>
      </c>
      <c r="E9" s="171" t="s">
        <v>457</v>
      </c>
      <c r="F9" s="171">
        <v>1</v>
      </c>
      <c r="G9" s="171" t="s">
        <v>33</v>
      </c>
      <c r="H9" s="171">
        <v>3.8319999999999999</v>
      </c>
      <c r="I9" s="171"/>
      <c r="J9" s="191">
        <v>2.1404205930319802</v>
      </c>
      <c r="K9" s="191">
        <v>33.501992690103613</v>
      </c>
      <c r="L9" s="192">
        <v>15.652060533881745</v>
      </c>
      <c r="M9" s="192">
        <v>4.0978290446965215E-2</v>
      </c>
      <c r="N9" s="192">
        <v>-28.26562918687738</v>
      </c>
      <c r="O9" s="193">
        <v>0.36599999999999999</v>
      </c>
      <c r="P9" s="194">
        <v>4.0978290446965215E-2</v>
      </c>
      <c r="Q9" s="195">
        <v>0.36626860505408015</v>
      </c>
      <c r="R9" s="196">
        <v>2.6860505408016211E-4</v>
      </c>
      <c r="S9" s="196">
        <v>21.404205930319804</v>
      </c>
      <c r="T9" s="197">
        <v>5.7492778914564779E-2</v>
      </c>
      <c r="U9" s="197">
        <v>2.6860505408016211</v>
      </c>
      <c r="V9" s="193">
        <v>1.077</v>
      </c>
      <c r="W9" s="194">
        <v>-28.26562918687738</v>
      </c>
      <c r="X9" s="194">
        <v>1.0801434170032613</v>
      </c>
      <c r="Y9" s="196">
        <v>3.1434170032613729E-3</v>
      </c>
      <c r="Z9" s="196">
        <v>335.01992690103611</v>
      </c>
      <c r="AA9" s="196">
        <v>10.531073346520991</v>
      </c>
      <c r="AB9" s="196">
        <v>31.434170032613729</v>
      </c>
    </row>
    <row r="10" spans="1:28" x14ac:dyDescent="0.25">
      <c r="A10" s="190">
        <v>8</v>
      </c>
      <c r="B10" s="171">
        <v>1</v>
      </c>
      <c r="C10" s="171" t="s">
        <v>464</v>
      </c>
      <c r="D10" s="171" t="s">
        <v>32</v>
      </c>
      <c r="E10" s="171" t="s">
        <v>457</v>
      </c>
      <c r="F10" s="171">
        <v>1</v>
      </c>
      <c r="G10" s="171" t="s">
        <v>34</v>
      </c>
      <c r="H10" s="171">
        <v>3.8050000000000002</v>
      </c>
      <c r="I10" s="171"/>
      <c r="J10" s="191">
        <v>2.3111475977907139</v>
      </c>
      <c r="K10" s="191">
        <v>35.37644576955757</v>
      </c>
      <c r="L10" s="192">
        <v>15.306874300617944</v>
      </c>
      <c r="M10" s="192">
        <v>3.1116674665083073</v>
      </c>
      <c r="N10" s="192">
        <v>-27.302783358546318</v>
      </c>
      <c r="O10" s="193">
        <v>0.36599999999999999</v>
      </c>
      <c r="P10" s="194">
        <v>3.1116674665083073</v>
      </c>
      <c r="Q10" s="195">
        <v>0.36738912416358471</v>
      </c>
      <c r="R10" s="196">
        <v>1.3891241635847207E-3</v>
      </c>
      <c r="S10" s="196">
        <v>23.111475977907141</v>
      </c>
      <c r="T10" s="197">
        <v>0.32104709737018622</v>
      </c>
      <c r="U10" s="197">
        <v>13.891241635847207</v>
      </c>
      <c r="V10" s="193">
        <v>1.077</v>
      </c>
      <c r="W10" s="194">
        <v>-27.302783358546318</v>
      </c>
      <c r="X10" s="194">
        <v>1.081202108541603</v>
      </c>
      <c r="Y10" s="196">
        <v>4.2021085416030779E-3</v>
      </c>
      <c r="Z10" s="196">
        <v>353.76445769557569</v>
      </c>
      <c r="AA10" s="196">
        <v>14.865566493981593</v>
      </c>
      <c r="AB10" s="196">
        <v>42.021085416030779</v>
      </c>
    </row>
    <row r="11" spans="1:28" x14ac:dyDescent="0.25">
      <c r="A11" s="190">
        <v>9</v>
      </c>
      <c r="B11" s="171">
        <v>1</v>
      </c>
      <c r="C11" s="171" t="s">
        <v>456</v>
      </c>
      <c r="D11" s="171" t="s">
        <v>44</v>
      </c>
      <c r="E11" s="171" t="s">
        <v>465</v>
      </c>
      <c r="F11" s="171">
        <v>1</v>
      </c>
      <c r="G11" s="171" t="s">
        <v>35</v>
      </c>
      <c r="H11" s="171">
        <v>3.2309999999999999</v>
      </c>
      <c r="I11" s="171"/>
      <c r="J11" s="191">
        <v>0.8165505072929572</v>
      </c>
      <c r="K11" s="191">
        <v>37.807977459827491</v>
      </c>
      <c r="L11" s="192">
        <v>46.302068423384092</v>
      </c>
      <c r="M11" s="192">
        <v>-1.4652399305287538</v>
      </c>
      <c r="N11" s="192">
        <v>-28.852494831472654</v>
      </c>
      <c r="O11" s="193">
        <v>0.36599999999999999</v>
      </c>
      <c r="P11" s="194">
        <v>-1.4652399305287538</v>
      </c>
      <c r="Q11" s="195">
        <v>0.36571896473071558</v>
      </c>
      <c r="R11" s="196">
        <v>-2.8103526928441314E-4</v>
      </c>
      <c r="S11" s="196">
        <v>8.1655050729295713</v>
      </c>
      <c r="T11" s="197">
        <v>-2.2947949170140033E-2</v>
      </c>
      <c r="U11" s="197">
        <v>-2.8103526928441309</v>
      </c>
      <c r="V11" s="193">
        <v>1.077</v>
      </c>
      <c r="W11" s="194">
        <v>-28.852494831472654</v>
      </c>
      <c r="X11" s="194">
        <v>1.0794981211765031</v>
      </c>
      <c r="Y11" s="196">
        <v>2.4981211765031652E-3</v>
      </c>
      <c r="Z11" s="196">
        <v>378.07977459827492</v>
      </c>
      <c r="AA11" s="196">
        <v>9.444890913314941</v>
      </c>
      <c r="AB11" s="196">
        <v>24.981211765031652</v>
      </c>
    </row>
    <row r="12" spans="1:28" x14ac:dyDescent="0.25">
      <c r="A12" s="190">
        <v>10</v>
      </c>
      <c r="B12" s="171">
        <v>1</v>
      </c>
      <c r="C12" s="171" t="s">
        <v>458</v>
      </c>
      <c r="D12" s="171" t="s">
        <v>36</v>
      </c>
      <c r="E12" s="171" t="s">
        <v>465</v>
      </c>
      <c r="F12" s="171">
        <v>1</v>
      </c>
      <c r="G12" s="171" t="s">
        <v>37</v>
      </c>
      <c r="H12" s="171">
        <v>3.4369999999999998</v>
      </c>
      <c r="I12" s="171"/>
      <c r="J12" s="191">
        <v>1.2244668505160159</v>
      </c>
      <c r="K12" s="191">
        <v>32.810740824665466</v>
      </c>
      <c r="L12" s="192">
        <v>26.795940462445618</v>
      </c>
      <c r="M12" s="192">
        <v>-0.25386641097164653</v>
      </c>
      <c r="N12" s="192">
        <v>-28.252143431858759</v>
      </c>
      <c r="O12" s="193">
        <v>0.36599999999999999</v>
      </c>
      <c r="P12" s="194">
        <v>-0.25386641097164653</v>
      </c>
      <c r="Q12" s="195">
        <v>0.36616101253145134</v>
      </c>
      <c r="R12" s="196">
        <v>1.6101253145134331E-4</v>
      </c>
      <c r="S12" s="196">
        <v>12.244668505160158</v>
      </c>
      <c r="T12" s="197">
        <v>1.9715450727983728E-2</v>
      </c>
      <c r="U12" s="197">
        <v>1.6101253145134331</v>
      </c>
      <c r="V12" s="193">
        <v>1.077</v>
      </c>
      <c r="W12" s="194">
        <v>-28.252143431858759</v>
      </c>
      <c r="X12" s="194">
        <v>1.0801582453433447</v>
      </c>
      <c r="Y12" s="196">
        <v>3.1582453433447455E-3</v>
      </c>
      <c r="Z12" s="196">
        <v>328.10740824665464</v>
      </c>
      <c r="AA12" s="196">
        <v>10.362436942119103</v>
      </c>
      <c r="AB12" s="196">
        <v>31.582453433447455</v>
      </c>
    </row>
    <row r="13" spans="1:28" x14ac:dyDescent="0.25">
      <c r="A13" s="190">
        <v>11</v>
      </c>
      <c r="B13" s="171">
        <v>1</v>
      </c>
      <c r="C13" s="171" t="s">
        <v>459</v>
      </c>
      <c r="D13" s="171" t="s">
        <v>28</v>
      </c>
      <c r="E13" s="171" t="s">
        <v>465</v>
      </c>
      <c r="F13" s="171">
        <v>1</v>
      </c>
      <c r="G13" s="171" t="s">
        <v>38</v>
      </c>
      <c r="H13" s="171">
        <v>3.294</v>
      </c>
      <c r="I13" s="171"/>
      <c r="J13" s="191">
        <v>1.2804905430575668</v>
      </c>
      <c r="K13" s="191">
        <v>38.090078661204615</v>
      </c>
      <c r="L13" s="192">
        <v>29.746474011633683</v>
      </c>
      <c r="M13" s="192">
        <v>-0.11278194757184501</v>
      </c>
      <c r="N13" s="192">
        <v>-28.764036642349382</v>
      </c>
      <c r="O13" s="193">
        <v>0.36599999999999999</v>
      </c>
      <c r="P13" s="194">
        <v>-0.11278194757184501</v>
      </c>
      <c r="Q13" s="195">
        <v>0.3662124960473373</v>
      </c>
      <c r="R13" s="196">
        <v>2.124960473373072E-4</v>
      </c>
      <c r="S13" s="196">
        <v>12.804905430575669</v>
      </c>
      <c r="T13" s="197">
        <v>2.7209917905253494E-2</v>
      </c>
      <c r="U13" s="197">
        <v>2.124960473373072</v>
      </c>
      <c r="V13" s="193">
        <v>1.077</v>
      </c>
      <c r="W13" s="194">
        <v>-28.764036642349382</v>
      </c>
      <c r="X13" s="194">
        <v>1.0795953870789292</v>
      </c>
      <c r="Y13" s="196">
        <v>2.5953870789292566E-3</v>
      </c>
      <c r="Z13" s="196">
        <v>380.90078661204615</v>
      </c>
      <c r="AA13" s="196">
        <v>9.8858497992689447</v>
      </c>
      <c r="AB13" s="196">
        <v>25.953870789292566</v>
      </c>
    </row>
    <row r="14" spans="1:28" x14ac:dyDescent="0.25">
      <c r="A14" s="190">
        <v>12</v>
      </c>
      <c r="B14" s="171">
        <v>1</v>
      </c>
      <c r="C14" s="171" t="s">
        <v>460</v>
      </c>
      <c r="D14" s="171" t="s">
        <v>24</v>
      </c>
      <c r="E14" s="171" t="s">
        <v>465</v>
      </c>
      <c r="F14" s="171">
        <v>1</v>
      </c>
      <c r="G14" s="171" t="s">
        <v>39</v>
      </c>
      <c r="H14" s="171">
        <v>3.24</v>
      </c>
      <c r="I14" s="171"/>
      <c r="J14" s="191">
        <v>1.3348598970009116</v>
      </c>
      <c r="K14" s="191">
        <v>34.103639140181144</v>
      </c>
      <c r="L14" s="192">
        <v>25.548478321060724</v>
      </c>
      <c r="M14" s="192">
        <v>0.44627170190339072</v>
      </c>
      <c r="N14" s="192">
        <v>-29.323218630539397</v>
      </c>
      <c r="O14" s="193">
        <v>0.36599999999999999</v>
      </c>
      <c r="P14" s="194">
        <v>0.44627170190339072</v>
      </c>
      <c r="Q14" s="195">
        <v>0.36641650131443143</v>
      </c>
      <c r="R14" s="196">
        <v>4.165013144314389E-4</v>
      </c>
      <c r="S14" s="196">
        <v>13.348598970009116</v>
      </c>
      <c r="T14" s="197">
        <v>5.5597090168269483E-2</v>
      </c>
      <c r="U14" s="197">
        <v>4.165013144314389</v>
      </c>
      <c r="V14" s="193">
        <v>1.077</v>
      </c>
      <c r="W14" s="194">
        <v>-29.323218630539397</v>
      </c>
      <c r="X14" s="194">
        <v>1.0789805245565289</v>
      </c>
      <c r="Y14" s="196">
        <v>1.9805245565289731E-3</v>
      </c>
      <c r="Z14" s="196">
        <v>341.03639140181144</v>
      </c>
      <c r="AA14" s="196">
        <v>6.7543094784131394</v>
      </c>
      <c r="AB14" s="196">
        <v>19.805245565289731</v>
      </c>
    </row>
    <row r="15" spans="1:28" x14ac:dyDescent="0.25">
      <c r="A15" s="171"/>
      <c r="B15" s="171"/>
      <c r="C15" s="171"/>
      <c r="D15" s="171"/>
      <c r="E15" s="171"/>
      <c r="F15" s="171"/>
      <c r="G15" s="171"/>
      <c r="H15" s="171"/>
      <c r="I15" s="198" t="s">
        <v>152</v>
      </c>
      <c r="J15" s="191">
        <v>2.7761635918159691</v>
      </c>
      <c r="K15" s="191">
        <v>47.87221246987604</v>
      </c>
      <c r="L15" s="192">
        <v>17.244017107277685</v>
      </c>
      <c r="M15" s="192">
        <v>2.091874973245246</v>
      </c>
      <c r="N15" s="192">
        <v>-26.035045410587397</v>
      </c>
      <c r="O15" s="193">
        <v>0.36599999999999999</v>
      </c>
      <c r="P15" s="194">
        <v>2.091874973245246</v>
      </c>
      <c r="Q15" s="195">
        <v>0.3670169964985463</v>
      </c>
      <c r="R15" s="196">
        <v>1.0169964985463076E-3</v>
      </c>
      <c r="S15" s="196">
        <v>27.761635918159691</v>
      </c>
      <c r="T15" s="197">
        <v>0.28233486522685813</v>
      </c>
      <c r="U15" s="197">
        <v>10.169964985463075</v>
      </c>
      <c r="V15" s="193">
        <v>1.077</v>
      </c>
      <c r="W15" s="194">
        <v>-26.035045410587397</v>
      </c>
      <c r="X15" s="194">
        <v>1.0825960078784691</v>
      </c>
      <c r="Y15" s="196">
        <v>5.5960078784691447E-3</v>
      </c>
      <c r="Z15" s="196">
        <v>478.72212469876035</v>
      </c>
      <c r="AA15" s="196">
        <v>26.78932781411751</v>
      </c>
      <c r="AB15" s="196">
        <v>55.960078784691447</v>
      </c>
    </row>
    <row r="16" spans="1:28" x14ac:dyDescent="0.25">
      <c r="A16" s="190">
        <v>13</v>
      </c>
      <c r="B16" s="171">
        <v>1</v>
      </c>
      <c r="C16" s="171" t="s">
        <v>461</v>
      </c>
      <c r="D16" s="171" t="s">
        <v>52</v>
      </c>
      <c r="E16" s="171" t="s">
        <v>465</v>
      </c>
      <c r="F16" s="171">
        <v>1</v>
      </c>
      <c r="G16" s="171" t="s">
        <v>41</v>
      </c>
      <c r="H16" s="171">
        <v>3.492</v>
      </c>
      <c r="I16" s="171"/>
      <c r="J16" s="191">
        <v>1.1354202873223982</v>
      </c>
      <c r="K16" s="191">
        <v>36.103877161276522</v>
      </c>
      <c r="L16" s="192">
        <v>31.797808762443719</v>
      </c>
      <c r="M16" s="192">
        <v>1.2611364457026863</v>
      </c>
      <c r="N16" s="192">
        <v>-29.125229078540158</v>
      </c>
      <c r="O16" s="193">
        <v>0.36599999999999999</v>
      </c>
      <c r="P16" s="194">
        <v>1.2611364457026863</v>
      </c>
      <c r="Q16" s="195">
        <v>0.36671385356918712</v>
      </c>
      <c r="R16" s="196">
        <v>7.1385356918712839E-4</v>
      </c>
      <c r="S16" s="196">
        <v>11.354202873223981</v>
      </c>
      <c r="T16" s="197">
        <v>8.105238246325687E-2</v>
      </c>
      <c r="U16" s="197">
        <v>7.1385356918712839</v>
      </c>
      <c r="V16" s="193">
        <v>1.077</v>
      </c>
      <c r="W16" s="194">
        <v>-29.125229078540158</v>
      </c>
      <c r="X16" s="194">
        <v>1.079198229787891</v>
      </c>
      <c r="Y16" s="196">
        <v>2.1982297878910817E-3</v>
      </c>
      <c r="Z16" s="196">
        <v>361.03877161276523</v>
      </c>
      <c r="AA16" s="196">
        <v>7.9364618234278561</v>
      </c>
      <c r="AB16" s="196">
        <v>21.982297878910817</v>
      </c>
    </row>
    <row r="17" spans="1:28" x14ac:dyDescent="0.25">
      <c r="A17" s="190">
        <v>14</v>
      </c>
      <c r="B17" s="171">
        <v>1</v>
      </c>
      <c r="C17" s="171" t="s">
        <v>462</v>
      </c>
      <c r="D17" s="171" t="s">
        <v>40</v>
      </c>
      <c r="E17" s="171" t="s">
        <v>465</v>
      </c>
      <c r="F17" s="171">
        <v>1</v>
      </c>
      <c r="G17" s="171" t="s">
        <v>42</v>
      </c>
      <c r="H17" s="171">
        <v>3.6139999999999999</v>
      </c>
      <c r="I17" s="171"/>
      <c r="J17" s="191">
        <v>0.96463964131353341</v>
      </c>
      <c r="K17" s="191">
        <v>35.998397829043391</v>
      </c>
      <c r="L17" s="192">
        <v>37.317974803549419</v>
      </c>
      <c r="M17" s="192">
        <v>-1.8896348133339942</v>
      </c>
      <c r="N17" s="192">
        <v>-28.470901164433577</v>
      </c>
      <c r="O17" s="193">
        <v>0.36599999999999999</v>
      </c>
      <c r="P17" s="194">
        <v>-1.8896348133339942</v>
      </c>
      <c r="Q17" s="195">
        <v>0.36556409594292488</v>
      </c>
      <c r="R17" s="196">
        <v>-4.3590405707510937E-4</v>
      </c>
      <c r="S17" s="196">
        <v>9.646396413135335</v>
      </c>
      <c r="T17" s="197">
        <v>-4.204903332640475E-2</v>
      </c>
      <c r="U17" s="197">
        <v>-4.3590405707510937</v>
      </c>
      <c r="V17" s="193">
        <v>1.077</v>
      </c>
      <c r="W17" s="194">
        <v>-28.470901164433577</v>
      </c>
      <c r="X17" s="194">
        <v>1.0799177084619078</v>
      </c>
      <c r="Y17" s="196">
        <v>2.9177084619078641E-3</v>
      </c>
      <c r="Z17" s="196">
        <v>359.98397829043392</v>
      </c>
      <c r="AA17" s="196">
        <v>10.50328299609256</v>
      </c>
      <c r="AB17" s="196">
        <v>29.177084619078645</v>
      </c>
    </row>
    <row r="18" spans="1:28" x14ac:dyDescent="0.25">
      <c r="A18" s="190">
        <v>15</v>
      </c>
      <c r="B18" s="171">
        <v>1</v>
      </c>
      <c r="C18" s="171" t="s">
        <v>463</v>
      </c>
      <c r="D18" s="171" t="s">
        <v>48</v>
      </c>
      <c r="E18" s="171" t="s">
        <v>465</v>
      </c>
      <c r="F18" s="171">
        <v>1</v>
      </c>
      <c r="G18" s="171" t="s">
        <v>43</v>
      </c>
      <c r="H18" s="171">
        <v>3.3250000000000002</v>
      </c>
      <c r="I18" s="171"/>
      <c r="J18" s="191">
        <v>1.0700198773443428</v>
      </c>
      <c r="K18" s="191">
        <v>36.084839765056472</v>
      </c>
      <c r="L18" s="192">
        <v>33.723522832692218</v>
      </c>
      <c r="M18" s="192">
        <v>-1.9192508826014902</v>
      </c>
      <c r="N18" s="192">
        <v>-28.576389319475208</v>
      </c>
      <c r="O18" s="193">
        <v>0.36599999999999999</v>
      </c>
      <c r="P18" s="194">
        <v>-1.9192508826014902</v>
      </c>
      <c r="Q18" s="195">
        <v>0.36555328852615532</v>
      </c>
      <c r="R18" s="196">
        <v>-4.4671147384467425E-4</v>
      </c>
      <c r="S18" s="196">
        <v>10.700198773443429</v>
      </c>
      <c r="T18" s="197">
        <v>-4.7799015645158906E-2</v>
      </c>
      <c r="U18" s="197">
        <v>-4.4671147384467425</v>
      </c>
      <c r="V18" s="193">
        <v>1.077</v>
      </c>
      <c r="W18" s="194">
        <v>-28.576389319475208</v>
      </c>
      <c r="X18" s="194">
        <v>1.079801717666995</v>
      </c>
      <c r="Y18" s="196">
        <v>2.8017176669949961E-3</v>
      </c>
      <c r="Z18" s="196">
        <v>360.84839765056472</v>
      </c>
      <c r="AA18" s="196">
        <v>10.109953308044229</v>
      </c>
      <c r="AB18" s="196">
        <v>28.017176669949961</v>
      </c>
    </row>
    <row r="19" spans="1:28" x14ac:dyDescent="0.25">
      <c r="A19" s="190">
        <v>16</v>
      </c>
      <c r="B19" s="171">
        <v>1</v>
      </c>
      <c r="C19" s="171" t="s">
        <v>464</v>
      </c>
      <c r="D19" s="171" t="s">
        <v>32</v>
      </c>
      <c r="E19" s="171" t="s">
        <v>465</v>
      </c>
      <c r="F19" s="171">
        <v>1</v>
      </c>
      <c r="G19" s="171" t="s">
        <v>45</v>
      </c>
      <c r="H19" s="171">
        <v>4.069</v>
      </c>
      <c r="I19" s="171"/>
      <c r="J19" s="191">
        <v>1.2661644137592063</v>
      </c>
      <c r="K19" s="191">
        <v>34.227851640832164</v>
      </c>
      <c r="L19" s="192">
        <v>27.03270702357732</v>
      </c>
      <c r="M19" s="192">
        <v>-2.9110832092048011E-2</v>
      </c>
      <c r="N19" s="192">
        <v>-28.938964565764945</v>
      </c>
      <c r="O19" s="193">
        <v>0.36599999999999999</v>
      </c>
      <c r="P19" s="194">
        <v>-2.9110832092048011E-2</v>
      </c>
      <c r="Q19" s="195">
        <v>0.36624302867689285</v>
      </c>
      <c r="R19" s="196">
        <v>2.4302867689285357E-4</v>
      </c>
      <c r="S19" s="196">
        <v>12.661644137592063</v>
      </c>
      <c r="T19" s="197">
        <v>3.0771426220471555E-2</v>
      </c>
      <c r="U19" s="197">
        <v>2.4302867689285357</v>
      </c>
      <c r="V19" s="193">
        <v>1.077</v>
      </c>
      <c r="W19" s="194">
        <v>-28.938964565764945</v>
      </c>
      <c r="X19" s="194">
        <v>1.0794030415329365</v>
      </c>
      <c r="Y19" s="196">
        <v>2.4030415329365784E-3</v>
      </c>
      <c r="Z19" s="196">
        <v>342.27851640832165</v>
      </c>
      <c r="AA19" s="196">
        <v>8.2250949076111102</v>
      </c>
      <c r="AB19" s="196">
        <v>24.030415329365784</v>
      </c>
    </row>
    <row r="20" spans="1:28" x14ac:dyDescent="0.25">
      <c r="A20" s="190">
        <v>17</v>
      </c>
      <c r="B20" s="171">
        <v>1</v>
      </c>
      <c r="C20" s="171" t="s">
        <v>456</v>
      </c>
      <c r="D20" s="171" t="s">
        <v>44</v>
      </c>
      <c r="E20" s="171" t="s">
        <v>466</v>
      </c>
      <c r="F20" s="171">
        <v>1</v>
      </c>
      <c r="G20" s="171" t="s">
        <v>46</v>
      </c>
      <c r="H20" s="171">
        <v>3.59</v>
      </c>
      <c r="I20" s="171"/>
      <c r="J20" s="191">
        <v>3.922704564645104</v>
      </c>
      <c r="K20" s="191">
        <v>37.429434332373134</v>
      </c>
      <c r="L20" s="192">
        <v>9.5417418557901161</v>
      </c>
      <c r="M20" s="192">
        <v>-1.1872014122862273</v>
      </c>
      <c r="N20" s="192">
        <v>-23.207136853534994</v>
      </c>
      <c r="O20" s="193">
        <v>0.36599999999999999</v>
      </c>
      <c r="P20" s="194">
        <v>-1.1872014122862273</v>
      </c>
      <c r="Q20" s="195">
        <v>0.36582042537325571</v>
      </c>
      <c r="R20" s="196">
        <v>-1.7957462674428326E-4</v>
      </c>
      <c r="S20" s="196">
        <v>39.227045646451039</v>
      </c>
      <c r="T20" s="197">
        <v>-7.0441820802424074E-2</v>
      </c>
      <c r="U20" s="197">
        <v>-1.7957462674428326</v>
      </c>
      <c r="V20" s="193">
        <v>1.077</v>
      </c>
      <c r="W20" s="194">
        <v>-23.207136853534994</v>
      </c>
      <c r="X20" s="194">
        <v>1.0857051996675515</v>
      </c>
      <c r="Y20" s="196">
        <v>8.7051996675515664E-3</v>
      </c>
      <c r="Z20" s="196">
        <v>374.29434332373137</v>
      </c>
      <c r="AA20" s="196">
        <v>32.583069930681781</v>
      </c>
      <c r="AB20" s="196">
        <v>87.051996675515667</v>
      </c>
    </row>
    <row r="21" spans="1:28" x14ac:dyDescent="0.25">
      <c r="A21" s="190">
        <v>18</v>
      </c>
      <c r="B21" s="171">
        <v>1</v>
      </c>
      <c r="C21" s="171" t="s">
        <v>461</v>
      </c>
      <c r="D21" s="171" t="s">
        <v>52</v>
      </c>
      <c r="E21" s="171" t="s">
        <v>466</v>
      </c>
      <c r="F21" s="171">
        <v>1</v>
      </c>
      <c r="G21" s="171" t="s">
        <v>47</v>
      </c>
      <c r="H21" s="171">
        <v>3.286</v>
      </c>
      <c r="I21" s="171"/>
      <c r="J21" s="191">
        <v>3.8537087985623835</v>
      </c>
      <c r="K21" s="191">
        <v>39.498681177882759</v>
      </c>
      <c r="L21" s="192">
        <v>10.249524092899197</v>
      </c>
      <c r="M21" s="192">
        <v>-0.12129120989009923</v>
      </c>
      <c r="N21" s="192">
        <v>-24.875963737821714</v>
      </c>
      <c r="O21" s="193">
        <v>0.36599999999999999</v>
      </c>
      <c r="P21" s="194">
        <v>-0.12129120989009923</v>
      </c>
      <c r="Q21" s="195">
        <v>0.36620939091075128</v>
      </c>
      <c r="R21" s="196">
        <v>2.0939091075128369E-4</v>
      </c>
      <c r="S21" s="196">
        <v>38.537087985623835</v>
      </c>
      <c r="T21" s="197">
        <v>8.0693159510121279E-2</v>
      </c>
      <c r="U21" s="197">
        <v>2.0939091075128369</v>
      </c>
      <c r="V21" s="193">
        <v>1.077</v>
      </c>
      <c r="W21" s="194">
        <v>-24.875963737821714</v>
      </c>
      <c r="X21" s="194">
        <v>1.0838704034239497</v>
      </c>
      <c r="Y21" s="196">
        <v>6.8704034239497336E-3</v>
      </c>
      <c r="Z21" s="196">
        <v>394.98681177882759</v>
      </c>
      <c r="AA21" s="196">
        <v>27.137187440602457</v>
      </c>
      <c r="AB21" s="196">
        <v>68.704034239497332</v>
      </c>
    </row>
    <row r="22" spans="1:28" x14ac:dyDescent="0.25">
      <c r="A22" s="190">
        <v>19</v>
      </c>
      <c r="B22" s="171">
        <v>1</v>
      </c>
      <c r="C22" s="171" t="s">
        <v>462</v>
      </c>
      <c r="D22" s="171" t="s">
        <v>40</v>
      </c>
      <c r="E22" s="171" t="s">
        <v>466</v>
      </c>
      <c r="F22" s="171">
        <v>1</v>
      </c>
      <c r="G22" s="171" t="s">
        <v>49</v>
      </c>
      <c r="H22" s="171">
        <v>3.7509999999999999</v>
      </c>
      <c r="I22" s="171"/>
      <c r="J22" s="191">
        <v>3.3348702061758035</v>
      </c>
      <c r="K22" s="191">
        <v>39.091154285683878</v>
      </c>
      <c r="L22" s="192">
        <v>11.72194174552625</v>
      </c>
      <c r="M22" s="192">
        <v>-0.55512429833470656</v>
      </c>
      <c r="N22" s="192">
        <v>-24.135039688806529</v>
      </c>
      <c r="O22" s="193">
        <v>0.36599999999999999</v>
      </c>
      <c r="P22" s="194">
        <v>-0.55512429833470656</v>
      </c>
      <c r="Q22" s="195">
        <v>0.36605107951697552</v>
      </c>
      <c r="R22" s="196">
        <v>5.1079516975527373E-5</v>
      </c>
      <c r="S22" s="196">
        <v>33.348702061758033</v>
      </c>
      <c r="T22" s="197">
        <v>1.7034355930753742E-2</v>
      </c>
      <c r="U22" s="197">
        <v>0.51079516975527373</v>
      </c>
      <c r="V22" s="193">
        <v>1.077</v>
      </c>
      <c r="W22" s="194">
        <v>-24.135039688806529</v>
      </c>
      <c r="X22" s="194">
        <v>1.0846850227806333</v>
      </c>
      <c r="Y22" s="196">
        <v>7.6850227806333216E-3</v>
      </c>
      <c r="Z22" s="196">
        <v>390.91154285683882</v>
      </c>
      <c r="AA22" s="196">
        <v>30.041641120673255</v>
      </c>
      <c r="AB22" s="196">
        <v>76.850227806333208</v>
      </c>
    </row>
    <row r="23" spans="1:28" x14ac:dyDescent="0.25">
      <c r="A23" s="190">
        <v>20</v>
      </c>
      <c r="B23" s="171">
        <v>1</v>
      </c>
      <c r="C23" s="171" t="s">
        <v>463</v>
      </c>
      <c r="D23" s="171" t="s">
        <v>48</v>
      </c>
      <c r="E23" s="171" t="s">
        <v>466</v>
      </c>
      <c r="F23" s="171">
        <v>1</v>
      </c>
      <c r="G23" s="171" t="s">
        <v>50</v>
      </c>
      <c r="H23" s="171">
        <v>3.5920000000000001</v>
      </c>
      <c r="I23" s="171"/>
      <c r="J23" s="191">
        <v>3.0216855768918425</v>
      </c>
      <c r="K23" s="191">
        <v>38.782315395945709</v>
      </c>
      <c r="L23" s="192">
        <v>12.834662776475195</v>
      </c>
      <c r="M23" s="192">
        <v>-0.67474937584669881</v>
      </c>
      <c r="N23" s="192">
        <v>-27.127636039210433</v>
      </c>
      <c r="O23" s="193">
        <v>0.36599999999999999</v>
      </c>
      <c r="P23" s="194">
        <v>-0.67474937584669881</v>
      </c>
      <c r="Q23" s="195">
        <v>0.36600742666604158</v>
      </c>
      <c r="R23" s="196">
        <v>7.426666041587815E-6</v>
      </c>
      <c r="S23" s="196">
        <v>30.216855768918428</v>
      </c>
      <c r="T23" s="197">
        <v>2.2441049662258335E-3</v>
      </c>
      <c r="U23" s="197">
        <v>7.426666041587815E-2</v>
      </c>
      <c r="V23" s="193">
        <v>1.077</v>
      </c>
      <c r="W23" s="194">
        <v>-27.127636039210433</v>
      </c>
      <c r="X23" s="194">
        <v>1.0813946883232861</v>
      </c>
      <c r="Y23" s="196">
        <v>4.3946883232861556E-3</v>
      </c>
      <c r="Z23" s="196">
        <v>387.8231539594571</v>
      </c>
      <c r="AA23" s="196">
        <v>17.043618862056348</v>
      </c>
      <c r="AB23" s="196">
        <v>43.946883232861552</v>
      </c>
    </row>
    <row r="24" spans="1:28" x14ac:dyDescent="0.25">
      <c r="A24" s="190">
        <v>21</v>
      </c>
      <c r="B24" s="171">
        <v>1</v>
      </c>
      <c r="C24" s="171" t="s">
        <v>456</v>
      </c>
      <c r="D24" s="171" t="s">
        <v>44</v>
      </c>
      <c r="E24" s="171" t="s">
        <v>467</v>
      </c>
      <c r="F24" s="171">
        <v>1</v>
      </c>
      <c r="G24" s="171" t="s">
        <v>51</v>
      </c>
      <c r="H24" s="171">
        <v>3.3820000000000001</v>
      </c>
      <c r="I24" s="171"/>
      <c r="J24" s="191">
        <v>1.2825197822027092</v>
      </c>
      <c r="K24" s="191">
        <v>38.55369023873952</v>
      </c>
      <c r="L24" s="192">
        <v>30.060893230453033</v>
      </c>
      <c r="M24" s="192">
        <v>0.5259858363034764</v>
      </c>
      <c r="N24" s="192">
        <v>-28.275807926226523</v>
      </c>
      <c r="O24" s="193">
        <v>0.36599999999999999</v>
      </c>
      <c r="P24" s="194">
        <v>0.5259858363034764</v>
      </c>
      <c r="Q24" s="195">
        <v>0.3664455898737306</v>
      </c>
      <c r="R24" s="196">
        <v>4.4558987373061187E-4</v>
      </c>
      <c r="S24" s="196">
        <v>12.825197822027091</v>
      </c>
      <c r="T24" s="197">
        <v>5.7147782780871695E-2</v>
      </c>
      <c r="U24" s="197">
        <v>4.4558987373061187</v>
      </c>
      <c r="V24" s="193">
        <v>1.077</v>
      </c>
      <c r="W24" s="194">
        <v>-28.275807926226523</v>
      </c>
      <c r="X24" s="194">
        <v>1.0801322249084779</v>
      </c>
      <c r="Y24" s="196">
        <v>3.1322249084779763E-3</v>
      </c>
      <c r="Z24" s="196">
        <v>385.53690238739517</v>
      </c>
      <c r="AA24" s="196">
        <v>12.075882887952412</v>
      </c>
      <c r="AB24" s="196">
        <v>31.322249084779763</v>
      </c>
    </row>
    <row r="25" spans="1:28" x14ac:dyDescent="0.25">
      <c r="A25" s="190">
        <v>22</v>
      </c>
      <c r="B25" s="171">
        <v>1</v>
      </c>
      <c r="C25" s="171" t="s">
        <v>458</v>
      </c>
      <c r="D25" s="171" t="s">
        <v>36</v>
      </c>
      <c r="E25" s="171" t="s">
        <v>467</v>
      </c>
      <c r="F25" s="171">
        <v>1</v>
      </c>
      <c r="G25" s="171" t="s">
        <v>53</v>
      </c>
      <c r="H25" s="171">
        <v>3.3530000000000002</v>
      </c>
      <c r="I25" s="171"/>
      <c r="J25" s="191">
        <v>1.333995873997553</v>
      </c>
      <c r="K25" s="191">
        <v>38.741285410660964</v>
      </c>
      <c r="L25" s="192">
        <v>29.041533160493135</v>
      </c>
      <c r="M25" s="192">
        <v>-0.13608987236988612</v>
      </c>
      <c r="N25" s="192">
        <v>-28.515135445618633</v>
      </c>
      <c r="O25" s="193">
        <v>0.36599999999999999</v>
      </c>
      <c r="P25" s="194">
        <v>-0.13608987236988612</v>
      </c>
      <c r="Q25" s="195">
        <v>0.3662039906926719</v>
      </c>
      <c r="R25" s="196">
        <v>2.0399069267190706E-4</v>
      </c>
      <c r="S25" s="196">
        <v>13.339958739975529</v>
      </c>
      <c r="T25" s="197">
        <v>2.7212274235822686E-2</v>
      </c>
      <c r="U25" s="197">
        <v>2.0399069267190706</v>
      </c>
      <c r="V25" s="193">
        <v>1.077</v>
      </c>
      <c r="W25" s="194">
        <v>-28.515135445618633</v>
      </c>
      <c r="X25" s="194">
        <v>1.0798690701485198</v>
      </c>
      <c r="Y25" s="196">
        <v>2.8690701485198922E-3</v>
      </c>
      <c r="Z25" s="196">
        <v>387.41285410660964</v>
      </c>
      <c r="AA25" s="196">
        <v>11.115146548701658</v>
      </c>
      <c r="AB25" s="196">
        <v>28.690701485198922</v>
      </c>
    </row>
    <row r="26" spans="1:28" x14ac:dyDescent="0.25">
      <c r="A26" s="190">
        <v>23</v>
      </c>
      <c r="B26" s="171">
        <v>1</v>
      </c>
      <c r="C26" s="171" t="s">
        <v>459</v>
      </c>
      <c r="D26" s="171" t="s">
        <v>28</v>
      </c>
      <c r="E26" s="171" t="s">
        <v>467</v>
      </c>
      <c r="F26" s="171">
        <v>1</v>
      </c>
      <c r="G26" s="171" t="s">
        <v>54</v>
      </c>
      <c r="H26" s="171">
        <v>3.778</v>
      </c>
      <c r="I26" s="171"/>
      <c r="J26" s="191">
        <v>1.6939508216611845</v>
      </c>
      <c r="K26" s="191">
        <v>37.372547913814103</v>
      </c>
      <c r="L26" s="192">
        <v>22.062357086119217</v>
      </c>
      <c r="M26" s="192">
        <v>0.27869691324601709</v>
      </c>
      <c r="N26" s="192">
        <v>-29.150218155021847</v>
      </c>
      <c r="O26" s="193">
        <v>0.36599999999999999</v>
      </c>
      <c r="P26" s="194">
        <v>0.27869691324601709</v>
      </c>
      <c r="Q26" s="195">
        <v>0.36635535138627312</v>
      </c>
      <c r="R26" s="196">
        <v>3.5535138627312834E-4</v>
      </c>
      <c r="S26" s="196">
        <v>16.939508216611845</v>
      </c>
      <c r="T26" s="197">
        <v>6.0194777275580667E-2</v>
      </c>
      <c r="U26" s="197">
        <v>3.5535138627312834</v>
      </c>
      <c r="V26" s="193">
        <v>1.077</v>
      </c>
      <c r="W26" s="194">
        <v>-29.150218155021847</v>
      </c>
      <c r="X26" s="194">
        <v>1.0791707523671876</v>
      </c>
      <c r="Y26" s="196">
        <v>2.1707523671876672E-3</v>
      </c>
      <c r="Z26" s="196">
        <v>373.72547913814105</v>
      </c>
      <c r="AA26" s="196">
        <v>8.1126546851746486</v>
      </c>
      <c r="AB26" s="196">
        <v>21.707523671876675</v>
      </c>
    </row>
    <row r="27" spans="1:28" x14ac:dyDescent="0.25">
      <c r="A27" s="190">
        <v>24</v>
      </c>
      <c r="B27" s="171">
        <v>1</v>
      </c>
      <c r="C27" s="171" t="s">
        <v>460</v>
      </c>
      <c r="D27" s="171" t="s">
        <v>24</v>
      </c>
      <c r="E27" s="171" t="s">
        <v>467</v>
      </c>
      <c r="F27" s="171">
        <v>1</v>
      </c>
      <c r="G27" s="171" t="s">
        <v>55</v>
      </c>
      <c r="H27" s="171">
        <v>3.1909999999999998</v>
      </c>
      <c r="I27" s="171"/>
      <c r="J27" s="191">
        <v>1.5952317880741322</v>
      </c>
      <c r="K27" s="191">
        <v>37.200610462942784</v>
      </c>
      <c r="L27" s="192">
        <v>23.319877864177837</v>
      </c>
      <c r="M27" s="192">
        <v>1.208672946749269</v>
      </c>
      <c r="N27" s="192">
        <v>-27.953895765295787</v>
      </c>
      <c r="O27" s="193">
        <v>0.36599999999999999</v>
      </c>
      <c r="P27" s="194">
        <v>1.208672946749269</v>
      </c>
      <c r="Q27" s="195">
        <v>0.36669470916974606</v>
      </c>
      <c r="R27" s="196">
        <v>6.9470916974606611E-4</v>
      </c>
      <c r="S27" s="196">
        <v>15.952317880741321</v>
      </c>
      <c r="T27" s="197">
        <v>0.11082221510455129</v>
      </c>
      <c r="U27" s="197">
        <v>6.9470916974606611</v>
      </c>
      <c r="V27" s="193">
        <v>1.077</v>
      </c>
      <c r="W27" s="194">
        <v>-27.953895765295787</v>
      </c>
      <c r="X27" s="194">
        <v>1.0804861841571742</v>
      </c>
      <c r="Y27" s="196">
        <v>3.4861841571742769E-3</v>
      </c>
      <c r="Z27" s="196">
        <v>372.00610462942785</v>
      </c>
      <c r="AA27" s="196">
        <v>12.96881788331228</v>
      </c>
      <c r="AB27" s="196">
        <v>34.861841571742772</v>
      </c>
    </row>
    <row r="28" spans="1:28" x14ac:dyDescent="0.25">
      <c r="A28" s="171"/>
      <c r="B28" s="171"/>
      <c r="C28" s="171"/>
      <c r="D28" s="171"/>
      <c r="E28" s="171"/>
      <c r="F28" s="171"/>
      <c r="G28" s="171"/>
      <c r="H28" s="171"/>
      <c r="I28" s="198" t="s">
        <v>152</v>
      </c>
      <c r="J28" s="191">
        <v>2.7626695889412463</v>
      </c>
      <c r="K28" s="191">
        <v>46.039508589292396</v>
      </c>
      <c r="L28" s="192">
        <v>16.664862411916722</v>
      </c>
      <c r="M28" s="192">
        <v>1.9711132822599413</v>
      </c>
      <c r="N28" s="192">
        <v>-26.038847830830253</v>
      </c>
      <c r="O28" s="193">
        <v>0.36599999999999999</v>
      </c>
      <c r="P28" s="194">
        <v>1.9711132822599413</v>
      </c>
      <c r="Q28" s="195">
        <v>0.36697292973583567</v>
      </c>
      <c r="R28" s="196">
        <v>9.7292973583568143E-4</v>
      </c>
      <c r="S28" s="196">
        <v>27.62669588941246</v>
      </c>
      <c r="T28" s="197">
        <v>0.2687883393369877</v>
      </c>
      <c r="U28" s="197">
        <v>9.7292973583568134</v>
      </c>
      <c r="V28" s="193">
        <v>1.077</v>
      </c>
      <c r="W28" s="194">
        <v>-26.038847830830253</v>
      </c>
      <c r="X28" s="194">
        <v>1.0825918271117732</v>
      </c>
      <c r="Y28" s="196">
        <v>5.5918271117731955E-3</v>
      </c>
      <c r="Z28" s="196">
        <v>460.39508589292393</v>
      </c>
      <c r="AA28" s="196">
        <v>25.744497234232011</v>
      </c>
      <c r="AB28" s="196">
        <v>55.918271117731955</v>
      </c>
    </row>
    <row r="29" spans="1:28" x14ac:dyDescent="0.25">
      <c r="A29" s="190">
        <v>25</v>
      </c>
      <c r="B29" s="171">
        <v>1</v>
      </c>
      <c r="C29" s="171" t="s">
        <v>461</v>
      </c>
      <c r="D29" s="171" t="s">
        <v>52</v>
      </c>
      <c r="E29" s="171" t="s">
        <v>467</v>
      </c>
      <c r="F29" s="171">
        <v>1</v>
      </c>
      <c r="G29" s="171" t="s">
        <v>56</v>
      </c>
      <c r="H29" s="171">
        <v>3.4830000000000001</v>
      </c>
      <c r="I29" s="171"/>
      <c r="J29" s="191">
        <v>1.1356038169973097</v>
      </c>
      <c r="K29" s="191">
        <v>37.460245506926917</v>
      </c>
      <c r="L29" s="192">
        <v>32.987072556674633</v>
      </c>
      <c r="M29" s="192">
        <v>0.38209551687278409</v>
      </c>
      <c r="N29" s="192">
        <v>-29.273303929279791</v>
      </c>
      <c r="O29" s="193">
        <v>0.36599999999999999</v>
      </c>
      <c r="P29" s="194">
        <v>0.38209551687278409</v>
      </c>
      <c r="Q29" s="195">
        <v>0.36639308271041965</v>
      </c>
      <c r="R29" s="196">
        <v>3.9308271041965659E-4</v>
      </c>
      <c r="S29" s="196">
        <v>11.356038169973097</v>
      </c>
      <c r="T29" s="197">
        <v>4.4638622634821018E-2</v>
      </c>
      <c r="U29" s="197">
        <v>3.9308271041965659</v>
      </c>
      <c r="V29" s="193">
        <v>1.077</v>
      </c>
      <c r="W29" s="194">
        <v>-29.273303929279791</v>
      </c>
      <c r="X29" s="194">
        <v>1.0790354098237691</v>
      </c>
      <c r="Y29" s="196">
        <v>2.035409823769152E-3</v>
      </c>
      <c r="Z29" s="196">
        <v>374.60245506926913</v>
      </c>
      <c r="AA29" s="196">
        <v>7.6246951705603268</v>
      </c>
      <c r="AB29" s="196">
        <v>20.35409823769152</v>
      </c>
    </row>
    <row r="30" spans="1:28" x14ac:dyDescent="0.25">
      <c r="A30" s="190">
        <v>26</v>
      </c>
      <c r="B30" s="171">
        <v>1</v>
      </c>
      <c r="C30" s="171" t="s">
        <v>462</v>
      </c>
      <c r="D30" s="171" t="s">
        <v>40</v>
      </c>
      <c r="E30" s="171" t="s">
        <v>467</v>
      </c>
      <c r="F30" s="171">
        <v>1</v>
      </c>
      <c r="G30" s="171" t="s">
        <v>57</v>
      </c>
      <c r="H30" s="171">
        <v>3.2490000000000001</v>
      </c>
      <c r="I30" s="171"/>
      <c r="J30" s="191">
        <v>0.98870484212276377</v>
      </c>
      <c r="K30" s="191">
        <v>37.354403472056582</v>
      </c>
      <c r="L30" s="192">
        <v>37.781147497827689</v>
      </c>
      <c r="M30" s="192">
        <v>-0.40047226179588502</v>
      </c>
      <c r="N30" s="192">
        <v>-28.67099261914678</v>
      </c>
      <c r="O30" s="193">
        <v>0.36599999999999999</v>
      </c>
      <c r="P30" s="194">
        <v>-0.40047226179588502</v>
      </c>
      <c r="Q30" s="195">
        <v>0.3661075141346688</v>
      </c>
      <c r="R30" s="196">
        <v>1.0751413466880688E-4</v>
      </c>
      <c r="S30" s="196">
        <v>9.8870484212276395</v>
      </c>
      <c r="T30" s="197">
        <v>1.0629974554368827E-2</v>
      </c>
      <c r="U30" s="197">
        <v>1.0751413466880688</v>
      </c>
      <c r="V30" s="193">
        <v>1.077</v>
      </c>
      <c r="W30" s="194">
        <v>-28.67099261914678</v>
      </c>
      <c r="X30" s="194">
        <v>1.0796976952169692</v>
      </c>
      <c r="Y30" s="196">
        <v>2.6976952169692758E-3</v>
      </c>
      <c r="Z30" s="196">
        <v>373.54403472056578</v>
      </c>
      <c r="AA30" s="196">
        <v>10.077079557930755</v>
      </c>
      <c r="AB30" s="196">
        <v>26.976952169692758</v>
      </c>
    </row>
    <row r="31" spans="1:28" x14ac:dyDescent="0.25">
      <c r="A31" s="190">
        <v>27</v>
      </c>
      <c r="B31" s="171">
        <v>1</v>
      </c>
      <c r="C31" s="171" t="s">
        <v>463</v>
      </c>
      <c r="D31" s="171" t="s">
        <v>48</v>
      </c>
      <c r="E31" s="171" t="s">
        <v>467</v>
      </c>
      <c r="F31" s="171">
        <v>1</v>
      </c>
      <c r="G31" s="171" t="s">
        <v>58</v>
      </c>
      <c r="H31" s="171">
        <v>4.1230000000000002</v>
      </c>
      <c r="I31" s="171"/>
      <c r="J31" s="191">
        <v>1.0392391535236152</v>
      </c>
      <c r="K31" s="191">
        <v>36.539597816096098</v>
      </c>
      <c r="L31" s="192">
        <v>35.159951097113648</v>
      </c>
      <c r="M31" s="192">
        <v>-1.2108322588292764</v>
      </c>
      <c r="N31" s="192">
        <v>-29.630980004087288</v>
      </c>
      <c r="O31" s="193">
        <v>0.36599999999999999</v>
      </c>
      <c r="P31" s="194">
        <v>-1.2108322588292764</v>
      </c>
      <c r="Q31" s="195">
        <v>0.36581180211251069</v>
      </c>
      <c r="R31" s="196">
        <v>-1.8819788748930533E-4</v>
      </c>
      <c r="S31" s="196">
        <v>10.392391535236152</v>
      </c>
      <c r="T31" s="197">
        <v>-1.9558261328931823E-2</v>
      </c>
      <c r="U31" s="197">
        <v>-1.8819788748930533</v>
      </c>
      <c r="V31" s="193">
        <v>1.077</v>
      </c>
      <c r="W31" s="194">
        <v>-29.630980004087288</v>
      </c>
      <c r="X31" s="194">
        <v>1.0786421145898146</v>
      </c>
      <c r="Y31" s="196">
        <v>1.6421145898146694E-3</v>
      </c>
      <c r="Z31" s="196">
        <v>365.39597816096096</v>
      </c>
      <c r="AA31" s="196">
        <v>6.000220667977163</v>
      </c>
      <c r="AB31" s="196">
        <v>16.421145898146694</v>
      </c>
    </row>
    <row r="32" spans="1:28" x14ac:dyDescent="0.25">
      <c r="A32" s="190">
        <v>28</v>
      </c>
      <c r="B32" s="171">
        <v>1</v>
      </c>
      <c r="C32" s="171" t="s">
        <v>464</v>
      </c>
      <c r="D32" s="171" t="s">
        <v>32</v>
      </c>
      <c r="E32" s="171" t="s">
        <v>467</v>
      </c>
      <c r="F32" s="171">
        <v>1</v>
      </c>
      <c r="G32" s="171" t="s">
        <v>59</v>
      </c>
      <c r="H32" s="171">
        <v>3.4049999999999998</v>
      </c>
      <c r="I32" s="171"/>
      <c r="J32" s="191">
        <v>1.4871643635407708</v>
      </c>
      <c r="K32" s="191">
        <v>37.524825014509474</v>
      </c>
      <c r="L32" s="192">
        <v>25.232466521163204</v>
      </c>
      <c r="M32" s="192">
        <v>-0.14480676255803182</v>
      </c>
      <c r="N32" s="192">
        <v>-29.140948515044013</v>
      </c>
      <c r="O32" s="193">
        <v>0.36599999999999999</v>
      </c>
      <c r="P32" s="194">
        <v>-0.14480676255803182</v>
      </c>
      <c r="Q32" s="195">
        <v>0.36620080978952563</v>
      </c>
      <c r="R32" s="196">
        <v>2.0080978952563555E-4</v>
      </c>
      <c r="S32" s="196">
        <v>14.871643635407708</v>
      </c>
      <c r="T32" s="197">
        <v>2.9863716283264789E-2</v>
      </c>
      <c r="U32" s="197">
        <v>2.0080978952563555</v>
      </c>
      <c r="V32" s="193">
        <v>1.077</v>
      </c>
      <c r="W32" s="194">
        <v>-29.140948515044013</v>
      </c>
      <c r="X32" s="194">
        <v>1.0791809450544658</v>
      </c>
      <c r="Y32" s="196">
        <v>2.180945054465866E-3</v>
      </c>
      <c r="Z32" s="196">
        <v>375.2482501450948</v>
      </c>
      <c r="AA32" s="196">
        <v>8.1839581535091455</v>
      </c>
      <c r="AB32" s="196">
        <v>21.80945054465866</v>
      </c>
    </row>
    <row r="33" spans="1:28" x14ac:dyDescent="0.25">
      <c r="A33" s="190">
        <v>29</v>
      </c>
      <c r="B33" s="171">
        <v>1</v>
      </c>
      <c r="C33" s="171" t="s">
        <v>456</v>
      </c>
      <c r="D33" s="171" t="s">
        <v>44</v>
      </c>
      <c r="E33" s="171" t="s">
        <v>468</v>
      </c>
      <c r="F33" s="171">
        <v>1</v>
      </c>
      <c r="G33" s="171" t="s">
        <v>60</v>
      </c>
      <c r="H33" s="171">
        <v>3.78</v>
      </c>
      <c r="I33" s="171"/>
      <c r="J33" s="191">
        <v>1.4075362763058523</v>
      </c>
      <c r="K33" s="191">
        <v>43.248759015593258</v>
      </c>
      <c r="L33" s="192">
        <v>30.726567935500555</v>
      </c>
      <c r="M33" s="192">
        <v>-4.6647277668166076</v>
      </c>
      <c r="N33" s="192">
        <v>-30.34142464722089</v>
      </c>
      <c r="O33" s="193">
        <v>0.36599999999999999</v>
      </c>
      <c r="P33" s="194">
        <v>-4.6647277668166076</v>
      </c>
      <c r="Q33" s="195">
        <v>0.36455140626305033</v>
      </c>
      <c r="R33" s="196">
        <v>-1.448593736949666E-3</v>
      </c>
      <c r="S33" s="196">
        <v>14.075362763058523</v>
      </c>
      <c r="T33" s="197">
        <v>-0.20389482343861123</v>
      </c>
      <c r="U33" s="197">
        <v>-14.485937369496661</v>
      </c>
      <c r="V33" s="193">
        <v>1.077</v>
      </c>
      <c r="W33" s="194">
        <v>-30.34142464722089</v>
      </c>
      <c r="X33" s="194">
        <v>1.0778609110670445</v>
      </c>
      <c r="Y33" s="196">
        <v>8.6091106704455633E-4</v>
      </c>
      <c r="Z33" s="196">
        <v>432.48759015593259</v>
      </c>
      <c r="AA33" s="196">
        <v>3.7233335272467274</v>
      </c>
      <c r="AB33" s="196">
        <v>8.6091106704455633</v>
      </c>
    </row>
    <row r="34" spans="1:28" x14ac:dyDescent="0.25">
      <c r="A34" s="190">
        <v>30</v>
      </c>
      <c r="B34" s="171">
        <v>1</v>
      </c>
      <c r="C34" s="171" t="s">
        <v>458</v>
      </c>
      <c r="D34" s="171" t="s">
        <v>36</v>
      </c>
      <c r="E34" s="171" t="s">
        <v>468</v>
      </c>
      <c r="F34" s="171">
        <v>1</v>
      </c>
      <c r="G34" s="171" t="s">
        <v>61</v>
      </c>
      <c r="H34" s="171">
        <v>3.359</v>
      </c>
      <c r="I34" s="171"/>
      <c r="J34" s="191">
        <v>1.9076505009329663</v>
      </c>
      <c r="K34" s="191">
        <v>43.743181022722872</v>
      </c>
      <c r="L34" s="192">
        <v>22.930395793846714</v>
      </c>
      <c r="M34" s="192">
        <v>-1.9299122832414011</v>
      </c>
      <c r="N34" s="192">
        <v>-29.833958977252713</v>
      </c>
      <c r="O34" s="193">
        <v>0.36599999999999999</v>
      </c>
      <c r="P34" s="194">
        <v>-1.9299122832414011</v>
      </c>
      <c r="Q34" s="195">
        <v>0.36554939799578073</v>
      </c>
      <c r="R34" s="196">
        <v>-4.5060200421925822E-4</v>
      </c>
      <c r="S34" s="196">
        <v>19.076505009329662</v>
      </c>
      <c r="T34" s="197">
        <v>-8.5959113907026652E-2</v>
      </c>
      <c r="U34" s="197">
        <v>-4.5060200421925822</v>
      </c>
      <c r="V34" s="193">
        <v>1.077</v>
      </c>
      <c r="W34" s="194">
        <v>-29.833958977252713</v>
      </c>
      <c r="X34" s="194">
        <v>1.0784189205718813</v>
      </c>
      <c r="Y34" s="196">
        <v>1.4189205718813103E-3</v>
      </c>
      <c r="Z34" s="196">
        <v>437.43181022722865</v>
      </c>
      <c r="AA34" s="196">
        <v>6.2068099432669612</v>
      </c>
      <c r="AB34" s="196">
        <v>14.189205718813103</v>
      </c>
    </row>
    <row r="35" spans="1:28" x14ac:dyDescent="0.25">
      <c r="A35" s="190">
        <v>31</v>
      </c>
      <c r="B35" s="171">
        <v>1</v>
      </c>
      <c r="C35" s="171" t="s">
        <v>459</v>
      </c>
      <c r="D35" s="171" t="s">
        <v>28</v>
      </c>
      <c r="E35" s="171" t="s">
        <v>468</v>
      </c>
      <c r="F35" s="171">
        <v>1</v>
      </c>
      <c r="G35" s="171" t="s">
        <v>62</v>
      </c>
      <c r="H35" s="171">
        <v>3.9990000000000001</v>
      </c>
      <c r="I35" s="171"/>
      <c r="J35" s="191">
        <v>1.7733823146950463</v>
      </c>
      <c r="K35" s="191">
        <v>42.042334865952938</v>
      </c>
      <c r="L35" s="192">
        <v>23.707428746509525</v>
      </c>
      <c r="M35" s="192">
        <v>-3.7383713837573422</v>
      </c>
      <c r="N35" s="192">
        <v>-30.389149628516648</v>
      </c>
      <c r="O35" s="193">
        <v>0.36599999999999999</v>
      </c>
      <c r="P35" s="194">
        <v>-3.7383713837573422</v>
      </c>
      <c r="Q35" s="195">
        <v>0.36488945544440637</v>
      </c>
      <c r="R35" s="196">
        <v>-1.1105445555936178E-3</v>
      </c>
      <c r="S35" s="196">
        <v>17.73382314695046</v>
      </c>
      <c r="T35" s="197">
        <v>-0.19694200745705909</v>
      </c>
      <c r="U35" s="197">
        <v>-11.105445555936178</v>
      </c>
      <c r="V35" s="193">
        <v>1.077</v>
      </c>
      <c r="W35" s="194">
        <v>-30.389149628516648</v>
      </c>
      <c r="X35" s="194">
        <v>1.0778084323298436</v>
      </c>
      <c r="Y35" s="196">
        <v>8.0843232984362245E-4</v>
      </c>
      <c r="Z35" s="196">
        <v>420.42334865952938</v>
      </c>
      <c r="AA35" s="196">
        <v>3.398838272774809</v>
      </c>
      <c r="AB35" s="196">
        <v>8.0843232984362245</v>
      </c>
    </row>
    <row r="36" spans="1:28" x14ac:dyDescent="0.25">
      <c r="A36" s="190">
        <v>32</v>
      </c>
      <c r="B36" s="171">
        <v>1</v>
      </c>
      <c r="C36" s="171" t="s">
        <v>460</v>
      </c>
      <c r="D36" s="171" t="s">
        <v>24</v>
      </c>
      <c r="E36" s="171" t="s">
        <v>468</v>
      </c>
      <c r="F36" s="171">
        <v>1</v>
      </c>
      <c r="G36" s="171" t="s">
        <v>63</v>
      </c>
      <c r="H36" s="171">
        <v>1.5720000000000001</v>
      </c>
      <c r="I36" s="171" t="s">
        <v>469</v>
      </c>
      <c r="J36" s="191">
        <v>1.4424483030511901</v>
      </c>
      <c r="K36" s="191">
        <v>48.483291935139867</v>
      </c>
      <c r="L36" s="192">
        <v>33.611805589554827</v>
      </c>
      <c r="M36" s="192">
        <v>-4.3284084170815511</v>
      </c>
      <c r="N36" s="192">
        <v>-29.961012649812623</v>
      </c>
      <c r="O36" s="193">
        <v>0.36599999999999999</v>
      </c>
      <c r="P36" s="194">
        <v>-4.3284084170815511</v>
      </c>
      <c r="Q36" s="195">
        <v>0.36467413735081339</v>
      </c>
      <c r="R36" s="196">
        <v>-1.3258626491866043E-3</v>
      </c>
      <c r="S36" s="196">
        <v>14.424483030511901</v>
      </c>
      <c r="T36" s="197">
        <v>-0.19124883283981728</v>
      </c>
      <c r="U36" s="197">
        <v>-13.258626491866043</v>
      </c>
      <c r="V36" s="193">
        <v>1.077</v>
      </c>
      <c r="W36" s="194">
        <v>-29.961012649812623</v>
      </c>
      <c r="X36" s="194">
        <v>1.0782792128806757</v>
      </c>
      <c r="Y36" s="196">
        <v>1.2792128806757841E-3</v>
      </c>
      <c r="Z36" s="196">
        <v>484.83291935139869</v>
      </c>
      <c r="AA36" s="196">
        <v>6.2020451540995278</v>
      </c>
      <c r="AB36" s="196">
        <v>12.792128806757841</v>
      </c>
    </row>
    <row r="37" spans="1:28" x14ac:dyDescent="0.25">
      <c r="A37" s="190">
        <v>33</v>
      </c>
      <c r="B37" s="171">
        <v>1</v>
      </c>
      <c r="C37" s="171" t="s">
        <v>461</v>
      </c>
      <c r="D37" s="171" t="s">
        <v>52</v>
      </c>
      <c r="E37" s="171" t="s">
        <v>468</v>
      </c>
      <c r="F37" s="171">
        <v>1</v>
      </c>
      <c r="G37" s="171" t="s">
        <v>64</v>
      </c>
      <c r="H37" s="171">
        <v>3.4079999999999999</v>
      </c>
      <c r="I37" s="171"/>
      <c r="J37" s="191">
        <v>1.5885499779030428</v>
      </c>
      <c r="K37" s="191">
        <v>43.949957457858503</v>
      </c>
      <c r="L37" s="192">
        <v>27.666713713265995</v>
      </c>
      <c r="M37" s="192">
        <v>-3.349354481178219</v>
      </c>
      <c r="N37" s="192">
        <v>-30.816143281974878</v>
      </c>
      <c r="O37" s="193">
        <v>0.36599999999999999</v>
      </c>
      <c r="P37" s="194">
        <v>-3.349354481178219</v>
      </c>
      <c r="Q37" s="195">
        <v>0.36503141615661161</v>
      </c>
      <c r="R37" s="196">
        <v>-9.6858384338838199E-4</v>
      </c>
      <c r="S37" s="196">
        <v>15.885499779030427</v>
      </c>
      <c r="T37" s="197">
        <v>-0.15386438430118585</v>
      </c>
      <c r="U37" s="197">
        <v>-9.6858384338838199</v>
      </c>
      <c r="V37" s="193">
        <v>1.077</v>
      </c>
      <c r="W37" s="194">
        <v>-30.816143281974878</v>
      </c>
      <c r="X37" s="194">
        <v>1.0773389045193755</v>
      </c>
      <c r="Y37" s="196">
        <v>3.3890451937557131E-4</v>
      </c>
      <c r="Z37" s="196">
        <v>439.49957457858494</v>
      </c>
      <c r="AA37" s="196">
        <v>1.4894839208832338</v>
      </c>
      <c r="AB37" s="196">
        <v>3.3890451937557131</v>
      </c>
    </row>
    <row r="38" spans="1:28" x14ac:dyDescent="0.25">
      <c r="A38" s="190">
        <v>34</v>
      </c>
      <c r="B38" s="171">
        <v>1</v>
      </c>
      <c r="C38" s="171" t="s">
        <v>462</v>
      </c>
      <c r="D38" s="171" t="s">
        <v>40</v>
      </c>
      <c r="E38" s="171" t="s">
        <v>468</v>
      </c>
      <c r="F38" s="171">
        <v>1</v>
      </c>
      <c r="G38" s="171" t="s">
        <v>65</v>
      </c>
      <c r="H38" s="171">
        <v>3.6509999999999998</v>
      </c>
      <c r="I38" s="171"/>
      <c r="J38" s="191">
        <v>1.1470866799935755</v>
      </c>
      <c r="K38" s="191">
        <v>43.589146278446499</v>
      </c>
      <c r="L38" s="192">
        <v>37.999871359931262</v>
      </c>
      <c r="M38" s="192">
        <v>-6.2524707559100348</v>
      </c>
      <c r="N38" s="192">
        <v>-30.481551791799809</v>
      </c>
      <c r="O38" s="193">
        <v>0.36599999999999999</v>
      </c>
      <c r="P38" s="194">
        <v>-6.2524707559100348</v>
      </c>
      <c r="Q38" s="195">
        <v>0.36397199625428583</v>
      </c>
      <c r="R38" s="196">
        <v>-2.0280037457141575E-3</v>
      </c>
      <c r="S38" s="196">
        <v>11.470866799935754</v>
      </c>
      <c r="T38" s="197">
        <v>-0.23262960836857879</v>
      </c>
      <c r="U38" s="197">
        <v>-20.280037457141574</v>
      </c>
      <c r="V38" s="193">
        <v>1.077</v>
      </c>
      <c r="W38" s="194">
        <v>-30.481551791799809</v>
      </c>
      <c r="X38" s="194">
        <v>1.0777068260795053</v>
      </c>
      <c r="Y38" s="196">
        <v>7.0682607950534049E-4</v>
      </c>
      <c r="Z38" s="196">
        <v>435.89146278446498</v>
      </c>
      <c r="AA38" s="196">
        <v>3.0809945372979137</v>
      </c>
      <c r="AB38" s="196">
        <v>7.0682607950534049</v>
      </c>
    </row>
    <row r="39" spans="1:28" x14ac:dyDescent="0.25">
      <c r="A39" s="190">
        <v>35</v>
      </c>
      <c r="B39" s="171">
        <v>1</v>
      </c>
      <c r="C39" s="171" t="s">
        <v>463</v>
      </c>
      <c r="D39" s="171" t="s">
        <v>48</v>
      </c>
      <c r="E39" s="171" t="s">
        <v>468</v>
      </c>
      <c r="F39" s="171">
        <v>1</v>
      </c>
      <c r="G39" s="171" t="s">
        <v>66</v>
      </c>
      <c r="H39" s="171">
        <v>3.8839999999999999</v>
      </c>
      <c r="I39" s="171"/>
      <c r="J39" s="191">
        <v>1.1762588076418914</v>
      </c>
      <c r="K39" s="191">
        <v>42.735621140573166</v>
      </c>
      <c r="L39" s="192">
        <v>36.331818187400046</v>
      </c>
      <c r="M39" s="192">
        <v>-4.9822206981570174</v>
      </c>
      <c r="N39" s="192">
        <v>-31.297028939463711</v>
      </c>
      <c r="O39" s="193">
        <v>0.36599999999999999</v>
      </c>
      <c r="P39" s="194">
        <v>-4.9822206981570174</v>
      </c>
      <c r="Q39" s="195">
        <v>0.36443554511452614</v>
      </c>
      <c r="R39" s="196">
        <v>-1.5644548854738538E-3</v>
      </c>
      <c r="S39" s="196">
        <v>11.762588076418913</v>
      </c>
      <c r="T39" s="197">
        <v>-0.18402038381970071</v>
      </c>
      <c r="U39" s="197">
        <v>-15.644548854738538</v>
      </c>
      <c r="V39" s="193">
        <v>1.077</v>
      </c>
      <c r="W39" s="194">
        <v>-31.297028939463711</v>
      </c>
      <c r="X39" s="194">
        <v>1.076810111019334</v>
      </c>
      <c r="Y39" s="196">
        <v>-1.8988898066596427E-4</v>
      </c>
      <c r="Z39" s="196">
        <v>427.35621140573164</v>
      </c>
      <c r="AA39" s="196">
        <v>-0.81150235365102708</v>
      </c>
      <c r="AB39" s="196">
        <v>-1.8988898066596427</v>
      </c>
    </row>
    <row r="40" spans="1:28" x14ac:dyDescent="0.25">
      <c r="A40" s="190">
        <v>36</v>
      </c>
      <c r="B40" s="171">
        <v>1</v>
      </c>
      <c r="C40" s="171" t="s">
        <v>456</v>
      </c>
      <c r="D40" s="171" t="s">
        <v>44</v>
      </c>
      <c r="E40" s="171" t="s">
        <v>470</v>
      </c>
      <c r="F40" s="171">
        <v>1</v>
      </c>
      <c r="G40" s="171" t="s">
        <v>67</v>
      </c>
      <c r="H40" s="171">
        <v>3.1389999999999998</v>
      </c>
      <c r="I40" s="171"/>
      <c r="J40" s="191">
        <v>1.300421302959464</v>
      </c>
      <c r="K40" s="191">
        <v>43.503578014164049</v>
      </c>
      <c r="L40" s="192">
        <v>33.453449213081761</v>
      </c>
      <c r="M40" s="192">
        <v>-4.6482852071414902</v>
      </c>
      <c r="N40" s="192">
        <v>-30.745060738710567</v>
      </c>
      <c r="O40" s="193">
        <v>0.36599999999999999</v>
      </c>
      <c r="P40" s="194">
        <v>-4.6482852071414902</v>
      </c>
      <c r="Q40" s="195">
        <v>0.36455740655890134</v>
      </c>
      <c r="R40" s="196">
        <v>-1.4425934410986496E-3</v>
      </c>
      <c r="S40" s="196">
        <v>13.00421302959464</v>
      </c>
      <c r="T40" s="197">
        <v>-0.18759792423142826</v>
      </c>
      <c r="U40" s="197">
        <v>-14.425934410986496</v>
      </c>
      <c r="V40" s="193">
        <v>1.077</v>
      </c>
      <c r="W40" s="194">
        <v>-30.745060738710567</v>
      </c>
      <c r="X40" s="194">
        <v>1.0774170681236188</v>
      </c>
      <c r="Y40" s="196">
        <v>4.1706812361885781E-4</v>
      </c>
      <c r="Z40" s="196">
        <v>435.03578014164049</v>
      </c>
      <c r="AA40" s="196">
        <v>1.8143955653073998</v>
      </c>
      <c r="AB40" s="196">
        <v>4.1706812361885781</v>
      </c>
    </row>
    <row r="41" spans="1:28" x14ac:dyDescent="0.25">
      <c r="A41" s="171"/>
      <c r="B41" s="171"/>
      <c r="C41" s="171"/>
      <c r="D41" s="171"/>
      <c r="E41" s="171"/>
      <c r="F41" s="171"/>
      <c r="G41" s="171"/>
      <c r="H41" s="171"/>
      <c r="I41" s="198" t="s">
        <v>152</v>
      </c>
      <c r="J41" s="191">
        <v>2.9631752796477451</v>
      </c>
      <c r="K41" s="191">
        <v>45.544864522296166</v>
      </c>
      <c r="L41" s="192">
        <v>15.37029038920385</v>
      </c>
      <c r="M41" s="192">
        <v>1.9293107923398101</v>
      </c>
      <c r="N41" s="192">
        <v>-26.143170862666867</v>
      </c>
      <c r="O41" s="193">
        <v>0.36599999999999999</v>
      </c>
      <c r="P41" s="194">
        <v>1.9293107923398101</v>
      </c>
      <c r="Q41" s="195">
        <v>0.36695767571375493</v>
      </c>
      <c r="R41" s="196">
        <v>9.5767571375493521E-4</v>
      </c>
      <c r="S41" s="196">
        <v>29.63175279647745</v>
      </c>
      <c r="T41" s="197">
        <v>0.28377610009176341</v>
      </c>
      <c r="U41" s="197">
        <v>9.5767571375493521</v>
      </c>
      <c r="V41" s="193">
        <v>1.077</v>
      </c>
      <c r="W41" s="194">
        <v>-26.143170862666867</v>
      </c>
      <c r="X41" s="194">
        <v>1.0824771236456996</v>
      </c>
      <c r="Y41" s="196">
        <v>5.4771236456996331E-3</v>
      </c>
      <c r="Z41" s="196">
        <v>455.44864522296166</v>
      </c>
      <c r="AA41" s="196">
        <v>24.945485441525467</v>
      </c>
      <c r="AB41" s="196">
        <v>54.771236456996334</v>
      </c>
    </row>
    <row r="42" spans="1:28" x14ac:dyDescent="0.25">
      <c r="A42" s="190">
        <v>37</v>
      </c>
      <c r="B42" s="171">
        <v>1</v>
      </c>
      <c r="C42" s="171" t="s">
        <v>458</v>
      </c>
      <c r="D42" s="171" t="s">
        <v>36</v>
      </c>
      <c r="E42" s="171" t="s">
        <v>470</v>
      </c>
      <c r="F42" s="171">
        <v>1</v>
      </c>
      <c r="G42" s="171" t="s">
        <v>116</v>
      </c>
      <c r="H42" s="171">
        <v>3.431</v>
      </c>
      <c r="I42" s="171"/>
      <c r="J42" s="191">
        <v>2.1390878941894131</v>
      </c>
      <c r="K42" s="191">
        <v>42.677204537033113</v>
      </c>
      <c r="L42" s="192">
        <v>19.951122463439134</v>
      </c>
      <c r="M42" s="192">
        <v>-1.0759222772218091</v>
      </c>
      <c r="N42" s="192">
        <v>-30.578527232957555</v>
      </c>
      <c r="O42" s="193">
        <v>0.36599999999999999</v>
      </c>
      <c r="P42" s="194">
        <v>-1.0759222772218091</v>
      </c>
      <c r="Q42" s="195">
        <v>0.36586103282763766</v>
      </c>
      <c r="R42" s="196">
        <v>-1.3896717236233647E-4</v>
      </c>
      <c r="S42" s="196">
        <v>21.39087894189413</v>
      </c>
      <c r="T42" s="197">
        <v>-2.972629960900075E-2</v>
      </c>
      <c r="U42" s="197">
        <v>-1.3896717236233647</v>
      </c>
      <c r="V42" s="193">
        <v>1.077</v>
      </c>
      <c r="W42" s="194">
        <v>-30.578527232957555</v>
      </c>
      <c r="X42" s="194">
        <v>1.0776001907871797</v>
      </c>
      <c r="Y42" s="196">
        <v>6.0019078717976626E-4</v>
      </c>
      <c r="Z42" s="196">
        <v>426.77204537033111</v>
      </c>
      <c r="AA42" s="196">
        <v>2.5614464985713794</v>
      </c>
      <c r="AB42" s="196">
        <v>6.0019078717976626</v>
      </c>
    </row>
    <row r="43" spans="1:28" x14ac:dyDescent="0.25">
      <c r="A43" s="190">
        <v>38</v>
      </c>
      <c r="B43" s="171">
        <v>1</v>
      </c>
      <c r="C43" s="171" t="s">
        <v>459</v>
      </c>
      <c r="D43" s="171" t="s">
        <v>28</v>
      </c>
      <c r="E43" s="171" t="s">
        <v>470</v>
      </c>
      <c r="F43" s="171">
        <v>1</v>
      </c>
      <c r="G43" s="171" t="s">
        <v>117</v>
      </c>
      <c r="H43" s="171">
        <v>3.9159999999999999</v>
      </c>
      <c r="I43" s="171"/>
      <c r="J43" s="191">
        <v>2.0088432715963385</v>
      </c>
      <c r="K43" s="191">
        <v>41.741583656409745</v>
      </c>
      <c r="L43" s="192">
        <v>20.778915033644992</v>
      </c>
      <c r="M43" s="192">
        <v>-3.2220772392679438</v>
      </c>
      <c r="N43" s="192">
        <v>-30.805715041956507</v>
      </c>
      <c r="O43" s="193">
        <v>0.36599999999999999</v>
      </c>
      <c r="P43" s="194">
        <v>-3.2220772392679438</v>
      </c>
      <c r="Q43" s="195">
        <v>0.36507786229718442</v>
      </c>
      <c r="R43" s="196">
        <v>-9.2213770281557306E-4</v>
      </c>
      <c r="S43" s="196">
        <v>20.088432715963386</v>
      </c>
      <c r="T43" s="197">
        <v>-0.1852430119786368</v>
      </c>
      <c r="U43" s="197">
        <v>-9.2213770281557306</v>
      </c>
      <c r="V43" s="193">
        <v>1.077</v>
      </c>
      <c r="W43" s="194">
        <v>-30.805715041956507</v>
      </c>
      <c r="X43" s="194">
        <v>1.0773503716016981</v>
      </c>
      <c r="Y43" s="196">
        <v>3.5037160169815174E-4</v>
      </c>
      <c r="Z43" s="196">
        <v>417.41583656409745</v>
      </c>
      <c r="AA43" s="196">
        <v>1.4625065523113676</v>
      </c>
      <c r="AB43" s="196">
        <v>3.5037160169815174</v>
      </c>
    </row>
    <row r="44" spans="1:28" x14ac:dyDescent="0.25">
      <c r="A44" s="190">
        <v>40</v>
      </c>
      <c r="B44" s="171">
        <v>1</v>
      </c>
      <c r="C44" s="171" t="s">
        <v>461</v>
      </c>
      <c r="D44" s="171" t="s">
        <v>52</v>
      </c>
      <c r="E44" s="171" t="s">
        <v>470</v>
      </c>
      <c r="F44" s="171">
        <v>1</v>
      </c>
      <c r="G44" s="171" t="s">
        <v>118</v>
      </c>
      <c r="H44" s="171">
        <v>3.3069999999999999</v>
      </c>
      <c r="I44" s="171"/>
      <c r="J44" s="191">
        <v>1.4698468241900433</v>
      </c>
      <c r="K44" s="191">
        <v>43.888449445821344</v>
      </c>
      <c r="L44" s="192">
        <v>29.859199423726348</v>
      </c>
      <c r="M44" s="192">
        <v>-3.7849721594291159</v>
      </c>
      <c r="N44" s="192">
        <v>-30.610711920001236</v>
      </c>
      <c r="O44" s="193">
        <v>0.36599999999999999</v>
      </c>
      <c r="P44" s="194">
        <v>-3.7849721594291159</v>
      </c>
      <c r="Q44" s="195">
        <v>0.36487244978266065</v>
      </c>
      <c r="R44" s="196">
        <v>-1.1275502173393459E-3</v>
      </c>
      <c r="S44" s="196">
        <v>14.698468241900432</v>
      </c>
      <c r="T44" s="197">
        <v>-0.16573261060710306</v>
      </c>
      <c r="U44" s="197">
        <v>-11.275502173393459</v>
      </c>
      <c r="V44" s="193">
        <v>1.077</v>
      </c>
      <c r="W44" s="194">
        <v>-30.610711920001236</v>
      </c>
      <c r="X44" s="194">
        <v>1.0775648000903415</v>
      </c>
      <c r="Y44" s="196">
        <v>5.6480009034154399E-4</v>
      </c>
      <c r="Z44" s="196">
        <v>438.88449445821345</v>
      </c>
      <c r="AA44" s="196">
        <v>2.478820021195018</v>
      </c>
      <c r="AB44" s="196">
        <v>5.6480009034154399</v>
      </c>
    </row>
    <row r="45" spans="1:28" x14ac:dyDescent="0.25">
      <c r="A45" s="190">
        <v>41</v>
      </c>
      <c r="B45" s="171">
        <v>1</v>
      </c>
      <c r="C45" s="171" t="s">
        <v>462</v>
      </c>
      <c r="D45" s="171" t="s">
        <v>40</v>
      </c>
      <c r="E45" s="171" t="s">
        <v>470</v>
      </c>
      <c r="F45" s="171">
        <v>1</v>
      </c>
      <c r="G45" s="171" t="s">
        <v>68</v>
      </c>
      <c r="H45" s="171">
        <v>3.49</v>
      </c>
      <c r="I45" s="171"/>
      <c r="J45" s="191">
        <v>1.241128851495332</v>
      </c>
      <c r="K45" s="191">
        <v>42.95182713505519</v>
      </c>
      <c r="L45" s="192">
        <v>34.607065240088595</v>
      </c>
      <c r="M45" s="192">
        <v>-5.8590602176525932</v>
      </c>
      <c r="N45" s="192">
        <v>-30.484537754760996</v>
      </c>
      <c r="O45" s="193">
        <v>0.36599999999999999</v>
      </c>
      <c r="P45" s="194">
        <v>-5.8590602176525932</v>
      </c>
      <c r="Q45" s="195">
        <v>0.36411556294115394</v>
      </c>
      <c r="R45" s="196">
        <v>-1.8844370588460557E-3</v>
      </c>
      <c r="S45" s="196">
        <v>12.411288514953322</v>
      </c>
      <c r="T45" s="197">
        <v>-0.2338829202560847</v>
      </c>
      <c r="U45" s="197">
        <v>-18.844370588460556</v>
      </c>
      <c r="V45" s="193">
        <v>1.077</v>
      </c>
      <c r="W45" s="194">
        <v>-30.484537754760996</v>
      </c>
      <c r="X45" s="194">
        <v>1.0777035426842789</v>
      </c>
      <c r="Y45" s="196">
        <v>7.0354268427896827E-4</v>
      </c>
      <c r="Z45" s="196">
        <v>429.51827135055186</v>
      </c>
      <c r="AA45" s="196">
        <v>3.0218443757282953</v>
      </c>
      <c r="AB45" s="196">
        <v>7.0354268427896827</v>
      </c>
    </row>
    <row r="46" spans="1:28" x14ac:dyDescent="0.25">
      <c r="A46" s="190">
        <v>42</v>
      </c>
      <c r="B46" s="171">
        <v>1</v>
      </c>
      <c r="C46" s="171" t="s">
        <v>463</v>
      </c>
      <c r="D46" s="171" t="s">
        <v>48</v>
      </c>
      <c r="E46" s="171" t="s">
        <v>470</v>
      </c>
      <c r="F46" s="171">
        <v>1</v>
      </c>
      <c r="G46" s="171" t="s">
        <v>69</v>
      </c>
      <c r="H46" s="171">
        <v>3.73</v>
      </c>
      <c r="I46" s="171"/>
      <c r="J46" s="191">
        <v>1.6259863152952521</v>
      </c>
      <c r="K46" s="191">
        <v>43.395858635033257</v>
      </c>
      <c r="L46" s="192">
        <v>26.688944566641876</v>
      </c>
      <c r="M46" s="192">
        <v>-5.0490398801452461</v>
      </c>
      <c r="N46" s="192">
        <v>-31.789518005070342</v>
      </c>
      <c r="O46" s="193">
        <v>0.36599999999999999</v>
      </c>
      <c r="P46" s="194">
        <v>-5.0490398801452461</v>
      </c>
      <c r="Q46" s="195">
        <v>0.36441116108168137</v>
      </c>
      <c r="R46" s="196">
        <v>-1.5888389183186247E-3</v>
      </c>
      <c r="S46" s="196">
        <v>16.259863152952523</v>
      </c>
      <c r="T46" s="197">
        <v>-0.25834303383945945</v>
      </c>
      <c r="U46" s="197">
        <v>-15.888389183186247</v>
      </c>
      <c r="V46" s="193">
        <v>1.077</v>
      </c>
      <c r="W46" s="194">
        <v>-31.789518005070342</v>
      </c>
      <c r="X46" s="194">
        <v>1.0762685522714261</v>
      </c>
      <c r="Y46" s="196">
        <v>-7.3144772857380858E-4</v>
      </c>
      <c r="Z46" s="196">
        <v>433.95858635033255</v>
      </c>
      <c r="AA46" s="196">
        <v>-3.1741802228105169</v>
      </c>
      <c r="AB46" s="196">
        <v>-7.3144772857380849</v>
      </c>
    </row>
    <row r="47" spans="1:28" x14ac:dyDescent="0.25">
      <c r="A47" s="190">
        <v>43</v>
      </c>
      <c r="B47" s="171">
        <v>2</v>
      </c>
      <c r="C47" s="171" t="s">
        <v>456</v>
      </c>
      <c r="D47" s="171" t="s">
        <v>32</v>
      </c>
      <c r="E47" s="171" t="s">
        <v>457</v>
      </c>
      <c r="F47" s="171">
        <v>1</v>
      </c>
      <c r="G47" s="171" t="s">
        <v>70</v>
      </c>
      <c r="H47" s="171">
        <v>3.3580000000000001</v>
      </c>
      <c r="I47" s="171"/>
      <c r="J47" s="191">
        <v>1.7648709084413132</v>
      </c>
      <c r="K47" s="191">
        <v>33.545745841633902</v>
      </c>
      <c r="L47" s="192">
        <v>19.007478496691075</v>
      </c>
      <c r="M47" s="192">
        <v>126.79941345492385</v>
      </c>
      <c r="N47" s="192">
        <v>-23.626625411138448</v>
      </c>
      <c r="O47" s="193">
        <v>0.36599999999999999</v>
      </c>
      <c r="P47" s="194">
        <v>126.79941345492385</v>
      </c>
      <c r="Q47" s="195">
        <v>0.41250283037171348</v>
      </c>
      <c r="R47" s="196">
        <v>4.6502830371713488E-2</v>
      </c>
      <c r="S47" s="196">
        <v>17.648709084413131</v>
      </c>
      <c r="T47" s="197">
        <v>8.2071492483218265</v>
      </c>
      <c r="U47" s="197">
        <v>465.02830371713486</v>
      </c>
      <c r="V47" s="193">
        <v>1.077</v>
      </c>
      <c r="W47" s="194">
        <v>-23.626625411138448</v>
      </c>
      <c r="X47" s="194">
        <v>1.0852439982398319</v>
      </c>
      <c r="Y47" s="196">
        <v>8.2439982398319067E-3</v>
      </c>
      <c r="Z47" s="196">
        <v>335.45745841633902</v>
      </c>
      <c r="AA47" s="196">
        <v>27.655106967227837</v>
      </c>
      <c r="AB47" s="196">
        <v>82.439982398319074</v>
      </c>
    </row>
    <row r="48" spans="1:28" x14ac:dyDescent="0.25">
      <c r="A48" s="190">
        <v>44</v>
      </c>
      <c r="B48" s="171">
        <v>2</v>
      </c>
      <c r="C48" s="171" t="s">
        <v>458</v>
      </c>
      <c r="D48" s="171" t="s">
        <v>24</v>
      </c>
      <c r="E48" s="171" t="s">
        <v>457</v>
      </c>
      <c r="F48" s="171">
        <v>1</v>
      </c>
      <c r="G48" s="171" t="s">
        <v>71</v>
      </c>
      <c r="H48" s="171">
        <v>2.65</v>
      </c>
      <c r="I48" s="171" t="s">
        <v>469</v>
      </c>
      <c r="J48" s="191">
        <v>2.3762339732902702</v>
      </c>
      <c r="K48" s="191">
        <v>34.888499874396658</v>
      </c>
      <c r="L48" s="192">
        <v>14.682266252631695</v>
      </c>
      <c r="M48" s="192">
        <v>3.1396928105074622</v>
      </c>
      <c r="N48" s="192">
        <v>-28.254802819540849</v>
      </c>
      <c r="O48" s="193">
        <v>0.36599999999999999</v>
      </c>
      <c r="P48" s="194">
        <v>3.1396928105074622</v>
      </c>
      <c r="Q48" s="195">
        <v>0.36739935072033081</v>
      </c>
      <c r="R48" s="196">
        <v>1.3993507203308164E-3</v>
      </c>
      <c r="S48" s="196">
        <v>23.762339732902696</v>
      </c>
      <c r="T48" s="197">
        <v>0.33251847221982966</v>
      </c>
      <c r="U48" s="197">
        <v>13.993507203308164</v>
      </c>
      <c r="V48" s="193">
        <v>1.077</v>
      </c>
      <c r="W48" s="194">
        <v>-28.254802819540849</v>
      </c>
      <c r="X48" s="194">
        <v>1.0801553211985588</v>
      </c>
      <c r="Y48" s="196">
        <v>3.1553211985588803E-3</v>
      </c>
      <c r="Z48" s="196">
        <v>348.88499874396655</v>
      </c>
      <c r="AA48" s="196">
        <v>11.008442323960262</v>
      </c>
      <c r="AB48" s="196">
        <v>31.553211985588803</v>
      </c>
    </row>
    <row r="49" spans="1:28" x14ac:dyDescent="0.25">
      <c r="A49" s="190">
        <v>45</v>
      </c>
      <c r="B49" s="171">
        <v>2</v>
      </c>
      <c r="C49" s="171" t="s">
        <v>459</v>
      </c>
      <c r="D49" s="171" t="s">
        <v>28</v>
      </c>
      <c r="E49" s="171" t="s">
        <v>457</v>
      </c>
      <c r="F49" s="171">
        <v>1</v>
      </c>
      <c r="G49" s="171" t="s">
        <v>72</v>
      </c>
      <c r="H49" s="171">
        <v>3.5049999999999999</v>
      </c>
      <c r="I49" s="171"/>
      <c r="J49" s="191">
        <v>2.8591201455068922</v>
      </c>
      <c r="K49" s="191">
        <v>38.422731100619941</v>
      </c>
      <c r="L49" s="192">
        <v>13.438655651110455</v>
      </c>
      <c r="M49" s="192">
        <v>1.8839112297680971</v>
      </c>
      <c r="N49" s="192">
        <v>-26.199204380002598</v>
      </c>
      <c r="O49" s="193">
        <v>0.36599999999999999</v>
      </c>
      <c r="P49" s="194">
        <v>1.8839112297680971</v>
      </c>
      <c r="Q49" s="195">
        <v>0.36694110908931638</v>
      </c>
      <c r="R49" s="196">
        <v>9.4110908931638315E-4</v>
      </c>
      <c r="S49" s="196">
        <v>28.591201455068923</v>
      </c>
      <c r="T49" s="197">
        <v>0.26907439563841162</v>
      </c>
      <c r="U49" s="197">
        <v>9.4110908931638306</v>
      </c>
      <c r="V49" s="193">
        <v>1.077</v>
      </c>
      <c r="W49" s="194">
        <v>-26.199204380002598</v>
      </c>
      <c r="X49" s="194">
        <v>1.0824155145264318</v>
      </c>
      <c r="Y49" s="196">
        <v>5.4155145264318527E-3</v>
      </c>
      <c r="Z49" s="196">
        <v>384.22731100619939</v>
      </c>
      <c r="AA49" s="196">
        <v>20.807885842059218</v>
      </c>
      <c r="AB49" s="196">
        <v>54.155145264318527</v>
      </c>
    </row>
    <row r="50" spans="1:28" x14ac:dyDescent="0.25">
      <c r="A50" s="190">
        <v>46</v>
      </c>
      <c r="B50" s="171">
        <v>2</v>
      </c>
      <c r="C50" s="171" t="s">
        <v>460</v>
      </c>
      <c r="D50" s="171" t="s">
        <v>40</v>
      </c>
      <c r="E50" s="171" t="s">
        <v>457</v>
      </c>
      <c r="F50" s="171">
        <v>1</v>
      </c>
      <c r="G50" s="171" t="s">
        <v>73</v>
      </c>
      <c r="H50" s="171">
        <v>3.1720000000000002</v>
      </c>
      <c r="I50" s="171"/>
      <c r="J50" s="191">
        <v>1.9514972889115731</v>
      </c>
      <c r="K50" s="191">
        <v>32.89566048525824</v>
      </c>
      <c r="L50" s="192">
        <v>16.85662627981689</v>
      </c>
      <c r="M50" s="192">
        <v>1.7151031807230921</v>
      </c>
      <c r="N50" s="192">
        <v>-27.087802993693387</v>
      </c>
      <c r="O50" s="193">
        <v>0.36599999999999999</v>
      </c>
      <c r="P50" s="194">
        <v>1.7151031807230921</v>
      </c>
      <c r="Q50" s="195">
        <v>0.366879509778963</v>
      </c>
      <c r="R50" s="196">
        <v>8.7950977896300575E-4</v>
      </c>
      <c r="S50" s="196">
        <v>19.514972889115732</v>
      </c>
      <c r="T50" s="197">
        <v>0.17163609492175227</v>
      </c>
      <c r="U50" s="197">
        <v>8.7950977896300575</v>
      </c>
      <c r="V50" s="193">
        <v>1.077</v>
      </c>
      <c r="W50" s="194">
        <v>-27.087802993693387</v>
      </c>
      <c r="X50" s="194">
        <v>1.0814384858584565</v>
      </c>
      <c r="Y50" s="196">
        <v>4.4384858584565201E-3</v>
      </c>
      <c r="Z50" s="196">
        <v>328.95660485258236</v>
      </c>
      <c r="AA50" s="196">
        <v>14.600692386840564</v>
      </c>
      <c r="AB50" s="196">
        <v>44.384858584565201</v>
      </c>
    </row>
    <row r="51" spans="1:28" x14ac:dyDescent="0.25">
      <c r="A51" s="190">
        <v>47</v>
      </c>
      <c r="B51" s="171">
        <v>2</v>
      </c>
      <c r="C51" s="171" t="s">
        <v>461</v>
      </c>
      <c r="D51" s="171" t="s">
        <v>44</v>
      </c>
      <c r="E51" s="171" t="s">
        <v>457</v>
      </c>
      <c r="F51" s="171">
        <v>1</v>
      </c>
      <c r="G51" s="171" t="s">
        <v>74</v>
      </c>
      <c r="H51" s="171">
        <v>3.2989999999999999</v>
      </c>
      <c r="I51" s="171"/>
      <c r="J51" s="191">
        <v>2.26097921610102</v>
      </c>
      <c r="K51" s="191">
        <v>35.729869807715289</v>
      </c>
      <c r="L51" s="192">
        <v>15.802829832876661</v>
      </c>
      <c r="M51" s="192">
        <v>1.3438245857232707</v>
      </c>
      <c r="N51" s="192">
        <v>-27.504299687278433</v>
      </c>
      <c r="O51" s="193">
        <v>0.36599999999999999</v>
      </c>
      <c r="P51" s="194">
        <v>1.3438245857232707</v>
      </c>
      <c r="Q51" s="195">
        <v>0.36674402719522409</v>
      </c>
      <c r="R51" s="196">
        <v>7.4402719522409511E-4</v>
      </c>
      <c r="S51" s="196">
        <v>22.609792161010201</v>
      </c>
      <c r="T51" s="197">
        <v>0.16822300246156149</v>
      </c>
      <c r="U51" s="197">
        <v>7.4402719522409511</v>
      </c>
      <c r="V51" s="193">
        <v>1.077</v>
      </c>
      <c r="W51" s="194">
        <v>-27.504299687278433</v>
      </c>
      <c r="X51" s="194">
        <v>1.0809805343078565</v>
      </c>
      <c r="Y51" s="196">
        <v>3.9805343078564981E-3</v>
      </c>
      <c r="Z51" s="196">
        <v>357.29869807715289</v>
      </c>
      <c r="AA51" s="196">
        <v>14.222397258485676</v>
      </c>
      <c r="AB51" s="196">
        <v>39.805343078564981</v>
      </c>
    </row>
    <row r="52" spans="1:28" x14ac:dyDescent="0.25">
      <c r="A52" s="190">
        <v>48</v>
      </c>
      <c r="B52" s="171">
        <v>2</v>
      </c>
      <c r="C52" s="171" t="s">
        <v>462</v>
      </c>
      <c r="D52" s="171" t="s">
        <v>48</v>
      </c>
      <c r="E52" s="171" t="s">
        <v>457</v>
      </c>
      <c r="F52" s="171">
        <v>1</v>
      </c>
      <c r="G52" s="171" t="s">
        <v>75</v>
      </c>
      <c r="H52" s="171">
        <v>3.2090000000000001</v>
      </c>
      <c r="I52" s="171"/>
      <c r="J52" s="191">
        <v>2.1917367354352413</v>
      </c>
      <c r="K52" s="191">
        <v>35.652902378968307</v>
      </c>
      <c r="L52" s="192">
        <v>16.266963911561326</v>
      </c>
      <c r="M52" s="192">
        <v>42.410160182929218</v>
      </c>
      <c r="N52" s="192">
        <v>-24.586812884693497</v>
      </c>
      <c r="O52" s="193">
        <v>0.36599999999999999</v>
      </c>
      <c r="P52" s="194">
        <v>42.410160182929218</v>
      </c>
      <c r="Q52" s="195">
        <v>0.38172723438966449</v>
      </c>
      <c r="R52" s="196">
        <v>1.5727234389664502E-2</v>
      </c>
      <c r="S52" s="196">
        <v>21.917367354352411</v>
      </c>
      <c r="T52" s="197">
        <v>3.4469957358628132</v>
      </c>
      <c r="U52" s="197">
        <v>157.27234389664503</v>
      </c>
      <c r="V52" s="193">
        <v>1.077</v>
      </c>
      <c r="W52" s="194">
        <v>-24.586812884693497</v>
      </c>
      <c r="X52" s="194">
        <v>1.0841883159887868</v>
      </c>
      <c r="Y52" s="196">
        <v>7.1883159887868864E-3</v>
      </c>
      <c r="Z52" s="196">
        <v>356.52902378968304</v>
      </c>
      <c r="AA52" s="196">
        <v>25.628432821739587</v>
      </c>
      <c r="AB52" s="196">
        <v>71.883159887868857</v>
      </c>
    </row>
    <row r="53" spans="1:28" x14ac:dyDescent="0.25">
      <c r="A53" s="190">
        <v>49</v>
      </c>
      <c r="B53" s="171">
        <v>2</v>
      </c>
      <c r="C53" s="171" t="s">
        <v>463</v>
      </c>
      <c r="D53" s="171" t="s">
        <v>36</v>
      </c>
      <c r="E53" s="171" t="s">
        <v>457</v>
      </c>
      <c r="F53" s="171">
        <v>1</v>
      </c>
      <c r="G53" s="171" t="s">
        <v>76</v>
      </c>
      <c r="H53" s="171">
        <v>3.254</v>
      </c>
      <c r="I53" s="171"/>
      <c r="J53" s="191">
        <v>2.0618540192018067</v>
      </c>
      <c r="K53" s="191">
        <v>35.052574878750434</v>
      </c>
      <c r="L53" s="192">
        <v>17.000512428285358</v>
      </c>
      <c r="M53" s="192">
        <v>2.4961673650720071</v>
      </c>
      <c r="N53" s="192">
        <v>-26.882766759260036</v>
      </c>
      <c r="O53" s="193">
        <v>0.36599999999999999</v>
      </c>
      <c r="P53" s="194">
        <v>2.4961673650720071</v>
      </c>
      <c r="Q53" s="195">
        <v>0.3671645252594547</v>
      </c>
      <c r="R53" s="196">
        <v>1.1645252594547073E-3</v>
      </c>
      <c r="S53" s="196">
        <v>20.618540192018067</v>
      </c>
      <c r="T53" s="197">
        <v>0.24010810866687152</v>
      </c>
      <c r="U53" s="197">
        <v>11.645252594547074</v>
      </c>
      <c r="V53" s="193">
        <v>1.077</v>
      </c>
      <c r="W53" s="194">
        <v>-26.882766759260036</v>
      </c>
      <c r="X53" s="194">
        <v>1.0816639282550899</v>
      </c>
      <c r="Y53" s="196">
        <v>4.6639282550899885E-3</v>
      </c>
      <c r="Z53" s="196">
        <v>350.52574878750437</v>
      </c>
      <c r="AA53" s="196">
        <v>16.348269439066168</v>
      </c>
      <c r="AB53" s="196">
        <v>46.639282550899885</v>
      </c>
    </row>
    <row r="54" spans="1:28" x14ac:dyDescent="0.25">
      <c r="A54" s="171"/>
      <c r="B54" s="171"/>
      <c r="C54" s="171"/>
      <c r="D54" s="171"/>
      <c r="E54" s="171"/>
      <c r="F54" s="171"/>
      <c r="G54" s="171"/>
      <c r="H54" s="171"/>
      <c r="I54" s="198" t="s">
        <v>152</v>
      </c>
      <c r="J54" s="191">
        <v>2.7960227664012898</v>
      </c>
      <c r="K54" s="191">
        <v>45.033429733934369</v>
      </c>
      <c r="L54" s="192">
        <v>16.106245726996022</v>
      </c>
      <c r="M54" s="192">
        <v>2.0087740063360107</v>
      </c>
      <c r="N54" s="192">
        <v>-26.029160623679829</v>
      </c>
      <c r="O54" s="193">
        <v>0.36599999999999999</v>
      </c>
      <c r="P54" s="194">
        <v>2.0087740063360107</v>
      </c>
      <c r="Q54" s="195">
        <v>0.36698667239447957</v>
      </c>
      <c r="R54" s="196">
        <v>9.8667239447958188E-4</v>
      </c>
      <c r="S54" s="196">
        <v>27.960227664012898</v>
      </c>
      <c r="T54" s="197">
        <v>0.27587584779445851</v>
      </c>
      <c r="U54" s="197">
        <v>9.8667239447958188</v>
      </c>
      <c r="V54" s="193">
        <v>1.077</v>
      </c>
      <c r="W54" s="194">
        <v>-26.029160623679829</v>
      </c>
      <c r="X54" s="194">
        <v>1.0826024782097043</v>
      </c>
      <c r="Y54" s="196">
        <v>5.6024782097043868E-3</v>
      </c>
      <c r="Z54" s="196">
        <v>450.33429733934372</v>
      </c>
      <c r="AA54" s="196">
        <v>25.229880879262097</v>
      </c>
      <c r="AB54" s="196">
        <v>56.024782097043868</v>
      </c>
    </row>
    <row r="55" spans="1:28" x14ac:dyDescent="0.25">
      <c r="A55" s="190">
        <v>50</v>
      </c>
      <c r="B55" s="171">
        <v>2</v>
      </c>
      <c r="C55" s="171" t="s">
        <v>464</v>
      </c>
      <c r="D55" s="171" t="s">
        <v>52</v>
      </c>
      <c r="E55" s="171" t="s">
        <v>457</v>
      </c>
      <c r="F55" s="171">
        <v>1</v>
      </c>
      <c r="G55" s="171" t="s">
        <v>77</v>
      </c>
      <c r="H55" s="171">
        <v>3.7149999999999999</v>
      </c>
      <c r="I55" s="171"/>
      <c r="J55" s="191">
        <v>2.1810244221803639</v>
      </c>
      <c r="K55" s="191">
        <v>35.084461567867514</v>
      </c>
      <c r="L55" s="192">
        <v>16.086230493830818</v>
      </c>
      <c r="M55" s="192">
        <v>181.8802912732051</v>
      </c>
      <c r="N55" s="192">
        <v>-21.470519970586874</v>
      </c>
      <c r="O55" s="193">
        <v>0.36599999999999999</v>
      </c>
      <c r="P55" s="194">
        <v>181.8802912732051</v>
      </c>
      <c r="Q55" s="195">
        <v>0.43257981230146114</v>
      </c>
      <c r="R55" s="196">
        <v>6.657981230146115E-2</v>
      </c>
      <c r="S55" s="196">
        <v>21.810244221803636</v>
      </c>
      <c r="T55" s="197">
        <v>14.521219665367136</v>
      </c>
      <c r="U55" s="197">
        <v>665.79812301461152</v>
      </c>
      <c r="V55" s="193">
        <v>1.077</v>
      </c>
      <c r="W55" s="194">
        <v>-21.470519970586874</v>
      </c>
      <c r="X55" s="194">
        <v>1.0876144555394716</v>
      </c>
      <c r="Y55" s="196">
        <v>1.0614455539471601E-2</v>
      </c>
      <c r="Z55" s="196">
        <v>350.84461567867515</v>
      </c>
      <c r="AA55" s="196">
        <v>37.240245743842983</v>
      </c>
      <c r="AB55" s="196">
        <v>106.14455539471602</v>
      </c>
    </row>
    <row r="56" spans="1:28" x14ac:dyDescent="0.25">
      <c r="A56" s="190">
        <v>51</v>
      </c>
      <c r="B56" s="171">
        <v>2</v>
      </c>
      <c r="C56" s="171" t="s">
        <v>456</v>
      </c>
      <c r="D56" s="171" t="s">
        <v>32</v>
      </c>
      <c r="E56" s="171" t="s">
        <v>465</v>
      </c>
      <c r="F56" s="171">
        <v>1</v>
      </c>
      <c r="G56" s="171" t="s">
        <v>78</v>
      </c>
      <c r="H56" s="171">
        <v>3.2519999999999998</v>
      </c>
      <c r="I56" s="171"/>
      <c r="J56" s="191">
        <v>1.2584894423071338</v>
      </c>
      <c r="K56" s="191">
        <v>36.41547504969467</v>
      </c>
      <c r="L56" s="192">
        <v>28.935860584524068</v>
      </c>
      <c r="M56" s="192">
        <v>136.44315361630501</v>
      </c>
      <c r="N56" s="192">
        <v>-26.601131010581085</v>
      </c>
      <c r="O56" s="193">
        <v>0.36599999999999999</v>
      </c>
      <c r="P56" s="194">
        <v>136.44315361630501</v>
      </c>
      <c r="Q56" s="195">
        <v>0.41601855868563703</v>
      </c>
      <c r="R56" s="196">
        <v>5.0018558685637038E-2</v>
      </c>
      <c r="S56" s="196">
        <v>12.584894423071338</v>
      </c>
      <c r="T56" s="197">
        <v>6.294782802529399</v>
      </c>
      <c r="U56" s="197">
        <v>500.18558685637038</v>
      </c>
      <c r="V56" s="193">
        <v>1.077</v>
      </c>
      <c r="W56" s="194">
        <v>-26.601131010581085</v>
      </c>
      <c r="X56" s="194">
        <v>1.0819735920316795</v>
      </c>
      <c r="Y56" s="196">
        <v>4.9735920316795745E-3</v>
      </c>
      <c r="Z56" s="196">
        <v>364.15475049694669</v>
      </c>
      <c r="AA56" s="196">
        <v>18.111571653698775</v>
      </c>
      <c r="AB56" s="196">
        <v>49.735920316795742</v>
      </c>
    </row>
    <row r="57" spans="1:28" x14ac:dyDescent="0.25">
      <c r="A57" s="190">
        <v>52</v>
      </c>
      <c r="B57" s="171">
        <v>2</v>
      </c>
      <c r="C57" s="171" t="s">
        <v>458</v>
      </c>
      <c r="D57" s="171" t="s">
        <v>24</v>
      </c>
      <c r="E57" s="171" t="s">
        <v>465</v>
      </c>
      <c r="F57" s="171">
        <v>1</v>
      </c>
      <c r="G57" s="171" t="s">
        <v>79</v>
      </c>
      <c r="H57" s="171">
        <v>4.0510000000000002</v>
      </c>
      <c r="I57" s="171"/>
      <c r="J57" s="191">
        <v>1.1497581622952773</v>
      </c>
      <c r="K57" s="191">
        <v>34.265299973576617</v>
      </c>
      <c r="L57" s="192">
        <v>29.802180229947094</v>
      </c>
      <c r="M57" s="192">
        <v>0.11632293464032159</v>
      </c>
      <c r="N57" s="192">
        <v>-29.303116659117915</v>
      </c>
      <c r="O57" s="193">
        <v>0.36599999999999999</v>
      </c>
      <c r="P57" s="194">
        <v>0.11632293464032159</v>
      </c>
      <c r="Q57" s="195">
        <v>0.36629609922068818</v>
      </c>
      <c r="R57" s="196">
        <v>2.9609922068818406E-4</v>
      </c>
      <c r="S57" s="196">
        <v>11.497581622952772</v>
      </c>
      <c r="T57" s="197">
        <v>3.4044249583551026E-2</v>
      </c>
      <c r="U57" s="197">
        <v>2.9609922068818406</v>
      </c>
      <c r="V57" s="193">
        <v>1.077</v>
      </c>
      <c r="W57" s="194">
        <v>-29.303116659117915</v>
      </c>
      <c r="X57" s="194">
        <v>1.079002628313765</v>
      </c>
      <c r="Y57" s="196">
        <v>2.0026283137650758E-3</v>
      </c>
      <c r="Z57" s="196">
        <v>342.65299973576617</v>
      </c>
      <c r="AA57" s="196">
        <v>6.8620659906738233</v>
      </c>
      <c r="AB57" s="196">
        <v>20.026283137650758</v>
      </c>
    </row>
    <row r="58" spans="1:28" x14ac:dyDescent="0.25">
      <c r="A58" s="190">
        <v>53</v>
      </c>
      <c r="B58" s="171">
        <v>2</v>
      </c>
      <c r="C58" s="171" t="s">
        <v>459</v>
      </c>
      <c r="D58" s="171" t="s">
        <v>28</v>
      </c>
      <c r="E58" s="171" t="s">
        <v>465</v>
      </c>
      <c r="F58" s="171">
        <v>1</v>
      </c>
      <c r="G58" s="171" t="s">
        <v>80</v>
      </c>
      <c r="H58" s="171">
        <v>3.3170000000000002</v>
      </c>
      <c r="I58" s="171"/>
      <c r="J58" s="191">
        <v>1.3437841609445595</v>
      </c>
      <c r="K58" s="191">
        <v>35.868056034290348</v>
      </c>
      <c r="L58" s="192">
        <v>26.691828253935014</v>
      </c>
      <c r="M58" s="192">
        <v>-0.59303266693421619</v>
      </c>
      <c r="N58" s="192">
        <v>-28.505593128818422</v>
      </c>
      <c r="O58" s="193">
        <v>0.36599999999999999</v>
      </c>
      <c r="P58" s="194">
        <v>-0.59303266693421619</v>
      </c>
      <c r="Q58" s="195">
        <v>0.36603724623132355</v>
      </c>
      <c r="R58" s="196">
        <v>3.7246231323562196E-5</v>
      </c>
      <c r="S58" s="196">
        <v>13.437841609445597</v>
      </c>
      <c r="T58" s="197">
        <v>5.005089570748E-3</v>
      </c>
      <c r="U58" s="197">
        <v>0.37246231323562196</v>
      </c>
      <c r="V58" s="193">
        <v>1.077</v>
      </c>
      <c r="W58" s="194">
        <v>-28.505593128818422</v>
      </c>
      <c r="X58" s="194">
        <v>1.0798795625169164</v>
      </c>
      <c r="Y58" s="196">
        <v>2.8795625169164563E-3</v>
      </c>
      <c r="Z58" s="196">
        <v>358.6805603429035</v>
      </c>
      <c r="AA58" s="196">
        <v>10.328430971100161</v>
      </c>
      <c r="AB58" s="196">
        <v>28.795625169164563</v>
      </c>
    </row>
    <row r="59" spans="1:28" x14ac:dyDescent="0.25">
      <c r="A59" s="190">
        <v>54</v>
      </c>
      <c r="B59" s="171">
        <v>2</v>
      </c>
      <c r="C59" s="171" t="s">
        <v>460</v>
      </c>
      <c r="D59" s="171" t="s">
        <v>40</v>
      </c>
      <c r="E59" s="171" t="s">
        <v>465</v>
      </c>
      <c r="F59" s="171">
        <v>1</v>
      </c>
      <c r="G59" s="171" t="s">
        <v>81</v>
      </c>
      <c r="H59" s="171">
        <v>3.411</v>
      </c>
      <c r="I59" s="171"/>
      <c r="J59" s="191">
        <v>0.94252493544999116</v>
      </c>
      <c r="K59" s="191">
        <v>34.198875730805625</v>
      </c>
      <c r="L59" s="192">
        <v>36.284319326234062</v>
      </c>
      <c r="M59" s="192">
        <v>-1.2789381924880645</v>
      </c>
      <c r="N59" s="192">
        <v>-29.081984006457663</v>
      </c>
      <c r="O59" s="193">
        <v>0.36599999999999999</v>
      </c>
      <c r="P59" s="194">
        <v>-1.2789381924880645</v>
      </c>
      <c r="Q59" s="195">
        <v>0.36578694919746657</v>
      </c>
      <c r="R59" s="196">
        <v>-2.1305080253342101E-4</v>
      </c>
      <c r="S59" s="196">
        <v>9.425249354499913</v>
      </c>
      <c r="T59" s="197">
        <v>-2.0080569390538146E-2</v>
      </c>
      <c r="U59" s="197">
        <v>-2.1305080253342101</v>
      </c>
      <c r="V59" s="193">
        <v>1.077</v>
      </c>
      <c r="W59" s="194">
        <v>-29.081984006457663</v>
      </c>
      <c r="X59" s="194">
        <v>1.0792457810504834</v>
      </c>
      <c r="Y59" s="196">
        <v>2.245781050483453E-3</v>
      </c>
      <c r="Z59" s="196">
        <v>341.98875730805628</v>
      </c>
      <c r="AA59" s="196">
        <v>7.6803187064081735</v>
      </c>
      <c r="AB59" s="196">
        <v>22.45781050483453</v>
      </c>
    </row>
    <row r="60" spans="1:28" x14ac:dyDescent="0.25">
      <c r="A60" s="190">
        <v>55</v>
      </c>
      <c r="B60" s="171">
        <v>2</v>
      </c>
      <c r="C60" s="171" t="s">
        <v>461</v>
      </c>
      <c r="D60" s="171" t="s">
        <v>44</v>
      </c>
      <c r="E60" s="171" t="s">
        <v>465</v>
      </c>
      <c r="F60" s="171">
        <v>1</v>
      </c>
      <c r="G60" s="171" t="s">
        <v>82</v>
      </c>
      <c r="H60" s="171">
        <v>3.24</v>
      </c>
      <c r="I60" s="171"/>
      <c r="J60" s="191">
        <v>1.2028774242623463</v>
      </c>
      <c r="K60" s="191">
        <v>35.93692104346087</v>
      </c>
      <c r="L60" s="192">
        <v>29.875796418324885</v>
      </c>
      <c r="M60" s="192">
        <v>-0.9870852797410079</v>
      </c>
      <c r="N60" s="192">
        <v>-28.499379103025852</v>
      </c>
      <c r="O60" s="193">
        <v>0.36599999999999999</v>
      </c>
      <c r="P60" s="194">
        <v>-0.9870852797410079</v>
      </c>
      <c r="Q60" s="195">
        <v>0.36589345077981278</v>
      </c>
      <c r="R60" s="196">
        <v>-1.0654922018721313E-4</v>
      </c>
      <c r="S60" s="196">
        <v>12.028774242623463</v>
      </c>
      <c r="T60" s="197">
        <v>-1.2816565153595654E-2</v>
      </c>
      <c r="U60" s="197">
        <v>-1.0654922018721313</v>
      </c>
      <c r="V60" s="193">
        <v>1.077</v>
      </c>
      <c r="W60" s="194">
        <v>-28.499379103025852</v>
      </c>
      <c r="X60" s="194">
        <v>1.079886395221991</v>
      </c>
      <c r="Y60" s="196">
        <v>2.8863952219910782E-3</v>
      </c>
      <c r="Z60" s="196">
        <v>359.3692104346087</v>
      </c>
      <c r="AA60" s="196">
        <v>10.372815719291609</v>
      </c>
      <c r="AB60" s="196">
        <v>28.863952219910786</v>
      </c>
    </row>
    <row r="61" spans="1:28" x14ac:dyDescent="0.25">
      <c r="A61" s="190">
        <v>56</v>
      </c>
      <c r="B61" s="171">
        <v>2</v>
      </c>
      <c r="C61" s="171" t="s">
        <v>462</v>
      </c>
      <c r="D61" s="171" t="s">
        <v>48</v>
      </c>
      <c r="E61" s="171" t="s">
        <v>465</v>
      </c>
      <c r="F61" s="171">
        <v>1</v>
      </c>
      <c r="G61" s="171" t="s">
        <v>120</v>
      </c>
      <c r="H61" s="171">
        <v>3.157</v>
      </c>
      <c r="I61" s="171"/>
      <c r="J61" s="191">
        <v>0.87756725647505984</v>
      </c>
      <c r="K61" s="191">
        <v>35.633801061245492</v>
      </c>
      <c r="L61" s="192">
        <v>40.605208088980469</v>
      </c>
      <c r="M61" s="192">
        <v>375.21470258418537</v>
      </c>
      <c r="N61" s="192">
        <v>-24.459689696293374</v>
      </c>
      <c r="O61" s="193">
        <v>0.36599999999999999</v>
      </c>
      <c r="P61" s="194">
        <v>375.21470258418537</v>
      </c>
      <c r="Q61" s="195">
        <v>0.50298618402261863</v>
      </c>
      <c r="R61" s="196">
        <v>0.13698618402261864</v>
      </c>
      <c r="S61" s="196">
        <v>8.7756725647505984</v>
      </c>
      <c r="T61" s="197">
        <v>12.021458968771711</v>
      </c>
      <c r="U61" s="197">
        <v>1369.8618402261864</v>
      </c>
      <c r="V61" s="193">
        <v>1.077</v>
      </c>
      <c r="W61" s="194">
        <v>-24.459689696293374</v>
      </c>
      <c r="X61" s="194">
        <v>1.0843280834196745</v>
      </c>
      <c r="Y61" s="196">
        <v>7.3280834196745026E-3</v>
      </c>
      <c r="Z61" s="196">
        <v>356.33801061245492</v>
      </c>
      <c r="AA61" s="196">
        <v>26.112746673689276</v>
      </c>
      <c r="AB61" s="196">
        <v>73.280834196745019</v>
      </c>
    </row>
    <row r="62" spans="1:28" x14ac:dyDescent="0.25">
      <c r="A62" s="190">
        <v>57</v>
      </c>
      <c r="B62" s="171">
        <v>2</v>
      </c>
      <c r="C62" s="171" t="s">
        <v>463</v>
      </c>
      <c r="D62" s="171" t="s">
        <v>36</v>
      </c>
      <c r="E62" s="171" t="s">
        <v>465</v>
      </c>
      <c r="F62" s="171">
        <v>1</v>
      </c>
      <c r="G62" s="171" t="s">
        <v>121</v>
      </c>
      <c r="H62" s="171">
        <v>3.7669999999999999</v>
      </c>
      <c r="I62" s="171"/>
      <c r="J62" s="191">
        <v>1.5692467816453322</v>
      </c>
      <c r="K62" s="191">
        <v>34.226064846053475</v>
      </c>
      <c r="L62" s="192">
        <v>21.810505043807037</v>
      </c>
      <c r="M62" s="192">
        <v>34.678970822047951</v>
      </c>
      <c r="N62" s="192">
        <v>-27.64689511024439</v>
      </c>
      <c r="O62" s="193">
        <v>0.36599999999999999</v>
      </c>
      <c r="P62" s="194">
        <v>34.678970822047951</v>
      </c>
      <c r="Q62" s="195">
        <v>0.37890682518186725</v>
      </c>
      <c r="R62" s="196">
        <v>1.2906825181867254E-2</v>
      </c>
      <c r="S62" s="196">
        <v>15.692467816453323</v>
      </c>
      <c r="T62" s="197">
        <v>2.025399387790412</v>
      </c>
      <c r="U62" s="197">
        <v>129.06825181867254</v>
      </c>
      <c r="V62" s="193">
        <v>1.077</v>
      </c>
      <c r="W62" s="194">
        <v>-27.64689511024439</v>
      </c>
      <c r="X62" s="194">
        <v>1.0808237450658595</v>
      </c>
      <c r="Y62" s="196">
        <v>3.8237450658595851E-3</v>
      </c>
      <c r="Z62" s="196">
        <v>342.26064846053475</v>
      </c>
      <c r="AA62" s="196">
        <v>13.087174657888717</v>
      </c>
      <c r="AB62" s="196">
        <v>38.237450658595847</v>
      </c>
    </row>
    <row r="63" spans="1:28" x14ac:dyDescent="0.25">
      <c r="A63" s="190">
        <v>58</v>
      </c>
      <c r="B63" s="171">
        <v>2</v>
      </c>
      <c r="C63" s="171" t="s">
        <v>464</v>
      </c>
      <c r="D63" s="171" t="s">
        <v>52</v>
      </c>
      <c r="E63" s="171" t="s">
        <v>465</v>
      </c>
      <c r="F63" s="171">
        <v>1</v>
      </c>
      <c r="G63" s="171" t="s">
        <v>122</v>
      </c>
      <c r="H63" s="171">
        <v>3.452</v>
      </c>
      <c r="I63" s="171"/>
      <c r="J63" s="191">
        <v>1.0659330323211842</v>
      </c>
      <c r="K63" s="191">
        <v>35.983323325065712</v>
      </c>
      <c r="L63" s="192">
        <v>33.757583482245735</v>
      </c>
      <c r="M63" s="192">
        <v>130.78613808468566</v>
      </c>
      <c r="N63" s="192">
        <v>-27.481395210374998</v>
      </c>
      <c r="O63" s="193">
        <v>0.36599999999999999</v>
      </c>
      <c r="P63" s="194">
        <v>130.78613808468566</v>
      </c>
      <c r="Q63" s="195">
        <v>0.41395626344746295</v>
      </c>
      <c r="R63" s="196">
        <v>4.7956263447462955E-2</v>
      </c>
      <c r="S63" s="196">
        <v>10.659330323211842</v>
      </c>
      <c r="T63" s="197">
        <v>5.1118165315347754</v>
      </c>
      <c r="U63" s="197">
        <v>479.56263447462953</v>
      </c>
      <c r="V63" s="193">
        <v>1.077</v>
      </c>
      <c r="W63" s="194">
        <v>-27.481395210374998</v>
      </c>
      <c r="X63" s="194">
        <v>1.081005718629281</v>
      </c>
      <c r="Y63" s="196">
        <v>4.0057186292810076E-3</v>
      </c>
      <c r="Z63" s="196">
        <v>359.83323325065714</v>
      </c>
      <c r="AA63" s="196">
        <v>14.413906858665754</v>
      </c>
      <c r="AB63" s="196">
        <v>40.057186292810073</v>
      </c>
    </row>
    <row r="64" spans="1:28" x14ac:dyDescent="0.25">
      <c r="A64" s="190">
        <v>59</v>
      </c>
      <c r="B64" s="171">
        <v>2</v>
      </c>
      <c r="C64" s="171" t="s">
        <v>460</v>
      </c>
      <c r="D64" s="171" t="s">
        <v>40</v>
      </c>
      <c r="E64" s="171" t="s">
        <v>466</v>
      </c>
      <c r="F64" s="171">
        <v>1</v>
      </c>
      <c r="G64" s="171" t="s">
        <v>83</v>
      </c>
      <c r="H64" s="171">
        <v>3.4249999999999998</v>
      </c>
      <c r="I64" s="171"/>
      <c r="J64" s="191">
        <v>1.9699508216067596</v>
      </c>
      <c r="K64" s="191">
        <v>35.606993813176942</v>
      </c>
      <c r="L64" s="192">
        <v>18.07506736850144</v>
      </c>
      <c r="M64" s="192">
        <v>-0.71173976439196207</v>
      </c>
      <c r="N64" s="192">
        <v>-30.463362379170555</v>
      </c>
      <c r="O64" s="193">
        <v>0.36599999999999999</v>
      </c>
      <c r="P64" s="194">
        <v>-0.71173976439196207</v>
      </c>
      <c r="Q64" s="195">
        <v>0.36599392835216815</v>
      </c>
      <c r="R64" s="196">
        <v>-6.0716478318401101E-6</v>
      </c>
      <c r="S64" s="196">
        <v>19.699508216067599</v>
      </c>
      <c r="T64" s="197">
        <v>-1.1960847634840328E-3</v>
      </c>
      <c r="U64" s="197">
        <v>-6.0716478318401101E-2</v>
      </c>
      <c r="V64" s="193">
        <v>1.077</v>
      </c>
      <c r="W64" s="194">
        <v>-30.463362379170555</v>
      </c>
      <c r="X64" s="194">
        <v>1.0777268273378315</v>
      </c>
      <c r="Y64" s="196">
        <v>7.2682733783158149E-4</v>
      </c>
      <c r="Z64" s="196">
        <v>356.06993813176939</v>
      </c>
      <c r="AA64" s="196">
        <v>2.588013652141699</v>
      </c>
      <c r="AB64" s="196">
        <v>7.2682733783158149</v>
      </c>
    </row>
    <row r="65" spans="1:28" x14ac:dyDescent="0.25">
      <c r="A65" s="190">
        <v>60</v>
      </c>
      <c r="B65" s="171">
        <v>2</v>
      </c>
      <c r="C65" s="171" t="s">
        <v>461</v>
      </c>
      <c r="D65" s="171" t="s">
        <v>44</v>
      </c>
      <c r="E65" s="171" t="s">
        <v>466</v>
      </c>
      <c r="F65" s="171">
        <v>1</v>
      </c>
      <c r="G65" s="171" t="s">
        <v>84</v>
      </c>
      <c r="H65" s="171">
        <v>3.0270000000000001</v>
      </c>
      <c r="I65" s="171"/>
      <c r="J65" s="191">
        <v>2.9824622328213031</v>
      </c>
      <c r="K65" s="191">
        <v>36.688194556458491</v>
      </c>
      <c r="L65" s="192">
        <v>12.301310693129135</v>
      </c>
      <c r="M65" s="192">
        <v>-0.88996013291329334</v>
      </c>
      <c r="N65" s="192">
        <v>-25.615043039544968</v>
      </c>
      <c r="O65" s="193">
        <v>0.36599999999999999</v>
      </c>
      <c r="P65" s="194">
        <v>-0.88996013291329334</v>
      </c>
      <c r="Q65" s="195">
        <v>0.36592889317779614</v>
      </c>
      <c r="R65" s="196">
        <v>-7.1106822203848008E-5</v>
      </c>
      <c r="S65" s="196">
        <v>29.824622328213032</v>
      </c>
      <c r="T65" s="197">
        <v>-2.1207341171891592E-2</v>
      </c>
      <c r="U65" s="197">
        <v>-0.71106822203848019</v>
      </c>
      <c r="V65" s="193">
        <v>1.077</v>
      </c>
      <c r="W65" s="194">
        <v>-25.615043039544968</v>
      </c>
      <c r="X65" s="194">
        <v>1.083057798932924</v>
      </c>
      <c r="Y65" s="196">
        <v>6.0577989329240189E-3</v>
      </c>
      <c r="Z65" s="196">
        <v>366.8819455645849</v>
      </c>
      <c r="AA65" s="196">
        <v>22.224970583502301</v>
      </c>
      <c r="AB65" s="196">
        <v>60.577989329240189</v>
      </c>
    </row>
    <row r="66" spans="1:28" x14ac:dyDescent="0.25">
      <c r="A66" s="190">
        <v>61</v>
      </c>
      <c r="B66" s="171">
        <v>2</v>
      </c>
      <c r="C66" s="171" t="s">
        <v>462</v>
      </c>
      <c r="D66" s="171" t="s">
        <v>48</v>
      </c>
      <c r="E66" s="171" t="s">
        <v>466</v>
      </c>
      <c r="F66" s="171">
        <v>1</v>
      </c>
      <c r="G66" s="171" t="s">
        <v>85</v>
      </c>
      <c r="H66" s="171">
        <v>3.1309999999999998</v>
      </c>
      <c r="I66" s="171"/>
      <c r="J66" s="191">
        <v>2.4834866843772008</v>
      </c>
      <c r="K66" s="191">
        <v>40.487834818019813</v>
      </c>
      <c r="L66" s="192">
        <v>16.302819367913461</v>
      </c>
      <c r="M66" s="192">
        <v>-0.53123223013932908</v>
      </c>
      <c r="N66" s="192">
        <v>-29.174529161338803</v>
      </c>
      <c r="O66" s="193">
        <v>0.36599999999999999</v>
      </c>
      <c r="P66" s="194">
        <v>-0.53123223013932908</v>
      </c>
      <c r="Q66" s="195">
        <v>0.36605979805964989</v>
      </c>
      <c r="R66" s="196">
        <v>5.9798059649895929E-5</v>
      </c>
      <c r="S66" s="196">
        <v>24.834866843772009</v>
      </c>
      <c r="T66" s="197">
        <v>1.4850768489211014E-2</v>
      </c>
      <c r="U66" s="197">
        <v>0.59798059649895929</v>
      </c>
      <c r="V66" s="193">
        <v>1.077</v>
      </c>
      <c r="W66" s="194">
        <v>-29.174529161338803</v>
      </c>
      <c r="X66" s="194">
        <v>1.0791440205223808</v>
      </c>
      <c r="Y66" s="196">
        <v>2.1440205223808295E-3</v>
      </c>
      <c r="Z66" s="196">
        <v>404.87834818019815</v>
      </c>
      <c r="AA66" s="196">
        <v>8.6806748756599585</v>
      </c>
      <c r="AB66" s="196">
        <v>21.440205223808295</v>
      </c>
    </row>
    <row r="67" spans="1:28" x14ac:dyDescent="0.25">
      <c r="A67" s="171"/>
      <c r="B67" s="171"/>
      <c r="C67" s="171"/>
      <c r="D67" s="171"/>
      <c r="E67" s="171"/>
      <c r="F67" s="171"/>
      <c r="G67" s="171"/>
      <c r="H67" s="171"/>
      <c r="I67" s="198" t="s">
        <v>152</v>
      </c>
      <c r="J67" s="191">
        <v>2.7781207953393885</v>
      </c>
      <c r="K67" s="191">
        <v>46.744750677416825</v>
      </c>
      <c r="L67" s="192">
        <v>16.826032459004814</v>
      </c>
      <c r="M67" s="192">
        <v>1.8760434102087624</v>
      </c>
      <c r="N67" s="192">
        <v>-26.023449112452013</v>
      </c>
      <c r="O67" s="193">
        <v>0.36599999999999999</v>
      </c>
      <c r="P67" s="194">
        <v>1.8760434102087624</v>
      </c>
      <c r="Q67" s="195">
        <v>0.36693823806523951</v>
      </c>
      <c r="R67" s="196">
        <v>9.3823806523951614E-4</v>
      </c>
      <c r="S67" s="196">
        <v>27.781207953393881</v>
      </c>
      <c r="T67" s="197">
        <v>0.26065386800208934</v>
      </c>
      <c r="U67" s="197">
        <v>9.3823806523951614</v>
      </c>
      <c r="V67" s="193">
        <v>1.077</v>
      </c>
      <c r="W67" s="194">
        <v>-26.023449112452013</v>
      </c>
      <c r="X67" s="194">
        <v>1.0826087580232844</v>
      </c>
      <c r="Y67" s="196">
        <v>5.6087580232844214E-3</v>
      </c>
      <c r="Z67" s="196">
        <v>467.44750677416823</v>
      </c>
      <c r="AA67" s="196">
        <v>26.217999540839148</v>
      </c>
      <c r="AB67" s="196">
        <v>56.087580232844218</v>
      </c>
    </row>
    <row r="68" spans="1:28" x14ac:dyDescent="0.25">
      <c r="A68" s="190">
        <v>63</v>
      </c>
      <c r="B68" s="171">
        <v>2</v>
      </c>
      <c r="C68" s="171" t="s">
        <v>456</v>
      </c>
      <c r="D68" s="171" t="s">
        <v>32</v>
      </c>
      <c r="E68" s="171" t="s">
        <v>467</v>
      </c>
      <c r="F68" s="171">
        <v>1</v>
      </c>
      <c r="G68" s="171" t="s">
        <v>86</v>
      </c>
      <c r="H68" s="171">
        <v>3.202</v>
      </c>
      <c r="I68" s="171"/>
      <c r="J68" s="191">
        <v>1.0628276121920264</v>
      </c>
      <c r="K68" s="191">
        <v>40.023925728850436</v>
      </c>
      <c r="L68" s="192">
        <v>37.657965666043602</v>
      </c>
      <c r="M68" s="192">
        <v>119.39552904093641</v>
      </c>
      <c r="N68" s="192">
        <v>-27.728218140431657</v>
      </c>
      <c r="O68" s="193">
        <v>0.36599999999999999</v>
      </c>
      <c r="P68" s="194">
        <v>119.39552904093641</v>
      </c>
      <c r="Q68" s="195">
        <v>0.40980349690010465</v>
      </c>
      <c r="R68" s="196">
        <v>4.3803496900104655E-2</v>
      </c>
      <c r="S68" s="196">
        <v>10.628276121920264</v>
      </c>
      <c r="T68" s="197">
        <v>4.6555566015999057</v>
      </c>
      <c r="U68" s="197">
        <v>438.03496900104653</v>
      </c>
      <c r="V68" s="193">
        <v>1.077</v>
      </c>
      <c r="W68" s="194">
        <v>-27.728218140431657</v>
      </c>
      <c r="X68" s="194">
        <v>1.0807343269924696</v>
      </c>
      <c r="Y68" s="196">
        <v>3.734326992469672E-3</v>
      </c>
      <c r="Z68" s="196">
        <v>400.23925728850435</v>
      </c>
      <c r="AA68" s="196">
        <v>14.946242619384757</v>
      </c>
      <c r="AB68" s="196">
        <v>37.34326992469672</v>
      </c>
    </row>
    <row r="69" spans="1:28" x14ac:dyDescent="0.25">
      <c r="A69" s="190">
        <v>64</v>
      </c>
      <c r="B69" s="171">
        <v>2</v>
      </c>
      <c r="C69" s="171" t="s">
        <v>458</v>
      </c>
      <c r="D69" s="171" t="s">
        <v>24</v>
      </c>
      <c r="E69" s="171" t="s">
        <v>467</v>
      </c>
      <c r="F69" s="171">
        <v>1</v>
      </c>
      <c r="G69" s="171" t="s">
        <v>87</v>
      </c>
      <c r="H69" s="171">
        <v>3.2490000000000001</v>
      </c>
      <c r="I69" s="171"/>
      <c r="J69" s="191">
        <v>1.2952777494459664</v>
      </c>
      <c r="K69" s="191">
        <v>35.360454122852005</v>
      </c>
      <c r="L69" s="192">
        <v>27.299514824505287</v>
      </c>
      <c r="M69" s="192">
        <v>-0.15671311167368529</v>
      </c>
      <c r="N69" s="192">
        <v>-28.470459956572945</v>
      </c>
      <c r="O69" s="193">
        <v>0.36599999999999999</v>
      </c>
      <c r="P69" s="194">
        <v>-0.15671311167368529</v>
      </c>
      <c r="Q69" s="195">
        <v>0.36619646501227049</v>
      </c>
      <c r="R69" s="196">
        <v>1.9646501227049695E-4</v>
      </c>
      <c r="S69" s="196">
        <v>12.952777494459665</v>
      </c>
      <c r="T69" s="197">
        <v>2.544767589386035E-2</v>
      </c>
      <c r="U69" s="197">
        <v>1.9646501227049695</v>
      </c>
      <c r="V69" s="193">
        <v>1.077</v>
      </c>
      <c r="W69" s="194">
        <v>-28.470459956572945</v>
      </c>
      <c r="X69" s="194">
        <v>1.079918193596852</v>
      </c>
      <c r="Y69" s="196">
        <v>2.9181935968520811E-3</v>
      </c>
      <c r="Z69" s="196">
        <v>353.60454122852002</v>
      </c>
      <c r="AA69" s="196">
        <v>10.318865080308848</v>
      </c>
      <c r="AB69" s="196">
        <v>29.181935968520811</v>
      </c>
    </row>
    <row r="70" spans="1:28" x14ac:dyDescent="0.25">
      <c r="A70" s="190">
        <v>65</v>
      </c>
      <c r="B70" s="171">
        <v>2</v>
      </c>
      <c r="C70" s="171" t="s">
        <v>459</v>
      </c>
      <c r="D70" s="171" t="s">
        <v>28</v>
      </c>
      <c r="E70" s="171" t="s">
        <v>467</v>
      </c>
      <c r="F70" s="171">
        <v>1</v>
      </c>
      <c r="G70" s="171" t="s">
        <v>88</v>
      </c>
      <c r="H70" s="171">
        <v>3.3140000000000001</v>
      </c>
      <c r="I70" s="171"/>
      <c r="J70" s="191">
        <v>0.79702209944799773</v>
      </c>
      <c r="K70" s="191">
        <v>38.352393991067203</v>
      </c>
      <c r="L70" s="192">
        <v>48.119611761868754</v>
      </c>
      <c r="M70" s="192">
        <v>-0.92856793517126335</v>
      </c>
      <c r="N70" s="192">
        <v>-28.97890315883657</v>
      </c>
      <c r="O70" s="193">
        <v>0.36599999999999999</v>
      </c>
      <c r="P70" s="194">
        <v>-0.92856793517126335</v>
      </c>
      <c r="Q70" s="195">
        <v>0.36591480462458087</v>
      </c>
      <c r="R70" s="196">
        <v>-8.5195375419122588E-5</v>
      </c>
      <c r="S70" s="196">
        <v>7.9702209944799778</v>
      </c>
      <c r="T70" s="197">
        <v>-6.7902596979809429E-3</v>
      </c>
      <c r="U70" s="197">
        <v>-0.85195375419122588</v>
      </c>
      <c r="V70" s="193">
        <v>1.077</v>
      </c>
      <c r="W70" s="194">
        <v>-28.97890315883657</v>
      </c>
      <c r="X70" s="194">
        <v>1.0793591261380229</v>
      </c>
      <c r="Y70" s="196">
        <v>2.3591261380229156E-3</v>
      </c>
      <c r="Z70" s="196">
        <v>383.52393991067203</v>
      </c>
      <c r="AA70" s="196">
        <v>9.0478135120079646</v>
      </c>
      <c r="AB70" s="196">
        <v>23.591261380229156</v>
      </c>
    </row>
    <row r="71" spans="1:28" x14ac:dyDescent="0.25">
      <c r="A71" s="190">
        <v>66</v>
      </c>
      <c r="B71" s="171">
        <v>2</v>
      </c>
      <c r="C71" s="171" t="s">
        <v>460</v>
      </c>
      <c r="D71" s="171" t="s">
        <v>40</v>
      </c>
      <c r="E71" s="171" t="s">
        <v>467</v>
      </c>
      <c r="F71" s="171">
        <v>1</v>
      </c>
      <c r="G71" s="171" t="s">
        <v>89</v>
      </c>
      <c r="H71" s="171">
        <v>3.319</v>
      </c>
      <c r="I71" s="171"/>
      <c r="J71" s="191">
        <v>1.5059207215956825</v>
      </c>
      <c r="K71" s="191">
        <v>38.874696911305357</v>
      </c>
      <c r="L71" s="192">
        <v>25.814570683451052</v>
      </c>
      <c r="M71" s="192">
        <v>-0.36444178354965273</v>
      </c>
      <c r="N71" s="192">
        <v>-28.289837430280922</v>
      </c>
      <c r="O71" s="193">
        <v>0.36599999999999999</v>
      </c>
      <c r="P71" s="194">
        <v>-0.36444178354965273</v>
      </c>
      <c r="Q71" s="195">
        <v>0.3661206621338195</v>
      </c>
      <c r="R71" s="196">
        <v>1.2066213381950464E-4</v>
      </c>
      <c r="S71" s="196">
        <v>15.059207215956823</v>
      </c>
      <c r="T71" s="197">
        <v>1.817076076307432E-2</v>
      </c>
      <c r="U71" s="197">
        <v>1.2066213381950464</v>
      </c>
      <c r="V71" s="193">
        <v>1.077</v>
      </c>
      <c r="W71" s="194">
        <v>-28.289837430280922</v>
      </c>
      <c r="X71" s="194">
        <v>1.0801167986777824</v>
      </c>
      <c r="Y71" s="196">
        <v>3.116798677782473E-3</v>
      </c>
      <c r="Z71" s="196">
        <v>388.74696911305358</v>
      </c>
      <c r="AA71" s="196">
        <v>12.116460393235092</v>
      </c>
      <c r="AB71" s="196">
        <v>31.16798677782473</v>
      </c>
    </row>
    <row r="72" spans="1:28" x14ac:dyDescent="0.25">
      <c r="A72" s="190">
        <v>67</v>
      </c>
      <c r="B72" s="171">
        <v>2</v>
      </c>
      <c r="C72" s="171" t="s">
        <v>461</v>
      </c>
      <c r="D72" s="171" t="s">
        <v>44</v>
      </c>
      <c r="E72" s="171" t="s">
        <v>467</v>
      </c>
      <c r="F72" s="171">
        <v>1</v>
      </c>
      <c r="G72" s="171" t="s">
        <v>90</v>
      </c>
      <c r="H72" s="171">
        <v>3.6619999999999999</v>
      </c>
      <c r="I72" s="171"/>
      <c r="J72" s="191">
        <v>1.2761803325767029</v>
      </c>
      <c r="K72" s="191">
        <v>37.454062648072693</v>
      </c>
      <c r="L72" s="192">
        <v>29.348565944791019</v>
      </c>
      <c r="M72" s="192">
        <v>-0.10168874322640908</v>
      </c>
      <c r="N72" s="192">
        <v>-30.379468543477842</v>
      </c>
      <c r="O72" s="193">
        <v>0.36599999999999999</v>
      </c>
      <c r="P72" s="194">
        <v>-0.10168874322640908</v>
      </c>
      <c r="Q72" s="195">
        <v>0.36621654409649929</v>
      </c>
      <c r="R72" s="196">
        <v>2.1654409649929374E-4</v>
      </c>
      <c r="S72" s="196">
        <v>12.76180332576703</v>
      </c>
      <c r="T72" s="197">
        <v>2.7634931708799035E-2</v>
      </c>
      <c r="U72" s="197">
        <v>2.1654409649929374</v>
      </c>
      <c r="V72" s="193">
        <v>1.077</v>
      </c>
      <c r="W72" s="194">
        <v>-30.379468543477842</v>
      </c>
      <c r="X72" s="194">
        <v>1.0778190777259995</v>
      </c>
      <c r="Y72" s="196">
        <v>8.1907772599953965E-4</v>
      </c>
      <c r="Z72" s="196">
        <v>374.54062648072698</v>
      </c>
      <c r="AA72" s="196">
        <v>3.067778846322768</v>
      </c>
      <c r="AB72" s="196">
        <v>8.1907772599953965</v>
      </c>
    </row>
    <row r="73" spans="1:28" x14ac:dyDescent="0.25">
      <c r="A73" s="190">
        <v>68</v>
      </c>
      <c r="B73" s="171">
        <v>2</v>
      </c>
      <c r="C73" s="171" t="s">
        <v>462</v>
      </c>
      <c r="D73" s="171" t="s">
        <v>48</v>
      </c>
      <c r="E73" s="171" t="s">
        <v>467</v>
      </c>
      <c r="F73" s="171">
        <v>1</v>
      </c>
      <c r="G73" s="171" t="s">
        <v>91</v>
      </c>
      <c r="H73" s="171">
        <v>3.35</v>
      </c>
      <c r="I73" s="171"/>
      <c r="J73" s="191">
        <v>1.0607307851828662</v>
      </c>
      <c r="K73" s="191">
        <v>38.692604694654506</v>
      </c>
      <c r="L73" s="192">
        <v>36.477309073276338</v>
      </c>
      <c r="M73" s="192">
        <v>37.240646073337778</v>
      </c>
      <c r="N73" s="192">
        <v>-27.972215097125989</v>
      </c>
      <c r="O73" s="193">
        <v>0.36599999999999999</v>
      </c>
      <c r="P73" s="194">
        <v>37.240646073337778</v>
      </c>
      <c r="Q73" s="195">
        <v>0.37984136563928905</v>
      </c>
      <c r="R73" s="196">
        <v>1.384136563928906E-2</v>
      </c>
      <c r="S73" s="196">
        <v>10.607307851828663</v>
      </c>
      <c r="T73" s="197">
        <v>1.4681962642566233</v>
      </c>
      <c r="U73" s="197">
        <v>138.4136563928906</v>
      </c>
      <c r="V73" s="193">
        <v>1.077</v>
      </c>
      <c r="W73" s="194">
        <v>-27.972215097125989</v>
      </c>
      <c r="X73" s="194">
        <v>1.0804660411621707</v>
      </c>
      <c r="Y73" s="196">
        <v>3.4660411621707521E-3</v>
      </c>
      <c r="Z73" s="196">
        <v>386.92604694654506</v>
      </c>
      <c r="AA73" s="196">
        <v>13.41101605432738</v>
      </c>
      <c r="AB73" s="196">
        <v>34.660411621707524</v>
      </c>
    </row>
    <row r="74" spans="1:28" x14ac:dyDescent="0.25">
      <c r="A74" s="190">
        <v>69</v>
      </c>
      <c r="B74" s="171">
        <v>2</v>
      </c>
      <c r="C74" s="171" t="s">
        <v>463</v>
      </c>
      <c r="D74" s="171" t="s">
        <v>36</v>
      </c>
      <c r="E74" s="171" t="s">
        <v>467</v>
      </c>
      <c r="F74" s="171">
        <v>1</v>
      </c>
      <c r="G74" s="171" t="s">
        <v>92</v>
      </c>
      <c r="H74" s="171">
        <v>3.22</v>
      </c>
      <c r="I74" s="171"/>
      <c r="J74" s="191">
        <v>1.7342089847333053</v>
      </c>
      <c r="K74" s="191">
        <v>38.849641241547992</v>
      </c>
      <c r="L74" s="192">
        <v>22.401937473252378</v>
      </c>
      <c r="M74" s="192">
        <v>6.3559510858024293</v>
      </c>
      <c r="N74" s="192">
        <v>-29.996560171505031</v>
      </c>
      <c r="O74" s="193">
        <v>0.36599999999999999</v>
      </c>
      <c r="P74" s="194">
        <v>6.3559510858024293</v>
      </c>
      <c r="Q74" s="195">
        <v>0.36857296189701449</v>
      </c>
      <c r="R74" s="196">
        <v>2.572961897014503E-3</v>
      </c>
      <c r="S74" s="196">
        <v>17.342089847333053</v>
      </c>
      <c r="T74" s="197">
        <v>0.44620536391790006</v>
      </c>
      <c r="U74" s="197">
        <v>25.72961897014503</v>
      </c>
      <c r="V74" s="193">
        <v>1.077</v>
      </c>
      <c r="W74" s="194">
        <v>-29.996560171505031</v>
      </c>
      <c r="X74" s="194">
        <v>1.0782401249026587</v>
      </c>
      <c r="Y74" s="196">
        <v>1.2401249026587902E-3</v>
      </c>
      <c r="Z74" s="196">
        <v>388.49641241547994</v>
      </c>
      <c r="AA74" s="196">
        <v>4.8178407563003631</v>
      </c>
      <c r="AB74" s="196">
        <v>12.4012490265879</v>
      </c>
    </row>
    <row r="75" spans="1:28" x14ac:dyDescent="0.25">
      <c r="A75" s="190">
        <v>70</v>
      </c>
      <c r="B75" s="171">
        <v>2</v>
      </c>
      <c r="C75" s="171" t="s">
        <v>464</v>
      </c>
      <c r="D75" s="171" t="s">
        <v>52</v>
      </c>
      <c r="E75" s="171" t="s">
        <v>467</v>
      </c>
      <c r="F75" s="171">
        <v>1</v>
      </c>
      <c r="G75" s="171" t="s">
        <v>93</v>
      </c>
      <c r="H75" s="171">
        <v>3.3290000000000002</v>
      </c>
      <c r="I75" s="171"/>
      <c r="J75" s="191">
        <v>1.197482235864112</v>
      </c>
      <c r="K75" s="191">
        <v>38.679126188223336</v>
      </c>
      <c r="L75" s="192">
        <v>32.300375763246457</v>
      </c>
      <c r="M75" s="192">
        <v>70.565504332479293</v>
      </c>
      <c r="N75" s="192">
        <v>-27.906257582046091</v>
      </c>
      <c r="O75" s="193">
        <v>0.36599999999999999</v>
      </c>
      <c r="P75" s="194">
        <v>70.565504332479293</v>
      </c>
      <c r="Q75" s="195">
        <v>0.39199721402930604</v>
      </c>
      <c r="R75" s="196">
        <v>2.5997214029306048E-2</v>
      </c>
      <c r="S75" s="196">
        <v>11.97482235864112</v>
      </c>
      <c r="T75" s="197">
        <v>3.1131201982051269</v>
      </c>
      <c r="U75" s="197">
        <v>259.97214029306048</v>
      </c>
      <c r="V75" s="193">
        <v>1.077</v>
      </c>
      <c r="W75" s="194">
        <v>-27.906257582046091</v>
      </c>
      <c r="X75" s="194">
        <v>1.0805385646147454</v>
      </c>
      <c r="Y75" s="196">
        <v>3.538564614745443E-3</v>
      </c>
      <c r="Z75" s="196">
        <v>386.79126188223336</v>
      </c>
      <c r="AA75" s="196">
        <v>13.686858725892089</v>
      </c>
      <c r="AB75" s="196">
        <v>35.38564614745443</v>
      </c>
    </row>
    <row r="76" spans="1:28" x14ac:dyDescent="0.25">
      <c r="A76" s="190">
        <v>71</v>
      </c>
      <c r="B76" s="171">
        <v>2</v>
      </c>
      <c r="C76" s="171" t="s">
        <v>459</v>
      </c>
      <c r="D76" s="171" t="s">
        <v>28</v>
      </c>
      <c r="E76" s="171" t="s">
        <v>468</v>
      </c>
      <c r="F76" s="171">
        <v>1</v>
      </c>
      <c r="G76" s="171" t="s">
        <v>94</v>
      </c>
      <c r="H76" s="171">
        <v>3.6339999999999999</v>
      </c>
      <c r="I76" s="171"/>
      <c r="J76" s="191">
        <v>2.2890754941591922</v>
      </c>
      <c r="K76" s="191">
        <v>44.943646874424786</v>
      </c>
      <c r="L76" s="192">
        <v>19.633973186600027</v>
      </c>
      <c r="M76" s="192">
        <v>-1.3972760264873163</v>
      </c>
      <c r="N76" s="192">
        <v>-31.038417959943779</v>
      </c>
      <c r="O76" s="193">
        <v>0.36599999999999999</v>
      </c>
      <c r="P76" s="194">
        <v>-1.3972760264873163</v>
      </c>
      <c r="Q76" s="195">
        <v>0.36574376585080048</v>
      </c>
      <c r="R76" s="196">
        <v>-2.5623414919950793E-4</v>
      </c>
      <c r="S76" s="196">
        <v>22.890754941591922</v>
      </c>
      <c r="T76" s="197">
        <v>-5.865393116993238E-2</v>
      </c>
      <c r="U76" s="197">
        <v>-2.5623414919950793</v>
      </c>
      <c r="V76" s="193">
        <v>1.077</v>
      </c>
      <c r="W76" s="194">
        <v>-31.038417959943779</v>
      </c>
      <c r="X76" s="194">
        <v>1.0770944866100092</v>
      </c>
      <c r="Y76" s="196">
        <v>9.4486610009214544E-5</v>
      </c>
      <c r="Z76" s="196">
        <v>449.43646874424786</v>
      </c>
      <c r="AA76" s="196">
        <v>0.42465728346156284</v>
      </c>
      <c r="AB76" s="196">
        <v>0.94486610009214544</v>
      </c>
    </row>
    <row r="77" spans="1:28" x14ac:dyDescent="0.25">
      <c r="A77" s="190">
        <v>72</v>
      </c>
      <c r="B77" s="171">
        <v>2</v>
      </c>
      <c r="C77" s="171" t="s">
        <v>460</v>
      </c>
      <c r="D77" s="171" t="s">
        <v>40</v>
      </c>
      <c r="E77" s="171" t="s">
        <v>468</v>
      </c>
      <c r="F77" s="171">
        <v>1</v>
      </c>
      <c r="G77" s="171" t="s">
        <v>95</v>
      </c>
      <c r="H77" s="171">
        <v>3.5129999999999999</v>
      </c>
      <c r="I77" s="171"/>
      <c r="J77" s="191">
        <v>2.4846687121196438</v>
      </c>
      <c r="K77" s="191">
        <v>44.775865057311137</v>
      </c>
      <c r="L77" s="192">
        <v>18.020859215115784</v>
      </c>
      <c r="M77" s="192">
        <v>-5.2058737054115909</v>
      </c>
      <c r="N77" s="192">
        <v>-30.233741343243949</v>
      </c>
      <c r="O77" s="193">
        <v>0.36599999999999999</v>
      </c>
      <c r="P77" s="194">
        <v>-5.2058737054115909</v>
      </c>
      <c r="Q77" s="195">
        <v>0.36435392835052105</v>
      </c>
      <c r="R77" s="196">
        <v>-1.6460716494789418E-3</v>
      </c>
      <c r="S77" s="196">
        <v>24.846687121196439</v>
      </c>
      <c r="T77" s="197">
        <v>-0.40899427253674997</v>
      </c>
      <c r="U77" s="197">
        <v>-16.460716494789416</v>
      </c>
      <c r="V77" s="193">
        <v>1.077</v>
      </c>
      <c r="W77" s="194">
        <v>-30.233741343243949</v>
      </c>
      <c r="X77" s="194">
        <v>1.0779793202082248</v>
      </c>
      <c r="Y77" s="196">
        <v>9.7932020822488752E-4</v>
      </c>
      <c r="Z77" s="196">
        <v>447.75865057311137</v>
      </c>
      <c r="AA77" s="196">
        <v>4.3849909491375403</v>
      </c>
      <c r="AB77" s="196">
        <v>9.7932020822488752</v>
      </c>
    </row>
    <row r="78" spans="1:28" x14ac:dyDescent="0.25">
      <c r="A78" s="190">
        <v>73</v>
      </c>
      <c r="B78" s="171">
        <v>2</v>
      </c>
      <c r="C78" s="171" t="s">
        <v>461</v>
      </c>
      <c r="D78" s="171" t="s">
        <v>44</v>
      </c>
      <c r="E78" s="171" t="s">
        <v>468</v>
      </c>
      <c r="F78" s="171">
        <v>1</v>
      </c>
      <c r="G78" s="171" t="s">
        <v>96</v>
      </c>
      <c r="H78" s="171">
        <v>3.9729999999999999</v>
      </c>
      <c r="I78" s="171"/>
      <c r="J78" s="191">
        <v>2.0587394906557543</v>
      </c>
      <c r="K78" s="191">
        <v>43.173946681945722</v>
      </c>
      <c r="L78" s="192">
        <v>20.971058688048906</v>
      </c>
      <c r="M78" s="192">
        <v>-4.2006085140283016</v>
      </c>
      <c r="N78" s="192">
        <v>-29.856253202644961</v>
      </c>
      <c r="O78" s="193">
        <v>0.36599999999999999</v>
      </c>
      <c r="P78" s="194">
        <v>-4.2006085140283016</v>
      </c>
      <c r="Q78" s="195">
        <v>0.3647207745558016</v>
      </c>
      <c r="R78" s="196">
        <v>-1.2792254441983952E-3</v>
      </c>
      <c r="S78" s="196">
        <v>20.587394906557542</v>
      </c>
      <c r="T78" s="197">
        <v>-0.26335919394228852</v>
      </c>
      <c r="U78" s="197">
        <v>-12.792254441983953</v>
      </c>
      <c r="V78" s="193">
        <v>1.077</v>
      </c>
      <c r="W78" s="194">
        <v>-29.856253202644961</v>
      </c>
      <c r="X78" s="194">
        <v>1.0783944059626849</v>
      </c>
      <c r="Y78" s="196">
        <v>1.3944059626849192E-3</v>
      </c>
      <c r="Z78" s="196">
        <v>431.73946681945722</v>
      </c>
      <c r="AA78" s="196">
        <v>6.02020086859459</v>
      </c>
      <c r="AB78" s="196">
        <v>13.944059626849192</v>
      </c>
    </row>
    <row r="79" spans="1:28" x14ac:dyDescent="0.25">
      <c r="A79" s="190">
        <v>74</v>
      </c>
      <c r="B79" s="171">
        <v>2</v>
      </c>
      <c r="C79" s="171" t="s">
        <v>462</v>
      </c>
      <c r="D79" s="171" t="s">
        <v>48</v>
      </c>
      <c r="E79" s="171" t="s">
        <v>468</v>
      </c>
      <c r="F79" s="171">
        <v>1</v>
      </c>
      <c r="G79" s="171" t="s">
        <v>97</v>
      </c>
      <c r="H79" s="171">
        <v>3.8170000000000002</v>
      </c>
      <c r="I79" s="171"/>
      <c r="J79" s="191">
        <v>1.1214471565532658</v>
      </c>
      <c r="K79" s="191">
        <v>44.024406690350453</v>
      </c>
      <c r="L79" s="192">
        <v>39.256782125747371</v>
      </c>
      <c r="M79" s="192">
        <v>19.893051770399271</v>
      </c>
      <c r="N79" s="192">
        <v>-30.105654230494746</v>
      </c>
      <c r="O79" s="193">
        <v>0.36599999999999999</v>
      </c>
      <c r="P79" s="194">
        <v>19.893051770399271</v>
      </c>
      <c r="Q79" s="195">
        <v>0.37351234068243666</v>
      </c>
      <c r="R79" s="196">
        <v>7.512340682436669E-3</v>
      </c>
      <c r="S79" s="196">
        <v>11.214471565532657</v>
      </c>
      <c r="T79" s="197">
        <v>0.84246930973780221</v>
      </c>
      <c r="U79" s="197">
        <v>75.123406824366697</v>
      </c>
      <c r="V79" s="193">
        <v>1.077</v>
      </c>
      <c r="W79" s="194">
        <v>-30.105654230494746</v>
      </c>
      <c r="X79" s="194">
        <v>1.0781201651183279</v>
      </c>
      <c r="Y79" s="196">
        <v>1.1201651183279093E-3</v>
      </c>
      <c r="Z79" s="196">
        <v>440.24406690350452</v>
      </c>
      <c r="AA79" s="196">
        <v>4.9314604729612421</v>
      </c>
      <c r="AB79" s="196">
        <v>11.201651183279093</v>
      </c>
    </row>
    <row r="80" spans="1:28" x14ac:dyDescent="0.25">
      <c r="A80" s="171"/>
      <c r="B80" s="171"/>
      <c r="C80" s="171"/>
      <c r="D80" s="171"/>
      <c r="E80" s="171"/>
      <c r="F80" s="171"/>
      <c r="G80" s="171"/>
      <c r="H80" s="171"/>
      <c r="I80" s="198" t="s">
        <v>152</v>
      </c>
      <c r="J80" s="191">
        <v>2.8400071922257419</v>
      </c>
      <c r="K80" s="191">
        <v>46.717799231000875</v>
      </c>
      <c r="L80" s="192">
        <v>16.449887647780098</v>
      </c>
      <c r="M80" s="192">
        <v>1.9747702770078497</v>
      </c>
      <c r="N80" s="192">
        <v>-25.998532769830273</v>
      </c>
      <c r="O80" s="193">
        <v>0.36599999999999999</v>
      </c>
      <c r="P80" s="194">
        <v>1.9747702770078497</v>
      </c>
      <c r="Q80" s="195">
        <v>0.36697426419867396</v>
      </c>
      <c r="R80" s="196">
        <v>9.7426419867396863E-4</v>
      </c>
      <c r="S80" s="196">
        <v>28.400071922257421</v>
      </c>
      <c r="T80" s="197">
        <v>0.27669173313621204</v>
      </c>
      <c r="U80" s="197">
        <v>9.7426419867396863</v>
      </c>
      <c r="V80" s="193">
        <v>1.077</v>
      </c>
      <c r="W80" s="194">
        <v>-25.998532769830273</v>
      </c>
      <c r="X80" s="194">
        <v>1.0826361535631406</v>
      </c>
      <c r="Y80" s="196">
        <v>5.6361535631406223E-3</v>
      </c>
      <c r="Z80" s="196">
        <v>467.17799231000873</v>
      </c>
      <c r="AA80" s="196">
        <v>26.330869059789382</v>
      </c>
      <c r="AB80" s="196">
        <v>56.361535631406227</v>
      </c>
    </row>
    <row r="81" spans="1:28" x14ac:dyDescent="0.25">
      <c r="A81" s="190">
        <v>75</v>
      </c>
      <c r="B81" s="171">
        <v>2</v>
      </c>
      <c r="C81" s="171" t="s">
        <v>463</v>
      </c>
      <c r="D81" s="171" t="s">
        <v>36</v>
      </c>
      <c r="E81" s="171" t="s">
        <v>468</v>
      </c>
      <c r="F81" s="171">
        <v>1</v>
      </c>
      <c r="G81" s="171" t="s">
        <v>123</v>
      </c>
      <c r="H81" s="171">
        <v>3.206</v>
      </c>
      <c r="I81" s="171"/>
      <c r="J81" s="191">
        <v>2.2202956179585542</v>
      </c>
      <c r="K81" s="191">
        <v>43.109830218757132</v>
      </c>
      <c r="L81" s="192">
        <v>19.416256947979914</v>
      </c>
      <c r="M81" s="192">
        <v>38.970130369821746</v>
      </c>
      <c r="N81" s="192">
        <v>-30.150437419208643</v>
      </c>
      <c r="O81" s="193">
        <v>0.36599999999999999</v>
      </c>
      <c r="P81" s="194">
        <v>38.970130369821746</v>
      </c>
      <c r="Q81" s="195">
        <v>0.38047229949640055</v>
      </c>
      <c r="R81" s="196">
        <v>1.4472299496400554E-2</v>
      </c>
      <c r="S81" s="196">
        <v>22.202956179585545</v>
      </c>
      <c r="T81" s="197">
        <v>3.2132783153641942</v>
      </c>
      <c r="U81" s="197">
        <v>144.72299496400552</v>
      </c>
      <c r="V81" s="193">
        <v>1.077</v>
      </c>
      <c r="W81" s="194">
        <v>-30.150437419208643</v>
      </c>
      <c r="X81" s="194">
        <v>1.0780709214574127</v>
      </c>
      <c r="Y81" s="196">
        <v>1.0709214574127213E-3</v>
      </c>
      <c r="Z81" s="196">
        <v>431.09830218757133</v>
      </c>
      <c r="AA81" s="196">
        <v>4.6167242206686359</v>
      </c>
      <c r="AB81" s="196">
        <v>10.709214574127213</v>
      </c>
    </row>
    <row r="82" spans="1:28" x14ac:dyDescent="0.25">
      <c r="A82" s="190">
        <v>76</v>
      </c>
      <c r="B82" s="171">
        <v>2</v>
      </c>
      <c r="C82" s="171" t="s">
        <v>464</v>
      </c>
      <c r="D82" s="171" t="s">
        <v>52</v>
      </c>
      <c r="E82" s="171" t="s">
        <v>468</v>
      </c>
      <c r="F82" s="171">
        <v>1</v>
      </c>
      <c r="G82" s="171" t="s">
        <v>124</v>
      </c>
      <c r="H82" s="171">
        <v>3.8250000000000002</v>
      </c>
      <c r="I82" s="171"/>
      <c r="J82" s="191">
        <v>1.7140024754561369</v>
      </c>
      <c r="K82" s="191">
        <v>43.691723224404541</v>
      </c>
      <c r="L82" s="192">
        <v>25.491050246457281</v>
      </c>
      <c r="M82" s="192">
        <v>19.248614797182615</v>
      </c>
      <c r="N82" s="192">
        <v>-29.08083172850862</v>
      </c>
      <c r="O82" s="193">
        <v>0.36599999999999999</v>
      </c>
      <c r="P82" s="194">
        <v>19.248614797182615</v>
      </c>
      <c r="Q82" s="195">
        <v>0.3732772114555491</v>
      </c>
      <c r="R82" s="196">
        <v>7.2772114555491041E-3</v>
      </c>
      <c r="S82" s="196">
        <v>17.14002475456137</v>
      </c>
      <c r="T82" s="197">
        <v>1.2473158449228923</v>
      </c>
      <c r="U82" s="197">
        <v>72.772114555491044</v>
      </c>
      <c r="V82" s="193">
        <v>1.077</v>
      </c>
      <c r="W82" s="194">
        <v>-29.08083172850862</v>
      </c>
      <c r="X82" s="194">
        <v>1.079247048067548</v>
      </c>
      <c r="Y82" s="196">
        <v>2.247048067548052E-3</v>
      </c>
      <c r="Z82" s="196">
        <v>436.91723224404541</v>
      </c>
      <c r="AA82" s="196">
        <v>9.8177402239242557</v>
      </c>
      <c r="AB82" s="196">
        <v>22.47048067548052</v>
      </c>
    </row>
    <row r="83" spans="1:28" x14ac:dyDescent="0.25">
      <c r="A83" s="190">
        <v>77</v>
      </c>
      <c r="B83" s="171">
        <v>2</v>
      </c>
      <c r="C83" s="171" t="s">
        <v>460</v>
      </c>
      <c r="D83" s="171" t="s">
        <v>40</v>
      </c>
      <c r="E83" s="171" t="s">
        <v>470</v>
      </c>
      <c r="F83" s="171">
        <v>1</v>
      </c>
      <c r="G83" s="171" t="s">
        <v>125</v>
      </c>
      <c r="H83" s="171">
        <v>3.3239999999999998</v>
      </c>
      <c r="I83" s="171"/>
      <c r="J83" s="191">
        <v>1.5424256261830813</v>
      </c>
      <c r="K83" s="191">
        <v>44.139572187681814</v>
      </c>
      <c r="L83" s="192">
        <v>28.616985764759704</v>
      </c>
      <c r="M83" s="192">
        <v>-4.5856441695223937</v>
      </c>
      <c r="N83" s="192">
        <v>-30.682137664238223</v>
      </c>
      <c r="O83" s="193">
        <v>0.36599999999999999</v>
      </c>
      <c r="P83" s="194">
        <v>-4.5856441695223937</v>
      </c>
      <c r="Q83" s="195">
        <v>0.36458026581297609</v>
      </c>
      <c r="R83" s="196">
        <v>-1.4197341870239022E-3</v>
      </c>
      <c r="S83" s="196">
        <v>15.424256261830813</v>
      </c>
      <c r="T83" s="197">
        <v>-0.21898343924338701</v>
      </c>
      <c r="U83" s="197">
        <v>-14.197341870239022</v>
      </c>
      <c r="V83" s="193">
        <v>1.077</v>
      </c>
      <c r="W83" s="194">
        <v>-30.682137664238223</v>
      </c>
      <c r="X83" s="194">
        <v>1.0774862593306109</v>
      </c>
      <c r="Y83" s="196">
        <v>4.8625933061097193E-4</v>
      </c>
      <c r="Z83" s="196">
        <v>441.39572187681813</v>
      </c>
      <c r="AA83" s="196">
        <v>2.1463278825436833</v>
      </c>
      <c r="AB83" s="196">
        <v>4.8625933061097193</v>
      </c>
    </row>
    <row r="84" spans="1:28" x14ac:dyDescent="0.25">
      <c r="A84" s="190">
        <v>78</v>
      </c>
      <c r="B84" s="171">
        <v>2</v>
      </c>
      <c r="C84" s="171" t="s">
        <v>461</v>
      </c>
      <c r="D84" s="171" t="s">
        <v>44</v>
      </c>
      <c r="E84" s="171" t="s">
        <v>470</v>
      </c>
      <c r="F84" s="171">
        <v>1</v>
      </c>
      <c r="G84" s="171" t="s">
        <v>98</v>
      </c>
      <c r="H84" s="171">
        <v>3.9740000000000002</v>
      </c>
      <c r="I84" s="171"/>
      <c r="J84" s="191">
        <v>1.7807771156259771</v>
      </c>
      <c r="K84" s="191">
        <v>42.140710663652492</v>
      </c>
      <c r="L84" s="192">
        <v>23.66422518229589</v>
      </c>
      <c r="M84" s="192">
        <v>-3.6229736181902679</v>
      </c>
      <c r="N84" s="192">
        <v>-29.775077939366884</v>
      </c>
      <c r="O84" s="193">
        <v>0.36599999999999999</v>
      </c>
      <c r="P84" s="194">
        <v>-3.6229736181902679</v>
      </c>
      <c r="Q84" s="195">
        <v>0.36493156663622189</v>
      </c>
      <c r="R84" s="196">
        <v>-1.0684333637780985E-3</v>
      </c>
      <c r="S84" s="196">
        <v>17.807771156259768</v>
      </c>
      <c r="T84" s="197">
        <v>-0.19026416837873222</v>
      </c>
      <c r="U84" s="197">
        <v>-10.684333637780984</v>
      </c>
      <c r="V84" s="193">
        <v>1.077</v>
      </c>
      <c r="W84" s="194">
        <v>-29.775077939366884</v>
      </c>
      <c r="X84" s="194">
        <v>1.0784836657830286</v>
      </c>
      <c r="Y84" s="196">
        <v>1.4836657830286093E-3</v>
      </c>
      <c r="Z84" s="196">
        <v>421.40710663652493</v>
      </c>
      <c r="AA84" s="196">
        <v>6.2522730484170044</v>
      </c>
      <c r="AB84" s="196">
        <v>14.836657830286093</v>
      </c>
    </row>
    <row r="85" spans="1:28" x14ac:dyDescent="0.25">
      <c r="A85" s="190">
        <v>79</v>
      </c>
      <c r="B85" s="171">
        <v>2</v>
      </c>
      <c r="C85" s="171" t="s">
        <v>462</v>
      </c>
      <c r="D85" s="171" t="s">
        <v>48</v>
      </c>
      <c r="E85" s="171" t="s">
        <v>470</v>
      </c>
      <c r="F85" s="171">
        <v>1</v>
      </c>
      <c r="G85" s="171" t="s">
        <v>99</v>
      </c>
      <c r="H85" s="171">
        <v>3.8690000000000002</v>
      </c>
      <c r="I85" s="171"/>
      <c r="J85" s="191">
        <v>1.3562500874461481</v>
      </c>
      <c r="K85" s="191">
        <v>42.934229563546772</v>
      </c>
      <c r="L85" s="192">
        <v>31.656572752295983</v>
      </c>
      <c r="M85" s="192">
        <v>17.758485310471709</v>
      </c>
      <c r="N85" s="192">
        <v>-29.988944570771103</v>
      </c>
      <c r="O85" s="193">
        <v>0.36599999999999999</v>
      </c>
      <c r="P85" s="194">
        <v>17.758485310471709</v>
      </c>
      <c r="Q85" s="195">
        <v>0.37273351866983495</v>
      </c>
      <c r="R85" s="196">
        <v>6.7335186698349592E-3</v>
      </c>
      <c r="S85" s="196">
        <v>13.562500874461481</v>
      </c>
      <c r="T85" s="197">
        <v>0.91323352847839334</v>
      </c>
      <c r="U85" s="197">
        <v>67.335186698349588</v>
      </c>
      <c r="V85" s="193">
        <v>1.077</v>
      </c>
      <c r="W85" s="194">
        <v>-29.988944570771103</v>
      </c>
      <c r="X85" s="194">
        <v>1.0782484990033647</v>
      </c>
      <c r="Y85" s="196">
        <v>1.2484990033647669E-3</v>
      </c>
      <c r="Z85" s="196">
        <v>429.34229563546774</v>
      </c>
      <c r="AA85" s="196">
        <v>5.3603342820322259</v>
      </c>
      <c r="AB85" s="196">
        <v>12.484990033647669</v>
      </c>
    </row>
    <row r="86" spans="1:28" x14ac:dyDescent="0.25">
      <c r="A86" s="190">
        <v>81</v>
      </c>
      <c r="B86" s="171">
        <v>2</v>
      </c>
      <c r="C86" s="171" t="s">
        <v>464</v>
      </c>
      <c r="D86" s="171" t="s">
        <v>52</v>
      </c>
      <c r="E86" s="171" t="s">
        <v>470</v>
      </c>
      <c r="F86" s="171">
        <v>1</v>
      </c>
      <c r="G86" s="171" t="s">
        <v>100</v>
      </c>
      <c r="H86" s="171">
        <v>3.4279999999999999</v>
      </c>
      <c r="I86" s="171"/>
      <c r="J86" s="191">
        <v>1.5336964964594539</v>
      </c>
      <c r="K86" s="191">
        <v>43.681690938057471</v>
      </c>
      <c r="L86" s="192">
        <v>28.481313635974825</v>
      </c>
      <c r="M86" s="192">
        <v>-4.5589801692116527</v>
      </c>
      <c r="N86" s="192">
        <v>-30.492830220702984</v>
      </c>
      <c r="O86" s="193">
        <v>0.36599999999999999</v>
      </c>
      <c r="P86" s="194">
        <v>-4.5589801692116527</v>
      </c>
      <c r="Q86" s="195">
        <v>0.36458999615879339</v>
      </c>
      <c r="R86" s="196">
        <v>-1.4100038412065974E-3</v>
      </c>
      <c r="S86" s="196">
        <v>15.336964964594539</v>
      </c>
      <c r="T86" s="197">
        <v>-0.21625179512529308</v>
      </c>
      <c r="U86" s="197">
        <v>-14.100038412065974</v>
      </c>
      <c r="V86" s="193">
        <v>1.077</v>
      </c>
      <c r="W86" s="194">
        <v>-30.492830220702984</v>
      </c>
      <c r="X86" s="194">
        <v>1.0776944242032875</v>
      </c>
      <c r="Y86" s="196">
        <v>6.9442420328758026E-4</v>
      </c>
      <c r="Z86" s="196">
        <v>436.81690938057471</v>
      </c>
      <c r="AA86" s="196">
        <v>3.0333623427914875</v>
      </c>
      <c r="AB86" s="196">
        <v>6.9442420328758017</v>
      </c>
    </row>
    <row r="87" spans="1:28" x14ac:dyDescent="0.25">
      <c r="A87" s="190">
        <v>82</v>
      </c>
      <c r="B87" s="171">
        <v>3</v>
      </c>
      <c r="C87" s="171" t="s">
        <v>456</v>
      </c>
      <c r="D87" s="171" t="s">
        <v>24</v>
      </c>
      <c r="E87" s="171" t="s">
        <v>457</v>
      </c>
      <c r="F87" s="171">
        <v>1</v>
      </c>
      <c r="G87" s="171" t="s">
        <v>101</v>
      </c>
      <c r="H87" s="171">
        <v>3.1680000000000001</v>
      </c>
      <c r="I87" s="171"/>
      <c r="J87" s="191">
        <v>2.1975196761949687</v>
      </c>
      <c r="K87" s="191">
        <v>35.660692139843825</v>
      </c>
      <c r="L87" s="192">
        <v>16.227700951279186</v>
      </c>
      <c r="M87" s="192">
        <v>1.6171635467905305</v>
      </c>
      <c r="N87" s="192">
        <v>-27.804749560956598</v>
      </c>
      <c r="O87" s="193">
        <v>0.36599999999999999</v>
      </c>
      <c r="P87" s="194">
        <v>1.6171635467905305</v>
      </c>
      <c r="Q87" s="195">
        <v>0.36684377084450648</v>
      </c>
      <c r="R87" s="196">
        <v>8.4377084450648621E-4</v>
      </c>
      <c r="S87" s="196">
        <v>21.975196761949686</v>
      </c>
      <c r="T87" s="197">
        <v>0.1854203033002649</v>
      </c>
      <c r="U87" s="197">
        <v>8.4377084450648621</v>
      </c>
      <c r="V87" s="193">
        <v>1.077</v>
      </c>
      <c r="W87" s="194">
        <v>-27.804749560956598</v>
      </c>
      <c r="X87" s="194">
        <v>1.0806501773466821</v>
      </c>
      <c r="Y87" s="196">
        <v>3.6501773466821597E-3</v>
      </c>
      <c r="Z87" s="196">
        <v>356.60692139843826</v>
      </c>
      <c r="AA87" s="196">
        <v>13.016785061586448</v>
      </c>
      <c r="AB87" s="196">
        <v>36.501773466821597</v>
      </c>
    </row>
    <row r="88" spans="1:28" x14ac:dyDescent="0.25">
      <c r="A88" s="190">
        <v>83</v>
      </c>
      <c r="B88" s="171">
        <v>3</v>
      </c>
      <c r="C88" s="171" t="s">
        <v>458</v>
      </c>
      <c r="D88" s="171" t="s">
        <v>28</v>
      </c>
      <c r="E88" s="171" t="s">
        <v>457</v>
      </c>
      <c r="F88" s="171">
        <v>1</v>
      </c>
      <c r="G88" s="171" t="s">
        <v>102</v>
      </c>
      <c r="H88" s="171">
        <v>3.4590000000000001</v>
      </c>
      <c r="I88" s="171"/>
      <c r="J88" s="191">
        <v>2.1822712121038865</v>
      </c>
      <c r="K88" s="191">
        <v>36.094771250096741</v>
      </c>
      <c r="L88" s="192">
        <v>16.540002475356147</v>
      </c>
      <c r="M88" s="192">
        <v>2.37774330938423</v>
      </c>
      <c r="N88" s="192">
        <v>-27.449544420186079</v>
      </c>
      <c r="O88" s="193">
        <v>0.36599999999999999</v>
      </c>
      <c r="P88" s="194">
        <v>2.37774330938423</v>
      </c>
      <c r="Q88" s="195">
        <v>0.36712131164411443</v>
      </c>
      <c r="R88" s="196">
        <v>1.1213116441144422E-3</v>
      </c>
      <c r="S88" s="196">
        <v>21.822712121038865</v>
      </c>
      <c r="T88" s="197">
        <v>0.24470061207478255</v>
      </c>
      <c r="U88" s="197">
        <v>11.213116441144422</v>
      </c>
      <c r="V88" s="193">
        <v>1.077</v>
      </c>
      <c r="W88" s="194">
        <v>-27.449544420186079</v>
      </c>
      <c r="X88" s="194">
        <v>1.0810407397324875</v>
      </c>
      <c r="Y88" s="196">
        <v>4.0407397324875305E-3</v>
      </c>
      <c r="Z88" s="196">
        <v>360.94771250096738</v>
      </c>
      <c r="AA88" s="196">
        <v>14.58495763253145</v>
      </c>
      <c r="AB88" s="196">
        <v>40.407397324875305</v>
      </c>
    </row>
    <row r="89" spans="1:28" x14ac:dyDescent="0.25">
      <c r="A89" s="190">
        <v>84</v>
      </c>
      <c r="B89" s="171">
        <v>3</v>
      </c>
      <c r="C89" s="171" t="s">
        <v>459</v>
      </c>
      <c r="D89" s="171" t="s">
        <v>32</v>
      </c>
      <c r="E89" s="171" t="s">
        <v>457</v>
      </c>
      <c r="F89" s="171">
        <v>1</v>
      </c>
      <c r="G89" s="171" t="s">
        <v>103</v>
      </c>
      <c r="H89" s="171">
        <v>3.3119999999999998</v>
      </c>
      <c r="I89" s="171"/>
      <c r="J89" s="191">
        <v>2.2678191614490277</v>
      </c>
      <c r="K89" s="191">
        <v>36.34059820081292</v>
      </c>
      <c r="L89" s="192">
        <v>16.024469154583304</v>
      </c>
      <c r="M89" s="192">
        <v>19.257645650270366</v>
      </c>
      <c r="N89" s="192">
        <v>-25.90307103469322</v>
      </c>
      <c r="O89" s="193">
        <v>0.36599999999999999</v>
      </c>
      <c r="P89" s="194">
        <v>19.257645650270366</v>
      </c>
      <c r="Q89" s="195">
        <v>0.37328050645961347</v>
      </c>
      <c r="R89" s="196">
        <v>7.2805064596134783E-3</v>
      </c>
      <c r="S89" s="196">
        <v>22.678191614490277</v>
      </c>
      <c r="T89" s="197">
        <v>1.6510872054164869</v>
      </c>
      <c r="U89" s="197">
        <v>72.805064596134784</v>
      </c>
      <c r="V89" s="193">
        <v>1.077</v>
      </c>
      <c r="W89" s="194">
        <v>-25.90307103469322</v>
      </c>
      <c r="X89" s="194">
        <v>1.0827411136814902</v>
      </c>
      <c r="Y89" s="196">
        <v>5.7411136814902175E-3</v>
      </c>
      <c r="Z89" s="196">
        <v>363.40598200812917</v>
      </c>
      <c r="AA89" s="196">
        <v>20.863550552422581</v>
      </c>
      <c r="AB89" s="196">
        <v>57.411136814902179</v>
      </c>
    </row>
    <row r="90" spans="1:28" x14ac:dyDescent="0.25">
      <c r="A90" s="190">
        <v>85</v>
      </c>
      <c r="B90" s="171">
        <v>3</v>
      </c>
      <c r="C90" s="171" t="s">
        <v>460</v>
      </c>
      <c r="D90" s="171" t="s">
        <v>52</v>
      </c>
      <c r="E90" s="171" t="s">
        <v>457</v>
      </c>
      <c r="F90" s="171">
        <v>1</v>
      </c>
      <c r="G90" s="171" t="s">
        <v>104</v>
      </c>
      <c r="H90" s="171">
        <v>3.3730000000000002</v>
      </c>
      <c r="I90" s="171"/>
      <c r="J90" s="191">
        <v>2.4119211021177493</v>
      </c>
      <c r="K90" s="191">
        <v>34.969361216075228</v>
      </c>
      <c r="L90" s="192">
        <v>14.498551045210776</v>
      </c>
      <c r="M90" s="192">
        <v>8.8102745147284143</v>
      </c>
      <c r="N90" s="192">
        <v>-26.293255639446592</v>
      </c>
      <c r="O90" s="193">
        <v>0.36599999999999999</v>
      </c>
      <c r="P90" s="194">
        <v>8.8102745147284143</v>
      </c>
      <c r="Q90" s="195">
        <v>0.36946852479654751</v>
      </c>
      <c r="R90" s="196">
        <v>3.468524796547523E-3</v>
      </c>
      <c r="S90" s="196">
        <v>24.119211021177492</v>
      </c>
      <c r="T90" s="197">
        <v>0.83658081500116444</v>
      </c>
      <c r="U90" s="197">
        <v>34.685247965475227</v>
      </c>
      <c r="V90" s="193">
        <v>1.077</v>
      </c>
      <c r="W90" s="194">
        <v>-26.293255639446592</v>
      </c>
      <c r="X90" s="194">
        <v>1.0823121045460777</v>
      </c>
      <c r="Y90" s="196">
        <v>5.3121045460777783E-3</v>
      </c>
      <c r="Z90" s="196">
        <v>349.69361216075231</v>
      </c>
      <c r="AA90" s="196">
        <v>18.576090268934919</v>
      </c>
      <c r="AB90" s="196">
        <v>53.121045460777779</v>
      </c>
    </row>
    <row r="91" spans="1:28" x14ac:dyDescent="0.25">
      <c r="A91" s="190">
        <v>86</v>
      </c>
      <c r="B91" s="171">
        <v>3</v>
      </c>
      <c r="C91" s="171" t="s">
        <v>461</v>
      </c>
      <c r="D91" s="171" t="s">
        <v>40</v>
      </c>
      <c r="E91" s="171" t="s">
        <v>457</v>
      </c>
      <c r="F91" s="171">
        <v>1</v>
      </c>
      <c r="G91" s="171" t="s">
        <v>105</v>
      </c>
      <c r="H91" s="171">
        <v>3.3359999999999999</v>
      </c>
      <c r="I91" s="171"/>
      <c r="J91" s="191">
        <v>1.7793534173164567</v>
      </c>
      <c r="K91" s="191">
        <v>31.701717908722753</v>
      </c>
      <c r="L91" s="192">
        <v>17.816425674745322</v>
      </c>
      <c r="M91" s="192">
        <v>0.44131484101920693</v>
      </c>
      <c r="N91" s="192">
        <v>-27.571116556140339</v>
      </c>
      <c r="O91" s="193">
        <v>0.36599999999999999</v>
      </c>
      <c r="P91" s="194">
        <v>0.44131484101920693</v>
      </c>
      <c r="Q91" s="195">
        <v>0.36641469250113168</v>
      </c>
      <c r="R91" s="196">
        <v>4.1469250113168599E-4</v>
      </c>
      <c r="S91" s="196">
        <v>17.793534173164566</v>
      </c>
      <c r="T91" s="197">
        <v>7.3788451902417396E-2</v>
      </c>
      <c r="U91" s="197">
        <v>4.1469250113168599</v>
      </c>
      <c r="V91" s="193">
        <v>1.077</v>
      </c>
      <c r="W91" s="194">
        <v>-27.571116556140339</v>
      </c>
      <c r="X91" s="194">
        <v>1.0809070666103715</v>
      </c>
      <c r="Y91" s="196">
        <v>3.9070666103715457E-3</v>
      </c>
      <c r="Z91" s="196">
        <v>317.01717908722753</v>
      </c>
      <c r="AA91" s="196">
        <v>12.386072353258834</v>
      </c>
      <c r="AB91" s="196">
        <v>39.070666103715453</v>
      </c>
    </row>
    <row r="92" spans="1:28" x14ac:dyDescent="0.25">
      <c r="A92" s="190">
        <v>87</v>
      </c>
      <c r="B92" s="171">
        <v>3</v>
      </c>
      <c r="C92" s="171" t="s">
        <v>462</v>
      </c>
      <c r="D92" s="171" t="s">
        <v>48</v>
      </c>
      <c r="E92" s="171" t="s">
        <v>457</v>
      </c>
      <c r="F92" s="171">
        <v>1</v>
      </c>
      <c r="G92" s="171" t="s">
        <v>106</v>
      </c>
      <c r="H92" s="171">
        <v>3.7610000000000001</v>
      </c>
      <c r="I92" s="171"/>
      <c r="J92" s="191">
        <v>2.0447326468967106</v>
      </c>
      <c r="K92" s="191">
        <v>34.378006264434525</v>
      </c>
      <c r="L92" s="192">
        <v>16.812959051937671</v>
      </c>
      <c r="M92" s="192">
        <v>33.415953178680198</v>
      </c>
      <c r="N92" s="192">
        <v>-26.300349941658695</v>
      </c>
      <c r="O92" s="193">
        <v>0.36599999999999999</v>
      </c>
      <c r="P92" s="194">
        <v>33.415953178680198</v>
      </c>
      <c r="Q92" s="195">
        <v>0.37844604951646776</v>
      </c>
      <c r="R92" s="196">
        <v>1.2446049516467772E-2</v>
      </c>
      <c r="S92" s="196">
        <v>20.447326468967109</v>
      </c>
      <c r="T92" s="197">
        <v>2.5448843771214675</v>
      </c>
      <c r="U92" s="197">
        <v>124.46049516467772</v>
      </c>
      <c r="V92" s="193">
        <v>1.077</v>
      </c>
      <c r="W92" s="194">
        <v>-26.300349941658695</v>
      </c>
      <c r="X92" s="194">
        <v>1.0823043043052143</v>
      </c>
      <c r="Y92" s="196">
        <v>5.3043043052143357E-3</v>
      </c>
      <c r="Z92" s="196">
        <v>343.78006264434526</v>
      </c>
      <c r="AA92" s="196">
        <v>18.235140663312549</v>
      </c>
      <c r="AB92" s="196">
        <v>53.043043052143361</v>
      </c>
    </row>
    <row r="93" spans="1:28" x14ac:dyDescent="0.25">
      <c r="A93" s="171"/>
      <c r="B93" s="171"/>
      <c r="C93" s="171"/>
      <c r="D93" s="171"/>
      <c r="E93" s="171"/>
      <c r="F93" s="171"/>
      <c r="G93" s="171"/>
      <c r="H93" s="171"/>
      <c r="I93" s="198" t="s">
        <v>152</v>
      </c>
      <c r="J93" s="191">
        <v>2.7880076487858569</v>
      </c>
      <c r="K93" s="191">
        <v>46.509748749591246</v>
      </c>
      <c r="L93" s="192">
        <v>16.682073583924947</v>
      </c>
      <c r="M93" s="192">
        <v>1.9768411299408917</v>
      </c>
      <c r="N93" s="192">
        <v>-25.956691389754226</v>
      </c>
      <c r="O93" s="193">
        <v>0.36599999999999999</v>
      </c>
      <c r="P93" s="194">
        <v>1.9768411299408917</v>
      </c>
      <c r="Q93" s="195">
        <v>0.36697501986730768</v>
      </c>
      <c r="R93" s="196">
        <v>9.7501986730769152E-4</v>
      </c>
      <c r="S93" s="196">
        <v>27.88007648785857</v>
      </c>
      <c r="T93" s="197">
        <v>0.27183628477720151</v>
      </c>
      <c r="U93" s="197">
        <v>9.7501986730769161</v>
      </c>
      <c r="V93" s="193">
        <v>1.077</v>
      </c>
      <c r="W93" s="194">
        <v>-25.956691389754226</v>
      </c>
      <c r="X93" s="194">
        <v>1.0826821581619033</v>
      </c>
      <c r="Y93" s="196">
        <v>5.6821581619033168E-3</v>
      </c>
      <c r="Z93" s="196">
        <v>465.09748749591245</v>
      </c>
      <c r="AA93" s="196">
        <v>26.427574846556247</v>
      </c>
      <c r="AB93" s="196">
        <v>56.821581619033161</v>
      </c>
    </row>
    <row r="94" spans="1:28" x14ac:dyDescent="0.25">
      <c r="A94" s="190">
        <v>88</v>
      </c>
      <c r="B94" s="171">
        <v>3</v>
      </c>
      <c r="C94" s="171" t="s">
        <v>463</v>
      </c>
      <c r="D94" s="171" t="s">
        <v>36</v>
      </c>
      <c r="E94" s="171" t="s">
        <v>457</v>
      </c>
      <c r="F94" s="171">
        <v>1</v>
      </c>
      <c r="G94" s="171" t="s">
        <v>107</v>
      </c>
      <c r="H94" s="171">
        <v>3.4470000000000001</v>
      </c>
      <c r="I94" s="171"/>
      <c r="J94" s="191">
        <v>2.6655201507550426</v>
      </c>
      <c r="K94" s="191">
        <v>35.98052911171667</v>
      </c>
      <c r="L94" s="192">
        <v>13.498502009645181</v>
      </c>
      <c r="M94" s="192">
        <v>96.458878333030526</v>
      </c>
      <c r="N94" s="192">
        <v>-24.082617828860887</v>
      </c>
      <c r="O94" s="193">
        <v>0.36599999999999999</v>
      </c>
      <c r="P94" s="194">
        <v>96.458878333030526</v>
      </c>
      <c r="Q94" s="195">
        <v>0.401440245511681</v>
      </c>
      <c r="R94" s="196">
        <v>3.5440245511681012E-2</v>
      </c>
      <c r="S94" s="196">
        <v>26.655201507550426</v>
      </c>
      <c r="T94" s="197">
        <v>9.4466688559091683</v>
      </c>
      <c r="U94" s="197">
        <v>354.40245511681013</v>
      </c>
      <c r="V94" s="193">
        <v>1.077</v>
      </c>
      <c r="W94" s="194">
        <v>-24.082617828860887</v>
      </c>
      <c r="X94" s="194">
        <v>1.0847426582229083</v>
      </c>
      <c r="Y94" s="196">
        <v>7.7426582229083163E-3</v>
      </c>
      <c r="Z94" s="196">
        <v>359.80529111716669</v>
      </c>
      <c r="AA94" s="196">
        <v>27.85849395914251</v>
      </c>
      <c r="AB94" s="196">
        <v>77.426582229083166</v>
      </c>
    </row>
    <row r="95" spans="1:28" x14ac:dyDescent="0.25">
      <c r="A95" s="190">
        <v>89</v>
      </c>
      <c r="B95" s="171">
        <v>3</v>
      </c>
      <c r="C95" s="171" t="s">
        <v>464</v>
      </c>
      <c r="D95" s="171" t="s">
        <v>44</v>
      </c>
      <c r="E95" s="171" t="s">
        <v>457</v>
      </c>
      <c r="F95" s="171">
        <v>1</v>
      </c>
      <c r="G95" s="171" t="s">
        <v>108</v>
      </c>
      <c r="H95" s="171">
        <v>3.4870000000000001</v>
      </c>
      <c r="I95" s="171"/>
      <c r="J95" s="191">
        <v>2.5569594546374206</v>
      </c>
      <c r="K95" s="191">
        <v>36.272004133999147</v>
      </c>
      <c r="L95" s="192">
        <v>14.185600036877611</v>
      </c>
      <c r="M95" s="192">
        <v>3.2483368002669648</v>
      </c>
      <c r="N95" s="192">
        <v>-26.521916936878192</v>
      </c>
      <c r="O95" s="193">
        <v>0.36599999999999999</v>
      </c>
      <c r="P95" s="194">
        <v>3.2483368002669648</v>
      </c>
      <c r="Q95" s="195">
        <v>0.36743899531382096</v>
      </c>
      <c r="R95" s="196">
        <v>1.4389953138209677E-3</v>
      </c>
      <c r="S95" s="196">
        <v>25.569594546374208</v>
      </c>
      <c r="T95" s="197">
        <v>0.3679452672853466</v>
      </c>
      <c r="U95" s="197">
        <v>14.389953138209677</v>
      </c>
      <c r="V95" s="193">
        <v>1.077</v>
      </c>
      <c r="W95" s="194">
        <v>-26.521916936878192</v>
      </c>
      <c r="X95" s="194">
        <v>1.0820606890388895</v>
      </c>
      <c r="Y95" s="196">
        <v>5.0606890388895653E-3</v>
      </c>
      <c r="Z95" s="196">
        <v>362.7200413399915</v>
      </c>
      <c r="AA95" s="196">
        <v>18.356133373948651</v>
      </c>
      <c r="AB95" s="196">
        <v>50.60689038889565</v>
      </c>
    </row>
    <row r="96" spans="1:28" x14ac:dyDescent="0.25">
      <c r="A96" s="190">
        <v>90</v>
      </c>
      <c r="B96" s="171">
        <v>3</v>
      </c>
      <c r="C96" s="171" t="s">
        <v>456</v>
      </c>
      <c r="D96" s="171" t="s">
        <v>24</v>
      </c>
      <c r="E96" s="171" t="s">
        <v>465</v>
      </c>
      <c r="F96" s="171">
        <v>1</v>
      </c>
      <c r="G96" s="171" t="s">
        <v>109</v>
      </c>
      <c r="H96" s="171">
        <v>4.1310000000000002</v>
      </c>
      <c r="I96" s="171"/>
      <c r="J96" s="191">
        <v>1.3775254684525837</v>
      </c>
      <c r="K96" s="191">
        <v>28.68250332028888</v>
      </c>
      <c r="L96" s="192">
        <v>20.821758999859952</v>
      </c>
      <c r="M96" s="192">
        <v>-6.563848704563946E-2</v>
      </c>
      <c r="N96" s="192">
        <v>-28.565578246707116</v>
      </c>
      <c r="O96" s="193">
        <v>0.36599999999999999</v>
      </c>
      <c r="P96" s="194">
        <v>-6.563848704563946E-2</v>
      </c>
      <c r="Q96" s="195">
        <v>0.36622969928408783</v>
      </c>
      <c r="R96" s="196">
        <v>2.2969928408783646E-4</v>
      </c>
      <c r="S96" s="196">
        <v>13.775254684525837</v>
      </c>
      <c r="T96" s="197">
        <v>3.1641661391632006E-2</v>
      </c>
      <c r="U96" s="197">
        <v>2.2969928408783646</v>
      </c>
      <c r="V96" s="193">
        <v>1.077</v>
      </c>
      <c r="W96" s="194">
        <v>-28.565578246707116</v>
      </c>
      <c r="X96" s="194">
        <v>1.0798136051271883</v>
      </c>
      <c r="Y96" s="196">
        <v>2.8136051271883122E-3</v>
      </c>
      <c r="Z96" s="196">
        <v>286.82503320288885</v>
      </c>
      <c r="AA96" s="196">
        <v>8.0701238402560591</v>
      </c>
      <c r="AB96" s="196">
        <v>28.136051271883122</v>
      </c>
    </row>
    <row r="97" spans="1:28" x14ac:dyDescent="0.25">
      <c r="A97" s="190">
        <v>91</v>
      </c>
      <c r="B97" s="171">
        <v>3</v>
      </c>
      <c r="C97" s="171" t="s">
        <v>458</v>
      </c>
      <c r="D97" s="171" t="s">
        <v>28</v>
      </c>
      <c r="E97" s="171" t="s">
        <v>465</v>
      </c>
      <c r="F97" s="171">
        <v>1</v>
      </c>
      <c r="G97" s="171" t="s">
        <v>110</v>
      </c>
      <c r="H97" s="171">
        <v>3.7450000000000001</v>
      </c>
      <c r="I97" s="171"/>
      <c r="J97" s="191">
        <v>1.1380252643104931</v>
      </c>
      <c r="K97" s="191">
        <v>32.053311430298763</v>
      </c>
      <c r="L97" s="192">
        <v>28.165729211397807</v>
      </c>
      <c r="M97" s="192">
        <v>-9.2913947321458523E-2</v>
      </c>
      <c r="N97" s="192">
        <v>-28.540679228138558</v>
      </c>
      <c r="O97" s="193">
        <v>0.36599999999999999</v>
      </c>
      <c r="P97" s="194">
        <v>-9.2913947321458523E-2</v>
      </c>
      <c r="Q97" s="195">
        <v>0.36621974612915981</v>
      </c>
      <c r="R97" s="196">
        <v>2.1974612915981462E-4</v>
      </c>
      <c r="S97" s="196">
        <v>11.380252643104932</v>
      </c>
      <c r="T97" s="197">
        <v>2.5007664671830583E-2</v>
      </c>
      <c r="U97" s="197">
        <v>2.1974612915981462</v>
      </c>
      <c r="V97" s="193">
        <v>1.077</v>
      </c>
      <c r="W97" s="194">
        <v>-28.540679228138558</v>
      </c>
      <c r="X97" s="194">
        <v>1.0798409831664399</v>
      </c>
      <c r="Y97" s="196">
        <v>2.840983166439992E-3</v>
      </c>
      <c r="Z97" s="196">
        <v>320.53311430298766</v>
      </c>
      <c r="AA97" s="196">
        <v>9.1062918202137375</v>
      </c>
      <c r="AB97" s="196">
        <v>28.40983166439992</v>
      </c>
    </row>
    <row r="98" spans="1:28" x14ac:dyDescent="0.25">
      <c r="A98" s="190">
        <v>92</v>
      </c>
      <c r="B98" s="171">
        <v>3</v>
      </c>
      <c r="C98" s="171" t="s">
        <v>459</v>
      </c>
      <c r="D98" s="171" t="s">
        <v>32</v>
      </c>
      <c r="E98" s="171" t="s">
        <v>465</v>
      </c>
      <c r="F98" s="171">
        <v>1</v>
      </c>
      <c r="G98" s="171" t="s">
        <v>111</v>
      </c>
      <c r="H98" s="171">
        <v>3.85</v>
      </c>
      <c r="I98" s="171"/>
      <c r="J98" s="191">
        <v>1.4264280539708427</v>
      </c>
      <c r="K98" s="191">
        <v>30.974145051121152</v>
      </c>
      <c r="L98" s="192">
        <v>21.714481122897407</v>
      </c>
      <c r="M98" s="192">
        <v>219.03094965622083</v>
      </c>
      <c r="N98" s="192">
        <v>-24.227532753105212</v>
      </c>
      <c r="O98" s="193">
        <v>0.36599999999999999</v>
      </c>
      <c r="P98" s="194">
        <v>219.03094965622083</v>
      </c>
      <c r="Q98" s="195">
        <v>0.44611665796504257</v>
      </c>
      <c r="R98" s="196">
        <v>8.0116657965042581E-2</v>
      </c>
      <c r="S98" s="196">
        <v>14.264280539708428</v>
      </c>
      <c r="T98" s="197">
        <v>11.428064851172332</v>
      </c>
      <c r="U98" s="197">
        <v>801.16657965042577</v>
      </c>
      <c r="V98" s="193">
        <v>1.077</v>
      </c>
      <c r="W98" s="194">
        <v>-24.227532753105212</v>
      </c>
      <c r="X98" s="194">
        <v>1.0845833307143762</v>
      </c>
      <c r="Y98" s="196">
        <v>7.5833307143762241E-3</v>
      </c>
      <c r="Z98" s="196">
        <v>309.7414505112115</v>
      </c>
      <c r="AA98" s="196">
        <v>23.488718551771132</v>
      </c>
      <c r="AB98" s="196">
        <v>75.833307143762241</v>
      </c>
    </row>
    <row r="99" spans="1:28" x14ac:dyDescent="0.25">
      <c r="A99" s="190">
        <v>93</v>
      </c>
      <c r="B99" s="171">
        <v>3</v>
      </c>
      <c r="C99" s="171" t="s">
        <v>460</v>
      </c>
      <c r="D99" s="171" t="s">
        <v>52</v>
      </c>
      <c r="E99" s="171" t="s">
        <v>465</v>
      </c>
      <c r="F99" s="171">
        <v>1</v>
      </c>
      <c r="G99" s="171" t="s">
        <v>112</v>
      </c>
      <c r="H99" s="171">
        <v>3.0329999999999999</v>
      </c>
      <c r="I99" s="171"/>
      <c r="J99" s="191">
        <v>1.0609011896835552</v>
      </c>
      <c r="K99" s="191">
        <v>34.508496127978383</v>
      </c>
      <c r="L99" s="192">
        <v>32.527530804514932</v>
      </c>
      <c r="M99" s="192">
        <v>261.91685040606501</v>
      </c>
      <c r="N99" s="192">
        <v>-25.290322727855745</v>
      </c>
      <c r="O99" s="193">
        <v>0.36599999999999999</v>
      </c>
      <c r="P99" s="194">
        <v>261.91685040606501</v>
      </c>
      <c r="Q99" s="195">
        <v>0.46173871771713343</v>
      </c>
      <c r="R99" s="196">
        <v>9.5738717717133437E-2</v>
      </c>
      <c r="S99" s="196">
        <v>10.609011896835552</v>
      </c>
      <c r="T99" s="197">
        <v>10.156931952488492</v>
      </c>
      <c r="U99" s="197">
        <v>957.38717717133432</v>
      </c>
      <c r="V99" s="193">
        <v>1.077</v>
      </c>
      <c r="W99" s="194">
        <v>-25.290322727855745</v>
      </c>
      <c r="X99" s="194">
        <v>1.0834148247599154</v>
      </c>
      <c r="Y99" s="196">
        <v>6.414824759915394E-3</v>
      </c>
      <c r="Z99" s="196">
        <v>345.08496127978384</v>
      </c>
      <c r="AA99" s="196">
        <v>22.136595538920027</v>
      </c>
      <c r="AB99" s="196">
        <v>64.148247599153933</v>
      </c>
    </row>
    <row r="100" spans="1:28" x14ac:dyDescent="0.25">
      <c r="A100" s="190">
        <v>94</v>
      </c>
      <c r="B100" s="171">
        <v>3</v>
      </c>
      <c r="C100" s="171" t="s">
        <v>461</v>
      </c>
      <c r="D100" s="171" t="s">
        <v>40</v>
      </c>
      <c r="E100" s="171" t="s">
        <v>465</v>
      </c>
      <c r="F100" s="171">
        <v>1</v>
      </c>
      <c r="G100" s="171" t="s">
        <v>126</v>
      </c>
      <c r="H100" s="171">
        <v>3.1779999999999999</v>
      </c>
      <c r="I100" s="171"/>
      <c r="J100" s="191">
        <v>0.86471306585221996</v>
      </c>
      <c r="K100" s="191">
        <v>33.772528141896977</v>
      </c>
      <c r="L100" s="192">
        <v>39.056340739586695</v>
      </c>
      <c r="M100" s="192">
        <v>-1.6991602314481697</v>
      </c>
      <c r="N100" s="192">
        <v>-29.010516772408717</v>
      </c>
      <c r="O100" s="193">
        <v>0.36599999999999999</v>
      </c>
      <c r="P100" s="194">
        <v>-1.6991602314481697</v>
      </c>
      <c r="Q100" s="195">
        <v>0.36563360336176892</v>
      </c>
      <c r="R100" s="196">
        <v>-3.6639663823107016E-4</v>
      </c>
      <c r="S100" s="196">
        <v>8.6471306585221992</v>
      </c>
      <c r="T100" s="197">
        <v>-3.1682796036273539E-2</v>
      </c>
      <c r="U100" s="197">
        <v>-3.6639663823107016</v>
      </c>
      <c r="V100" s="193">
        <v>1.077</v>
      </c>
      <c r="W100" s="194">
        <v>-29.010516772408717</v>
      </c>
      <c r="X100" s="194">
        <v>1.0793243646373765</v>
      </c>
      <c r="Y100" s="196">
        <v>2.3243646373765081E-3</v>
      </c>
      <c r="Z100" s="196">
        <v>337.72528141896981</v>
      </c>
      <c r="AA100" s="196">
        <v>7.8499670127828294</v>
      </c>
      <c r="AB100" s="196">
        <v>23.243646373765081</v>
      </c>
    </row>
    <row r="101" spans="1:28" x14ac:dyDescent="0.25">
      <c r="A101" s="190">
        <v>95</v>
      </c>
      <c r="B101" s="171">
        <v>3</v>
      </c>
      <c r="C101" s="171" t="s">
        <v>462</v>
      </c>
      <c r="D101" s="171" t="s">
        <v>48</v>
      </c>
      <c r="E101" s="171" t="s">
        <v>465</v>
      </c>
      <c r="F101" s="171">
        <v>1</v>
      </c>
      <c r="G101" s="171" t="s">
        <v>127</v>
      </c>
      <c r="H101" s="171">
        <v>3.3370000000000002</v>
      </c>
      <c r="I101" s="171"/>
      <c r="J101" s="191">
        <v>1.0004639922974683</v>
      </c>
      <c r="K101" s="191">
        <v>35.307183062226699</v>
      </c>
      <c r="L101" s="192">
        <v>35.290808398958148</v>
      </c>
      <c r="M101" s="192">
        <v>26.454817545094162</v>
      </c>
      <c r="N101" s="192">
        <v>-28.514351985284502</v>
      </c>
      <c r="O101" s="193">
        <v>0.36599999999999999</v>
      </c>
      <c r="P101" s="194">
        <v>26.454817545094162</v>
      </c>
      <c r="Q101" s="195">
        <v>0.37590640288081573</v>
      </c>
      <c r="R101" s="196">
        <v>9.9064028808157345E-3</v>
      </c>
      <c r="S101" s="196">
        <v>10.004639922974684</v>
      </c>
      <c r="T101" s="197">
        <v>0.99109993754480508</v>
      </c>
      <c r="U101" s="197">
        <v>99.064028808157346</v>
      </c>
      <c r="V101" s="193">
        <v>1.077</v>
      </c>
      <c r="W101" s="194">
        <v>-28.514351985284502</v>
      </c>
      <c r="X101" s="194">
        <v>1.0798699316117706</v>
      </c>
      <c r="Y101" s="196">
        <v>2.8699316117706264E-3</v>
      </c>
      <c r="Z101" s="196">
        <v>353.07183062226699</v>
      </c>
      <c r="AA101" s="196">
        <v>10.132920079285684</v>
      </c>
      <c r="AB101" s="196">
        <v>28.699316117706264</v>
      </c>
    </row>
    <row r="102" spans="1:28" x14ac:dyDescent="0.25">
      <c r="A102" s="190">
        <v>96</v>
      </c>
      <c r="B102" s="171">
        <v>3</v>
      </c>
      <c r="C102" s="171" t="s">
        <v>463</v>
      </c>
      <c r="D102" s="171" t="s">
        <v>36</v>
      </c>
      <c r="E102" s="171" t="s">
        <v>465</v>
      </c>
      <c r="F102" s="171">
        <v>1</v>
      </c>
      <c r="G102" s="171" t="s">
        <v>128</v>
      </c>
      <c r="H102" s="171">
        <v>3.2789999999999999</v>
      </c>
      <c r="I102" s="171"/>
      <c r="J102" s="191">
        <v>1.4309344471703387</v>
      </c>
      <c r="K102" s="191">
        <v>36.320885449201178</v>
      </c>
      <c r="L102" s="192">
        <v>25.382634068964819</v>
      </c>
      <c r="M102" s="192">
        <v>543.89554972314977</v>
      </c>
      <c r="N102" s="192">
        <v>-19.672058092139096</v>
      </c>
      <c r="O102" s="193">
        <v>0.36599999999999999</v>
      </c>
      <c r="P102" s="194">
        <v>543.89554972314977</v>
      </c>
      <c r="Q102" s="195">
        <v>0.56433320992891278</v>
      </c>
      <c r="R102" s="196">
        <v>0.19833320992891279</v>
      </c>
      <c r="S102" s="196">
        <v>14.309344471703387</v>
      </c>
      <c r="T102" s="197">
        <v>28.380182210514757</v>
      </c>
      <c r="U102" s="197">
        <v>1983.3320992891281</v>
      </c>
      <c r="V102" s="193">
        <v>1.077</v>
      </c>
      <c r="W102" s="194">
        <v>-19.672058092139096</v>
      </c>
      <c r="X102" s="194">
        <v>1.0895916267979227</v>
      </c>
      <c r="Y102" s="196">
        <v>1.2591626797922695E-2</v>
      </c>
      <c r="Z102" s="196">
        <v>363.20885449201177</v>
      </c>
      <c r="AA102" s="196">
        <v>45.733903454644206</v>
      </c>
      <c r="AB102" s="196">
        <v>125.91626797922694</v>
      </c>
    </row>
    <row r="103" spans="1:28" x14ac:dyDescent="0.25">
      <c r="A103" s="190">
        <v>97</v>
      </c>
      <c r="B103" s="171">
        <v>3</v>
      </c>
      <c r="C103" s="171" t="s">
        <v>464</v>
      </c>
      <c r="D103" s="171" t="s">
        <v>44</v>
      </c>
      <c r="E103" s="171" t="s">
        <v>465</v>
      </c>
      <c r="F103" s="171">
        <v>1</v>
      </c>
      <c r="G103" s="171" t="s">
        <v>113</v>
      </c>
      <c r="H103" s="171">
        <v>3.0270000000000001</v>
      </c>
      <c r="I103" s="171"/>
      <c r="J103" s="191">
        <v>1.1698318344454475</v>
      </c>
      <c r="K103" s="191">
        <v>36.663792066921793</v>
      </c>
      <c r="L103" s="192">
        <v>31.341079108436183</v>
      </c>
      <c r="M103" s="192">
        <v>-0.93107469584118141</v>
      </c>
      <c r="N103" s="192">
        <v>-28.299370127734672</v>
      </c>
      <c r="O103" s="193">
        <v>0.36599999999999999</v>
      </c>
      <c r="P103" s="194">
        <v>-0.93107469584118141</v>
      </c>
      <c r="Q103" s="195">
        <v>0.36591388987071377</v>
      </c>
      <c r="R103" s="196">
        <v>-8.6110129286220971E-5</v>
      </c>
      <c r="S103" s="196">
        <v>11.698318344454476</v>
      </c>
      <c r="T103" s="197">
        <v>-1.0073437050723454E-2</v>
      </c>
      <c r="U103" s="197">
        <v>-0.86110129286220982</v>
      </c>
      <c r="V103" s="193">
        <v>1.077</v>
      </c>
      <c r="W103" s="194">
        <v>-28.299370127734672</v>
      </c>
      <c r="X103" s="194">
        <v>1.0801063169367304</v>
      </c>
      <c r="Y103" s="196">
        <v>3.1063169367304688E-3</v>
      </c>
      <c r="Z103" s="196">
        <v>366.63792066921792</v>
      </c>
      <c r="AA103" s="196">
        <v>11.388935826224337</v>
      </c>
      <c r="AB103" s="196">
        <v>31.063169367304692</v>
      </c>
    </row>
    <row r="104" spans="1:28" x14ac:dyDescent="0.25">
      <c r="A104" s="190">
        <v>98</v>
      </c>
      <c r="B104" s="171">
        <v>3</v>
      </c>
      <c r="C104" s="171" t="s">
        <v>456</v>
      </c>
      <c r="D104" s="171" t="s">
        <v>24</v>
      </c>
      <c r="E104" s="171" t="s">
        <v>467</v>
      </c>
      <c r="F104" s="171">
        <v>1</v>
      </c>
      <c r="G104" s="171" t="s">
        <v>114</v>
      </c>
      <c r="H104" s="171">
        <v>3.347</v>
      </c>
      <c r="I104" s="171"/>
      <c r="J104" s="191">
        <v>1.4186694413891385</v>
      </c>
      <c r="K104" s="191">
        <v>37.506300024917955</v>
      </c>
      <c r="L104" s="192">
        <v>26.437659775199208</v>
      </c>
      <c r="M104" s="192">
        <v>0.53766314429956774</v>
      </c>
      <c r="N104" s="192">
        <v>-30.270353542266328</v>
      </c>
      <c r="O104" s="193">
        <v>0.36599999999999999</v>
      </c>
      <c r="P104" s="194">
        <v>0.53766314429956774</v>
      </c>
      <c r="Q104" s="195">
        <v>0.36644985104968097</v>
      </c>
      <c r="R104" s="196">
        <v>4.4985104968098266E-4</v>
      </c>
      <c r="S104" s="196">
        <v>14.186694413891386</v>
      </c>
      <c r="T104" s="197">
        <v>6.3818993735923729E-2</v>
      </c>
      <c r="U104" s="197">
        <v>4.4985104968098266</v>
      </c>
      <c r="V104" s="193">
        <v>1.077</v>
      </c>
      <c r="W104" s="194">
        <v>-30.270353542266328</v>
      </c>
      <c r="X104" s="194">
        <v>1.0779390612687427</v>
      </c>
      <c r="Y104" s="196">
        <v>9.3906126874276907E-4</v>
      </c>
      <c r="Z104" s="196">
        <v>375.06300024917959</v>
      </c>
      <c r="AA104" s="196">
        <v>3.522071368724641</v>
      </c>
      <c r="AB104" s="196">
        <v>9.3906126874276907</v>
      </c>
    </row>
    <row r="105" spans="1:28" x14ac:dyDescent="0.25">
      <c r="A105" s="190">
        <v>99</v>
      </c>
      <c r="B105" s="171">
        <v>3</v>
      </c>
      <c r="C105" s="171" t="s">
        <v>458</v>
      </c>
      <c r="D105" s="171" t="s">
        <v>28</v>
      </c>
      <c r="E105" s="171" t="s">
        <v>467</v>
      </c>
      <c r="F105" s="171">
        <v>1</v>
      </c>
      <c r="G105" s="171" t="s">
        <v>115</v>
      </c>
      <c r="H105" s="171">
        <v>3.8639999999999999</v>
      </c>
      <c r="I105" s="171"/>
      <c r="J105" s="191">
        <v>1.3668522158010414</v>
      </c>
      <c r="K105" s="191">
        <v>36.7135716964453</v>
      </c>
      <c r="L105" s="192">
        <v>26.859942334679811</v>
      </c>
      <c r="M105" s="192">
        <v>1.507187984279142</v>
      </c>
      <c r="N105" s="192">
        <v>-29.262383170033875</v>
      </c>
      <c r="O105" s="193">
        <v>0.36599999999999999</v>
      </c>
      <c r="P105" s="194">
        <v>1.507187984279142</v>
      </c>
      <c r="Q105" s="195">
        <v>0.36680363987550474</v>
      </c>
      <c r="R105" s="196">
        <v>8.0363987550474691E-4</v>
      </c>
      <c r="S105" s="196">
        <v>13.668522158010415</v>
      </c>
      <c r="T105" s="197">
        <v>0.10984569445397364</v>
      </c>
      <c r="U105" s="197">
        <v>8.0363987550474683</v>
      </c>
      <c r="V105" s="193">
        <v>1.077</v>
      </c>
      <c r="W105" s="194">
        <v>-29.262383170033875</v>
      </c>
      <c r="X105" s="194">
        <v>1.0790474180772345</v>
      </c>
      <c r="Y105" s="196">
        <v>2.0474180772345196E-3</v>
      </c>
      <c r="Z105" s="196">
        <v>367.13571696445302</v>
      </c>
      <c r="AA105" s="196">
        <v>7.516803037114772</v>
      </c>
      <c r="AB105" s="196">
        <v>20.474180772345196</v>
      </c>
    </row>
    <row r="106" spans="1:28" x14ac:dyDescent="0.25">
      <c r="A106" s="171"/>
      <c r="B106" s="171"/>
      <c r="C106" s="171"/>
      <c r="D106" s="171"/>
      <c r="E106" s="171"/>
      <c r="F106" s="171"/>
      <c r="G106" s="171"/>
      <c r="H106" s="171"/>
      <c r="I106" s="198" t="s">
        <v>152</v>
      </c>
      <c r="J106" s="191">
        <v>2.8129797268212045</v>
      </c>
      <c r="K106" s="191">
        <v>44.505121752535253</v>
      </c>
      <c r="L106" s="192">
        <v>15.821344650367626</v>
      </c>
      <c r="M106" s="192">
        <v>2.0112721286614885</v>
      </c>
      <c r="N106" s="192">
        <v>-26.015102000199164</v>
      </c>
      <c r="O106" s="193">
        <v>0.36599999999999999</v>
      </c>
      <c r="P106" s="194">
        <v>2.0112721286614885</v>
      </c>
      <c r="Q106" s="195">
        <v>0.36698758397645703</v>
      </c>
      <c r="R106" s="196">
        <v>9.8758397645704044E-4</v>
      </c>
      <c r="S106" s="196">
        <v>28.129797268212045</v>
      </c>
      <c r="T106" s="197">
        <v>0.27780537043071246</v>
      </c>
      <c r="U106" s="197">
        <v>9.8758397645704044</v>
      </c>
      <c r="V106" s="193">
        <v>1.077</v>
      </c>
      <c r="W106" s="194">
        <v>-26.015102000199164</v>
      </c>
      <c r="X106" s="194">
        <v>1.0826179356819798</v>
      </c>
      <c r="Y106" s="196">
        <v>5.6179356819798798E-3</v>
      </c>
      <c r="Z106" s="196">
        <v>445.05121752535251</v>
      </c>
      <c r="AA106" s="196">
        <v>25.002691152442669</v>
      </c>
      <c r="AB106" s="196">
        <v>56.179356819798798</v>
      </c>
    </row>
    <row r="107" spans="1:28" x14ac:dyDescent="0.25">
      <c r="A107" s="190">
        <v>100</v>
      </c>
      <c r="B107" s="171">
        <v>3</v>
      </c>
      <c r="C107" s="171" t="s">
        <v>459</v>
      </c>
      <c r="D107" s="171" t="s">
        <v>32</v>
      </c>
      <c r="E107" s="171" t="s">
        <v>467</v>
      </c>
      <c r="F107" s="171">
        <v>2</v>
      </c>
      <c r="G107" s="171" t="s">
        <v>25</v>
      </c>
      <c r="H107" s="171">
        <v>3.4180000000000001</v>
      </c>
      <c r="I107" s="171"/>
      <c r="J107" s="191">
        <v>2.3484186556432216</v>
      </c>
      <c r="K107" s="191">
        <v>39.047058613673528</v>
      </c>
      <c r="L107" s="192">
        <v>16.626958110660517</v>
      </c>
      <c r="M107" s="192">
        <v>38.19898307377521</v>
      </c>
      <c r="N107" s="192">
        <v>-29.356721124775255</v>
      </c>
      <c r="O107" s="193">
        <v>0.36599999999999999</v>
      </c>
      <c r="P107" s="194">
        <v>38.19898307377521</v>
      </c>
      <c r="Q107" s="195">
        <v>0.38019097793055273</v>
      </c>
      <c r="R107" s="196">
        <v>1.4190977930552739E-2</v>
      </c>
      <c r="S107" s="196">
        <v>23.484186556432217</v>
      </c>
      <c r="T107" s="197">
        <v>3.3326357313931299</v>
      </c>
      <c r="U107" s="197">
        <v>141.90977930552739</v>
      </c>
      <c r="V107" s="193">
        <v>1.077</v>
      </c>
      <c r="W107" s="194">
        <v>-29.356721124775255</v>
      </c>
      <c r="X107" s="194">
        <v>1.0789436858094672</v>
      </c>
      <c r="Y107" s="196">
        <v>1.9436858094672438E-3</v>
      </c>
      <c r="Z107" s="196">
        <v>390.47058613673528</v>
      </c>
      <c r="AA107" s="196">
        <v>7.5895213728832944</v>
      </c>
      <c r="AB107" s="196">
        <v>19.436858094672438</v>
      </c>
    </row>
    <row r="108" spans="1:28" x14ac:dyDescent="0.25">
      <c r="A108" s="190">
        <v>101</v>
      </c>
      <c r="B108" s="171">
        <v>3</v>
      </c>
      <c r="C108" s="171" t="s">
        <v>460</v>
      </c>
      <c r="D108" s="171" t="s">
        <v>52</v>
      </c>
      <c r="E108" s="171" t="s">
        <v>467</v>
      </c>
      <c r="F108" s="171">
        <v>2</v>
      </c>
      <c r="G108" s="171" t="s">
        <v>26</v>
      </c>
      <c r="H108" s="171">
        <v>3.052</v>
      </c>
      <c r="I108" s="171"/>
      <c r="J108" s="191">
        <v>1.063559616992144</v>
      </c>
      <c r="K108" s="191">
        <v>38.8161823466505</v>
      </c>
      <c r="L108" s="192">
        <v>36.496480052925158</v>
      </c>
      <c r="M108" s="192">
        <v>13.525863324176393</v>
      </c>
      <c r="N108" s="192">
        <v>-30.075927760551124</v>
      </c>
      <c r="O108" s="193">
        <v>0.36599999999999999</v>
      </c>
      <c r="P108" s="194">
        <v>13.525863324176393</v>
      </c>
      <c r="Q108" s="195">
        <v>0.37118916008196545</v>
      </c>
      <c r="R108" s="196">
        <v>5.1891600819654604E-3</v>
      </c>
      <c r="S108" s="196">
        <v>10.635596169921442</v>
      </c>
      <c r="T108" s="197">
        <v>0.55189811092861085</v>
      </c>
      <c r="U108" s="197">
        <v>51.891600819654606</v>
      </c>
      <c r="V108" s="193">
        <v>1.077</v>
      </c>
      <c r="W108" s="194">
        <v>-30.075927760551124</v>
      </c>
      <c r="X108" s="194">
        <v>1.0781528523618169</v>
      </c>
      <c r="Y108" s="196">
        <v>1.1528523618169473E-3</v>
      </c>
      <c r="Z108" s="196">
        <v>388.16182346650498</v>
      </c>
      <c r="AA108" s="196">
        <v>4.4749327495053324</v>
      </c>
      <c r="AB108" s="196">
        <v>11.528523618169473</v>
      </c>
    </row>
    <row r="109" spans="1:28" x14ac:dyDescent="0.25">
      <c r="A109" s="190">
        <v>102</v>
      </c>
      <c r="B109" s="171">
        <v>3</v>
      </c>
      <c r="C109" s="171" t="s">
        <v>461</v>
      </c>
      <c r="D109" s="171" t="s">
        <v>40</v>
      </c>
      <c r="E109" s="171" t="s">
        <v>467</v>
      </c>
      <c r="F109" s="171">
        <v>2</v>
      </c>
      <c r="G109" s="171" t="s">
        <v>27</v>
      </c>
      <c r="H109" s="171">
        <v>3.3919999999999999</v>
      </c>
      <c r="I109" s="171"/>
      <c r="J109" s="191">
        <v>0.85373051051888671</v>
      </c>
      <c r="K109" s="191">
        <v>37.866623606016823</v>
      </c>
      <c r="L109" s="192">
        <v>44.35430518115367</v>
      </c>
      <c r="M109" s="192">
        <v>-0.84440360439588424</v>
      </c>
      <c r="N109" s="192">
        <v>-29.354126661344424</v>
      </c>
      <c r="O109" s="193">
        <v>0.36599999999999999</v>
      </c>
      <c r="P109" s="194">
        <v>-0.84440360439588424</v>
      </c>
      <c r="Q109" s="195">
        <v>0.36594551741799991</v>
      </c>
      <c r="R109" s="196">
        <v>-5.4482582000081603E-5</v>
      </c>
      <c r="S109" s="196">
        <v>8.5373051051888673</v>
      </c>
      <c r="T109" s="197">
        <v>-4.6513442545316778E-3</v>
      </c>
      <c r="U109" s="197">
        <v>-0.54482582000081603</v>
      </c>
      <c r="V109" s="193">
        <v>1.077</v>
      </c>
      <c r="W109" s="194">
        <v>-29.354126661344424</v>
      </c>
      <c r="X109" s="194">
        <v>1.0789465386363122</v>
      </c>
      <c r="Y109" s="196">
        <v>1.9465386363122228E-3</v>
      </c>
      <c r="Z109" s="196">
        <v>378.66623606016827</v>
      </c>
      <c r="AA109" s="196">
        <v>7.3708845875804219</v>
      </c>
      <c r="AB109" s="196">
        <v>19.465386363122228</v>
      </c>
    </row>
    <row r="110" spans="1:28" x14ac:dyDescent="0.25">
      <c r="A110" s="190">
        <v>103</v>
      </c>
      <c r="B110" s="171">
        <v>3</v>
      </c>
      <c r="C110" s="171" t="s">
        <v>462</v>
      </c>
      <c r="D110" s="171" t="s">
        <v>48</v>
      </c>
      <c r="E110" s="171" t="s">
        <v>467</v>
      </c>
      <c r="F110" s="171">
        <v>2</v>
      </c>
      <c r="G110" s="171" t="s">
        <v>29</v>
      </c>
      <c r="H110" s="171">
        <v>3.1920000000000002</v>
      </c>
      <c r="I110" s="171"/>
      <c r="J110" s="191">
        <v>1.345563049984343</v>
      </c>
      <c r="K110" s="191">
        <v>39.387031010224248</v>
      </c>
      <c r="L110" s="192">
        <v>29.271784039166768</v>
      </c>
      <c r="M110" s="192">
        <v>66.647936093297744</v>
      </c>
      <c r="N110" s="192">
        <v>-27.678753893830848</v>
      </c>
      <c r="O110" s="193">
        <v>0.36599999999999999</v>
      </c>
      <c r="P110" s="194">
        <v>66.647936093297744</v>
      </c>
      <c r="Q110" s="195">
        <v>0.39056836360833008</v>
      </c>
      <c r="R110" s="196">
        <v>2.456836360833009E-2</v>
      </c>
      <c r="S110" s="196">
        <v>13.45563049984343</v>
      </c>
      <c r="T110" s="197">
        <v>3.3058282269948975</v>
      </c>
      <c r="U110" s="197">
        <v>245.68363608330091</v>
      </c>
      <c r="V110" s="193">
        <v>1.077</v>
      </c>
      <c r="W110" s="194">
        <v>-27.678753893830848</v>
      </c>
      <c r="X110" s="194">
        <v>1.0807887150199307</v>
      </c>
      <c r="Y110" s="196">
        <v>3.7887150199307218E-3</v>
      </c>
      <c r="Z110" s="196">
        <v>393.87031010224246</v>
      </c>
      <c r="AA110" s="196">
        <v>14.922623597891372</v>
      </c>
      <c r="AB110" s="196">
        <v>37.887150199307214</v>
      </c>
    </row>
    <row r="111" spans="1:28" x14ac:dyDescent="0.25">
      <c r="A111" s="190">
        <v>104</v>
      </c>
      <c r="B111" s="171">
        <v>3</v>
      </c>
      <c r="C111" s="171" t="s">
        <v>463</v>
      </c>
      <c r="D111" s="171" t="s">
        <v>36</v>
      </c>
      <c r="E111" s="171" t="s">
        <v>467</v>
      </c>
      <c r="F111" s="171">
        <v>2</v>
      </c>
      <c r="G111" s="171" t="s">
        <v>30</v>
      </c>
      <c r="H111" s="171">
        <v>3.58</v>
      </c>
      <c r="I111" s="171"/>
      <c r="J111" s="191">
        <v>1.7936229156755414</v>
      </c>
      <c r="K111" s="191">
        <v>38.201666273665893</v>
      </c>
      <c r="L111" s="192">
        <v>21.298605152620834</v>
      </c>
      <c r="M111" s="192">
        <v>202.22022055566728</v>
      </c>
      <c r="N111" s="192">
        <v>-26.656014791812556</v>
      </c>
      <c r="O111" s="193">
        <v>0.36599999999999999</v>
      </c>
      <c r="P111" s="194">
        <v>202.22022055566728</v>
      </c>
      <c r="Q111" s="195">
        <v>0.43999167081241891</v>
      </c>
      <c r="R111" s="196">
        <v>7.3991670812418919E-2</v>
      </c>
      <c r="S111" s="196">
        <v>17.936229156755417</v>
      </c>
      <c r="T111" s="197">
        <v>13.271315633827571</v>
      </c>
      <c r="U111" s="197">
        <v>739.9167081241892</v>
      </c>
      <c r="V111" s="193">
        <v>1.077</v>
      </c>
      <c r="W111" s="194">
        <v>-26.656014791812556</v>
      </c>
      <c r="X111" s="194">
        <v>1.081913246439143</v>
      </c>
      <c r="Y111" s="196">
        <v>4.9132464391430375E-3</v>
      </c>
      <c r="Z111" s="196">
        <v>382.01666273665893</v>
      </c>
      <c r="AA111" s="196">
        <v>18.769420078841964</v>
      </c>
      <c r="AB111" s="196">
        <v>49.132464391430375</v>
      </c>
    </row>
    <row r="112" spans="1:28" x14ac:dyDescent="0.25">
      <c r="A112" s="190">
        <v>105</v>
      </c>
      <c r="B112" s="171">
        <v>3</v>
      </c>
      <c r="C112" s="171" t="s">
        <v>464</v>
      </c>
      <c r="D112" s="171" t="s">
        <v>44</v>
      </c>
      <c r="E112" s="171" t="s">
        <v>467</v>
      </c>
      <c r="F112" s="171">
        <v>2</v>
      </c>
      <c r="G112" s="171" t="s">
        <v>31</v>
      </c>
      <c r="H112" s="171">
        <v>3.8319999999999999</v>
      </c>
      <c r="I112" s="171"/>
      <c r="J112" s="191">
        <v>1.1715462148427036</v>
      </c>
      <c r="K112" s="191">
        <v>34.250513766186302</v>
      </c>
      <c r="L112" s="192">
        <v>29.235307435810302</v>
      </c>
      <c r="M112" s="192">
        <v>-0.60197450556391707</v>
      </c>
      <c r="N112" s="192">
        <v>-29.498402495526904</v>
      </c>
      <c r="O112" s="193">
        <v>0.36599999999999999</v>
      </c>
      <c r="P112" s="194">
        <v>-0.60197450556391707</v>
      </c>
      <c r="Q112" s="195">
        <v>0.36603398323073</v>
      </c>
      <c r="R112" s="196">
        <v>3.3983230730005864E-5</v>
      </c>
      <c r="S112" s="196">
        <v>11.715462148427036</v>
      </c>
      <c r="T112" s="197">
        <v>3.9812925329864622E-3</v>
      </c>
      <c r="U112" s="197">
        <v>0.33983230730005864</v>
      </c>
      <c r="V112" s="193">
        <v>1.077</v>
      </c>
      <c r="W112" s="194">
        <v>-29.498402495526904</v>
      </c>
      <c r="X112" s="194">
        <v>1.0787878951895977</v>
      </c>
      <c r="Y112" s="196">
        <v>1.7878951895977657E-3</v>
      </c>
      <c r="Z112" s="196">
        <v>342.50513766186305</v>
      </c>
      <c r="AA112" s="196">
        <v>6.1236328803816553</v>
      </c>
      <c r="AB112" s="196">
        <v>17.878951895977657</v>
      </c>
    </row>
    <row r="113" spans="1:28" x14ac:dyDescent="0.25">
      <c r="A113" s="190">
        <v>106</v>
      </c>
      <c r="B113" s="171">
        <v>3</v>
      </c>
      <c r="C113" s="171" t="s">
        <v>458</v>
      </c>
      <c r="D113" s="171" t="s">
        <v>28</v>
      </c>
      <c r="E113" s="171" t="s">
        <v>468</v>
      </c>
      <c r="F113" s="171">
        <v>2</v>
      </c>
      <c r="G113" s="171" t="s">
        <v>33</v>
      </c>
      <c r="H113" s="171">
        <v>3.653</v>
      </c>
      <c r="I113" s="171"/>
      <c r="J113" s="191">
        <v>2.2580517944999512</v>
      </c>
      <c r="K113" s="191">
        <v>42.627854427128263</v>
      </c>
      <c r="L113" s="192">
        <v>18.878156174698489</v>
      </c>
      <c r="M113" s="192">
        <v>-1.7491877744312925</v>
      </c>
      <c r="N113" s="192">
        <v>-30.180452629178987</v>
      </c>
      <c r="O113" s="193">
        <v>0.36599999999999999</v>
      </c>
      <c r="P113" s="194">
        <v>-1.7491877744312925</v>
      </c>
      <c r="Q113" s="195">
        <v>0.36561534746872143</v>
      </c>
      <c r="R113" s="196">
        <v>-3.8465253127856203E-4</v>
      </c>
      <c r="S113" s="196">
        <v>22.58051794499951</v>
      </c>
      <c r="T113" s="197">
        <v>-8.6856533851250556E-2</v>
      </c>
      <c r="U113" s="197">
        <v>-3.8465253127856203</v>
      </c>
      <c r="V113" s="193">
        <v>1.077</v>
      </c>
      <c r="W113" s="194">
        <v>-30.180452629178987</v>
      </c>
      <c r="X113" s="194">
        <v>1.0780379166604463</v>
      </c>
      <c r="Y113" s="196">
        <v>1.0379166604463919E-3</v>
      </c>
      <c r="Z113" s="196">
        <v>426.27854427128273</v>
      </c>
      <c r="AA113" s="196">
        <v>4.4244160308999909</v>
      </c>
      <c r="AB113" s="196">
        <v>10.379166604463917</v>
      </c>
    </row>
    <row r="114" spans="1:28" x14ac:dyDescent="0.25">
      <c r="A114" s="190">
        <v>107</v>
      </c>
      <c r="B114" s="171">
        <v>3</v>
      </c>
      <c r="C114" s="171" t="s">
        <v>460</v>
      </c>
      <c r="D114" s="171" t="s">
        <v>52</v>
      </c>
      <c r="E114" s="171" t="s">
        <v>468</v>
      </c>
      <c r="F114" s="171">
        <v>2</v>
      </c>
      <c r="G114" s="171" t="s">
        <v>34</v>
      </c>
      <c r="H114" s="171">
        <v>3.1960000000000002</v>
      </c>
      <c r="I114" s="171"/>
      <c r="J114" s="191">
        <v>2.104163870891977</v>
      </c>
      <c r="K114" s="191">
        <v>45.668507072161432</v>
      </c>
      <c r="L114" s="192">
        <v>21.703873782797189</v>
      </c>
      <c r="M114" s="192">
        <v>-2.8290971978047823</v>
      </c>
      <c r="N114" s="192">
        <v>-31.592629376791585</v>
      </c>
      <c r="O114" s="193">
        <v>0.36599999999999999</v>
      </c>
      <c r="P114" s="194">
        <v>-2.8290971978047823</v>
      </c>
      <c r="Q114" s="195">
        <v>0.36522126870036031</v>
      </c>
      <c r="R114" s="196">
        <v>-7.7873129963967891E-4</v>
      </c>
      <c r="S114" s="196">
        <v>21.04163870891977</v>
      </c>
      <c r="T114" s="197">
        <v>-0.16385782658345668</v>
      </c>
      <c r="U114" s="197">
        <v>-7.7873129963967891</v>
      </c>
      <c r="V114" s="193">
        <v>1.077</v>
      </c>
      <c r="W114" s="194">
        <v>-31.592629376791585</v>
      </c>
      <c r="X114" s="194">
        <v>1.0764850588231847</v>
      </c>
      <c r="Y114" s="196">
        <v>-5.1494117681527563E-4</v>
      </c>
      <c r="Z114" s="196">
        <v>456.6850707216143</v>
      </c>
      <c r="AA114" s="196">
        <v>-2.3516594775135542</v>
      </c>
      <c r="AB114" s="196">
        <v>-5.1494117681527563</v>
      </c>
    </row>
    <row r="115" spans="1:28" x14ac:dyDescent="0.25">
      <c r="A115" s="190">
        <v>108</v>
      </c>
      <c r="B115" s="171">
        <v>3</v>
      </c>
      <c r="C115" s="171" t="s">
        <v>461</v>
      </c>
      <c r="D115" s="171" t="s">
        <v>40</v>
      </c>
      <c r="E115" s="171" t="s">
        <v>468</v>
      </c>
      <c r="F115" s="171">
        <v>2</v>
      </c>
      <c r="G115" s="171" t="s">
        <v>35</v>
      </c>
      <c r="H115" s="171">
        <v>3.383</v>
      </c>
      <c r="I115" s="171"/>
      <c r="J115" s="191">
        <v>1.6560530795347863</v>
      </c>
      <c r="K115" s="191">
        <v>44.912275491737283</v>
      </c>
      <c r="L115" s="192">
        <v>27.120070030819249</v>
      </c>
      <c r="M115" s="192">
        <v>-4.3137742989596397</v>
      </c>
      <c r="N115" s="192">
        <v>-30.710313485956274</v>
      </c>
      <c r="O115" s="193">
        <v>0.36599999999999999</v>
      </c>
      <c r="P115" s="194">
        <v>-4.3137742989596397</v>
      </c>
      <c r="Q115" s="195">
        <v>0.36467947768858555</v>
      </c>
      <c r="R115" s="196">
        <v>-1.3205223114144404E-3</v>
      </c>
      <c r="S115" s="196">
        <v>16.560530795347866</v>
      </c>
      <c r="T115" s="197">
        <v>-0.21868550404122786</v>
      </c>
      <c r="U115" s="197">
        <v>-13.205223114144404</v>
      </c>
      <c r="V115" s="193">
        <v>1.077</v>
      </c>
      <c r="W115" s="194">
        <v>-30.710313485956274</v>
      </c>
      <c r="X115" s="194">
        <v>1.0774552767637859</v>
      </c>
      <c r="Y115" s="196">
        <v>4.5527676378598336E-4</v>
      </c>
      <c r="Z115" s="196">
        <v>449.12275491737284</v>
      </c>
      <c r="AA115" s="196">
        <v>2.0447515440142685</v>
      </c>
      <c r="AB115" s="196">
        <v>4.5527676378598336</v>
      </c>
    </row>
    <row r="116" spans="1:28" x14ac:dyDescent="0.25">
      <c r="A116" s="190">
        <v>109</v>
      </c>
      <c r="B116" s="171">
        <v>3</v>
      </c>
      <c r="C116" s="171" t="s">
        <v>462</v>
      </c>
      <c r="D116" s="171" t="s">
        <v>48</v>
      </c>
      <c r="E116" s="171" t="s">
        <v>468</v>
      </c>
      <c r="F116" s="171">
        <v>2</v>
      </c>
      <c r="G116" s="171" t="s">
        <v>37</v>
      </c>
      <c r="H116" s="171">
        <v>3.49</v>
      </c>
      <c r="I116" s="171"/>
      <c r="J116" s="191">
        <v>1.3651823155250191</v>
      </c>
      <c r="K116" s="191">
        <v>44.850615943037084</v>
      </c>
      <c r="L116" s="192">
        <v>32.853206075840873</v>
      </c>
      <c r="M116" s="192">
        <v>4.2824432520261828</v>
      </c>
      <c r="N116" s="192">
        <v>-30.130538461747854</v>
      </c>
      <c r="O116" s="193">
        <v>0.36599999999999999</v>
      </c>
      <c r="P116" s="194">
        <v>4.2824432520261828</v>
      </c>
      <c r="Q116" s="195">
        <v>0.36781634300155436</v>
      </c>
      <c r="R116" s="196">
        <v>1.8163430015543658E-3</v>
      </c>
      <c r="S116" s="196">
        <v>13.651823155250192</v>
      </c>
      <c r="T116" s="197">
        <v>0.24796393446496529</v>
      </c>
      <c r="U116" s="197">
        <v>18.163430015543657</v>
      </c>
      <c r="V116" s="193">
        <v>1.077</v>
      </c>
      <c r="W116" s="194">
        <v>-30.130538461747854</v>
      </c>
      <c r="X116" s="194">
        <v>1.0780928023866843</v>
      </c>
      <c r="Y116" s="196">
        <v>1.0928023866842995E-3</v>
      </c>
      <c r="Z116" s="196">
        <v>448.50615943037087</v>
      </c>
      <c r="AA116" s="196">
        <v>4.9012860146811832</v>
      </c>
      <c r="AB116" s="196">
        <v>10.928023866842995</v>
      </c>
    </row>
    <row r="117" spans="1:28" x14ac:dyDescent="0.25">
      <c r="A117" s="190">
        <v>110</v>
      </c>
      <c r="B117" s="171">
        <v>3</v>
      </c>
      <c r="C117" s="171" t="s">
        <v>463</v>
      </c>
      <c r="D117" s="171" t="s">
        <v>36</v>
      </c>
      <c r="E117" s="171" t="s">
        <v>468</v>
      </c>
      <c r="F117" s="171">
        <v>2</v>
      </c>
      <c r="G117" s="171" t="s">
        <v>38</v>
      </c>
      <c r="H117" s="171">
        <v>3.371</v>
      </c>
      <c r="I117" s="171"/>
      <c r="J117" s="191">
        <v>2.420139248408725</v>
      </c>
      <c r="K117" s="191">
        <v>43.628109286805376</v>
      </c>
      <c r="L117" s="192">
        <v>18.02710704166773</v>
      </c>
      <c r="M117" s="192">
        <v>40.368342559679661</v>
      </c>
      <c r="N117" s="192">
        <v>-29.818525522718677</v>
      </c>
      <c r="O117" s="193">
        <v>0.36599999999999999</v>
      </c>
      <c r="P117" s="194">
        <v>40.368342559679661</v>
      </c>
      <c r="Q117" s="195">
        <v>0.38098237600167023</v>
      </c>
      <c r="R117" s="196">
        <v>1.4982376001670239E-2</v>
      </c>
      <c r="S117" s="196">
        <v>24.201392484087247</v>
      </c>
      <c r="T117" s="197">
        <v>3.6259436196059127</v>
      </c>
      <c r="U117" s="197">
        <v>149.82376001670238</v>
      </c>
      <c r="V117" s="193">
        <v>1.077</v>
      </c>
      <c r="W117" s="194">
        <v>-29.818525522718677</v>
      </c>
      <c r="X117" s="194">
        <v>1.0784358911075753</v>
      </c>
      <c r="Y117" s="196">
        <v>1.43589110757536E-3</v>
      </c>
      <c r="Z117" s="196">
        <v>436.2810928680538</v>
      </c>
      <c r="AA117" s="196">
        <v>6.2645214165249827</v>
      </c>
      <c r="AB117" s="196">
        <v>14.3589110757536</v>
      </c>
    </row>
    <row r="118" spans="1:28" x14ac:dyDescent="0.25">
      <c r="A118" s="190">
        <v>111</v>
      </c>
      <c r="B118" s="171">
        <v>3</v>
      </c>
      <c r="C118" s="171" t="s">
        <v>464</v>
      </c>
      <c r="D118" s="171" t="s">
        <v>44</v>
      </c>
      <c r="E118" s="171" t="s">
        <v>468</v>
      </c>
      <c r="F118" s="171">
        <v>2</v>
      </c>
      <c r="G118" s="171" t="s">
        <v>39</v>
      </c>
      <c r="H118" s="171">
        <v>3.69</v>
      </c>
      <c r="I118" s="171"/>
      <c r="J118" s="191">
        <v>2.1878981180503492</v>
      </c>
      <c r="K118" s="191">
        <v>43.384134591505159</v>
      </c>
      <c r="L118" s="192">
        <v>19.829138401638669</v>
      </c>
      <c r="M118" s="192">
        <v>-4.5211481351791276</v>
      </c>
      <c r="N118" s="192">
        <v>-29.909502320690596</v>
      </c>
      <c r="O118" s="193">
        <v>0.36599999999999999</v>
      </c>
      <c r="P118" s="194">
        <v>-4.5211481351791276</v>
      </c>
      <c r="Q118" s="195">
        <v>0.36460380198998371</v>
      </c>
      <c r="R118" s="196">
        <v>-1.3961980100162807E-3</v>
      </c>
      <c r="S118" s="196">
        <v>21.878981180503494</v>
      </c>
      <c r="T118" s="197">
        <v>-0.30547389985402634</v>
      </c>
      <c r="U118" s="197">
        <v>-13.961980100162808</v>
      </c>
      <c r="V118" s="193">
        <v>1.077</v>
      </c>
      <c r="W118" s="194">
        <v>-29.909502320690596</v>
      </c>
      <c r="X118" s="194">
        <v>1.0783358534724263</v>
      </c>
      <c r="Y118" s="196">
        <v>1.3358534724263738E-3</v>
      </c>
      <c r="Z118" s="196">
        <v>433.84134591505159</v>
      </c>
      <c r="AA118" s="196">
        <v>5.7954846842275334</v>
      </c>
      <c r="AB118" s="196">
        <v>13.358534724263736</v>
      </c>
    </row>
    <row r="119" spans="1:28" x14ac:dyDescent="0.25">
      <c r="A119" s="171"/>
      <c r="B119" s="171"/>
      <c r="C119" s="171"/>
      <c r="D119" s="171"/>
      <c r="E119" s="171"/>
      <c r="F119" s="171"/>
      <c r="G119" s="171"/>
      <c r="H119" s="171"/>
      <c r="I119" s="198" t="s">
        <v>152</v>
      </c>
      <c r="J119" s="191">
        <v>2.8937755084318639</v>
      </c>
      <c r="K119" s="191">
        <v>45.988598904100428</v>
      </c>
      <c r="L119" s="192">
        <v>15.892248299876458</v>
      </c>
      <c r="M119" s="192">
        <v>1.7323565590005208</v>
      </c>
      <c r="N119" s="192">
        <v>-26.340676907550915</v>
      </c>
      <c r="O119" s="193">
        <v>0.36599999999999999</v>
      </c>
      <c r="P119" s="194">
        <v>1.7323565590005208</v>
      </c>
      <c r="Q119" s="195">
        <v>0.36688580566828288</v>
      </c>
      <c r="R119" s="196">
        <v>8.8580566828289076E-4</v>
      </c>
      <c r="S119" s="196">
        <v>28.937755084318638</v>
      </c>
      <c r="T119" s="197">
        <v>0.25633227481071491</v>
      </c>
      <c r="U119" s="197">
        <v>8.8580566828289076</v>
      </c>
      <c r="V119" s="193">
        <v>1.077</v>
      </c>
      <c r="W119" s="194">
        <v>-26.340676907550915</v>
      </c>
      <c r="X119" s="194">
        <v>1.0822599644668975</v>
      </c>
      <c r="Y119" s="196">
        <v>5.259964466897582E-3</v>
      </c>
      <c r="Z119" s="196">
        <v>459.88598904100428</v>
      </c>
      <c r="AA119" s="196">
        <v>24.189839611797332</v>
      </c>
      <c r="AB119" s="196">
        <v>52.59964466897582</v>
      </c>
    </row>
    <row r="120" spans="1:28" x14ac:dyDescent="0.25">
      <c r="A120" s="190">
        <v>112</v>
      </c>
      <c r="B120" s="171">
        <v>3</v>
      </c>
      <c r="C120" s="171" t="s">
        <v>458</v>
      </c>
      <c r="D120" s="171" t="s">
        <v>28</v>
      </c>
      <c r="E120" s="171" t="s">
        <v>470</v>
      </c>
      <c r="F120" s="171">
        <v>2</v>
      </c>
      <c r="G120" s="171" t="s">
        <v>41</v>
      </c>
      <c r="H120" s="171">
        <v>3.64</v>
      </c>
      <c r="I120" s="171"/>
      <c r="J120" s="191">
        <v>2.2525334296916899</v>
      </c>
      <c r="K120" s="191">
        <v>42.647370121944689</v>
      </c>
      <c r="L120" s="192">
        <v>18.933068677156964</v>
      </c>
      <c r="M120" s="192">
        <v>-1.5719609274863258</v>
      </c>
      <c r="N120" s="192">
        <v>-30.849576907011084</v>
      </c>
      <c r="O120" s="193">
        <v>0.36599999999999999</v>
      </c>
      <c r="P120" s="194">
        <v>-1.5719609274863258</v>
      </c>
      <c r="Q120" s="195">
        <v>0.36568002050007026</v>
      </c>
      <c r="R120" s="196">
        <v>-3.1997949992973451E-4</v>
      </c>
      <c r="S120" s="196">
        <v>22.525334296916899</v>
      </c>
      <c r="T120" s="197">
        <v>-7.2076452040775674E-2</v>
      </c>
      <c r="U120" s="197">
        <v>-3.1997949992973456</v>
      </c>
      <c r="V120" s="193">
        <v>1.077</v>
      </c>
      <c r="W120" s="194">
        <v>-30.849576907011084</v>
      </c>
      <c r="X120" s="194">
        <v>1.0773021402794953</v>
      </c>
      <c r="Y120" s="196">
        <v>3.0214027949537758E-4</v>
      </c>
      <c r="Z120" s="196">
        <v>426.47370121944687</v>
      </c>
      <c r="AA120" s="196">
        <v>1.2885488328387182</v>
      </c>
      <c r="AB120" s="196">
        <v>3.0214027949537758</v>
      </c>
    </row>
    <row r="121" spans="1:28" x14ac:dyDescent="0.25">
      <c r="A121" s="190">
        <v>113</v>
      </c>
      <c r="B121" s="171">
        <v>3</v>
      </c>
      <c r="C121" s="171" t="s">
        <v>460</v>
      </c>
      <c r="D121" s="171" t="s">
        <v>52</v>
      </c>
      <c r="E121" s="171" t="s">
        <v>470</v>
      </c>
      <c r="F121" s="171">
        <v>2</v>
      </c>
      <c r="G121" s="171" t="s">
        <v>42</v>
      </c>
      <c r="H121" s="171">
        <v>3.5870000000000002</v>
      </c>
      <c r="I121" s="171"/>
      <c r="J121" s="191">
        <v>1.7125890693324293</v>
      </c>
      <c r="K121" s="191">
        <v>43.279905189502443</v>
      </c>
      <c r="L121" s="192">
        <v>25.271622927251922</v>
      </c>
      <c r="M121" s="192">
        <v>-3.490610739007745</v>
      </c>
      <c r="N121" s="192">
        <v>-32.243530111108626</v>
      </c>
      <c r="O121" s="193">
        <v>0.36599999999999999</v>
      </c>
      <c r="P121" s="194">
        <v>-3.490610739007745</v>
      </c>
      <c r="Q121" s="195">
        <v>0.36497986872863319</v>
      </c>
      <c r="R121" s="196">
        <v>-1.0201312713667976E-3</v>
      </c>
      <c r="S121" s="196">
        <v>17.12589069332429</v>
      </c>
      <c r="T121" s="197">
        <v>-0.17470656646269714</v>
      </c>
      <c r="U121" s="197">
        <v>-10.201312713667976</v>
      </c>
      <c r="V121" s="193">
        <v>1.077</v>
      </c>
      <c r="W121" s="194">
        <v>-32.243530111108626</v>
      </c>
      <c r="X121" s="194">
        <v>1.0757692989238949</v>
      </c>
      <c r="Y121" s="196">
        <v>-1.2307010761050119E-3</v>
      </c>
      <c r="Z121" s="196">
        <v>432.79905189502443</v>
      </c>
      <c r="AA121" s="196">
        <v>-5.3264625890443549</v>
      </c>
      <c r="AB121" s="196">
        <v>-12.307010761050119</v>
      </c>
    </row>
    <row r="122" spans="1:28" x14ac:dyDescent="0.25">
      <c r="A122" s="190">
        <v>114</v>
      </c>
      <c r="B122" s="171">
        <v>3</v>
      </c>
      <c r="C122" s="171" t="s">
        <v>461</v>
      </c>
      <c r="D122" s="171" t="s">
        <v>40</v>
      </c>
      <c r="E122" s="171" t="s">
        <v>470</v>
      </c>
      <c r="F122" s="171">
        <v>2</v>
      </c>
      <c r="G122" s="171" t="s">
        <v>43</v>
      </c>
      <c r="H122" s="171">
        <v>3.2480000000000002</v>
      </c>
      <c r="I122" s="171"/>
      <c r="J122" s="191">
        <v>1.4582006696627443</v>
      </c>
      <c r="K122" s="191">
        <v>44.741849834817941</v>
      </c>
      <c r="L122" s="192">
        <v>30.682916806756054</v>
      </c>
      <c r="M122" s="192">
        <v>-4.3808950444018961</v>
      </c>
      <c r="N122" s="192">
        <v>-30.783662498264565</v>
      </c>
      <c r="O122" s="193">
        <v>0.36599999999999999</v>
      </c>
      <c r="P122" s="194">
        <v>-4.3808950444018961</v>
      </c>
      <c r="Q122" s="195">
        <v>0.36465498372741195</v>
      </c>
      <c r="R122" s="196">
        <v>-1.3450162725880399E-3</v>
      </c>
      <c r="S122" s="196">
        <v>14.582006696627442</v>
      </c>
      <c r="T122" s="197">
        <v>-0.1961303629395168</v>
      </c>
      <c r="U122" s="197">
        <v>-13.4501627258804</v>
      </c>
      <c r="V122" s="193">
        <v>1.077</v>
      </c>
      <c r="W122" s="194">
        <v>-30.783662498264565</v>
      </c>
      <c r="X122" s="194">
        <v>1.0773746209709292</v>
      </c>
      <c r="Y122" s="196">
        <v>3.7462097092921809E-4</v>
      </c>
      <c r="Z122" s="196">
        <v>447.41849834817947</v>
      </c>
      <c r="AA122" s="196">
        <v>1.6761235226288775</v>
      </c>
      <c r="AB122" s="196">
        <v>3.7462097092921809</v>
      </c>
    </row>
    <row r="123" spans="1:28" x14ac:dyDescent="0.25">
      <c r="A123" s="190">
        <v>115</v>
      </c>
      <c r="B123" s="171">
        <v>3</v>
      </c>
      <c r="C123" s="171" t="s">
        <v>462</v>
      </c>
      <c r="D123" s="171" t="s">
        <v>48</v>
      </c>
      <c r="E123" s="171" t="s">
        <v>470</v>
      </c>
      <c r="F123" s="171">
        <v>2</v>
      </c>
      <c r="G123" s="171" t="s">
        <v>45</v>
      </c>
      <c r="H123" s="171">
        <v>3.2349999999999999</v>
      </c>
      <c r="I123" s="171"/>
      <c r="J123" s="191">
        <v>1.5518374944035578</v>
      </c>
      <c r="K123" s="191">
        <v>44.901534945280154</v>
      </c>
      <c r="L123" s="192">
        <v>28.9344310259354</v>
      </c>
      <c r="M123" s="192">
        <v>7.2746094413701528</v>
      </c>
      <c r="N123" s="192">
        <v>-30.612565036903725</v>
      </c>
      <c r="O123" s="193">
        <v>0.36599999999999999</v>
      </c>
      <c r="P123" s="194">
        <v>7.2746094413701528</v>
      </c>
      <c r="Q123" s="195">
        <v>0.36890817483516392</v>
      </c>
      <c r="R123" s="196">
        <v>2.9081748351639236E-3</v>
      </c>
      <c r="S123" s="196">
        <v>15.518374944035578</v>
      </c>
      <c r="T123" s="197">
        <v>0.45130147494882633</v>
      </c>
      <c r="U123" s="197">
        <v>29.081748351639234</v>
      </c>
      <c r="V123" s="193">
        <v>1.077</v>
      </c>
      <c r="W123" s="194">
        <v>-30.612565036903725</v>
      </c>
      <c r="X123" s="194">
        <v>1.0775627623783317</v>
      </c>
      <c r="Y123" s="196">
        <v>5.6276237833174925E-4</v>
      </c>
      <c r="Z123" s="196">
        <v>449.0153494528015</v>
      </c>
      <c r="AA123" s="196">
        <v>2.5268894596552007</v>
      </c>
      <c r="AB123" s="196">
        <v>5.6276237833174934</v>
      </c>
    </row>
    <row r="124" spans="1:28" x14ac:dyDescent="0.25">
      <c r="A124" s="190">
        <v>116</v>
      </c>
      <c r="B124" s="171">
        <v>3</v>
      </c>
      <c r="C124" s="171" t="s">
        <v>463</v>
      </c>
      <c r="D124" s="171" t="s">
        <v>36</v>
      </c>
      <c r="E124" s="171" t="s">
        <v>470</v>
      </c>
      <c r="F124" s="171">
        <v>2</v>
      </c>
      <c r="G124" s="171" t="s">
        <v>46</v>
      </c>
      <c r="H124" s="171">
        <v>3.2909999999999999</v>
      </c>
      <c r="I124" s="171"/>
      <c r="J124" s="191">
        <v>2.2495927043821382</v>
      </c>
      <c r="K124" s="191">
        <v>42.749751908163084</v>
      </c>
      <c r="L124" s="192">
        <v>19.003329724926591</v>
      </c>
      <c r="M124" s="192">
        <v>0.73757460785541618</v>
      </c>
      <c r="N124" s="192">
        <v>-31.880552349575719</v>
      </c>
      <c r="O124" s="193">
        <v>0.36599999999999999</v>
      </c>
      <c r="P124" s="194">
        <v>0.73757460785541618</v>
      </c>
      <c r="Q124" s="195">
        <v>0.36652280084777006</v>
      </c>
      <c r="R124" s="196">
        <v>5.228008477700663E-4</v>
      </c>
      <c r="S124" s="196">
        <v>22.495927043821382</v>
      </c>
      <c r="T124" s="197">
        <v>0.11760889729883381</v>
      </c>
      <c r="U124" s="197">
        <v>5.228008477700663</v>
      </c>
      <c r="V124" s="193">
        <v>1.077</v>
      </c>
      <c r="W124" s="194">
        <v>-31.880552349575719</v>
      </c>
      <c r="X124" s="194">
        <v>1.0761684469719244</v>
      </c>
      <c r="Y124" s="196">
        <v>-8.3155302807558229E-4</v>
      </c>
      <c r="Z124" s="196">
        <v>427.49751908163086</v>
      </c>
      <c r="AA124" s="196">
        <v>-3.5548685648712919</v>
      </c>
      <c r="AB124" s="196">
        <v>-8.3155302807558229</v>
      </c>
    </row>
    <row r="125" spans="1:28" x14ac:dyDescent="0.25">
      <c r="A125" s="190">
        <v>117</v>
      </c>
      <c r="B125" s="171">
        <v>3</v>
      </c>
      <c r="C125" s="171" t="s">
        <v>464</v>
      </c>
      <c r="D125" s="171" t="s">
        <v>44</v>
      </c>
      <c r="E125" s="171" t="s">
        <v>470</v>
      </c>
      <c r="F125" s="171">
        <v>2</v>
      </c>
      <c r="G125" s="171" t="s">
        <v>47</v>
      </c>
      <c r="H125" s="171">
        <v>3.2949999999999999</v>
      </c>
      <c r="I125" s="171"/>
      <c r="J125" s="191">
        <v>1.5115756138107517</v>
      </c>
      <c r="K125" s="191">
        <v>43.737793232439657</v>
      </c>
      <c r="L125" s="192">
        <v>28.935233429821395</v>
      </c>
      <c r="M125" s="192">
        <v>-4.607437898819402</v>
      </c>
      <c r="N125" s="192">
        <v>-30.853093080585783</v>
      </c>
      <c r="O125" s="193">
        <v>0.36599999999999999</v>
      </c>
      <c r="P125" s="194">
        <v>-4.607437898819402</v>
      </c>
      <c r="Q125" s="195">
        <v>0.36457231274674917</v>
      </c>
      <c r="R125" s="196">
        <v>-1.42768725325082E-3</v>
      </c>
      <c r="S125" s="196">
        <v>15.115756138107516</v>
      </c>
      <c r="T125" s="197">
        <v>-0.21580572361623943</v>
      </c>
      <c r="U125" s="197">
        <v>-14.276872532508202</v>
      </c>
      <c r="V125" s="193">
        <v>1.077</v>
      </c>
      <c r="W125" s="194">
        <v>-30.853093080585783</v>
      </c>
      <c r="X125" s="194">
        <v>1.0772982738276309</v>
      </c>
      <c r="Y125" s="196">
        <v>2.982738276309238E-4</v>
      </c>
      <c r="Z125" s="196">
        <v>437.37793232439657</v>
      </c>
      <c r="AA125" s="196">
        <v>1.3045838999569692</v>
      </c>
      <c r="AB125" s="196">
        <v>2.9827382763092385</v>
      </c>
    </row>
    <row r="126" spans="1:28" x14ac:dyDescent="0.25">
      <c r="A126" s="190">
        <v>118</v>
      </c>
      <c r="B126" s="171">
        <v>4</v>
      </c>
      <c r="C126" s="171" t="s">
        <v>456</v>
      </c>
      <c r="D126" s="171" t="s">
        <v>28</v>
      </c>
      <c r="E126" s="171" t="s">
        <v>457</v>
      </c>
      <c r="F126" s="171">
        <v>2</v>
      </c>
      <c r="G126" s="171" t="s">
        <v>49</v>
      </c>
      <c r="H126" s="171">
        <v>3.46</v>
      </c>
      <c r="I126" s="171"/>
      <c r="J126" s="191">
        <v>1.724935757893411</v>
      </c>
      <c r="K126" s="191">
        <v>38.411570659731368</v>
      </c>
      <c r="L126" s="192">
        <v>22.268406509609232</v>
      </c>
      <c r="M126" s="192">
        <v>1.6068526084986361</v>
      </c>
      <c r="N126" s="192">
        <v>-25.725411265203125</v>
      </c>
      <c r="O126" s="193">
        <v>0.36599999999999999</v>
      </c>
      <c r="P126" s="194">
        <v>1.6068526084986361</v>
      </c>
      <c r="Q126" s="195">
        <v>0.36684000830140623</v>
      </c>
      <c r="R126" s="196">
        <v>8.400083014062365E-4</v>
      </c>
      <c r="S126" s="196">
        <v>17.249357578934109</v>
      </c>
      <c r="T126" s="197">
        <v>0.14489603560229231</v>
      </c>
      <c r="U126" s="197">
        <v>8.4000830140623641</v>
      </c>
      <c r="V126" s="193">
        <v>1.077</v>
      </c>
      <c r="W126" s="194">
        <v>-25.725411265203125</v>
      </c>
      <c r="X126" s="194">
        <v>1.0829364498944263</v>
      </c>
      <c r="Y126" s="196">
        <v>5.9364498944263211E-3</v>
      </c>
      <c r="Z126" s="196">
        <v>384.1157065973137</v>
      </c>
      <c r="AA126" s="196">
        <v>22.80283645877115</v>
      </c>
      <c r="AB126" s="196">
        <v>59.364498944263211</v>
      </c>
    </row>
    <row r="127" spans="1:28" x14ac:dyDescent="0.25">
      <c r="A127" s="190">
        <v>119</v>
      </c>
      <c r="B127" s="171">
        <v>4</v>
      </c>
      <c r="C127" s="171" t="s">
        <v>458</v>
      </c>
      <c r="D127" s="171" t="s">
        <v>44</v>
      </c>
      <c r="E127" s="171" t="s">
        <v>457</v>
      </c>
      <c r="F127" s="171">
        <v>2</v>
      </c>
      <c r="G127" s="171" t="s">
        <v>50</v>
      </c>
      <c r="H127" s="171">
        <v>3.7010000000000001</v>
      </c>
      <c r="I127" s="171"/>
      <c r="J127" s="191">
        <v>2.0003121663294303</v>
      </c>
      <c r="K127" s="191">
        <v>32.380286735687449</v>
      </c>
      <c r="L127" s="192">
        <v>16.187616753391659</v>
      </c>
      <c r="M127" s="192">
        <v>0.94008297853439116</v>
      </c>
      <c r="N127" s="192">
        <v>-28.454518127262666</v>
      </c>
      <c r="O127" s="193">
        <v>0.36599999999999999</v>
      </c>
      <c r="P127" s="194">
        <v>0.94008297853439116</v>
      </c>
      <c r="Q127" s="195">
        <v>0.36659669817569795</v>
      </c>
      <c r="R127" s="196">
        <v>5.966981756979628E-4</v>
      </c>
      <c r="S127" s="196">
        <v>20.003121663294305</v>
      </c>
      <c r="T127" s="197">
        <v>0.11935826204752109</v>
      </c>
      <c r="U127" s="197">
        <v>5.966981756979628</v>
      </c>
      <c r="V127" s="193">
        <v>1.077</v>
      </c>
      <c r="W127" s="194">
        <v>-28.454518127262666</v>
      </c>
      <c r="X127" s="194">
        <v>1.0799357226069985</v>
      </c>
      <c r="Y127" s="196">
        <v>2.935722606998592E-3</v>
      </c>
      <c r="Z127" s="196">
        <v>323.80286735687446</v>
      </c>
      <c r="AA127" s="196">
        <v>9.5059539791054277</v>
      </c>
      <c r="AB127" s="196">
        <v>29.357226069985924</v>
      </c>
    </row>
    <row r="128" spans="1:28" x14ac:dyDescent="0.25">
      <c r="A128" s="190">
        <v>120</v>
      </c>
      <c r="B128" s="171">
        <v>4</v>
      </c>
      <c r="C128" s="171" t="s">
        <v>459</v>
      </c>
      <c r="D128" s="171" t="s">
        <v>24</v>
      </c>
      <c r="E128" s="171" t="s">
        <v>457</v>
      </c>
      <c r="F128" s="171">
        <v>2</v>
      </c>
      <c r="G128" s="171" t="s">
        <v>51</v>
      </c>
      <c r="H128" s="171">
        <v>3.6880000000000002</v>
      </c>
      <c r="I128" s="171"/>
      <c r="J128" s="191">
        <v>2.3647509701104523</v>
      </c>
      <c r="K128" s="191">
        <v>35.370013267691071</v>
      </c>
      <c r="L128" s="192">
        <v>14.957183109238352</v>
      </c>
      <c r="M128" s="192">
        <v>2.270512792305952</v>
      </c>
      <c r="N128" s="192">
        <v>-26.962090549688877</v>
      </c>
      <c r="O128" s="193">
        <v>0.36599999999999999</v>
      </c>
      <c r="P128" s="194">
        <v>2.270512792305952</v>
      </c>
      <c r="Q128" s="195">
        <v>0.36708218258270453</v>
      </c>
      <c r="R128" s="196">
        <v>1.0821825827045384E-3</v>
      </c>
      <c r="S128" s="196">
        <v>23.647509701104521</v>
      </c>
      <c r="T128" s="197">
        <v>0.25590923122871917</v>
      </c>
      <c r="U128" s="197">
        <v>10.821825827045384</v>
      </c>
      <c r="V128" s="193">
        <v>1.077</v>
      </c>
      <c r="W128" s="194">
        <v>-26.962090549688877</v>
      </c>
      <c r="X128" s="194">
        <v>1.0815767099130003</v>
      </c>
      <c r="Y128" s="196">
        <v>4.5767099130002986E-3</v>
      </c>
      <c r="Z128" s="196">
        <v>353.7001326769107</v>
      </c>
      <c r="AA128" s="196">
        <v>16.187829034519382</v>
      </c>
      <c r="AB128" s="196">
        <v>45.76709913000299</v>
      </c>
    </row>
    <row r="129" spans="1:28" x14ac:dyDescent="0.25">
      <c r="A129" s="190">
        <v>121</v>
      </c>
      <c r="B129" s="171">
        <v>4</v>
      </c>
      <c r="C129" s="171" t="s">
        <v>460</v>
      </c>
      <c r="D129" s="171" t="s">
        <v>48</v>
      </c>
      <c r="E129" s="171" t="s">
        <v>457</v>
      </c>
      <c r="F129" s="171">
        <v>2</v>
      </c>
      <c r="G129" s="171" t="s">
        <v>53</v>
      </c>
      <c r="H129" s="171">
        <v>3.25</v>
      </c>
      <c r="I129" s="171"/>
      <c r="J129" s="191">
        <v>1.5339549186969081</v>
      </c>
      <c r="K129" s="191">
        <v>36.12015463359316</v>
      </c>
      <c r="L129" s="192">
        <v>23.547077031623044</v>
      </c>
      <c r="M129" s="192">
        <v>2.310995898512048</v>
      </c>
      <c r="N129" s="192">
        <v>-28.366401260873854</v>
      </c>
      <c r="O129" s="193">
        <v>0.36599999999999999</v>
      </c>
      <c r="P129" s="194">
        <v>2.310995898512048</v>
      </c>
      <c r="Q129" s="195">
        <v>0.3670969551155544</v>
      </c>
      <c r="R129" s="196">
        <v>1.0969551155544099E-3</v>
      </c>
      <c r="S129" s="196">
        <v>15.339549186969084</v>
      </c>
      <c r="T129" s="197">
        <v>0.16826796950944226</v>
      </c>
      <c r="U129" s="197">
        <v>10.969551155544099</v>
      </c>
      <c r="V129" s="193">
        <v>1.077</v>
      </c>
      <c r="W129" s="194">
        <v>-28.366401260873854</v>
      </c>
      <c r="X129" s="194">
        <v>1.0800326123445769</v>
      </c>
      <c r="Y129" s="196">
        <v>3.0326123445769682E-3</v>
      </c>
      <c r="Z129" s="196">
        <v>361.2015463359316</v>
      </c>
      <c r="AA129" s="196">
        <v>10.953842682986361</v>
      </c>
      <c r="AB129" s="196">
        <v>30.326123445769682</v>
      </c>
    </row>
    <row r="130" spans="1:28" x14ac:dyDescent="0.25">
      <c r="A130" s="190">
        <v>122</v>
      </c>
      <c r="B130" s="171">
        <v>4</v>
      </c>
      <c r="C130" s="171" t="s">
        <v>461</v>
      </c>
      <c r="D130" s="171" t="s">
        <v>36</v>
      </c>
      <c r="E130" s="171" t="s">
        <v>457</v>
      </c>
      <c r="F130" s="171">
        <v>2</v>
      </c>
      <c r="G130" s="171" t="s">
        <v>54</v>
      </c>
      <c r="H130" s="171">
        <v>3.4849999999999999</v>
      </c>
      <c r="I130" s="171"/>
      <c r="J130" s="191">
        <v>1.4003520111270633</v>
      </c>
      <c r="K130" s="191">
        <v>34.567471899916256</v>
      </c>
      <c r="L130" s="192">
        <v>24.684844685655051</v>
      </c>
      <c r="M130" s="192">
        <v>1.7932899300086969</v>
      </c>
      <c r="N130" s="192">
        <v>-26.271585900813456</v>
      </c>
      <c r="O130" s="193">
        <v>0.36599999999999999</v>
      </c>
      <c r="P130" s="194">
        <v>1.7932899300086969</v>
      </c>
      <c r="Q130" s="195">
        <v>0.36690804071371724</v>
      </c>
      <c r="R130" s="196">
        <v>9.0804071371725081E-4</v>
      </c>
      <c r="S130" s="196">
        <v>14.003520111270634</v>
      </c>
      <c r="T130" s="197">
        <v>0.12715766396392061</v>
      </c>
      <c r="U130" s="197">
        <v>9.0804071371725072</v>
      </c>
      <c r="V130" s="193">
        <v>1.077</v>
      </c>
      <c r="W130" s="194">
        <v>-26.271585900813456</v>
      </c>
      <c r="X130" s="194">
        <v>1.0823359305858615</v>
      </c>
      <c r="Y130" s="196">
        <v>5.3359305858615702E-3</v>
      </c>
      <c r="Z130" s="196">
        <v>345.67471899916256</v>
      </c>
      <c r="AA130" s="196">
        <v>18.444963058667351</v>
      </c>
      <c r="AB130" s="196">
        <v>53.359305858615699</v>
      </c>
    </row>
    <row r="131" spans="1:28" x14ac:dyDescent="0.25">
      <c r="A131" s="190">
        <v>123</v>
      </c>
      <c r="B131" s="171">
        <v>4</v>
      </c>
      <c r="C131" s="171" t="s">
        <v>462</v>
      </c>
      <c r="D131" s="171" t="s">
        <v>52</v>
      </c>
      <c r="E131" s="171" t="s">
        <v>457</v>
      </c>
      <c r="F131" s="171">
        <v>2</v>
      </c>
      <c r="G131" s="171" t="s">
        <v>55</v>
      </c>
      <c r="H131" s="171">
        <v>3.4569999999999999</v>
      </c>
      <c r="I131" s="171"/>
      <c r="J131" s="191">
        <v>2.8507888759545157</v>
      </c>
      <c r="K131" s="191">
        <v>39.242928386079193</v>
      </c>
      <c r="L131" s="192">
        <v>13.765638247392019</v>
      </c>
      <c r="M131" s="192">
        <v>1.0773448738544948</v>
      </c>
      <c r="N131" s="192">
        <v>-26.993852415295965</v>
      </c>
      <c r="O131" s="193">
        <v>0.36599999999999999</v>
      </c>
      <c r="P131" s="194">
        <v>1.0773448738544948</v>
      </c>
      <c r="Q131" s="195">
        <v>0.36664678635049291</v>
      </c>
      <c r="R131" s="196">
        <v>6.4678635049292277E-4</v>
      </c>
      <c r="S131" s="196">
        <v>28.507888759545157</v>
      </c>
      <c r="T131" s="197">
        <v>0.18438513331044426</v>
      </c>
      <c r="U131" s="197">
        <v>6.4678635049292277</v>
      </c>
      <c r="V131" s="193">
        <v>1.077</v>
      </c>
      <c r="W131" s="194">
        <v>-26.993852415295965</v>
      </c>
      <c r="X131" s="194">
        <v>1.0815417869640904</v>
      </c>
      <c r="Y131" s="196">
        <v>4.5417869640904662E-3</v>
      </c>
      <c r="Z131" s="196">
        <v>392.42928386079188</v>
      </c>
      <c r="AA131" s="196">
        <v>17.823302057663017</v>
      </c>
      <c r="AB131" s="196">
        <v>45.417869640904662</v>
      </c>
    </row>
    <row r="132" spans="1:28" x14ac:dyDescent="0.25">
      <c r="A132" s="171"/>
      <c r="B132" s="171"/>
      <c r="C132" s="171"/>
      <c r="D132" s="171"/>
      <c r="E132" s="171"/>
      <c r="F132" s="171"/>
      <c r="G132" s="171"/>
      <c r="H132" s="171"/>
      <c r="I132" s="198" t="s">
        <v>152</v>
      </c>
      <c r="J132" s="191">
        <v>2.8639534550601495</v>
      </c>
      <c r="K132" s="191">
        <v>46.810350813191427</v>
      </c>
      <c r="L132" s="192">
        <v>16.344661862602898</v>
      </c>
      <c r="M132" s="192">
        <v>1.6883431842712109</v>
      </c>
      <c r="N132" s="192">
        <v>-26.330588149172122</v>
      </c>
      <c r="O132" s="193">
        <v>0.36599999999999999</v>
      </c>
      <c r="P132" s="194">
        <v>1.6883431842712109</v>
      </c>
      <c r="Q132" s="195">
        <v>0.36686974485059309</v>
      </c>
      <c r="R132" s="196">
        <v>8.6974485059310158E-4</v>
      </c>
      <c r="S132" s="196">
        <v>28.6395345506015</v>
      </c>
      <c r="T132" s="197">
        <v>0.24909087698768873</v>
      </c>
      <c r="U132" s="197">
        <v>8.6974485059310158</v>
      </c>
      <c r="V132" s="193">
        <v>1.077</v>
      </c>
      <c r="W132" s="194">
        <v>-26.330588149172122</v>
      </c>
      <c r="X132" s="194">
        <v>1.0822710571453518</v>
      </c>
      <c r="Y132" s="196">
        <v>5.2710571453518096E-3</v>
      </c>
      <c r="Z132" s="196">
        <v>468.10350813191434</v>
      </c>
      <c r="AA132" s="196">
        <v>24.674003413029759</v>
      </c>
      <c r="AB132" s="196">
        <v>52.710571453518099</v>
      </c>
    </row>
    <row r="133" spans="1:28" x14ac:dyDescent="0.25">
      <c r="A133" s="190">
        <v>124</v>
      </c>
      <c r="B133" s="171">
        <v>4</v>
      </c>
      <c r="C133" s="171" t="s">
        <v>463</v>
      </c>
      <c r="D133" s="171" t="s">
        <v>32</v>
      </c>
      <c r="E133" s="171" t="s">
        <v>457</v>
      </c>
      <c r="F133" s="171">
        <v>2</v>
      </c>
      <c r="G133" s="171" t="s">
        <v>56</v>
      </c>
      <c r="H133" s="171">
        <v>3.3</v>
      </c>
      <c r="I133" s="171"/>
      <c r="J133" s="191">
        <v>2.4515374255542102</v>
      </c>
      <c r="K133" s="191">
        <v>37.853759912753681</v>
      </c>
      <c r="L133" s="192">
        <v>15.440824813921093</v>
      </c>
      <c r="M133" s="192">
        <v>27.588884873706935</v>
      </c>
      <c r="N133" s="192">
        <v>-25.089180095804881</v>
      </c>
      <c r="O133" s="193">
        <v>0.36599999999999999</v>
      </c>
      <c r="P133" s="194">
        <v>27.588884873706935</v>
      </c>
      <c r="Q133" s="195">
        <v>0.37632015602231705</v>
      </c>
      <c r="R133" s="196">
        <v>1.0320156022317062E-2</v>
      </c>
      <c r="S133" s="196">
        <v>24.515374255542103</v>
      </c>
      <c r="T133" s="197">
        <v>2.5300248726268948</v>
      </c>
      <c r="U133" s="197">
        <v>103.2015602231706</v>
      </c>
      <c r="V133" s="193">
        <v>1.077</v>
      </c>
      <c r="W133" s="194">
        <v>-25.089180095804881</v>
      </c>
      <c r="X133" s="194">
        <v>1.0836359772170054</v>
      </c>
      <c r="Y133" s="196">
        <v>6.6359772170054843E-3</v>
      </c>
      <c r="Z133" s="196">
        <v>378.53759912753679</v>
      </c>
      <c r="AA133" s="196">
        <v>25.119668835902893</v>
      </c>
      <c r="AB133" s="196">
        <v>66.359772170054839</v>
      </c>
    </row>
    <row r="134" spans="1:28" x14ac:dyDescent="0.25">
      <c r="A134" s="190">
        <v>125</v>
      </c>
      <c r="B134" s="171">
        <v>4</v>
      </c>
      <c r="C134" s="171" t="s">
        <v>464</v>
      </c>
      <c r="D134" s="171" t="s">
        <v>40</v>
      </c>
      <c r="E134" s="171" t="s">
        <v>457</v>
      </c>
      <c r="F134" s="171">
        <v>2</v>
      </c>
      <c r="G134" s="171" t="s">
        <v>57</v>
      </c>
      <c r="H134" s="171">
        <v>3.1739999999999999</v>
      </c>
      <c r="I134" s="171"/>
      <c r="J134" s="191">
        <v>1.8761371731301075</v>
      </c>
      <c r="K134" s="191">
        <v>31.598398884764588</v>
      </c>
      <c r="L134" s="192">
        <v>16.842264700744927</v>
      </c>
      <c r="M134" s="192">
        <v>2.2903798134334306</v>
      </c>
      <c r="N134" s="192">
        <v>-28.777229166065847</v>
      </c>
      <c r="O134" s="193">
        <v>0.36599999999999999</v>
      </c>
      <c r="P134" s="194">
        <v>2.2903798134334306</v>
      </c>
      <c r="Q134" s="195">
        <v>0.36708943218067014</v>
      </c>
      <c r="R134" s="196">
        <v>1.0894321806701468E-3</v>
      </c>
      <c r="S134" s="196">
        <v>18.761371731301075</v>
      </c>
      <c r="T134" s="197">
        <v>0.20439242117594578</v>
      </c>
      <c r="U134" s="197">
        <v>10.894321806701468</v>
      </c>
      <c r="V134" s="193">
        <v>1.077</v>
      </c>
      <c r="W134" s="194">
        <v>-28.777229166065847</v>
      </c>
      <c r="X134" s="194">
        <v>1.0795808809979917</v>
      </c>
      <c r="Y134" s="196">
        <v>2.5808809979916969E-3</v>
      </c>
      <c r="Z134" s="196">
        <v>315.98398884764589</v>
      </c>
      <c r="AA134" s="196">
        <v>8.1551707248650942</v>
      </c>
      <c r="AB134" s="196">
        <v>25.808809979916969</v>
      </c>
    </row>
    <row r="135" spans="1:28" x14ac:dyDescent="0.25">
      <c r="A135" s="190">
        <v>126</v>
      </c>
      <c r="B135" s="171">
        <v>4</v>
      </c>
      <c r="C135" s="171" t="s">
        <v>456</v>
      </c>
      <c r="D135" s="171" t="s">
        <v>28</v>
      </c>
      <c r="E135" s="171" t="s">
        <v>465</v>
      </c>
      <c r="F135" s="171">
        <v>2</v>
      </c>
      <c r="G135" s="171" t="s">
        <v>58</v>
      </c>
      <c r="H135" s="171">
        <v>3.3210000000000002</v>
      </c>
      <c r="I135" s="171"/>
      <c r="J135" s="191">
        <v>1.1577178743595058</v>
      </c>
      <c r="K135" s="191">
        <v>35.712848879920408</v>
      </c>
      <c r="L135" s="192">
        <v>30.847626758529692</v>
      </c>
      <c r="M135" s="192">
        <v>-0.58611258178850778</v>
      </c>
      <c r="N135" s="192">
        <v>-28.633733135669246</v>
      </c>
      <c r="O135" s="193">
        <v>0.36599999999999999</v>
      </c>
      <c r="P135" s="194">
        <v>-0.58611258178850778</v>
      </c>
      <c r="Q135" s="195">
        <v>0.36603977146596062</v>
      </c>
      <c r="R135" s="196">
        <v>3.9771465960625196E-5</v>
      </c>
      <c r="S135" s="196">
        <v>11.577178743595057</v>
      </c>
      <c r="T135" s="197">
        <v>4.6044137032096441E-3</v>
      </c>
      <c r="U135" s="197">
        <v>0.39771465960625202</v>
      </c>
      <c r="V135" s="193">
        <v>1.077</v>
      </c>
      <c r="W135" s="194">
        <v>-28.633733135669246</v>
      </c>
      <c r="X135" s="194">
        <v>1.0797386644563298</v>
      </c>
      <c r="Y135" s="196">
        <v>2.7386644563298645E-3</v>
      </c>
      <c r="Z135" s="196">
        <v>357.12848879920404</v>
      </c>
      <c r="AA135" s="196">
        <v>9.7805509861717823</v>
      </c>
      <c r="AB135" s="196">
        <v>27.386644563298645</v>
      </c>
    </row>
    <row r="136" spans="1:28" x14ac:dyDescent="0.25">
      <c r="A136" s="190">
        <v>127</v>
      </c>
      <c r="B136" s="171">
        <v>4</v>
      </c>
      <c r="C136" s="171" t="s">
        <v>458</v>
      </c>
      <c r="D136" s="171" t="s">
        <v>44</v>
      </c>
      <c r="E136" s="171" t="s">
        <v>465</v>
      </c>
      <c r="F136" s="171">
        <v>2</v>
      </c>
      <c r="G136" s="171" t="s">
        <v>59</v>
      </c>
      <c r="H136" s="171">
        <v>3.5369999999999999</v>
      </c>
      <c r="I136" s="171"/>
      <c r="J136" s="191">
        <v>1.0607496402617864</v>
      </c>
      <c r="K136" s="191">
        <v>37.321378580829951</v>
      </c>
      <c r="L136" s="192">
        <v>35.183965343244672</v>
      </c>
      <c r="M136" s="192">
        <v>-1.6573897027902535</v>
      </c>
      <c r="N136" s="192">
        <v>-29.845986895286043</v>
      </c>
      <c r="O136" s="193">
        <v>0.36599999999999999</v>
      </c>
      <c r="P136" s="194">
        <v>-1.6573897027902535</v>
      </c>
      <c r="Q136" s="195">
        <v>0.36564884612609155</v>
      </c>
      <c r="R136" s="196">
        <v>-3.5115387390843855E-4</v>
      </c>
      <c r="S136" s="196">
        <v>10.607496402617864</v>
      </c>
      <c r="T136" s="197">
        <v>-3.7248634542490888E-2</v>
      </c>
      <c r="U136" s="197">
        <v>-3.511538739084386</v>
      </c>
      <c r="V136" s="193">
        <v>1.077</v>
      </c>
      <c r="W136" s="194">
        <v>-29.845986895286043</v>
      </c>
      <c r="X136" s="194">
        <v>1.078405694740026</v>
      </c>
      <c r="Y136" s="196">
        <v>1.4056947400260533E-3</v>
      </c>
      <c r="Z136" s="196">
        <v>373.21378580829952</v>
      </c>
      <c r="AA136" s="196">
        <v>5.2462465561593676</v>
      </c>
      <c r="AB136" s="196">
        <v>14.056947400260535</v>
      </c>
    </row>
    <row r="137" spans="1:28" x14ac:dyDescent="0.25">
      <c r="A137" s="190">
        <v>128</v>
      </c>
      <c r="B137" s="171">
        <v>4</v>
      </c>
      <c r="C137" s="171" t="s">
        <v>459</v>
      </c>
      <c r="D137" s="171" t="s">
        <v>24</v>
      </c>
      <c r="E137" s="171" t="s">
        <v>465</v>
      </c>
      <c r="F137" s="171">
        <v>2</v>
      </c>
      <c r="G137" s="171" t="s">
        <v>60</v>
      </c>
      <c r="H137" s="171">
        <v>3.1749999999999998</v>
      </c>
      <c r="I137" s="171"/>
      <c r="J137" s="191">
        <v>1.3686219469793357</v>
      </c>
      <c r="K137" s="191">
        <v>37.45886572765933</v>
      </c>
      <c r="L137" s="192">
        <v>27.369768408532551</v>
      </c>
      <c r="M137" s="192">
        <v>-0.36560421361503848</v>
      </c>
      <c r="N137" s="192">
        <v>-28.351411578421715</v>
      </c>
      <c r="O137" s="193">
        <v>0.36599999999999999</v>
      </c>
      <c r="P137" s="194">
        <v>-0.36560421361503848</v>
      </c>
      <c r="Q137" s="195">
        <v>0.36612023794773302</v>
      </c>
      <c r="R137" s="196">
        <v>1.2023794773302621E-4</v>
      </c>
      <c r="S137" s="196">
        <v>13.686219469793356</v>
      </c>
      <c r="T137" s="197">
        <v>1.6456029412717392E-2</v>
      </c>
      <c r="U137" s="197">
        <v>1.2023794773302621</v>
      </c>
      <c r="V137" s="193">
        <v>1.077</v>
      </c>
      <c r="W137" s="194">
        <v>-28.351411578421715</v>
      </c>
      <c r="X137" s="194">
        <v>1.0800490943734344</v>
      </c>
      <c r="Y137" s="196">
        <v>3.04909437343448E-3</v>
      </c>
      <c r="Z137" s="196">
        <v>374.58865727659327</v>
      </c>
      <c r="AA137" s="196">
        <v>11.421561672544373</v>
      </c>
      <c r="AB137" s="196">
        <v>30.490943734344796</v>
      </c>
    </row>
    <row r="138" spans="1:28" x14ac:dyDescent="0.25">
      <c r="A138" s="190">
        <v>129</v>
      </c>
      <c r="B138" s="171">
        <v>4</v>
      </c>
      <c r="C138" s="171" t="s">
        <v>460</v>
      </c>
      <c r="D138" s="171" t="s">
        <v>48</v>
      </c>
      <c r="E138" s="171" t="s">
        <v>465</v>
      </c>
      <c r="F138" s="171">
        <v>2</v>
      </c>
      <c r="G138" s="171" t="s">
        <v>61</v>
      </c>
      <c r="H138" s="171">
        <v>3.5760000000000001</v>
      </c>
      <c r="I138" s="171"/>
      <c r="J138" s="191">
        <v>1.0679066862507889</v>
      </c>
      <c r="K138" s="191">
        <v>34.247342425925126</v>
      </c>
      <c r="L138" s="192">
        <v>32.069602023151326</v>
      </c>
      <c r="M138" s="192">
        <v>26.44736924313338</v>
      </c>
      <c r="N138" s="192">
        <v>-28.495633343334667</v>
      </c>
      <c r="O138" s="193">
        <v>0.36599999999999999</v>
      </c>
      <c r="P138" s="194">
        <v>26.44736924313338</v>
      </c>
      <c r="Q138" s="195">
        <v>0.3759036854308544</v>
      </c>
      <c r="R138" s="196">
        <v>9.9036854308544031E-3</v>
      </c>
      <c r="S138" s="196">
        <v>10.67906686250789</v>
      </c>
      <c r="T138" s="197">
        <v>1.0576211890133942</v>
      </c>
      <c r="U138" s="197">
        <v>99.036854308544036</v>
      </c>
      <c r="V138" s="193">
        <v>1.077</v>
      </c>
      <c r="W138" s="194">
        <v>-28.495633343334667</v>
      </c>
      <c r="X138" s="194">
        <v>1.0798905139156154</v>
      </c>
      <c r="Y138" s="196">
        <v>2.8905139156154558E-3</v>
      </c>
      <c r="Z138" s="196">
        <v>342.47342425925126</v>
      </c>
      <c r="AA138" s="196">
        <v>9.8992419854984153</v>
      </c>
      <c r="AB138" s="196">
        <v>28.905139156154554</v>
      </c>
    </row>
    <row r="139" spans="1:28" x14ac:dyDescent="0.25">
      <c r="A139" s="190">
        <v>130</v>
      </c>
      <c r="B139" s="171">
        <v>4</v>
      </c>
      <c r="C139" s="171" t="s">
        <v>461</v>
      </c>
      <c r="D139" s="171" t="s">
        <v>36</v>
      </c>
      <c r="E139" s="171" t="s">
        <v>465</v>
      </c>
      <c r="F139" s="171">
        <v>2</v>
      </c>
      <c r="G139" s="171" t="s">
        <v>62</v>
      </c>
      <c r="H139" s="171">
        <v>3.8660000000000001</v>
      </c>
      <c r="I139" s="171"/>
      <c r="J139" s="191">
        <v>1.2531426246573298</v>
      </c>
      <c r="K139" s="191">
        <v>30.623290418485958</v>
      </c>
      <c r="L139" s="192">
        <v>24.437194790066179</v>
      </c>
      <c r="M139" s="192">
        <v>132.88178127330355</v>
      </c>
      <c r="N139" s="192">
        <v>-26.939871940387569</v>
      </c>
      <c r="O139" s="193">
        <v>0.36599999999999999</v>
      </c>
      <c r="P139" s="194">
        <v>132.88178127330355</v>
      </c>
      <c r="Q139" s="195">
        <v>0.41472025132936807</v>
      </c>
      <c r="R139" s="196">
        <v>4.8720251329368081E-2</v>
      </c>
      <c r="S139" s="196">
        <v>12.531426246573298</v>
      </c>
      <c r="T139" s="197">
        <v>6.1053423624849072</v>
      </c>
      <c r="U139" s="197">
        <v>487.20251329368079</v>
      </c>
      <c r="V139" s="193">
        <v>1.077</v>
      </c>
      <c r="W139" s="194">
        <v>-26.939871940387569</v>
      </c>
      <c r="X139" s="194">
        <v>1.0816011398032814</v>
      </c>
      <c r="Y139" s="196">
        <v>4.6011398032814732E-3</v>
      </c>
      <c r="Z139" s="196">
        <v>306.23290418485959</v>
      </c>
      <c r="AA139" s="196">
        <v>14.090204045194392</v>
      </c>
      <c r="AB139" s="196">
        <v>46.011398032814732</v>
      </c>
    </row>
    <row r="140" spans="1:28" x14ac:dyDescent="0.25">
      <c r="A140" s="190">
        <v>131</v>
      </c>
      <c r="B140" s="171">
        <v>4</v>
      </c>
      <c r="C140" s="171" t="s">
        <v>462</v>
      </c>
      <c r="D140" s="171" t="s">
        <v>52</v>
      </c>
      <c r="E140" s="171" t="s">
        <v>465</v>
      </c>
      <c r="F140" s="171">
        <v>2</v>
      </c>
      <c r="G140" s="171" t="s">
        <v>63</v>
      </c>
      <c r="H140" s="171">
        <v>3.3180000000000001</v>
      </c>
      <c r="I140" s="171"/>
      <c r="J140" s="191">
        <v>1.1430133024460414</v>
      </c>
      <c r="K140" s="191">
        <v>35.337767873723877</v>
      </c>
      <c r="L140" s="192">
        <v>30.91632249432379</v>
      </c>
      <c r="M140" s="192">
        <v>148.12232934062672</v>
      </c>
      <c r="N140" s="192">
        <v>-27.445403386896722</v>
      </c>
      <c r="O140" s="193">
        <v>0.36599999999999999</v>
      </c>
      <c r="P140" s="194">
        <v>148.12232934062672</v>
      </c>
      <c r="Q140" s="195">
        <v>0.42027599440515145</v>
      </c>
      <c r="R140" s="196">
        <v>5.4275994405151462E-2</v>
      </c>
      <c r="S140" s="196">
        <v>11.430133024460412</v>
      </c>
      <c r="T140" s="197">
        <v>6.203818360857503</v>
      </c>
      <c r="U140" s="197">
        <v>542.75994405151459</v>
      </c>
      <c r="V140" s="193">
        <v>1.077</v>
      </c>
      <c r="W140" s="194">
        <v>-27.445403386896722</v>
      </c>
      <c r="X140" s="194">
        <v>1.0810452929475043</v>
      </c>
      <c r="Y140" s="196">
        <v>4.0452929475043309E-3</v>
      </c>
      <c r="Z140" s="196">
        <v>353.37767873723874</v>
      </c>
      <c r="AA140" s="196">
        <v>14.29516231601203</v>
      </c>
      <c r="AB140" s="196">
        <v>40.452929475043305</v>
      </c>
    </row>
    <row r="141" spans="1:28" x14ac:dyDescent="0.25">
      <c r="A141" s="190">
        <v>132</v>
      </c>
      <c r="B141" s="171">
        <v>4</v>
      </c>
      <c r="C141" s="171" t="s">
        <v>463</v>
      </c>
      <c r="D141" s="171" t="s">
        <v>32</v>
      </c>
      <c r="E141" s="171" t="s">
        <v>465</v>
      </c>
      <c r="F141" s="171">
        <v>2</v>
      </c>
      <c r="G141" s="171" t="s">
        <v>64</v>
      </c>
      <c r="H141" s="171">
        <v>3.8319999999999999</v>
      </c>
      <c r="I141" s="171"/>
      <c r="J141" s="191">
        <v>1.1594415071351161</v>
      </c>
      <c r="K141" s="191">
        <v>31.773566506760211</v>
      </c>
      <c r="L141" s="192">
        <v>27.404199617857444</v>
      </c>
      <c r="M141" s="192">
        <v>10.18831210942998</v>
      </c>
      <c r="N141" s="192">
        <v>-28.786063049416114</v>
      </c>
      <c r="O141" s="193">
        <v>0.36599999999999999</v>
      </c>
      <c r="P141" s="194">
        <v>10.18831210942998</v>
      </c>
      <c r="Q141" s="195">
        <v>0.36997135258516683</v>
      </c>
      <c r="R141" s="196">
        <v>3.971352585166843E-3</v>
      </c>
      <c r="S141" s="196">
        <v>11.594415071351161</v>
      </c>
      <c r="T141" s="197">
        <v>0.46045510267107836</v>
      </c>
      <c r="U141" s="197">
        <v>39.713525851668429</v>
      </c>
      <c r="V141" s="193">
        <v>1.077</v>
      </c>
      <c r="W141" s="194">
        <v>-28.786063049416114</v>
      </c>
      <c r="X141" s="194">
        <v>1.0795711675374742</v>
      </c>
      <c r="Y141" s="196">
        <v>2.5711675374742171E-3</v>
      </c>
      <c r="Z141" s="196">
        <v>317.73566506760216</v>
      </c>
      <c r="AA141" s="196">
        <v>8.169516275195992</v>
      </c>
      <c r="AB141" s="196">
        <v>25.711675374742171</v>
      </c>
    </row>
    <row r="142" spans="1:28" x14ac:dyDescent="0.25">
      <c r="A142" s="190">
        <v>133</v>
      </c>
      <c r="B142" s="171">
        <v>4</v>
      </c>
      <c r="C142" s="171" t="s">
        <v>464</v>
      </c>
      <c r="D142" s="171" t="s">
        <v>40</v>
      </c>
      <c r="E142" s="171" t="s">
        <v>465</v>
      </c>
      <c r="F142" s="171">
        <v>2</v>
      </c>
      <c r="G142" s="171" t="s">
        <v>65</v>
      </c>
      <c r="H142" s="171">
        <v>3.6739999999999999</v>
      </c>
      <c r="I142" s="171"/>
      <c r="J142" s="191">
        <v>1.4519249167705734</v>
      </c>
      <c r="K142" s="191">
        <v>36.190222966566225</v>
      </c>
      <c r="L142" s="192">
        <v>24.925684894961293</v>
      </c>
      <c r="M142" s="192">
        <v>-0.51937883033012122</v>
      </c>
      <c r="N142" s="192">
        <v>-29.16283768846171</v>
      </c>
      <c r="O142" s="193">
        <v>0.36599999999999999</v>
      </c>
      <c r="P142" s="194">
        <v>-0.51937883033012122</v>
      </c>
      <c r="Q142" s="195">
        <v>0.36606412352690115</v>
      </c>
      <c r="R142" s="196">
        <v>6.4123526901160854E-5</v>
      </c>
      <c r="S142" s="196">
        <v>14.519249167705734</v>
      </c>
      <c r="T142" s="197">
        <v>9.3102546459003597E-3</v>
      </c>
      <c r="U142" s="197">
        <v>0.64123526901160854</v>
      </c>
      <c r="V142" s="193">
        <v>1.077</v>
      </c>
      <c r="W142" s="194">
        <v>-29.16283768846171</v>
      </c>
      <c r="X142" s="194">
        <v>1.0791568762091541</v>
      </c>
      <c r="Y142" s="196">
        <v>2.1568762091541682E-3</v>
      </c>
      <c r="Z142" s="196">
        <v>361.90222966566228</v>
      </c>
      <c r="AA142" s="196">
        <v>7.8057830920571476</v>
      </c>
      <c r="AB142" s="196">
        <v>21.568762091541682</v>
      </c>
    </row>
    <row r="143" spans="1:28" x14ac:dyDescent="0.25">
      <c r="A143" s="190">
        <v>134</v>
      </c>
      <c r="B143" s="171">
        <v>4</v>
      </c>
      <c r="C143" s="171" t="s">
        <v>456</v>
      </c>
      <c r="D143" s="171" t="s">
        <v>28</v>
      </c>
      <c r="E143" s="171" t="s">
        <v>467</v>
      </c>
      <c r="F143" s="171">
        <v>2</v>
      </c>
      <c r="G143" s="171" t="s">
        <v>66</v>
      </c>
      <c r="H143" s="171">
        <v>3.3929999999999998</v>
      </c>
      <c r="I143" s="171"/>
      <c r="J143" s="191">
        <v>1.5162028369932843</v>
      </c>
      <c r="K143" s="191">
        <v>37.006078597049722</v>
      </c>
      <c r="L143" s="192">
        <v>24.407076476940816</v>
      </c>
      <c r="M143" s="192">
        <v>0.31372348241551873</v>
      </c>
      <c r="N143" s="192">
        <v>-29.574072053454273</v>
      </c>
      <c r="O143" s="193">
        <v>0.36599999999999999</v>
      </c>
      <c r="P143" s="194">
        <v>0.31372348241551873</v>
      </c>
      <c r="Q143" s="195">
        <v>0.36636813298215232</v>
      </c>
      <c r="R143" s="196">
        <v>3.6813298215232493E-4</v>
      </c>
      <c r="S143" s="196">
        <v>15.162028369932843</v>
      </c>
      <c r="T143" s="197">
        <v>5.5816427193015321E-2</v>
      </c>
      <c r="U143" s="197">
        <v>3.6813298215232493</v>
      </c>
      <c r="V143" s="193">
        <v>1.077</v>
      </c>
      <c r="W143" s="194">
        <v>-29.574072053454273</v>
      </c>
      <c r="X143" s="194">
        <v>1.0787046899258865</v>
      </c>
      <c r="Y143" s="196">
        <v>1.7046899258865711E-3</v>
      </c>
      <c r="Z143" s="196">
        <v>370.06078597049725</v>
      </c>
      <c r="AA143" s="196">
        <v>6.3083889380957316</v>
      </c>
      <c r="AB143" s="196">
        <v>17.046899258865711</v>
      </c>
    </row>
    <row r="144" spans="1:28" x14ac:dyDescent="0.25">
      <c r="A144" s="190">
        <v>135</v>
      </c>
      <c r="B144" s="171">
        <v>4</v>
      </c>
      <c r="C144" s="171" t="s">
        <v>458</v>
      </c>
      <c r="D144" s="171" t="s">
        <v>44</v>
      </c>
      <c r="E144" s="171" t="s">
        <v>467</v>
      </c>
      <c r="F144" s="171">
        <v>2</v>
      </c>
      <c r="G144" s="171" t="s">
        <v>67</v>
      </c>
      <c r="H144" s="171">
        <v>3.5129999999999999</v>
      </c>
      <c r="I144" s="171"/>
      <c r="J144" s="191">
        <v>1.1532163624949971</v>
      </c>
      <c r="K144" s="191">
        <v>36.912813509076216</v>
      </c>
      <c r="L144" s="192">
        <v>32.008575935581511</v>
      </c>
      <c r="M144" s="192">
        <v>-0.32842628489054182</v>
      </c>
      <c r="N144" s="192">
        <v>-29.611734709581594</v>
      </c>
      <c r="O144" s="193">
        <v>0.36599999999999999</v>
      </c>
      <c r="P144" s="194">
        <v>-0.32842628489054182</v>
      </c>
      <c r="Q144" s="195">
        <v>0.36613380466325235</v>
      </c>
      <c r="R144" s="196">
        <v>1.3380466325235707E-4</v>
      </c>
      <c r="S144" s="196">
        <v>11.532163624949971</v>
      </c>
      <c r="T144" s="197">
        <v>1.5430572704075121E-2</v>
      </c>
      <c r="U144" s="197">
        <v>1.3380466325235707</v>
      </c>
      <c r="V144" s="193">
        <v>1.077</v>
      </c>
      <c r="W144" s="194">
        <v>-29.611734709581594</v>
      </c>
      <c r="X144" s="194">
        <v>1.0786632765058961</v>
      </c>
      <c r="Y144" s="196">
        <v>1.6632765058961496E-3</v>
      </c>
      <c r="Z144" s="196">
        <v>369.12813509076216</v>
      </c>
      <c r="AA144" s="196">
        <v>6.1396215476172475</v>
      </c>
      <c r="AB144" s="196">
        <v>16.632765058961496</v>
      </c>
    </row>
    <row r="145" spans="1:28" x14ac:dyDescent="0.25">
      <c r="A145" s="171"/>
      <c r="B145" s="171"/>
      <c r="C145" s="171"/>
      <c r="D145" s="171"/>
      <c r="E145" s="171"/>
      <c r="F145" s="171"/>
      <c r="G145" s="171"/>
      <c r="H145" s="171"/>
      <c r="I145" s="198" t="s">
        <v>152</v>
      </c>
      <c r="J145" s="191">
        <v>2.862555516391156</v>
      </c>
      <c r="K145" s="191">
        <v>46.132315930726072</v>
      </c>
      <c r="L145" s="192">
        <v>16.115780346117241</v>
      </c>
      <c r="M145" s="192">
        <v>1.7484438971391829</v>
      </c>
      <c r="N145" s="192">
        <v>-26.398156018874456</v>
      </c>
      <c r="O145" s="193">
        <v>0.36599999999999999</v>
      </c>
      <c r="P145" s="194">
        <v>1.7484438971391829</v>
      </c>
      <c r="Q145" s="195">
        <v>0.3668916760599461</v>
      </c>
      <c r="R145" s="196">
        <v>8.9167605994611154E-4</v>
      </c>
      <c r="S145" s="196">
        <v>28.625555163911557</v>
      </c>
      <c r="T145" s="197">
        <v>0.25524722242326725</v>
      </c>
      <c r="U145" s="197">
        <v>8.9167605994611154</v>
      </c>
      <c r="V145" s="193">
        <v>1.077</v>
      </c>
      <c r="W145" s="194">
        <v>-26.398156018874456</v>
      </c>
      <c r="X145" s="194">
        <v>1.0821967656316509</v>
      </c>
      <c r="Y145" s="196">
        <v>5.1967656316509458E-3</v>
      </c>
      <c r="Z145" s="196">
        <v>461.32315930726065</v>
      </c>
      <c r="AA145" s="196">
        <v>23.973883393726062</v>
      </c>
      <c r="AB145" s="196">
        <v>51.967656316509462</v>
      </c>
    </row>
    <row r="146" spans="1:28" x14ac:dyDescent="0.25">
      <c r="A146" s="190">
        <v>136</v>
      </c>
      <c r="B146" s="171">
        <v>4</v>
      </c>
      <c r="C146" s="171" t="s">
        <v>459</v>
      </c>
      <c r="D146" s="171" t="s">
        <v>24</v>
      </c>
      <c r="E146" s="171" t="s">
        <v>467</v>
      </c>
      <c r="F146" s="171">
        <v>2</v>
      </c>
      <c r="G146" s="171" t="s">
        <v>116</v>
      </c>
      <c r="H146" s="171">
        <v>3.17</v>
      </c>
      <c r="I146" s="171"/>
      <c r="J146" s="191">
        <v>1.5023600175883871</v>
      </c>
      <c r="K146" s="191">
        <v>38.107587278361358</v>
      </c>
      <c r="L146" s="192">
        <v>25.365150052070927</v>
      </c>
      <c r="M146" s="192">
        <v>0.2778047798692489</v>
      </c>
      <c r="N146" s="192">
        <v>-29.900118563466506</v>
      </c>
      <c r="O146" s="193">
        <v>0.36599999999999999</v>
      </c>
      <c r="P146" s="194">
        <v>0.2778047798692489</v>
      </c>
      <c r="Q146" s="195">
        <v>0.36635502583655305</v>
      </c>
      <c r="R146" s="196">
        <v>3.5502583655305786E-4</v>
      </c>
      <c r="S146" s="196">
        <v>15.023600175883869</v>
      </c>
      <c r="T146" s="197">
        <v>5.3337662204818378E-2</v>
      </c>
      <c r="U146" s="197">
        <v>3.5502583655305782</v>
      </c>
      <c r="V146" s="193">
        <v>1.077</v>
      </c>
      <c r="W146" s="194">
        <v>-29.900118563466506</v>
      </c>
      <c r="X146" s="194">
        <v>1.0783461718146172</v>
      </c>
      <c r="Y146" s="196">
        <v>1.3461718146172696E-3</v>
      </c>
      <c r="Z146" s="196">
        <v>381.07587278361359</v>
      </c>
      <c r="AA146" s="196">
        <v>5.1299359917197691</v>
      </c>
      <c r="AB146" s="196">
        <v>13.461718146172696</v>
      </c>
    </row>
    <row r="147" spans="1:28" x14ac:dyDescent="0.25">
      <c r="A147" s="190">
        <v>137</v>
      </c>
      <c r="B147" s="171">
        <v>4</v>
      </c>
      <c r="C147" s="171" t="s">
        <v>460</v>
      </c>
      <c r="D147" s="171" t="s">
        <v>48</v>
      </c>
      <c r="E147" s="171" t="s">
        <v>467</v>
      </c>
      <c r="F147" s="171">
        <v>2</v>
      </c>
      <c r="G147" s="171" t="s">
        <v>117</v>
      </c>
      <c r="H147" s="171">
        <v>3.3559999999999999</v>
      </c>
      <c r="I147" s="171"/>
      <c r="J147" s="191">
        <v>1.3578098758468604</v>
      </c>
      <c r="K147" s="191">
        <v>39.407699818574727</v>
      </c>
      <c r="L147" s="192">
        <v>29.022988063035189</v>
      </c>
      <c r="M147" s="192">
        <v>41.223300226517964</v>
      </c>
      <c r="N147" s="192">
        <v>-27.753728200183954</v>
      </c>
      <c r="O147" s="193">
        <v>0.36599999999999999</v>
      </c>
      <c r="P147" s="194">
        <v>41.223300226517964</v>
      </c>
      <c r="Q147" s="195">
        <v>0.38129426730384619</v>
      </c>
      <c r="R147" s="196">
        <v>1.5294267303846198E-2</v>
      </c>
      <c r="S147" s="196">
        <v>13.578098758468604</v>
      </c>
      <c r="T147" s="197">
        <v>2.0766707189004103</v>
      </c>
      <c r="U147" s="197">
        <v>152.94267303846198</v>
      </c>
      <c r="V147" s="193">
        <v>1.077</v>
      </c>
      <c r="W147" s="194">
        <v>-27.753728200183954</v>
      </c>
      <c r="X147" s="194">
        <v>1.0807062775813912</v>
      </c>
      <c r="Y147" s="196">
        <v>3.706277581391193E-3</v>
      </c>
      <c r="Z147" s="196">
        <v>394.07699818574724</v>
      </c>
      <c r="AA147" s="196">
        <v>14.60558743717773</v>
      </c>
      <c r="AB147" s="196">
        <v>37.062775813911927</v>
      </c>
    </row>
    <row r="148" spans="1:28" x14ac:dyDescent="0.25">
      <c r="A148" s="190">
        <v>138</v>
      </c>
      <c r="B148" s="171">
        <v>4</v>
      </c>
      <c r="C148" s="171" t="s">
        <v>461</v>
      </c>
      <c r="D148" s="171" t="s">
        <v>36</v>
      </c>
      <c r="E148" s="171" t="s">
        <v>467</v>
      </c>
      <c r="F148" s="171">
        <v>2</v>
      </c>
      <c r="G148" s="171" t="s">
        <v>118</v>
      </c>
      <c r="H148" s="171">
        <v>3.32</v>
      </c>
      <c r="I148" s="171"/>
      <c r="J148" s="191">
        <v>1.352490056071523</v>
      </c>
      <c r="K148" s="191">
        <v>38.594674624086799</v>
      </c>
      <c r="L148" s="192">
        <v>28.536013592728274</v>
      </c>
      <c r="M148" s="192">
        <v>30.16389981143179</v>
      </c>
      <c r="N148" s="192">
        <v>-29.08782690811752</v>
      </c>
      <c r="O148" s="193">
        <v>0.36599999999999999</v>
      </c>
      <c r="P148" s="194">
        <v>30.16389981143179</v>
      </c>
      <c r="Q148" s="195">
        <v>0.37725961175060679</v>
      </c>
      <c r="R148" s="196">
        <v>1.1259611750606802E-2</v>
      </c>
      <c r="S148" s="196">
        <v>13.524900560715231</v>
      </c>
      <c r="T148" s="197">
        <v>1.5228512927921773</v>
      </c>
      <c r="U148" s="197">
        <v>112.59611750606801</v>
      </c>
      <c r="V148" s="193">
        <v>1.077</v>
      </c>
      <c r="W148" s="194">
        <v>-29.08782690811752</v>
      </c>
      <c r="X148" s="194">
        <v>1.0792393563361231</v>
      </c>
      <c r="Y148" s="196">
        <v>2.239356336123155E-3</v>
      </c>
      <c r="Z148" s="196">
        <v>385.94674624086798</v>
      </c>
      <c r="AA148" s="196">
        <v>8.642722916006031</v>
      </c>
      <c r="AB148" s="196">
        <v>22.39356336123155</v>
      </c>
    </row>
    <row r="149" spans="1:28" x14ac:dyDescent="0.25">
      <c r="A149" s="190">
        <v>139</v>
      </c>
      <c r="B149" s="171">
        <v>4</v>
      </c>
      <c r="C149" s="171" t="s">
        <v>462</v>
      </c>
      <c r="D149" s="171" t="s">
        <v>52</v>
      </c>
      <c r="E149" s="171" t="s">
        <v>467</v>
      </c>
      <c r="F149" s="171">
        <v>2</v>
      </c>
      <c r="G149" s="171" t="s">
        <v>68</v>
      </c>
      <c r="H149" s="171">
        <v>3.61</v>
      </c>
      <c r="I149" s="171"/>
      <c r="J149" s="191">
        <v>1.617875396403194</v>
      </c>
      <c r="K149" s="191">
        <v>38.686307979214412</v>
      </c>
      <c r="L149" s="192">
        <v>23.911796956193601</v>
      </c>
      <c r="M149" s="192">
        <v>3.120143570238914</v>
      </c>
      <c r="N149" s="192">
        <v>-28.474104194309213</v>
      </c>
      <c r="O149" s="193">
        <v>0.36599999999999999</v>
      </c>
      <c r="P149" s="194">
        <v>3.120143570238914</v>
      </c>
      <c r="Q149" s="195">
        <v>0.36739221712693937</v>
      </c>
      <c r="R149" s="196">
        <v>1.3922171269393768E-3</v>
      </c>
      <c r="S149" s="196">
        <v>16.178753964031941</v>
      </c>
      <c r="T149" s="197">
        <v>0.22524338361263602</v>
      </c>
      <c r="U149" s="197">
        <v>13.922171269393768</v>
      </c>
      <c r="V149" s="193">
        <v>1.077</v>
      </c>
      <c r="W149" s="194">
        <v>-28.474104194309213</v>
      </c>
      <c r="X149" s="194">
        <v>1.0799141865351205</v>
      </c>
      <c r="Y149" s="196">
        <v>2.9141865351205443E-3</v>
      </c>
      <c r="Z149" s="196">
        <v>386.86307979214411</v>
      </c>
      <c r="AA149" s="196">
        <v>11.273911780655311</v>
      </c>
      <c r="AB149" s="196">
        <v>29.141865351205439</v>
      </c>
    </row>
    <row r="150" spans="1:28" x14ac:dyDescent="0.25">
      <c r="A150" s="190">
        <v>140</v>
      </c>
      <c r="B150" s="171">
        <v>4</v>
      </c>
      <c r="C150" s="171" t="s">
        <v>463</v>
      </c>
      <c r="D150" s="171" t="s">
        <v>32</v>
      </c>
      <c r="E150" s="171" t="s">
        <v>467</v>
      </c>
      <c r="F150" s="171">
        <v>2</v>
      </c>
      <c r="G150" s="171" t="s">
        <v>69</v>
      </c>
      <c r="H150" s="171">
        <v>3.6360000000000001</v>
      </c>
      <c r="I150" s="171"/>
      <c r="J150" s="191">
        <v>1.3556105963231937</v>
      </c>
      <c r="K150" s="191">
        <v>36.095219314520357</v>
      </c>
      <c r="L150" s="192">
        <v>26.626539665904787</v>
      </c>
      <c r="M150" s="192">
        <v>0.97262324716366577</v>
      </c>
      <c r="N150" s="192">
        <v>-29.749349880234409</v>
      </c>
      <c r="O150" s="193">
        <v>0.36599999999999999</v>
      </c>
      <c r="P150" s="194">
        <v>0.97262324716366577</v>
      </c>
      <c r="Q150" s="195">
        <v>0.36660857243464146</v>
      </c>
      <c r="R150" s="196">
        <v>6.0857243464146338E-4</v>
      </c>
      <c r="S150" s="196">
        <v>13.556105963231937</v>
      </c>
      <c r="T150" s="197">
        <v>8.2498724103017201E-2</v>
      </c>
      <c r="U150" s="197">
        <v>6.0857243464146338</v>
      </c>
      <c r="V150" s="193">
        <v>1.077</v>
      </c>
      <c r="W150" s="194">
        <v>-29.749349880234409</v>
      </c>
      <c r="X150" s="194">
        <v>1.0785119561650276</v>
      </c>
      <c r="Y150" s="196">
        <v>1.5119561650276392E-3</v>
      </c>
      <c r="Z150" s="196">
        <v>360.95219314520352</v>
      </c>
      <c r="AA150" s="196">
        <v>5.4574389370613767</v>
      </c>
      <c r="AB150" s="196">
        <v>15.119561650276392</v>
      </c>
    </row>
    <row r="151" spans="1:28" x14ac:dyDescent="0.25">
      <c r="A151" s="190">
        <v>141</v>
      </c>
      <c r="B151" s="171">
        <v>4</v>
      </c>
      <c r="C151" s="171" t="s">
        <v>464</v>
      </c>
      <c r="D151" s="171" t="s">
        <v>40</v>
      </c>
      <c r="E151" s="171" t="s">
        <v>467</v>
      </c>
      <c r="F151" s="171">
        <v>2</v>
      </c>
      <c r="G151" s="171" t="s">
        <v>70</v>
      </c>
      <c r="H151" s="171">
        <v>3.8410000000000002</v>
      </c>
      <c r="I151" s="171"/>
      <c r="J151" s="191">
        <v>1.6414029840071453</v>
      </c>
      <c r="K151" s="191">
        <v>37.000574666104491</v>
      </c>
      <c r="L151" s="192">
        <v>22.542041793889794</v>
      </c>
      <c r="M151" s="192">
        <v>-0.48261297046276086</v>
      </c>
      <c r="N151" s="192">
        <v>-28.938897616306498</v>
      </c>
      <c r="O151" s="193">
        <v>0.36599999999999999</v>
      </c>
      <c r="P151" s="194">
        <v>-0.48261297046276086</v>
      </c>
      <c r="Q151" s="195">
        <v>0.36607753988820341</v>
      </c>
      <c r="R151" s="196">
        <v>7.7539888203415064E-5</v>
      </c>
      <c r="S151" s="196">
        <v>16.414029840071453</v>
      </c>
      <c r="T151" s="197">
        <v>1.2727420387666595E-2</v>
      </c>
      <c r="U151" s="197">
        <v>0.77539888203415064</v>
      </c>
      <c r="V151" s="193">
        <v>1.077</v>
      </c>
      <c r="W151" s="194">
        <v>-28.938897616306498</v>
      </c>
      <c r="X151" s="194">
        <v>1.0794031151487145</v>
      </c>
      <c r="Y151" s="196">
        <v>2.4031151487144964E-3</v>
      </c>
      <c r="Z151" s="196">
        <v>370.0057466610449</v>
      </c>
      <c r="AA151" s="196">
        <v>8.8916641491257504</v>
      </c>
      <c r="AB151" s="196">
        <v>24.031151487144967</v>
      </c>
    </row>
    <row r="152" spans="1:28" x14ac:dyDescent="0.25">
      <c r="A152" s="190">
        <v>142</v>
      </c>
      <c r="B152" s="171">
        <v>3</v>
      </c>
      <c r="C152" s="171" t="s">
        <v>458</v>
      </c>
      <c r="D152" s="171" t="s">
        <v>28</v>
      </c>
      <c r="E152" s="171" t="s">
        <v>466</v>
      </c>
      <c r="F152" s="171">
        <v>2</v>
      </c>
      <c r="G152" s="171" t="s">
        <v>71</v>
      </c>
      <c r="H152" s="171">
        <v>3.4060000000000001</v>
      </c>
      <c r="I152" s="171"/>
      <c r="J152" s="191">
        <v>3.2830992460686867</v>
      </c>
      <c r="K152" s="191">
        <v>39.791190092062898</v>
      </c>
      <c r="L152" s="192">
        <v>12.120008293904135</v>
      </c>
      <c r="M152" s="192">
        <v>-0.51530374044574845</v>
      </c>
      <c r="N152" s="192">
        <v>-27.201921348725577</v>
      </c>
      <c r="O152" s="193">
        <v>0.36599999999999999</v>
      </c>
      <c r="P152" s="194">
        <v>-0.51530374044574845</v>
      </c>
      <c r="Q152" s="195">
        <v>0.36606561058269066</v>
      </c>
      <c r="R152" s="196">
        <v>6.5610582690667218E-5</v>
      </c>
      <c r="S152" s="196">
        <v>32.830992460686865</v>
      </c>
      <c r="T152" s="197">
        <v>2.154060545658568E-2</v>
      </c>
      <c r="U152" s="197">
        <v>0.65610582690667218</v>
      </c>
      <c r="V152" s="193">
        <v>1.077</v>
      </c>
      <c r="W152" s="194">
        <v>-27.201921348725577</v>
      </c>
      <c r="X152" s="194">
        <v>1.0813130094674281</v>
      </c>
      <c r="Y152" s="196">
        <v>4.313009467428186E-3</v>
      </c>
      <c r="Z152" s="196">
        <v>397.91190092062908</v>
      </c>
      <c r="AA152" s="196">
        <v>17.161977958730194</v>
      </c>
      <c r="AB152" s="196">
        <v>43.130094674281864</v>
      </c>
    </row>
    <row r="153" spans="1:28" x14ac:dyDescent="0.25">
      <c r="A153" s="190">
        <v>143</v>
      </c>
      <c r="B153" s="171">
        <v>3</v>
      </c>
      <c r="C153" s="171" t="s">
        <v>461</v>
      </c>
      <c r="D153" s="171" t="s">
        <v>40</v>
      </c>
      <c r="E153" s="171" t="s">
        <v>466</v>
      </c>
      <c r="F153" s="171">
        <v>2</v>
      </c>
      <c r="G153" s="171" t="s">
        <v>72</v>
      </c>
      <c r="H153" s="171">
        <v>3.4750000000000001</v>
      </c>
      <c r="I153" s="171" t="s">
        <v>469</v>
      </c>
      <c r="J153" s="191">
        <v>1.8814805920127615</v>
      </c>
      <c r="K153" s="191">
        <v>39.641124849085934</v>
      </c>
      <c r="L153" s="192">
        <v>21.069111750272604</v>
      </c>
      <c r="M153" s="192">
        <v>-1.4357131539454799</v>
      </c>
      <c r="N153" s="192">
        <v>-30.817799033932072</v>
      </c>
      <c r="O153" s="193">
        <v>0.36599999999999999</v>
      </c>
      <c r="P153" s="194">
        <v>-1.4357131539454799</v>
      </c>
      <c r="Q153" s="195">
        <v>0.36572973952720766</v>
      </c>
      <c r="R153" s="196">
        <v>-2.7026047279232746E-4</v>
      </c>
      <c r="S153" s="196">
        <v>18.814805920127618</v>
      </c>
      <c r="T153" s="197">
        <v>-5.0848983434695717E-2</v>
      </c>
      <c r="U153" s="197">
        <v>-2.7026047279232746</v>
      </c>
      <c r="V153" s="193">
        <v>1.077</v>
      </c>
      <c r="W153" s="194">
        <v>-30.817799033932072</v>
      </c>
      <c r="X153" s="194">
        <v>1.0773370838241749</v>
      </c>
      <c r="Y153" s="196">
        <v>3.370838241749663E-4</v>
      </c>
      <c r="Z153" s="196">
        <v>396.41124849085935</v>
      </c>
      <c r="AA153" s="196">
        <v>1.336238195872717</v>
      </c>
      <c r="AB153" s="196">
        <v>3.370838241749663</v>
      </c>
    </row>
    <row r="154" spans="1:28" x14ac:dyDescent="0.25">
      <c r="A154" s="190">
        <v>144</v>
      </c>
      <c r="B154" s="171">
        <v>3</v>
      </c>
      <c r="C154" s="171" t="s">
        <v>462</v>
      </c>
      <c r="D154" s="171" t="s">
        <v>48</v>
      </c>
      <c r="E154" s="171" t="s">
        <v>466</v>
      </c>
      <c r="F154" s="171">
        <v>2</v>
      </c>
      <c r="G154" s="171" t="s">
        <v>73</v>
      </c>
      <c r="H154" s="171">
        <v>3.3170000000000002</v>
      </c>
      <c r="I154" s="171"/>
      <c r="J154" s="191">
        <v>4.0792075307279445</v>
      </c>
      <c r="K154" s="191">
        <v>39.411587489116258</v>
      </c>
      <c r="L154" s="192">
        <v>9.6615794102741237</v>
      </c>
      <c r="M154" s="192">
        <v>-0.68207443364915366</v>
      </c>
      <c r="N154" s="192">
        <v>-26.037026821404123</v>
      </c>
      <c r="O154" s="193">
        <v>0.36599999999999999</v>
      </c>
      <c r="P154" s="194">
        <v>-0.68207443364915366</v>
      </c>
      <c r="Q154" s="195">
        <v>0.36600475364954982</v>
      </c>
      <c r="R154" s="196">
        <v>4.7536495498268216E-6</v>
      </c>
      <c r="S154" s="196">
        <v>40.792075307279433</v>
      </c>
      <c r="T154" s="197">
        <v>1.9391123042095068E-3</v>
      </c>
      <c r="U154" s="197">
        <v>4.7536495498268216E-2</v>
      </c>
      <c r="V154" s="193">
        <v>1.077</v>
      </c>
      <c r="W154" s="194">
        <v>-26.037026821404123</v>
      </c>
      <c r="X154" s="194">
        <v>1.0825938293143818</v>
      </c>
      <c r="Y154" s="196">
        <v>5.593829314381793E-3</v>
      </c>
      <c r="Z154" s="196">
        <v>394.11587489116255</v>
      </c>
      <c r="AA154" s="196">
        <v>22.046169342294121</v>
      </c>
      <c r="AB154" s="196">
        <v>55.938293143817937</v>
      </c>
    </row>
    <row r="155" spans="1:28" x14ac:dyDescent="0.25">
      <c r="A155" s="190">
        <v>145</v>
      </c>
      <c r="B155" s="171">
        <v>3</v>
      </c>
      <c r="C155" s="171" t="s">
        <v>464</v>
      </c>
      <c r="D155" s="171" t="s">
        <v>44</v>
      </c>
      <c r="E155" s="171" t="s">
        <v>466</v>
      </c>
      <c r="F155" s="171">
        <v>2</v>
      </c>
      <c r="G155" s="171" t="s">
        <v>74</v>
      </c>
      <c r="H155" s="171">
        <v>3.6920000000000002</v>
      </c>
      <c r="I155" s="171"/>
      <c r="J155" s="191">
        <v>2.59444783631182</v>
      </c>
      <c r="K155" s="191">
        <v>39.365183259886578</v>
      </c>
      <c r="L155" s="192">
        <v>15.172855938335921</v>
      </c>
      <c r="M155" s="192">
        <v>-1.4350519366500354</v>
      </c>
      <c r="N155" s="192">
        <v>-30.27901222560914</v>
      </c>
      <c r="O155" s="193">
        <v>0.36599999999999999</v>
      </c>
      <c r="P155" s="194">
        <v>-1.4350519366500354</v>
      </c>
      <c r="Q155" s="195">
        <v>0.3657299808160252</v>
      </c>
      <c r="R155" s="196">
        <v>-2.7001918397479008E-4</v>
      </c>
      <c r="S155" s="196">
        <v>25.944478363118197</v>
      </c>
      <c r="T155" s="197">
        <v>-7.0055068762607725E-2</v>
      </c>
      <c r="U155" s="197">
        <v>-2.7001918397479008</v>
      </c>
      <c r="V155" s="193">
        <v>1.077</v>
      </c>
      <c r="W155" s="194">
        <v>-30.27901222560914</v>
      </c>
      <c r="X155" s="194">
        <v>1.077929540136622</v>
      </c>
      <c r="Y155" s="196">
        <v>9.2954013662205348E-4</v>
      </c>
      <c r="Z155" s="196">
        <v>393.65183259886578</v>
      </c>
      <c r="AA155" s="196">
        <v>3.659151782554714</v>
      </c>
      <c r="AB155" s="196">
        <v>9.2954013662205348</v>
      </c>
    </row>
    <row r="156" spans="1:28" x14ac:dyDescent="0.25">
      <c r="A156" s="190">
        <v>148</v>
      </c>
      <c r="B156" s="171">
        <v>4</v>
      </c>
      <c r="C156" s="171" t="s">
        <v>460</v>
      </c>
      <c r="D156" s="171" t="s">
        <v>48</v>
      </c>
      <c r="E156" s="171" t="s">
        <v>466</v>
      </c>
      <c r="F156" s="171">
        <v>2</v>
      </c>
      <c r="G156" s="171" t="s">
        <v>75</v>
      </c>
      <c r="H156" s="171">
        <v>3.1949999999999998</v>
      </c>
      <c r="I156" s="171"/>
      <c r="J156" s="191">
        <v>2.2333829725194825</v>
      </c>
      <c r="K156" s="191">
        <v>37.649725237694838</v>
      </c>
      <c r="L156" s="192">
        <v>16.857711239385928</v>
      </c>
      <c r="M156" s="192">
        <v>-1.0372753952680105</v>
      </c>
      <c r="N156" s="192">
        <v>-25.663675680737462</v>
      </c>
      <c r="O156" s="193">
        <v>0.36599999999999999</v>
      </c>
      <c r="P156" s="194">
        <v>-1.0372753952680105</v>
      </c>
      <c r="Q156" s="195">
        <v>0.36587513565682739</v>
      </c>
      <c r="R156" s="196">
        <v>-1.2486434317260375E-4</v>
      </c>
      <c r="S156" s="196">
        <v>22.333829725194825</v>
      </c>
      <c r="T156" s="197">
        <v>-2.7886989791652252E-2</v>
      </c>
      <c r="U156" s="197">
        <v>-1.2486434317260375</v>
      </c>
      <c r="V156" s="193">
        <v>1.077</v>
      </c>
      <c r="W156" s="194">
        <v>-25.663675680737462</v>
      </c>
      <c r="X156" s="194">
        <v>1.0830043277444235</v>
      </c>
      <c r="Y156" s="196">
        <v>6.0043277444234988E-3</v>
      </c>
      <c r="Z156" s="196">
        <v>376.49725237694838</v>
      </c>
      <c r="AA156" s="196">
        <v>22.606128981461271</v>
      </c>
      <c r="AB156" s="196">
        <v>60.043277444234995</v>
      </c>
    </row>
    <row r="157" spans="1:28" x14ac:dyDescent="0.25">
      <c r="A157" s="190">
        <v>149</v>
      </c>
      <c r="B157" s="171">
        <v>4</v>
      </c>
      <c r="C157" s="171" t="s">
        <v>462</v>
      </c>
      <c r="D157" s="171" t="s">
        <v>52</v>
      </c>
      <c r="E157" s="171" t="s">
        <v>466</v>
      </c>
      <c r="F157" s="171">
        <v>2</v>
      </c>
      <c r="G157" s="171" t="s">
        <v>76</v>
      </c>
      <c r="H157" s="171">
        <v>3.9369999999999998</v>
      </c>
      <c r="I157" s="171"/>
      <c r="J157" s="191">
        <v>3.2691573980412314</v>
      </c>
      <c r="K157" s="191">
        <v>36.792050799328159</v>
      </c>
      <c r="L157" s="192">
        <v>11.254291647558087</v>
      </c>
      <c r="M157" s="192">
        <v>0.10369815182388709</v>
      </c>
      <c r="N157" s="192">
        <v>-25.957023690890747</v>
      </c>
      <c r="O157" s="193">
        <v>0.36599999999999999</v>
      </c>
      <c r="P157" s="194">
        <v>0.10369815182388709</v>
      </c>
      <c r="Q157" s="195">
        <v>0.36629149228669666</v>
      </c>
      <c r="R157" s="196">
        <v>2.9149228669667071E-4</v>
      </c>
      <c r="S157" s="196">
        <v>32.691573980412315</v>
      </c>
      <c r="T157" s="197">
        <v>9.5293416552637678E-2</v>
      </c>
      <c r="U157" s="197">
        <v>2.9149228669667071</v>
      </c>
      <c r="V157" s="193">
        <v>1.077</v>
      </c>
      <c r="W157" s="194">
        <v>-25.957023690890747</v>
      </c>
      <c r="X157" s="194">
        <v>1.0826817927969614</v>
      </c>
      <c r="Y157" s="196">
        <v>5.6817927969614601E-3</v>
      </c>
      <c r="Z157" s="196">
        <v>367.9205079932816</v>
      </c>
      <c r="AA157" s="196">
        <v>20.904480921706288</v>
      </c>
      <c r="AB157" s="196">
        <v>56.817927969614601</v>
      </c>
    </row>
    <row r="158" spans="1:28" x14ac:dyDescent="0.25">
      <c r="A158" s="171"/>
      <c r="B158" s="171"/>
      <c r="C158" s="171"/>
      <c r="D158" s="171"/>
      <c r="E158" s="171"/>
      <c r="F158" s="171"/>
      <c r="G158" s="171"/>
      <c r="H158" s="171"/>
      <c r="I158" s="198" t="s">
        <v>152</v>
      </c>
      <c r="J158" s="191">
        <v>2.8634070521929282</v>
      </c>
      <c r="K158" s="191">
        <v>46.439223854643721</v>
      </c>
      <c r="L158" s="192">
        <v>16.218170524892169</v>
      </c>
      <c r="M158" s="192">
        <v>1.8407799093286945</v>
      </c>
      <c r="N158" s="192">
        <v>-26.306648177848054</v>
      </c>
      <c r="O158" s="193">
        <v>0.36599999999999999</v>
      </c>
      <c r="P158" s="194">
        <v>1.8407799093286945</v>
      </c>
      <c r="Q158" s="195">
        <v>0.36692537015751903</v>
      </c>
      <c r="R158" s="196">
        <v>9.2537015751903429E-4</v>
      </c>
      <c r="S158" s="196">
        <v>28.634070521929281</v>
      </c>
      <c r="T158" s="197">
        <v>0.26497114349288831</v>
      </c>
      <c r="U158" s="197">
        <v>9.2537015751903429</v>
      </c>
      <c r="V158" s="193">
        <v>1.077</v>
      </c>
      <c r="W158" s="194">
        <v>-26.306648177848054</v>
      </c>
      <c r="X158" s="194">
        <v>1.082297379344149</v>
      </c>
      <c r="Y158" s="196">
        <v>5.2973793441490891E-3</v>
      </c>
      <c r="Z158" s="196">
        <v>464.39223854643717</v>
      </c>
      <c r="AA158" s="196">
        <v>24.600618520590526</v>
      </c>
      <c r="AB158" s="196">
        <v>52.973793441490891</v>
      </c>
    </row>
    <row r="159" spans="1:28" x14ac:dyDescent="0.25">
      <c r="A159" s="190">
        <v>150</v>
      </c>
      <c r="B159" s="171">
        <v>4</v>
      </c>
      <c r="C159" s="171" t="s">
        <v>464</v>
      </c>
      <c r="D159" s="171" t="s">
        <v>40</v>
      </c>
      <c r="E159" s="171" t="s">
        <v>466</v>
      </c>
      <c r="F159" s="171">
        <v>2</v>
      </c>
      <c r="G159" s="171" t="s">
        <v>77</v>
      </c>
      <c r="H159" s="171">
        <v>3.6659999999999999</v>
      </c>
      <c r="I159" s="171"/>
      <c r="J159" s="191">
        <v>3.2183501102338714</v>
      </c>
      <c r="K159" s="191">
        <v>39.150101935332984</v>
      </c>
      <c r="L159" s="192">
        <v>12.164649772205179</v>
      </c>
      <c r="M159" s="192">
        <v>-0.67166463128908904</v>
      </c>
      <c r="N159" s="192">
        <v>-27.256200957090741</v>
      </c>
      <c r="O159" s="193">
        <v>0.36599999999999999</v>
      </c>
      <c r="P159" s="194">
        <v>-0.67166463128908904</v>
      </c>
      <c r="Q159" s="195">
        <v>0.36600855233262103</v>
      </c>
      <c r="R159" s="196">
        <v>8.5523326210368289E-6</v>
      </c>
      <c r="S159" s="196">
        <v>32.183501102338717</v>
      </c>
      <c r="T159" s="197">
        <v>2.7524400633670617E-3</v>
      </c>
      <c r="U159" s="197">
        <v>8.5523326210368289E-2</v>
      </c>
      <c r="V159" s="193">
        <v>1.077</v>
      </c>
      <c r="W159" s="194">
        <v>-27.256200957090741</v>
      </c>
      <c r="X159" s="194">
        <v>1.0812533273758764</v>
      </c>
      <c r="Y159" s="196">
        <v>4.25332737587647E-3</v>
      </c>
      <c r="Z159" s="196">
        <v>391.50101935332981</v>
      </c>
      <c r="AA159" s="196">
        <v>16.651820032990614</v>
      </c>
      <c r="AB159" s="196">
        <v>42.5332737587647</v>
      </c>
    </row>
    <row r="160" spans="1:28" x14ac:dyDescent="0.25">
      <c r="A160" s="190">
        <v>151</v>
      </c>
      <c r="B160" s="171">
        <v>4</v>
      </c>
      <c r="C160" s="171" t="s">
        <v>456</v>
      </c>
      <c r="D160" s="171" t="s">
        <v>28</v>
      </c>
      <c r="E160" s="171" t="s">
        <v>468</v>
      </c>
      <c r="F160" s="171">
        <v>2</v>
      </c>
      <c r="G160" s="171" t="s">
        <v>78</v>
      </c>
      <c r="H160" s="171">
        <v>3.484</v>
      </c>
      <c r="I160" s="171"/>
      <c r="J160" s="191">
        <v>1.5777611990154496</v>
      </c>
      <c r="K160" s="191">
        <v>43.210337320438526</v>
      </c>
      <c r="L160" s="192">
        <v>27.387121287684423</v>
      </c>
      <c r="M160" s="192">
        <v>-1.5297265698981339</v>
      </c>
      <c r="N160" s="192">
        <v>-30.052726718472648</v>
      </c>
      <c r="O160" s="193">
        <v>0.36599999999999999</v>
      </c>
      <c r="P160" s="194">
        <v>-1.5297265698981339</v>
      </c>
      <c r="Q160" s="195">
        <v>0.3656954325089386</v>
      </c>
      <c r="R160" s="196">
        <v>-3.0456749106139158E-4</v>
      </c>
      <c r="S160" s="196">
        <v>15.777611990154497</v>
      </c>
      <c r="T160" s="197">
        <v>-4.8053476987814842E-2</v>
      </c>
      <c r="U160" s="197">
        <v>-3.0456749106139163</v>
      </c>
      <c r="V160" s="193">
        <v>1.077</v>
      </c>
      <c r="W160" s="194">
        <v>-30.052726718472648</v>
      </c>
      <c r="X160" s="194">
        <v>1.0781783642260534</v>
      </c>
      <c r="Y160" s="196">
        <v>1.178364226053441E-3</v>
      </c>
      <c r="Z160" s="196">
        <v>432.10337320438526</v>
      </c>
      <c r="AA160" s="196">
        <v>5.0917515694106665</v>
      </c>
      <c r="AB160" s="196">
        <v>11.78364226053441</v>
      </c>
    </row>
    <row r="161" spans="1:28" x14ac:dyDescent="0.25">
      <c r="A161" s="190">
        <v>152</v>
      </c>
      <c r="B161" s="171">
        <v>4</v>
      </c>
      <c r="C161" s="171" t="s">
        <v>458</v>
      </c>
      <c r="D161" s="171" t="s">
        <v>44</v>
      </c>
      <c r="E161" s="171" t="s">
        <v>468</v>
      </c>
      <c r="F161" s="171">
        <v>2</v>
      </c>
      <c r="G161" s="171" t="s">
        <v>79</v>
      </c>
      <c r="H161" s="171">
        <v>3.8359999999999999</v>
      </c>
      <c r="I161" s="171"/>
      <c r="J161" s="191">
        <v>1.9290337648154579</v>
      </c>
      <c r="K161" s="191">
        <v>42.821038677966961</v>
      </c>
      <c r="L161" s="192">
        <v>22.198179969163707</v>
      </c>
      <c r="M161" s="192">
        <v>-6.2205614061331982</v>
      </c>
      <c r="N161" s="192">
        <v>-30.317302138849307</v>
      </c>
      <c r="O161" s="193">
        <v>0.36599999999999999</v>
      </c>
      <c r="P161" s="194">
        <v>-6.2205614061331982</v>
      </c>
      <c r="Q161" s="195">
        <v>0.36398364089836033</v>
      </c>
      <c r="R161" s="196">
        <v>-2.0163591016396643E-3</v>
      </c>
      <c r="S161" s="196">
        <v>19.29033764815458</v>
      </c>
      <c r="T161" s="197">
        <v>-0.38896247890558761</v>
      </c>
      <c r="U161" s="197">
        <v>-20.163591016396644</v>
      </c>
      <c r="V161" s="193">
        <v>1.077</v>
      </c>
      <c r="W161" s="194">
        <v>-30.317302138849307</v>
      </c>
      <c r="X161" s="194">
        <v>1.0778874363318443</v>
      </c>
      <c r="Y161" s="196">
        <v>8.8743633184429349E-4</v>
      </c>
      <c r="Z161" s="196">
        <v>428.21038677966959</v>
      </c>
      <c r="AA161" s="196">
        <v>3.8000945490137612</v>
      </c>
      <c r="AB161" s="196">
        <v>8.8743633184429349</v>
      </c>
    </row>
    <row r="162" spans="1:28" x14ac:dyDescent="0.25">
      <c r="A162" s="190">
        <v>153</v>
      </c>
      <c r="B162" s="171">
        <v>4</v>
      </c>
      <c r="C162" s="171" t="s">
        <v>459</v>
      </c>
      <c r="D162" s="171" t="s">
        <v>24</v>
      </c>
      <c r="E162" s="171" t="s">
        <v>468</v>
      </c>
      <c r="F162" s="171">
        <v>2</v>
      </c>
      <c r="G162" s="171" t="s">
        <v>80</v>
      </c>
      <c r="H162" s="171">
        <v>3.4860000000000002</v>
      </c>
      <c r="I162" s="171"/>
      <c r="J162" s="191">
        <v>2.5127323165720852</v>
      </c>
      <c r="K162" s="191">
        <v>43.710040466714887</v>
      </c>
      <c r="L162" s="192">
        <v>17.395422575829691</v>
      </c>
      <c r="M162" s="192">
        <v>-1.304231433625171</v>
      </c>
      <c r="N162" s="192">
        <v>-29.439872240263679</v>
      </c>
      <c r="O162" s="193">
        <v>0.36599999999999999</v>
      </c>
      <c r="P162" s="194">
        <v>-1.304231433625171</v>
      </c>
      <c r="Q162" s="195">
        <v>0.36577771929700953</v>
      </c>
      <c r="R162" s="196">
        <v>-2.2228070299046276E-4</v>
      </c>
      <c r="S162" s="196">
        <v>25.127323165720849</v>
      </c>
      <c r="T162" s="197">
        <v>-5.5853190575449706E-2</v>
      </c>
      <c r="U162" s="197">
        <v>-2.2228070299046276</v>
      </c>
      <c r="V162" s="193">
        <v>1.077</v>
      </c>
      <c r="W162" s="194">
        <v>-29.439872240263679</v>
      </c>
      <c r="X162" s="194">
        <v>1.0788522542025596</v>
      </c>
      <c r="Y162" s="196">
        <v>1.8522542025596334E-3</v>
      </c>
      <c r="Z162" s="196">
        <v>437.10040466714895</v>
      </c>
      <c r="AA162" s="196">
        <v>8.0962106148524295</v>
      </c>
      <c r="AB162" s="196">
        <v>18.522542025596334</v>
      </c>
    </row>
    <row r="163" spans="1:28" x14ac:dyDescent="0.25">
      <c r="A163" s="190">
        <v>154</v>
      </c>
      <c r="B163" s="171">
        <v>4</v>
      </c>
      <c r="C163" s="171" t="s">
        <v>460</v>
      </c>
      <c r="D163" s="171" t="s">
        <v>48</v>
      </c>
      <c r="E163" s="171" t="s">
        <v>468</v>
      </c>
      <c r="F163" s="171">
        <v>2</v>
      </c>
      <c r="G163" s="171" t="s">
        <v>81</v>
      </c>
      <c r="H163" s="171">
        <v>4.1040000000000001</v>
      </c>
      <c r="I163" s="171"/>
      <c r="J163" s="191">
        <v>1.8784613371517458</v>
      </c>
      <c r="K163" s="191">
        <v>42.950163160516389</v>
      </c>
      <c r="L163" s="192">
        <v>22.864544673376365</v>
      </c>
      <c r="M163" s="192">
        <v>1.2884206891036347</v>
      </c>
      <c r="N163" s="192">
        <v>-29.635091858523623</v>
      </c>
      <c r="O163" s="193">
        <v>0.36599999999999999</v>
      </c>
      <c r="P163" s="194">
        <v>1.2884206891036347</v>
      </c>
      <c r="Q163" s="195">
        <v>0.36672380983043495</v>
      </c>
      <c r="R163" s="196">
        <v>7.2380983043496272E-4</v>
      </c>
      <c r="S163" s="196">
        <v>18.784613371517459</v>
      </c>
      <c r="T163" s="197">
        <v>0.13596487819224387</v>
      </c>
      <c r="U163" s="197">
        <v>7.2380983043496272</v>
      </c>
      <c r="V163" s="193">
        <v>1.077</v>
      </c>
      <c r="W163" s="194">
        <v>-29.635091858523623</v>
      </c>
      <c r="X163" s="194">
        <v>1.0786375932383181</v>
      </c>
      <c r="Y163" s="196">
        <v>1.6375932383181357E-3</v>
      </c>
      <c r="Z163" s="196">
        <v>429.50163160516394</v>
      </c>
      <c r="AA163" s="196">
        <v>7.0334896776322342</v>
      </c>
      <c r="AB163" s="196">
        <v>16.375932383181357</v>
      </c>
    </row>
    <row r="164" spans="1:28" x14ac:dyDescent="0.25">
      <c r="A164" s="190">
        <v>155</v>
      </c>
      <c r="B164" s="171">
        <v>4</v>
      </c>
      <c r="C164" s="171" t="s">
        <v>461</v>
      </c>
      <c r="D164" s="171" t="s">
        <v>36</v>
      </c>
      <c r="E164" s="171" t="s">
        <v>468</v>
      </c>
      <c r="F164" s="171">
        <v>2</v>
      </c>
      <c r="G164" s="171" t="s">
        <v>82</v>
      </c>
      <c r="H164" s="171">
        <v>3.8889999999999998</v>
      </c>
      <c r="I164" s="171"/>
      <c r="J164" s="191">
        <v>1.7006220571565025</v>
      </c>
      <c r="K164" s="191">
        <v>43.133798482727251</v>
      </c>
      <c r="L164" s="192">
        <v>25.363541711818332</v>
      </c>
      <c r="M164" s="192">
        <v>-3.4072906319817844</v>
      </c>
      <c r="N164" s="192">
        <v>-29.0538331826485</v>
      </c>
      <c r="O164" s="193">
        <v>0.36599999999999999</v>
      </c>
      <c r="P164" s="194">
        <v>-3.4072906319817844</v>
      </c>
      <c r="Q164" s="195">
        <v>0.36501027402319097</v>
      </c>
      <c r="R164" s="196">
        <v>-9.8972597680901941E-4</v>
      </c>
      <c r="S164" s="196">
        <v>17.006220571565024</v>
      </c>
      <c r="T164" s="197">
        <v>-0.16831498267021833</v>
      </c>
      <c r="U164" s="197">
        <v>-9.8972597680901941</v>
      </c>
      <c r="V164" s="193">
        <v>1.077</v>
      </c>
      <c r="W164" s="194">
        <v>-29.0538331826485</v>
      </c>
      <c r="X164" s="194">
        <v>1.0792767350086643</v>
      </c>
      <c r="Y164" s="196">
        <v>2.2767350086643212E-3</v>
      </c>
      <c r="Z164" s="196">
        <v>431.33798482727246</v>
      </c>
      <c r="AA164" s="196">
        <v>9.8204229062297106</v>
      </c>
      <c r="AB164" s="196">
        <v>22.767350086643216</v>
      </c>
    </row>
    <row r="165" spans="1:28" x14ac:dyDescent="0.25">
      <c r="A165" s="171"/>
      <c r="B165" s="171"/>
      <c r="C165" s="171"/>
      <c r="D165" s="171"/>
      <c r="E165" s="171"/>
      <c r="F165" s="171"/>
      <c r="G165" s="171"/>
      <c r="H165" s="171"/>
      <c r="I165" s="171" t="s">
        <v>152</v>
      </c>
      <c r="J165" s="191">
        <v>2.7872588580747228</v>
      </c>
      <c r="K165" s="191">
        <v>45.090817066703664</v>
      </c>
      <c r="L165" s="192">
        <v>16.177477357754203</v>
      </c>
      <c r="M165" s="192">
        <v>-2.1163226395707326</v>
      </c>
      <c r="N165" s="192">
        <v>-32.23252071663812</v>
      </c>
      <c r="O165" s="193">
        <v>0.36599999999999999</v>
      </c>
      <c r="P165" s="194">
        <v>-2.1163226395707326</v>
      </c>
      <c r="Q165" s="195">
        <v>0.36548137356809068</v>
      </c>
      <c r="R165" s="196">
        <v>-5.1862643190930813E-4</v>
      </c>
      <c r="S165" s="196">
        <v>27.87258858074723</v>
      </c>
      <c r="T165" s="197">
        <v>-0.1445546116370906</v>
      </c>
      <c r="U165" s="197">
        <v>-5.1862643190930813</v>
      </c>
      <c r="V165" s="193">
        <v>1.077</v>
      </c>
      <c r="W165" s="194">
        <v>-32.23252071663812</v>
      </c>
      <c r="X165" s="194">
        <v>1.0757814054383201</v>
      </c>
      <c r="Y165" s="196">
        <v>-1.218594561679831E-3</v>
      </c>
      <c r="Z165" s="196">
        <v>450.90817066703664</v>
      </c>
      <c r="AA165" s="196">
        <v>-5.4947424459185195</v>
      </c>
      <c r="AB165" s="196">
        <v>-12.18594561679831</v>
      </c>
    </row>
    <row r="166" spans="1:28" x14ac:dyDescent="0.25">
      <c r="A166" s="190">
        <v>156</v>
      </c>
      <c r="B166" s="171">
        <v>4</v>
      </c>
      <c r="C166" s="171" t="s">
        <v>462</v>
      </c>
      <c r="D166" s="171" t="s">
        <v>52</v>
      </c>
      <c r="E166" s="171" t="s">
        <v>468</v>
      </c>
      <c r="F166" s="171">
        <v>2</v>
      </c>
      <c r="G166" s="171" t="s">
        <v>120</v>
      </c>
      <c r="H166" s="171">
        <v>3.9969999999999999</v>
      </c>
      <c r="I166" s="171"/>
      <c r="J166" s="191">
        <v>1.5821396048987482</v>
      </c>
      <c r="K166" s="191">
        <v>43.522053321507791</v>
      </c>
      <c r="L166" s="192">
        <v>27.508352099113946</v>
      </c>
      <c r="M166" s="192">
        <v>10.417707045186534</v>
      </c>
      <c r="N166" s="192">
        <v>-35.15098268554334</v>
      </c>
      <c r="O166" s="193">
        <v>0.36599999999999999</v>
      </c>
      <c r="P166" s="194">
        <v>10.417707045186534</v>
      </c>
      <c r="Q166" s="195">
        <v>0.37005505528650184</v>
      </c>
      <c r="R166" s="196">
        <v>4.0550552865018519E-3</v>
      </c>
      <c r="S166" s="196">
        <v>15.821396048987483</v>
      </c>
      <c r="T166" s="197">
        <v>0.64156635688286201</v>
      </c>
      <c r="U166" s="197">
        <v>40.550552865018517</v>
      </c>
      <c r="V166" s="193">
        <v>1.077</v>
      </c>
      <c r="W166" s="194">
        <v>-35.15098268554334</v>
      </c>
      <c r="X166" s="194">
        <v>1.0725720060489563</v>
      </c>
      <c r="Y166" s="196">
        <v>-4.4279939510436517E-3</v>
      </c>
      <c r="Z166" s="196">
        <v>435.22053321507792</v>
      </c>
      <c r="AA166" s="196">
        <v>-19.271538884463578</v>
      </c>
      <c r="AB166" s="196">
        <v>-44.27993951043652</v>
      </c>
    </row>
    <row r="167" spans="1:28" x14ac:dyDescent="0.25">
      <c r="A167" s="190">
        <v>157</v>
      </c>
      <c r="B167" s="171">
        <v>4</v>
      </c>
      <c r="C167" s="171" t="s">
        <v>464</v>
      </c>
      <c r="D167" s="171" t="s">
        <v>40</v>
      </c>
      <c r="E167" s="171" t="s">
        <v>468</v>
      </c>
      <c r="F167" s="171">
        <v>2</v>
      </c>
      <c r="G167" s="171" t="s">
        <v>121</v>
      </c>
      <c r="H167" s="171">
        <v>3.7290000000000001</v>
      </c>
      <c r="I167" s="171"/>
      <c r="J167" s="191">
        <v>2.0611262363891854</v>
      </c>
      <c r="K167" s="191">
        <v>43.363272565716684</v>
      </c>
      <c r="L167" s="192">
        <v>21.038630143141194</v>
      </c>
      <c r="M167" s="192">
        <v>-5.3945618375324731</v>
      </c>
      <c r="N167" s="192">
        <v>-34.116570883882702</v>
      </c>
      <c r="O167" s="193">
        <v>0.36599999999999999</v>
      </c>
      <c r="P167" s="194">
        <v>-5.3945618375324731</v>
      </c>
      <c r="Q167" s="195">
        <v>0.36428507106933872</v>
      </c>
      <c r="R167" s="196">
        <v>-1.7149289306612747E-3</v>
      </c>
      <c r="S167" s="196">
        <v>20.611262363891854</v>
      </c>
      <c r="T167" s="197">
        <v>-0.35346850125288032</v>
      </c>
      <c r="U167" s="197">
        <v>-17.149289306612747</v>
      </c>
      <c r="V167" s="193">
        <v>1.077</v>
      </c>
      <c r="W167" s="194">
        <v>-34.116570883882702</v>
      </c>
      <c r="X167" s="194">
        <v>1.0737095607506806</v>
      </c>
      <c r="Y167" s="196">
        <v>-3.2904392493193768E-3</v>
      </c>
      <c r="Z167" s="196">
        <v>433.63272565716682</v>
      </c>
      <c r="AA167" s="196">
        <v>-14.268421402916834</v>
      </c>
      <c r="AB167" s="196">
        <v>-32.904392493193768</v>
      </c>
    </row>
    <row r="168" spans="1:28" x14ac:dyDescent="0.25">
      <c r="A168" s="190">
        <v>158</v>
      </c>
      <c r="B168" s="171">
        <v>4</v>
      </c>
      <c r="C168" s="171" t="s">
        <v>458</v>
      </c>
      <c r="D168" s="171" t="s">
        <v>44</v>
      </c>
      <c r="E168" s="171" t="s">
        <v>470</v>
      </c>
      <c r="F168" s="171">
        <v>2</v>
      </c>
      <c r="G168" s="171" t="s">
        <v>122</v>
      </c>
      <c r="H168" s="171">
        <v>3.7090000000000001</v>
      </c>
      <c r="I168" s="171"/>
      <c r="J168" s="191">
        <v>0.9987802719518365</v>
      </c>
      <c r="K168" s="191">
        <v>42.954239233285804</v>
      </c>
      <c r="L168" s="192">
        <v>43.006695706297613</v>
      </c>
      <c r="M168" s="192">
        <v>1.4685132046331688</v>
      </c>
      <c r="N168" s="192">
        <v>-36.838177376494031</v>
      </c>
      <c r="O168" s="193">
        <v>0.36599999999999999</v>
      </c>
      <c r="P168" s="194">
        <v>1.4685132046331688</v>
      </c>
      <c r="Q168" s="195">
        <v>0.36678952712906659</v>
      </c>
      <c r="R168" s="196">
        <v>7.8952712906660283E-4</v>
      </c>
      <c r="S168" s="196">
        <v>9.9878027195183652</v>
      </c>
      <c r="T168" s="197">
        <v>7.8856412068249435E-2</v>
      </c>
      <c r="U168" s="197">
        <v>7.8952712906660283</v>
      </c>
      <c r="V168" s="193">
        <v>1.077</v>
      </c>
      <c r="W168" s="194">
        <v>-36.838177376494031</v>
      </c>
      <c r="X168" s="194">
        <v>1.0707165222672606</v>
      </c>
      <c r="Y168" s="196">
        <v>-6.2834777327394065E-3</v>
      </c>
      <c r="Z168" s="196">
        <v>429.54239233285807</v>
      </c>
      <c r="AA168" s="196">
        <v>-26.990200574911277</v>
      </c>
      <c r="AB168" s="196">
        <v>-62.834777327394065</v>
      </c>
    </row>
    <row r="169" spans="1:28" x14ac:dyDescent="0.25">
      <c r="A169" s="190">
        <v>159</v>
      </c>
      <c r="B169" s="171">
        <v>4</v>
      </c>
      <c r="C169" s="171" t="s">
        <v>459</v>
      </c>
      <c r="D169" s="171" t="s">
        <v>24</v>
      </c>
      <c r="E169" s="171" t="s">
        <v>470</v>
      </c>
      <c r="F169" s="171">
        <v>2</v>
      </c>
      <c r="G169" s="171" t="s">
        <v>83</v>
      </c>
      <c r="H169" s="171">
        <v>3.82</v>
      </c>
      <c r="I169" s="171"/>
      <c r="J169" s="191">
        <v>2.311655103773365</v>
      </c>
      <c r="K169" s="191">
        <v>41.66029260538587</v>
      </c>
      <c r="L169" s="192">
        <v>18.021846138458486</v>
      </c>
      <c r="M169" s="192">
        <v>0.2254597409147362</v>
      </c>
      <c r="N169" s="192">
        <v>-38.195051970119465</v>
      </c>
      <c r="O169" s="193">
        <v>0.36599999999999999</v>
      </c>
      <c r="P169" s="194">
        <v>0.2254597409147362</v>
      </c>
      <c r="Q169" s="195">
        <v>0.36633592452664665</v>
      </c>
      <c r="R169" s="196">
        <v>3.3592452664665817E-4</v>
      </c>
      <c r="S169" s="196">
        <v>23.11655103773365</v>
      </c>
      <c r="T169" s="197">
        <v>7.7654164650539925E-2</v>
      </c>
      <c r="U169" s="197">
        <v>3.3592452664665817</v>
      </c>
      <c r="V169" s="193">
        <v>1.077</v>
      </c>
      <c r="W169" s="194">
        <v>-38.195051970119465</v>
      </c>
      <c r="X169" s="194">
        <v>1.0692242558355818</v>
      </c>
      <c r="Y169" s="196">
        <v>-7.7757441644181746E-3</v>
      </c>
      <c r="Z169" s="196">
        <v>416.60292605385865</v>
      </c>
      <c r="AA169" s="196">
        <v>-32.393977711428285</v>
      </c>
      <c r="AB169" s="196">
        <v>-77.757441644181739</v>
      </c>
    </row>
    <row r="170" spans="1:28" x14ac:dyDescent="0.25">
      <c r="A170" s="190">
        <v>160</v>
      </c>
      <c r="B170" s="171">
        <v>4</v>
      </c>
      <c r="C170" s="171" t="s">
        <v>460</v>
      </c>
      <c r="D170" s="171" t="s">
        <v>48</v>
      </c>
      <c r="E170" s="171" t="s">
        <v>470</v>
      </c>
      <c r="F170" s="171">
        <v>2</v>
      </c>
      <c r="G170" s="171" t="s">
        <v>84</v>
      </c>
      <c r="H170" s="171">
        <v>3.4630000000000001</v>
      </c>
      <c r="I170" s="171"/>
      <c r="J170" s="191">
        <v>1.4782065979917143</v>
      </c>
      <c r="K170" s="191">
        <v>43.846261750487855</v>
      </c>
      <c r="L170" s="192">
        <v>29.661795455423629</v>
      </c>
      <c r="M170" s="192">
        <v>-3.6616973797240346</v>
      </c>
      <c r="N170" s="192">
        <v>-37.446672260367819</v>
      </c>
      <c r="O170" s="193">
        <v>0.36599999999999999</v>
      </c>
      <c r="P170" s="194">
        <v>-3.6616973797240346</v>
      </c>
      <c r="Q170" s="195">
        <v>0.36491743548486194</v>
      </c>
      <c r="R170" s="196">
        <v>-1.0825645151380514E-3</v>
      </c>
      <c r="S170" s="196">
        <v>14.782065979917142</v>
      </c>
      <c r="T170" s="197">
        <v>-0.16002540090287684</v>
      </c>
      <c r="U170" s="197">
        <v>-10.825645151380513</v>
      </c>
      <c r="V170" s="193">
        <v>1.077</v>
      </c>
      <c r="W170" s="194">
        <v>-37.446672260367819</v>
      </c>
      <c r="X170" s="194">
        <v>1.0700473160348958</v>
      </c>
      <c r="Y170" s="196">
        <v>-6.9526839651041783E-3</v>
      </c>
      <c r="Z170" s="196">
        <v>438.46261750487855</v>
      </c>
      <c r="AA170" s="196">
        <v>-30.484920100237758</v>
      </c>
      <c r="AB170" s="196">
        <v>-69.526839651041783</v>
      </c>
    </row>
    <row r="171" spans="1:28" x14ac:dyDescent="0.25">
      <c r="A171" s="190">
        <v>161</v>
      </c>
      <c r="B171" s="171">
        <v>4</v>
      </c>
      <c r="C171" s="171" t="s">
        <v>461</v>
      </c>
      <c r="D171" s="171" t="s">
        <v>36</v>
      </c>
      <c r="E171" s="171" t="s">
        <v>470</v>
      </c>
      <c r="F171" s="171">
        <v>2</v>
      </c>
      <c r="G171" s="171" t="s">
        <v>85</v>
      </c>
      <c r="H171" s="171">
        <v>3.109</v>
      </c>
      <c r="I171" s="171"/>
      <c r="J171" s="191">
        <v>1.0949765353027083</v>
      </c>
      <c r="K171" s="191">
        <v>43.56073805811964</v>
      </c>
      <c r="L171" s="192">
        <v>39.782348437336317</v>
      </c>
      <c r="M171" s="192">
        <v>13.614830829715572</v>
      </c>
      <c r="N171" s="192">
        <v>-38.165912172415403</v>
      </c>
      <c r="O171" s="193">
        <v>0.36599999999999999</v>
      </c>
      <c r="P171" s="194">
        <v>13.614830829715572</v>
      </c>
      <c r="Q171" s="195">
        <v>0.3712216221862471</v>
      </c>
      <c r="R171" s="196">
        <v>5.2216221862471102E-3</v>
      </c>
      <c r="S171" s="196">
        <v>10.949765353027084</v>
      </c>
      <c r="T171" s="197">
        <v>0.57175537701566137</v>
      </c>
      <c r="U171" s="197">
        <v>52.216221862471102</v>
      </c>
      <c r="V171" s="193">
        <v>1.077</v>
      </c>
      <c r="W171" s="194">
        <v>-38.165912172415403</v>
      </c>
      <c r="X171" s="194">
        <v>1.0692563037374165</v>
      </c>
      <c r="Y171" s="196">
        <v>-7.7436962625834216E-3</v>
      </c>
      <c r="Z171" s="196">
        <v>435.60738058119642</v>
      </c>
      <c r="AA171" s="196">
        <v>-33.732112449603648</v>
      </c>
      <c r="AB171" s="196">
        <v>-77.436962625834212</v>
      </c>
    </row>
    <row r="172" spans="1:28" x14ac:dyDescent="0.25">
      <c r="A172" s="171"/>
      <c r="B172" s="171"/>
      <c r="C172" s="171"/>
      <c r="D172" s="171"/>
      <c r="E172" s="171"/>
      <c r="F172" s="171"/>
      <c r="G172" s="171"/>
      <c r="H172" s="171"/>
      <c r="I172" s="198" t="s">
        <v>152</v>
      </c>
      <c r="J172" s="191">
        <v>2.7935284387543953</v>
      </c>
      <c r="K172" s="191">
        <v>45.320462122048639</v>
      </c>
      <c r="L172" s="192">
        <v>16.223375961855808</v>
      </c>
      <c r="M172" s="192">
        <v>1.7228915593339176</v>
      </c>
      <c r="N172" s="192">
        <v>-35.395618713729988</v>
      </c>
      <c r="O172" s="193">
        <v>0.36599999999999999</v>
      </c>
      <c r="P172" s="194">
        <v>1.7228915593339176</v>
      </c>
      <c r="Q172" s="195">
        <v>0.36688235181781631</v>
      </c>
      <c r="R172" s="196">
        <v>8.8235181781631811E-4</v>
      </c>
      <c r="S172" s="196">
        <v>27.935284387543952</v>
      </c>
      <c r="T172" s="197">
        <v>0.24648748960565217</v>
      </c>
      <c r="U172" s="197">
        <v>8.8235181781631802</v>
      </c>
      <c r="V172" s="193">
        <v>1.077</v>
      </c>
      <c r="W172" s="194">
        <v>-35.395618713729988</v>
      </c>
      <c r="X172" s="194">
        <v>1.0723029731353122</v>
      </c>
      <c r="Y172" s="196">
        <v>-4.6970268646877589E-3</v>
      </c>
      <c r="Z172" s="196">
        <v>453.20462122048639</v>
      </c>
      <c r="AA172" s="196">
        <v>-21.287142810732647</v>
      </c>
      <c r="AB172" s="196">
        <v>-46.970268646877585</v>
      </c>
    </row>
    <row r="173" spans="1:28" x14ac:dyDescent="0.25">
      <c r="A173" s="190">
        <v>162</v>
      </c>
      <c r="B173" s="171">
        <v>4</v>
      </c>
      <c r="C173" s="171" t="s">
        <v>462</v>
      </c>
      <c r="D173" s="171" t="s">
        <v>52</v>
      </c>
      <c r="E173" s="171" t="s">
        <v>470</v>
      </c>
      <c r="F173" s="171">
        <v>2</v>
      </c>
      <c r="G173" s="171" t="s">
        <v>86</v>
      </c>
      <c r="H173" s="171">
        <v>3.407</v>
      </c>
      <c r="I173" s="171"/>
      <c r="J173" s="191">
        <v>1.2337530685965727</v>
      </c>
      <c r="K173" s="191">
        <v>44.786129506503002</v>
      </c>
      <c r="L173" s="192">
        <v>36.300723902108246</v>
      </c>
      <c r="M173" s="192">
        <v>-3.3145145170098496</v>
      </c>
      <c r="N173" s="192">
        <v>-39.545804963220149</v>
      </c>
      <c r="O173" s="193">
        <v>0.36599999999999999</v>
      </c>
      <c r="P173" s="194">
        <v>-3.3145145170098496</v>
      </c>
      <c r="Q173" s="195">
        <v>0.36504412999607644</v>
      </c>
      <c r="R173" s="196">
        <v>-9.5587000392355348E-4</v>
      </c>
      <c r="S173" s="196">
        <v>12.337530685965728</v>
      </c>
      <c r="T173" s="197">
        <v>-0.11793075505201023</v>
      </c>
      <c r="U173" s="197">
        <v>-9.5587000392355357</v>
      </c>
      <c r="V173" s="193">
        <v>1.077</v>
      </c>
      <c r="W173" s="194">
        <v>-39.545804963220149</v>
      </c>
      <c r="X173" s="194">
        <v>1.0677386771150912</v>
      </c>
      <c r="Y173" s="196">
        <v>-9.2613228849087736E-3</v>
      </c>
      <c r="Z173" s="196">
        <v>447.86129506503005</v>
      </c>
      <c r="AA173" s="196">
        <v>-41.477880612506439</v>
      </c>
      <c r="AB173" s="196">
        <v>-92.613228849087733</v>
      </c>
    </row>
    <row r="174" spans="1:28" x14ac:dyDescent="0.25">
      <c r="A174" s="190">
        <v>163</v>
      </c>
      <c r="B174" s="171">
        <v>4</v>
      </c>
      <c r="C174" s="171" t="s">
        <v>464</v>
      </c>
      <c r="D174" s="171" t="s">
        <v>40</v>
      </c>
      <c r="E174" s="171" t="s">
        <v>470</v>
      </c>
      <c r="F174" s="171">
        <v>2</v>
      </c>
      <c r="G174" s="171" t="s">
        <v>87</v>
      </c>
      <c r="H174" s="171">
        <v>3.093</v>
      </c>
      <c r="I174" s="171"/>
      <c r="J174" s="191">
        <v>1.1291321308571209</v>
      </c>
      <c r="K174" s="191">
        <v>44.303087580925521</v>
      </c>
      <c r="L174" s="192">
        <v>39.236406767820142</v>
      </c>
      <c r="M174" s="192">
        <v>-3.9924217814309899</v>
      </c>
      <c r="N174" s="192">
        <v>-39.240382993494251</v>
      </c>
      <c r="O174" s="193">
        <v>0.36599999999999999</v>
      </c>
      <c r="P174" s="194">
        <v>-3.9924217814309899</v>
      </c>
      <c r="Q174" s="195">
        <v>0.3647967467212257</v>
      </c>
      <c r="R174" s="196">
        <v>-1.2032532787742967E-3</v>
      </c>
      <c r="S174" s="196">
        <v>11.291321308571209</v>
      </c>
      <c r="T174" s="197">
        <v>-0.13586319386232387</v>
      </c>
      <c r="U174" s="197">
        <v>-12.032532787742966</v>
      </c>
      <c r="V174" s="193">
        <v>1.077</v>
      </c>
      <c r="W174" s="194">
        <v>-39.240382993494251</v>
      </c>
      <c r="X174" s="194">
        <v>1.0680745887540481</v>
      </c>
      <c r="Y174" s="196">
        <v>-8.9254112459518087E-3</v>
      </c>
      <c r="Z174" s="196">
        <v>443.03087580925524</v>
      </c>
      <c r="AA174" s="196">
        <v>-39.542327612518051</v>
      </c>
      <c r="AB174" s="196">
        <v>-89.254112459518083</v>
      </c>
    </row>
    <row r="175" spans="1:28" x14ac:dyDescent="0.25">
      <c r="A175" s="190">
        <v>164</v>
      </c>
      <c r="B175" s="171">
        <v>5</v>
      </c>
      <c r="C175" s="171" t="s">
        <v>456</v>
      </c>
      <c r="D175" s="171" t="s">
        <v>52</v>
      </c>
      <c r="E175" s="171" t="s">
        <v>457</v>
      </c>
      <c r="F175" s="171">
        <v>2</v>
      </c>
      <c r="G175" s="171" t="s">
        <v>88</v>
      </c>
      <c r="H175" s="171">
        <v>3.3</v>
      </c>
      <c r="I175" s="171" t="s">
        <v>469</v>
      </c>
      <c r="J175" s="191">
        <v>1.9493338466713448</v>
      </c>
      <c r="K175" s="191">
        <v>34.43199016397088</v>
      </c>
      <c r="L175" s="192">
        <v>17.663464994857843</v>
      </c>
      <c r="M175" s="192">
        <v>0.41343876226289755</v>
      </c>
      <c r="N175" s="192">
        <v>-38.662233258493842</v>
      </c>
      <c r="O175" s="193">
        <v>0.36599999999999999</v>
      </c>
      <c r="P175" s="194">
        <v>0.41343876226289755</v>
      </c>
      <c r="Q175" s="195">
        <v>0.366404520210797</v>
      </c>
      <c r="R175" s="196">
        <v>4.0452021079701028E-4</v>
      </c>
      <c r="S175" s="196">
        <v>19.49333846671345</v>
      </c>
      <c r="T175" s="197">
        <v>7.8854493856923932E-2</v>
      </c>
      <c r="U175" s="197">
        <v>4.0452021079701028</v>
      </c>
      <c r="V175" s="193">
        <v>1.077</v>
      </c>
      <c r="W175" s="194">
        <v>-38.662233258493842</v>
      </c>
      <c r="X175" s="194">
        <v>1.0687104477841092</v>
      </c>
      <c r="Y175" s="196">
        <v>-8.2895522158907831E-3</v>
      </c>
      <c r="Z175" s="196">
        <v>344.3199016397088</v>
      </c>
      <c r="AA175" s="196">
        <v>-28.542578036127445</v>
      </c>
      <c r="AB175" s="196">
        <v>-82.895522158907823</v>
      </c>
    </row>
    <row r="176" spans="1:28" x14ac:dyDescent="0.25">
      <c r="A176" s="190">
        <v>165</v>
      </c>
      <c r="B176" s="171">
        <v>5</v>
      </c>
      <c r="C176" s="171" t="s">
        <v>458</v>
      </c>
      <c r="D176" s="171" t="s">
        <v>48</v>
      </c>
      <c r="E176" s="171" t="s">
        <v>457</v>
      </c>
      <c r="F176" s="171">
        <v>2</v>
      </c>
      <c r="G176" s="171" t="s">
        <v>89</v>
      </c>
      <c r="H176" s="171">
        <v>3.3050000000000002</v>
      </c>
      <c r="I176" s="171"/>
      <c r="J176" s="191">
        <v>1.7427270471503777</v>
      </c>
      <c r="K176" s="191">
        <v>37.036711059389617</v>
      </c>
      <c r="L176" s="192">
        <v>21.252158288327621</v>
      </c>
      <c r="M176" s="192">
        <v>1.2103288598793736</v>
      </c>
      <c r="N176" s="192">
        <v>-39.021374382876999</v>
      </c>
      <c r="O176" s="193">
        <v>0.36599999999999999</v>
      </c>
      <c r="P176" s="194">
        <v>1.2103288598793736</v>
      </c>
      <c r="Q176" s="195">
        <v>0.36669531342735251</v>
      </c>
      <c r="R176" s="196">
        <v>6.9531342735251744E-4</v>
      </c>
      <c r="S176" s="196">
        <v>17.427270471503778</v>
      </c>
      <c r="T176" s="197">
        <v>0.12117415160940614</v>
      </c>
      <c r="U176" s="197">
        <v>6.9531342735251744</v>
      </c>
      <c r="V176" s="193">
        <v>1.077</v>
      </c>
      <c r="W176" s="194">
        <v>-39.021374382876999</v>
      </c>
      <c r="X176" s="194">
        <v>1.0683154591554151</v>
      </c>
      <c r="Y176" s="196">
        <v>-8.6845408445848093E-3</v>
      </c>
      <c r="Z176" s="196">
        <v>370.36711059389609</v>
      </c>
      <c r="AA176" s="196">
        <v>-32.164682994435502</v>
      </c>
      <c r="AB176" s="196">
        <v>-86.845408445848093</v>
      </c>
    </row>
    <row r="177" spans="1:28" x14ac:dyDescent="0.25">
      <c r="A177" s="190">
        <v>166</v>
      </c>
      <c r="B177" s="171">
        <v>5</v>
      </c>
      <c r="C177" s="171" t="s">
        <v>459</v>
      </c>
      <c r="D177" s="171" t="s">
        <v>44</v>
      </c>
      <c r="E177" s="171" t="s">
        <v>457</v>
      </c>
      <c r="F177" s="171">
        <v>2</v>
      </c>
      <c r="G177" s="171" t="s">
        <v>90</v>
      </c>
      <c r="H177" s="171">
        <v>3.4689999999999999</v>
      </c>
      <c r="I177" s="171"/>
      <c r="J177" s="191">
        <v>1.9008741463097856</v>
      </c>
      <c r="K177" s="191">
        <v>32.183459665671393</v>
      </c>
      <c r="L177" s="192">
        <v>16.930873476368724</v>
      </c>
      <c r="M177" s="192">
        <v>2.7156299327565092</v>
      </c>
      <c r="N177" s="192">
        <v>-27.63317311998081</v>
      </c>
      <c r="O177" s="193">
        <v>0.36599999999999999</v>
      </c>
      <c r="P177" s="194">
        <v>2.7156299327565092</v>
      </c>
      <c r="Q177" s="195">
        <v>0.36724460830668815</v>
      </c>
      <c r="R177" s="196">
        <v>1.2446083066881553E-3</v>
      </c>
      <c r="S177" s="196">
        <v>19.008741463097856</v>
      </c>
      <c r="T177" s="197">
        <v>0.23658437524659151</v>
      </c>
      <c r="U177" s="197">
        <v>12.446083066881553</v>
      </c>
      <c r="V177" s="193">
        <v>1.077</v>
      </c>
      <c r="W177" s="194">
        <v>-27.63317311998081</v>
      </c>
      <c r="X177" s="194">
        <v>1.0808388329521981</v>
      </c>
      <c r="Y177" s="196">
        <v>3.8388329521981124E-3</v>
      </c>
      <c r="Z177" s="196">
        <v>321.83459665671393</v>
      </c>
      <c r="AA177" s="196">
        <v>12.354692548031821</v>
      </c>
      <c r="AB177" s="196">
        <v>38.38832952198112</v>
      </c>
    </row>
    <row r="178" spans="1:28" x14ac:dyDescent="0.25">
      <c r="A178" s="190">
        <v>167</v>
      </c>
      <c r="B178" s="171">
        <v>5</v>
      </c>
      <c r="C178" s="171" t="s">
        <v>460</v>
      </c>
      <c r="D178" s="171" t="s">
        <v>32</v>
      </c>
      <c r="E178" s="171" t="s">
        <v>457</v>
      </c>
      <c r="F178" s="171">
        <v>2</v>
      </c>
      <c r="G178" s="171" t="s">
        <v>91</v>
      </c>
      <c r="H178" s="171">
        <v>3.24</v>
      </c>
      <c r="I178" s="171"/>
      <c r="J178" s="191">
        <v>1.3454547289529173</v>
      </c>
      <c r="K178" s="191">
        <v>34.390334545047011</v>
      </c>
      <c r="L178" s="192">
        <v>25.560380297455897</v>
      </c>
      <c r="M178" s="192">
        <v>-0.79547382629828645</v>
      </c>
      <c r="N178" s="192">
        <v>-26.090146025734832</v>
      </c>
      <c r="O178" s="193">
        <v>0.36599999999999999</v>
      </c>
      <c r="P178" s="194">
        <v>-0.79547382629828645</v>
      </c>
      <c r="Q178" s="195">
        <v>0.36596337259988454</v>
      </c>
      <c r="R178" s="196">
        <v>-3.6627400115452069E-5</v>
      </c>
      <c r="S178" s="196">
        <v>13.454547289529172</v>
      </c>
      <c r="T178" s="197">
        <v>-4.9280508694585614E-3</v>
      </c>
      <c r="U178" s="197">
        <v>-0.36627400115452069</v>
      </c>
      <c r="V178" s="193">
        <v>1.077</v>
      </c>
      <c r="W178" s="194">
        <v>-26.090146025734832</v>
      </c>
      <c r="X178" s="194">
        <v>1.0825354246358554</v>
      </c>
      <c r="Y178" s="196">
        <v>5.5354246358554349E-3</v>
      </c>
      <c r="Z178" s="196">
        <v>343.90334545047011</v>
      </c>
      <c r="AA178" s="196">
        <v>19.036510507596343</v>
      </c>
      <c r="AB178" s="196">
        <v>55.354246358554349</v>
      </c>
    </row>
    <row r="179" spans="1:28" x14ac:dyDescent="0.25">
      <c r="A179" s="190">
        <v>168</v>
      </c>
      <c r="B179" s="171">
        <v>5</v>
      </c>
      <c r="C179" s="171" t="s">
        <v>462</v>
      </c>
      <c r="D179" s="171" t="s">
        <v>28</v>
      </c>
      <c r="E179" s="171" t="s">
        <v>457</v>
      </c>
      <c r="F179" s="171">
        <v>2</v>
      </c>
      <c r="G179" s="171" t="s">
        <v>92</v>
      </c>
      <c r="H179" s="171">
        <v>3.2069999999999999</v>
      </c>
      <c r="I179" s="171"/>
      <c r="J179" s="191">
        <v>2.0306934068968912</v>
      </c>
      <c r="K179" s="191">
        <v>35.799531693946605</v>
      </c>
      <c r="L179" s="192">
        <v>17.629215504595535</v>
      </c>
      <c r="M179" s="192">
        <v>1.0803043643659649</v>
      </c>
      <c r="N179" s="192">
        <v>-27.847900012347036</v>
      </c>
      <c r="O179" s="193">
        <v>0.36599999999999999</v>
      </c>
      <c r="P179" s="194">
        <v>1.0803043643659649</v>
      </c>
      <c r="Q179" s="195">
        <v>0.36664786629625329</v>
      </c>
      <c r="R179" s="196">
        <v>6.4786629625329661E-4</v>
      </c>
      <c r="S179" s="196">
        <v>20.306934068968914</v>
      </c>
      <c r="T179" s="197">
        <v>0.13156178163522778</v>
      </c>
      <c r="U179" s="197">
        <v>6.4786629625329661</v>
      </c>
      <c r="V179" s="193">
        <v>1.077</v>
      </c>
      <c r="W179" s="194">
        <v>-27.847900012347036</v>
      </c>
      <c r="X179" s="194">
        <v>1.0806027314740487</v>
      </c>
      <c r="Y179" s="196">
        <v>3.6027314740487704E-3</v>
      </c>
      <c r="Z179" s="196">
        <v>357.99531693946608</v>
      </c>
      <c r="AA179" s="196">
        <v>12.897609958998794</v>
      </c>
      <c r="AB179" s="196">
        <v>36.027314740487704</v>
      </c>
    </row>
    <row r="180" spans="1:28" x14ac:dyDescent="0.25">
      <c r="A180" s="190">
        <v>169</v>
      </c>
      <c r="B180" s="171">
        <v>5</v>
      </c>
      <c r="C180" s="171" t="s">
        <v>463</v>
      </c>
      <c r="D180" s="171" t="s">
        <v>40</v>
      </c>
      <c r="E180" s="171" t="s">
        <v>457</v>
      </c>
      <c r="F180" s="171">
        <v>2</v>
      </c>
      <c r="G180" s="171" t="s">
        <v>93</v>
      </c>
      <c r="H180" s="171">
        <v>3.0790000000000002</v>
      </c>
      <c r="I180" s="171"/>
      <c r="J180" s="191">
        <v>1.9061065662382979</v>
      </c>
      <c r="K180" s="191">
        <v>33.796935691225215</v>
      </c>
      <c r="L180" s="192">
        <v>17.730874175583729</v>
      </c>
      <c r="M180" s="192">
        <v>1.3772177193433859</v>
      </c>
      <c r="N180" s="192">
        <v>-27.823228235111078</v>
      </c>
      <c r="O180" s="193">
        <v>0.36599999999999999</v>
      </c>
      <c r="P180" s="194">
        <v>1.3772177193433859</v>
      </c>
      <c r="Q180" s="195">
        <v>0.36675621263678104</v>
      </c>
      <c r="R180" s="196">
        <v>7.5621263678105066E-4</v>
      </c>
      <c r="S180" s="196">
        <v>19.06106566238298</v>
      </c>
      <c r="T180" s="197">
        <v>0.14414218724407377</v>
      </c>
      <c r="U180" s="197">
        <v>7.5621263678105066</v>
      </c>
      <c r="V180" s="193">
        <v>1.077</v>
      </c>
      <c r="W180" s="194">
        <v>-27.823228235111078</v>
      </c>
      <c r="X180" s="194">
        <v>1.0806298592143873</v>
      </c>
      <c r="Y180" s="196">
        <v>3.6298592143872987E-3</v>
      </c>
      <c r="Z180" s="196">
        <v>337.96935691225218</v>
      </c>
      <c r="AA180" s="196">
        <v>12.267811843684882</v>
      </c>
      <c r="AB180" s="196">
        <v>36.298592143872987</v>
      </c>
    </row>
    <row r="181" spans="1:28" x14ac:dyDescent="0.25">
      <c r="A181" s="190">
        <v>170</v>
      </c>
      <c r="B181" s="171">
        <v>5</v>
      </c>
      <c r="C181" s="171" t="s">
        <v>464</v>
      </c>
      <c r="D181" s="171" t="s">
        <v>36</v>
      </c>
      <c r="E181" s="171" t="s">
        <v>457</v>
      </c>
      <c r="F181" s="171">
        <v>2</v>
      </c>
      <c r="G181" s="171" t="s">
        <v>94</v>
      </c>
      <c r="H181" s="171">
        <v>3.2429999999999999</v>
      </c>
      <c r="I181" s="171"/>
      <c r="J181" s="191">
        <v>1.7883290642932455</v>
      </c>
      <c r="K181" s="191">
        <v>38.02389698516518</v>
      </c>
      <c r="L181" s="192">
        <v>21.262248511401548</v>
      </c>
      <c r="M181" s="192">
        <v>1.1151055373829775</v>
      </c>
      <c r="N181" s="192">
        <v>-24.728556476537292</v>
      </c>
      <c r="O181" s="193">
        <v>0.36599999999999999</v>
      </c>
      <c r="P181" s="194">
        <v>1.1151055373829775</v>
      </c>
      <c r="Q181" s="195">
        <v>0.36666056556793969</v>
      </c>
      <c r="R181" s="196">
        <v>6.6056556793969712E-4</v>
      </c>
      <c r="S181" s="196">
        <v>17.883290642932455</v>
      </c>
      <c r="T181" s="197">
        <v>0.11813086040179348</v>
      </c>
      <c r="U181" s="197">
        <v>6.6056556793969712</v>
      </c>
      <c r="V181" s="193">
        <v>1.077</v>
      </c>
      <c r="W181" s="194">
        <v>-24.728556476537292</v>
      </c>
      <c r="X181" s="194">
        <v>1.0840324734778193</v>
      </c>
      <c r="Y181" s="196">
        <v>7.0324734778193232E-3</v>
      </c>
      <c r="Z181" s="196">
        <v>380.2389698516518</v>
      </c>
      <c r="AA181" s="196">
        <v>26.740204707150824</v>
      </c>
      <c r="AB181" s="196">
        <v>70.324734778193232</v>
      </c>
    </row>
    <row r="182" spans="1:28" x14ac:dyDescent="0.25">
      <c r="A182" s="190">
        <v>171</v>
      </c>
      <c r="B182" s="171">
        <v>5</v>
      </c>
      <c r="C182" s="171" t="s">
        <v>456</v>
      </c>
      <c r="D182" s="171" t="s">
        <v>52</v>
      </c>
      <c r="E182" s="171" t="s">
        <v>465</v>
      </c>
      <c r="F182" s="171">
        <v>2</v>
      </c>
      <c r="G182" s="171" t="s">
        <v>95</v>
      </c>
      <c r="H182" s="171">
        <v>3.056</v>
      </c>
      <c r="I182" s="171"/>
      <c r="J182" s="191">
        <v>0.97015877512050341</v>
      </c>
      <c r="K182" s="191">
        <v>35.268393656985026</v>
      </c>
      <c r="L182" s="192">
        <v>36.353218216888614</v>
      </c>
      <c r="M182" s="192">
        <v>-1.7920709807395814</v>
      </c>
      <c r="N182" s="192">
        <v>-26.934333868324728</v>
      </c>
      <c r="O182" s="193">
        <v>0.36599999999999999</v>
      </c>
      <c r="P182" s="194">
        <v>-1.7920709807395814</v>
      </c>
      <c r="Q182" s="195">
        <v>0.36559969865913339</v>
      </c>
      <c r="R182" s="196">
        <v>-4.0030134086660452E-4</v>
      </c>
      <c r="S182" s="196">
        <v>9.7015877512050341</v>
      </c>
      <c r="T182" s="197">
        <v>-3.8835585853424011E-2</v>
      </c>
      <c r="U182" s="197">
        <v>-4.0030134086660452</v>
      </c>
      <c r="V182" s="193">
        <v>1.077</v>
      </c>
      <c r="W182" s="194">
        <v>-26.934333868324728</v>
      </c>
      <c r="X182" s="194">
        <v>1.0816072290435794</v>
      </c>
      <c r="Y182" s="196">
        <v>4.6072290435794638E-3</v>
      </c>
      <c r="Z182" s="196">
        <v>352.68393656985023</v>
      </c>
      <c r="AA182" s="196">
        <v>16.248956757685512</v>
      </c>
      <c r="AB182" s="196">
        <v>46.072290435794642</v>
      </c>
    </row>
    <row r="183" spans="1:28" x14ac:dyDescent="0.25">
      <c r="A183" s="190">
        <v>172</v>
      </c>
      <c r="B183" s="171">
        <v>5</v>
      </c>
      <c r="C183" s="171" t="s">
        <v>458</v>
      </c>
      <c r="D183" s="171" t="s">
        <v>48</v>
      </c>
      <c r="E183" s="171" t="s">
        <v>465</v>
      </c>
      <c r="F183" s="171">
        <v>2</v>
      </c>
      <c r="G183" s="171" t="s">
        <v>96</v>
      </c>
      <c r="H183" s="171">
        <v>3.698</v>
      </c>
      <c r="I183" s="171"/>
      <c r="J183" s="191">
        <v>1.0268695681826605</v>
      </c>
      <c r="K183" s="191">
        <v>34.378500559819351</v>
      </c>
      <c r="L183" s="192">
        <v>33.47893600611998</v>
      </c>
      <c r="M183" s="192">
        <v>16.043405733235975</v>
      </c>
      <c r="N183" s="192">
        <v>-27.548419449781989</v>
      </c>
      <c r="O183" s="193">
        <v>0.36599999999999999</v>
      </c>
      <c r="P183" s="194">
        <v>16.043405733235975</v>
      </c>
      <c r="Q183" s="195">
        <v>0.37210774262334778</v>
      </c>
      <c r="R183" s="196">
        <v>6.1077426233477894E-3</v>
      </c>
      <c r="S183" s="196">
        <v>10.268695681826607</v>
      </c>
      <c r="T183" s="197">
        <v>0.62718550302079756</v>
      </c>
      <c r="U183" s="197">
        <v>61.077426233477901</v>
      </c>
      <c r="V183" s="193">
        <v>1.077</v>
      </c>
      <c r="W183" s="194">
        <v>-27.548419449781989</v>
      </c>
      <c r="X183" s="194">
        <v>1.0809320229573223</v>
      </c>
      <c r="Y183" s="196">
        <v>3.932022957322312E-3</v>
      </c>
      <c r="Z183" s="196">
        <v>343.78500559819355</v>
      </c>
      <c r="AA183" s="196">
        <v>13.517705343952764</v>
      </c>
      <c r="AB183" s="196">
        <v>39.320229573223116</v>
      </c>
    </row>
    <row r="184" spans="1:28" x14ac:dyDescent="0.25">
      <c r="A184" s="190">
        <v>173</v>
      </c>
      <c r="B184" s="171">
        <v>5</v>
      </c>
      <c r="C184" s="171" t="s">
        <v>459</v>
      </c>
      <c r="D184" s="171" t="s">
        <v>44</v>
      </c>
      <c r="E184" s="171" t="s">
        <v>465</v>
      </c>
      <c r="F184" s="171">
        <v>2</v>
      </c>
      <c r="G184" s="171" t="s">
        <v>97</v>
      </c>
      <c r="H184" s="171">
        <v>3.0139999999999998</v>
      </c>
      <c r="I184" s="171"/>
      <c r="J184" s="191">
        <v>0.93916961337723648</v>
      </c>
      <c r="K184" s="191">
        <v>34.743113267762162</v>
      </c>
      <c r="L184" s="192">
        <v>36.993438429962161</v>
      </c>
      <c r="M184" s="192">
        <v>-1.5379747942523188</v>
      </c>
      <c r="N184" s="192">
        <v>-28.986295899103958</v>
      </c>
      <c r="O184" s="193">
        <v>0.36599999999999999</v>
      </c>
      <c r="P184" s="194">
        <v>-1.5379747942523188</v>
      </c>
      <c r="Q184" s="195">
        <v>0.36569242259714335</v>
      </c>
      <c r="R184" s="196">
        <v>-3.0757740285664026E-4</v>
      </c>
      <c r="S184" s="196">
        <v>9.3916961337723652</v>
      </c>
      <c r="T184" s="197">
        <v>-2.8886735052444535E-2</v>
      </c>
      <c r="U184" s="197">
        <v>-3.0757740285664026</v>
      </c>
      <c r="V184" s="193">
        <v>1.077</v>
      </c>
      <c r="W184" s="194">
        <v>-28.986295899103958</v>
      </c>
      <c r="X184" s="194">
        <v>1.0793509972768345</v>
      </c>
      <c r="Y184" s="196">
        <v>2.3509972768345211E-3</v>
      </c>
      <c r="Z184" s="196">
        <v>347.43113267762163</v>
      </c>
      <c r="AA184" s="196">
        <v>8.1680964681262171</v>
      </c>
      <c r="AB184" s="196">
        <v>23.509972768345211</v>
      </c>
    </row>
    <row r="185" spans="1:28" x14ac:dyDescent="0.25">
      <c r="A185" s="171"/>
      <c r="B185" s="171"/>
      <c r="C185" s="171"/>
      <c r="D185" s="171"/>
      <c r="E185" s="171"/>
      <c r="F185" s="171"/>
      <c r="G185" s="171"/>
      <c r="H185" s="171"/>
      <c r="I185" s="198" t="s">
        <v>152</v>
      </c>
      <c r="J185" s="191">
        <v>2.7894459889256611</v>
      </c>
      <c r="K185" s="191">
        <v>44.910884924368389</v>
      </c>
      <c r="L185" s="192">
        <v>16.100288409479315</v>
      </c>
      <c r="M185" s="192">
        <v>2.1421803694617778</v>
      </c>
      <c r="N185" s="192">
        <v>-25.37122860122231</v>
      </c>
      <c r="O185" s="193">
        <v>0.36599999999999999</v>
      </c>
      <c r="P185" s="194">
        <v>2.1421803694617778</v>
      </c>
      <c r="Q185" s="195">
        <v>0.36703535326840564</v>
      </c>
      <c r="R185" s="196">
        <v>1.0353532684056477E-3</v>
      </c>
      <c r="S185" s="196">
        <v>27.894459889256609</v>
      </c>
      <c r="T185" s="197">
        <v>0.28880620216752073</v>
      </c>
      <c r="U185" s="197">
        <v>10.353532684056477</v>
      </c>
      <c r="V185" s="193">
        <v>1.077</v>
      </c>
      <c r="W185" s="194">
        <v>-25.37122860122231</v>
      </c>
      <c r="X185" s="194">
        <v>1.0833258700286408</v>
      </c>
      <c r="Y185" s="196">
        <v>6.3258700286408232E-3</v>
      </c>
      <c r="Z185" s="196">
        <v>449.10884924368395</v>
      </c>
      <c r="AA185" s="196">
        <v>28.410042090279902</v>
      </c>
      <c r="AB185" s="196">
        <v>63.258700286408228</v>
      </c>
    </row>
    <row r="186" spans="1:28" x14ac:dyDescent="0.25">
      <c r="A186" s="190">
        <v>174</v>
      </c>
      <c r="B186" s="171">
        <v>5</v>
      </c>
      <c r="C186" s="171" t="s">
        <v>460</v>
      </c>
      <c r="D186" s="171" t="s">
        <v>32</v>
      </c>
      <c r="E186" s="171" t="s">
        <v>465</v>
      </c>
      <c r="F186" s="171">
        <v>2</v>
      </c>
      <c r="G186" s="171" t="s">
        <v>123</v>
      </c>
      <c r="H186" s="171">
        <v>3.2320000000000002</v>
      </c>
      <c r="I186" s="171"/>
      <c r="J186" s="191">
        <v>0.78598292369927181</v>
      </c>
      <c r="K186" s="191">
        <v>36.682781223063387</v>
      </c>
      <c r="L186" s="192">
        <v>46.671219077399108</v>
      </c>
      <c r="M186" s="192">
        <v>32.006963535954441</v>
      </c>
      <c r="N186" s="192">
        <v>-27.003882695484378</v>
      </c>
      <c r="O186" s="193">
        <v>0.36599999999999999</v>
      </c>
      <c r="P186" s="194">
        <v>32.006963535954441</v>
      </c>
      <c r="Q186" s="195">
        <v>0.3779320151350879</v>
      </c>
      <c r="R186" s="196">
        <v>1.1932015135087903E-2</v>
      </c>
      <c r="S186" s="196">
        <v>7.8598292369927174</v>
      </c>
      <c r="T186" s="197">
        <v>0.93783601415003504</v>
      </c>
      <c r="U186" s="197">
        <v>119.32015135087903</v>
      </c>
      <c r="V186" s="193">
        <v>1.077</v>
      </c>
      <c r="W186" s="194">
        <v>-27.003882695484378</v>
      </c>
      <c r="X186" s="194">
        <v>1.0815307584203131</v>
      </c>
      <c r="Y186" s="196">
        <v>4.5307584203131412E-3</v>
      </c>
      <c r="Z186" s="196">
        <v>366.82781223063387</v>
      </c>
      <c r="AA186" s="196">
        <v>16.620081990689926</v>
      </c>
      <c r="AB186" s="196">
        <v>45.307584203131412</v>
      </c>
    </row>
    <row r="187" spans="1:28" x14ac:dyDescent="0.25">
      <c r="A187" s="190">
        <v>175</v>
      </c>
      <c r="B187" s="171">
        <v>5</v>
      </c>
      <c r="C187" s="171" t="s">
        <v>461</v>
      </c>
      <c r="D187" s="171" t="s">
        <v>24</v>
      </c>
      <c r="E187" s="171" t="s">
        <v>465</v>
      </c>
      <c r="F187" s="171">
        <v>2</v>
      </c>
      <c r="G187" s="171" t="s">
        <v>124</v>
      </c>
      <c r="H187" s="171">
        <v>3.3570000000000002</v>
      </c>
      <c r="I187" s="171"/>
      <c r="J187" s="191">
        <v>0.77606393656853623</v>
      </c>
      <c r="K187" s="191">
        <v>37.054596431672181</v>
      </c>
      <c r="L187" s="192">
        <v>47.746834617149865</v>
      </c>
      <c r="M187" s="192">
        <v>-0.44578853025417542</v>
      </c>
      <c r="N187" s="192">
        <v>-28.367598067337489</v>
      </c>
      <c r="O187" s="193">
        <v>0.36599999999999999</v>
      </c>
      <c r="P187" s="194">
        <v>-0.44578853025417542</v>
      </c>
      <c r="Q187" s="195">
        <v>0.3660909776226457</v>
      </c>
      <c r="R187" s="196">
        <v>9.0977622645704859E-5</v>
      </c>
      <c r="S187" s="196">
        <v>7.7606393656853623</v>
      </c>
      <c r="T187" s="197">
        <v>7.0604451970072519E-3</v>
      </c>
      <c r="U187" s="197">
        <v>0.90977622645704848</v>
      </c>
      <c r="V187" s="193">
        <v>1.077</v>
      </c>
      <c r="W187" s="194">
        <v>-28.367598067337489</v>
      </c>
      <c r="X187" s="194">
        <v>1.0800312963859313</v>
      </c>
      <c r="Y187" s="196">
        <v>3.0312963859313591E-3</v>
      </c>
      <c r="Z187" s="196">
        <v>370.54596431672184</v>
      </c>
      <c r="AA187" s="196">
        <v>11.232346424547291</v>
      </c>
      <c r="AB187" s="196">
        <v>30.312963859313594</v>
      </c>
    </row>
    <row r="188" spans="1:28" x14ac:dyDescent="0.25">
      <c r="A188" s="190">
        <v>176</v>
      </c>
      <c r="B188" s="171">
        <v>5</v>
      </c>
      <c r="C188" s="171" t="s">
        <v>462</v>
      </c>
      <c r="D188" s="171" t="s">
        <v>28</v>
      </c>
      <c r="E188" s="171" t="s">
        <v>465</v>
      </c>
      <c r="F188" s="171">
        <v>2</v>
      </c>
      <c r="G188" s="171" t="s">
        <v>125</v>
      </c>
      <c r="H188" s="171">
        <v>3.605</v>
      </c>
      <c r="I188" s="171"/>
      <c r="J188" s="191">
        <v>1.0831445994032938</v>
      </c>
      <c r="K188" s="191">
        <v>38.155844213646951</v>
      </c>
      <c r="L188" s="192">
        <v>35.226916364322065</v>
      </c>
      <c r="M188" s="192">
        <v>-1.1579606866897536</v>
      </c>
      <c r="N188" s="192">
        <v>-42.293897582789654</v>
      </c>
      <c r="O188" s="193">
        <v>0.36599999999999999</v>
      </c>
      <c r="P188" s="194">
        <v>-1.1579606866897536</v>
      </c>
      <c r="Q188" s="195">
        <v>0.36583109576341327</v>
      </c>
      <c r="R188" s="196">
        <v>-1.6890423658671994E-4</v>
      </c>
      <c r="S188" s="196">
        <v>10.831445994032938</v>
      </c>
      <c r="T188" s="197">
        <v>-1.8294771167524194E-2</v>
      </c>
      <c r="U188" s="197">
        <v>-1.6890423658671991</v>
      </c>
      <c r="V188" s="193">
        <v>1.077</v>
      </c>
      <c r="W188" s="194">
        <v>-42.293897582789654</v>
      </c>
      <c r="X188" s="194">
        <v>1.0647161452595217</v>
      </c>
      <c r="Y188" s="196">
        <v>-1.2283854740478217E-2</v>
      </c>
      <c r="Z188" s="196">
        <v>381.55844213646952</v>
      </c>
      <c r="AA188" s="196">
        <v>-46.870084782075551</v>
      </c>
      <c r="AB188" s="196">
        <v>-122.83854740478219</v>
      </c>
    </row>
    <row r="189" spans="1:28" x14ac:dyDescent="0.25">
      <c r="A189" s="190">
        <v>177</v>
      </c>
      <c r="B189" s="171">
        <v>5</v>
      </c>
      <c r="C189" s="171" t="s">
        <v>463</v>
      </c>
      <c r="D189" s="171" t="s">
        <v>40</v>
      </c>
      <c r="E189" s="171" t="s">
        <v>465</v>
      </c>
      <c r="F189" s="171">
        <v>2</v>
      </c>
      <c r="G189" s="171" t="s">
        <v>98</v>
      </c>
      <c r="H189" s="171">
        <v>3.5289999999999999</v>
      </c>
      <c r="I189" s="171"/>
      <c r="J189" s="191">
        <v>0.89404104333085199</v>
      </c>
      <c r="K189" s="191">
        <v>34.496153386898776</v>
      </c>
      <c r="L189" s="192">
        <v>38.584529920885309</v>
      </c>
      <c r="M189" s="192">
        <v>-2.8708135453462225</v>
      </c>
      <c r="N189" s="192">
        <v>-27.654986892863896</v>
      </c>
      <c r="O189" s="193">
        <v>0.36599999999999999</v>
      </c>
      <c r="P189" s="194">
        <v>-2.8708135453462225</v>
      </c>
      <c r="Q189" s="195">
        <v>0.36520604557697783</v>
      </c>
      <c r="R189" s="196">
        <v>-7.9395442302215846E-4</v>
      </c>
      <c r="S189" s="196">
        <v>8.9404104333085197</v>
      </c>
      <c r="T189" s="197">
        <v>-7.0982784071587521E-2</v>
      </c>
      <c r="U189" s="197">
        <v>-7.9395442302215846</v>
      </c>
      <c r="V189" s="193">
        <v>1.077</v>
      </c>
      <c r="W189" s="194">
        <v>-27.654986892863896</v>
      </c>
      <c r="X189" s="194">
        <v>1.0808148478196373</v>
      </c>
      <c r="Y189" s="196">
        <v>3.8148478196373681E-3</v>
      </c>
      <c r="Z189" s="196">
        <v>344.96153386898777</v>
      </c>
      <c r="AA189" s="196">
        <v>13.159757553388701</v>
      </c>
      <c r="AB189" s="196">
        <v>38.148478196373681</v>
      </c>
    </row>
    <row r="190" spans="1:28" x14ac:dyDescent="0.25">
      <c r="A190" s="190">
        <v>178</v>
      </c>
      <c r="B190" s="171">
        <v>5</v>
      </c>
      <c r="C190" s="171" t="s">
        <v>464</v>
      </c>
      <c r="D190" s="171" t="s">
        <v>36</v>
      </c>
      <c r="E190" s="171" t="s">
        <v>465</v>
      </c>
      <c r="F190" s="171">
        <v>2</v>
      </c>
      <c r="G190" s="171" t="s">
        <v>99</v>
      </c>
      <c r="H190" s="171">
        <v>3.1509999999999998</v>
      </c>
      <c r="I190" s="171"/>
      <c r="J190" s="191">
        <v>0.87883965005256537</v>
      </c>
      <c r="K190" s="191">
        <v>33.97223491740845</v>
      </c>
      <c r="L190" s="192">
        <v>38.655783128784073</v>
      </c>
      <c r="M190" s="192">
        <v>1.073844758658336</v>
      </c>
      <c r="N190" s="192">
        <v>-28.112442841748962</v>
      </c>
      <c r="O190" s="193">
        <v>0.36599999999999999</v>
      </c>
      <c r="P190" s="194">
        <v>1.073844758658336</v>
      </c>
      <c r="Q190" s="195">
        <v>0.36664550912569971</v>
      </c>
      <c r="R190" s="196">
        <v>6.4550912569971697E-4</v>
      </c>
      <c r="S190" s="196">
        <v>8.7883965005256535</v>
      </c>
      <c r="T190" s="197">
        <v>5.6729901413567665E-2</v>
      </c>
      <c r="U190" s="197">
        <v>6.4550912569971697</v>
      </c>
      <c r="V190" s="193">
        <v>1.077</v>
      </c>
      <c r="W190" s="194">
        <v>-28.112442841748962</v>
      </c>
      <c r="X190" s="194">
        <v>1.0803118536752343</v>
      </c>
      <c r="Y190" s="196">
        <v>3.3118536752343442E-3</v>
      </c>
      <c r="Z190" s="196">
        <v>339.72234917408457</v>
      </c>
      <c r="AA190" s="196">
        <v>11.251107106714372</v>
      </c>
      <c r="AB190" s="196">
        <v>33.118536752343445</v>
      </c>
    </row>
    <row r="191" spans="1:28" x14ac:dyDescent="0.25">
      <c r="A191" s="190">
        <v>179</v>
      </c>
      <c r="B191" s="171">
        <v>5</v>
      </c>
      <c r="C191" s="171" t="s">
        <v>459</v>
      </c>
      <c r="D191" s="171" t="s">
        <v>44</v>
      </c>
      <c r="E191" s="171" t="s">
        <v>466</v>
      </c>
      <c r="F191" s="171">
        <v>2</v>
      </c>
      <c r="G191" s="171" t="s">
        <v>100</v>
      </c>
      <c r="H191" s="171">
        <v>3.3889999999999998</v>
      </c>
      <c r="I191" s="171"/>
      <c r="J191" s="191">
        <v>2.6515292246055746</v>
      </c>
      <c r="K191" s="191">
        <v>40.765840344971522</v>
      </c>
      <c r="L191" s="192">
        <v>15.37446390055746</v>
      </c>
      <c r="M191" s="192">
        <v>-0.85718255111885866</v>
      </c>
      <c r="N191" s="192">
        <v>-28.022736070145005</v>
      </c>
      <c r="O191" s="193">
        <v>0.36599999999999999</v>
      </c>
      <c r="P191" s="194">
        <v>-0.85718255111885866</v>
      </c>
      <c r="Q191" s="195">
        <v>0.36594085419493871</v>
      </c>
      <c r="R191" s="196">
        <v>-5.9145805061278089E-5</v>
      </c>
      <c r="S191" s="196">
        <v>26.515292246055743</v>
      </c>
      <c r="T191" s="197">
        <v>-1.5682683063280311E-2</v>
      </c>
      <c r="U191" s="197">
        <v>-0.59145805061278089</v>
      </c>
      <c r="V191" s="193">
        <v>1.077</v>
      </c>
      <c r="W191" s="194">
        <v>-28.022736070145005</v>
      </c>
      <c r="X191" s="194">
        <v>1.080410490856339</v>
      </c>
      <c r="Y191" s="196">
        <v>3.4104908563390435E-3</v>
      </c>
      <c r="Z191" s="196">
        <v>407.65840344971519</v>
      </c>
      <c r="AA191" s="196">
        <v>13.903152574750266</v>
      </c>
      <c r="AB191" s="196">
        <v>34.104908563390438</v>
      </c>
    </row>
    <row r="192" spans="1:28" x14ac:dyDescent="0.25">
      <c r="A192" s="190">
        <v>180</v>
      </c>
      <c r="B192" s="171">
        <v>5</v>
      </c>
      <c r="C192" s="171" t="s">
        <v>460</v>
      </c>
      <c r="D192" s="171" t="s">
        <v>32</v>
      </c>
      <c r="E192" s="171" t="s">
        <v>466</v>
      </c>
      <c r="F192" s="171">
        <v>2</v>
      </c>
      <c r="G192" s="171" t="s">
        <v>101</v>
      </c>
      <c r="H192" s="171">
        <v>3.5449999999999999</v>
      </c>
      <c r="I192" s="171"/>
      <c r="J192" s="191">
        <v>0.52965832333038343</v>
      </c>
      <c r="K192" s="191">
        <v>38.944592405262881</v>
      </c>
      <c r="L192" s="192">
        <v>73.527764390422931</v>
      </c>
      <c r="M192" s="192">
        <v>-1.194622074679518</v>
      </c>
      <c r="N192" s="192">
        <v>-29.710336857816074</v>
      </c>
      <c r="O192" s="193">
        <v>0.36599999999999999</v>
      </c>
      <c r="P192" s="194">
        <v>-1.194622074679518</v>
      </c>
      <c r="Q192" s="195">
        <v>0.36581771745914016</v>
      </c>
      <c r="R192" s="196">
        <v>-1.8228254085983497E-4</v>
      </c>
      <c r="S192" s="196">
        <v>5.2965832333038341</v>
      </c>
      <c r="T192" s="197">
        <v>-9.6547464964222285E-3</v>
      </c>
      <c r="U192" s="197">
        <v>-1.8228254085983495</v>
      </c>
      <c r="V192" s="193">
        <v>1.077</v>
      </c>
      <c r="W192" s="194">
        <v>-29.710336857816074</v>
      </c>
      <c r="X192" s="194">
        <v>1.0785548545627339</v>
      </c>
      <c r="Y192" s="196">
        <v>1.5548545627339649E-3</v>
      </c>
      <c r="Z192" s="196">
        <v>389.44592405262881</v>
      </c>
      <c r="AA192" s="196">
        <v>6.0553177195137504</v>
      </c>
      <c r="AB192" s="196">
        <v>15.548545627339649</v>
      </c>
    </row>
    <row r="193" spans="1:28" x14ac:dyDescent="0.25">
      <c r="A193" s="190">
        <v>181</v>
      </c>
      <c r="B193" s="171">
        <v>5</v>
      </c>
      <c r="C193" s="171" t="s">
        <v>456</v>
      </c>
      <c r="D193" s="171" t="s">
        <v>52</v>
      </c>
      <c r="E193" s="171" t="s">
        <v>466</v>
      </c>
      <c r="F193" s="171">
        <v>2</v>
      </c>
      <c r="G193" s="171" t="s">
        <v>102</v>
      </c>
      <c r="H193" s="171">
        <v>3.718</v>
      </c>
      <c r="I193" s="171"/>
      <c r="J193" s="191">
        <v>3.6286923164621778</v>
      </c>
      <c r="K193" s="191">
        <v>38.31060367155991</v>
      </c>
      <c r="L193" s="192">
        <v>10.557688646611719</v>
      </c>
      <c r="M193" s="192">
        <v>-1.1186718398706514</v>
      </c>
      <c r="N193" s="192">
        <v>-22.769151016327047</v>
      </c>
      <c r="O193" s="193">
        <v>0.36599999999999999</v>
      </c>
      <c r="P193" s="194">
        <v>-1.1186718398706514</v>
      </c>
      <c r="Q193" s="195">
        <v>0.36584543286383142</v>
      </c>
      <c r="R193" s="196">
        <v>-1.5456713616857076E-4</v>
      </c>
      <c r="S193" s="196">
        <v>36.286923164621783</v>
      </c>
      <c r="T193" s="197">
        <v>-5.608765793924559E-2</v>
      </c>
      <c r="U193" s="197">
        <v>-1.5456713616857076</v>
      </c>
      <c r="V193" s="193">
        <v>1.077</v>
      </c>
      <c r="W193" s="194">
        <v>-22.769151016327047</v>
      </c>
      <c r="X193" s="194">
        <v>1.086186733107654</v>
      </c>
      <c r="Y193" s="196">
        <v>9.1867331076540548E-3</v>
      </c>
      <c r="Z193" s="196">
        <v>383.10603671559915</v>
      </c>
      <c r="AA193" s="196">
        <v>35.194929112373252</v>
      </c>
      <c r="AB193" s="196">
        <v>91.867331076540552</v>
      </c>
    </row>
    <row r="194" spans="1:28" x14ac:dyDescent="0.25">
      <c r="A194" s="190">
        <v>182</v>
      </c>
      <c r="B194" s="171">
        <v>5</v>
      </c>
      <c r="C194" s="171" t="s">
        <v>456</v>
      </c>
      <c r="D194" s="171" t="s">
        <v>52</v>
      </c>
      <c r="E194" s="171" t="s">
        <v>467</v>
      </c>
      <c r="F194" s="171">
        <v>2</v>
      </c>
      <c r="G194" s="171" t="s">
        <v>103</v>
      </c>
      <c r="H194" s="171">
        <v>3.3530000000000002</v>
      </c>
      <c r="I194" s="171"/>
      <c r="J194" s="191">
        <v>0.91014740164923646</v>
      </c>
      <c r="K194" s="191">
        <v>38.500014763366927</v>
      </c>
      <c r="L194" s="192">
        <v>42.300856645421185</v>
      </c>
      <c r="M194" s="192">
        <v>80.156507044893885</v>
      </c>
      <c r="N194" s="192">
        <v>-47.229909479388724</v>
      </c>
      <c r="O194" s="193">
        <v>0.36599999999999999</v>
      </c>
      <c r="P194" s="194">
        <v>80.156507044893885</v>
      </c>
      <c r="Q194" s="195">
        <v>0.395495157040407</v>
      </c>
      <c r="R194" s="196">
        <v>2.9495157040407005E-2</v>
      </c>
      <c r="S194" s="196">
        <v>9.1014740164923644</v>
      </c>
      <c r="T194" s="197">
        <v>2.6844940541562621</v>
      </c>
      <c r="U194" s="197">
        <v>294.95157040407003</v>
      </c>
      <c r="V194" s="193">
        <v>1.077</v>
      </c>
      <c r="W194" s="194">
        <v>-47.229909479388724</v>
      </c>
      <c r="X194" s="194">
        <v>1.0592867329948936</v>
      </c>
      <c r="Y194" s="196">
        <v>-1.7713267005106337E-2</v>
      </c>
      <c r="Z194" s="196">
        <v>385.00014763366931</v>
      </c>
      <c r="AA194" s="196">
        <v>-68.196104120405423</v>
      </c>
      <c r="AB194" s="196">
        <v>-177.13267005106337</v>
      </c>
    </row>
    <row r="195" spans="1:28" x14ac:dyDescent="0.25">
      <c r="A195" s="190">
        <v>183</v>
      </c>
      <c r="B195" s="171">
        <v>5</v>
      </c>
      <c r="C195" s="171" t="s">
        <v>458</v>
      </c>
      <c r="D195" s="171" t="s">
        <v>48</v>
      </c>
      <c r="E195" s="171" t="s">
        <v>467</v>
      </c>
      <c r="F195" s="171">
        <v>2</v>
      </c>
      <c r="G195" s="171" t="s">
        <v>104</v>
      </c>
      <c r="H195" s="171">
        <v>3.3250000000000002</v>
      </c>
      <c r="I195" s="171"/>
      <c r="J195" s="191">
        <v>0.85520049780401153</v>
      </c>
      <c r="K195" s="191">
        <v>39.785723590213365</v>
      </c>
      <c r="L195" s="192">
        <v>46.522100597901158</v>
      </c>
      <c r="M195" s="192">
        <v>84.314112208484204</v>
      </c>
      <c r="N195" s="192">
        <v>-27.059157213699358</v>
      </c>
      <c r="O195" s="193">
        <v>0.36599999999999999</v>
      </c>
      <c r="P195" s="194">
        <v>84.314112208484204</v>
      </c>
      <c r="Q195" s="195">
        <v>0.39701140453549777</v>
      </c>
      <c r="R195" s="196">
        <v>3.1011404535497777E-2</v>
      </c>
      <c r="S195" s="196">
        <v>8.5520049780401166</v>
      </c>
      <c r="T195" s="197">
        <v>2.6520968596359284</v>
      </c>
      <c r="U195" s="197">
        <v>310.11404535497775</v>
      </c>
      <c r="V195" s="193">
        <v>1.077</v>
      </c>
      <c r="W195" s="194">
        <v>-27.059157213699358</v>
      </c>
      <c r="X195" s="194">
        <v>1.0814699826618146</v>
      </c>
      <c r="Y195" s="196">
        <v>4.4699826618146421E-3</v>
      </c>
      <c r="Z195" s="196">
        <v>397.85723590213365</v>
      </c>
      <c r="AA195" s="196">
        <v>17.784149463600354</v>
      </c>
      <c r="AB195" s="196">
        <v>44.699826618146417</v>
      </c>
    </row>
    <row r="196" spans="1:28" x14ac:dyDescent="0.25">
      <c r="A196" s="190">
        <v>184</v>
      </c>
      <c r="B196" s="171">
        <v>5</v>
      </c>
      <c r="C196" s="171" t="s">
        <v>459</v>
      </c>
      <c r="D196" s="171" t="s">
        <v>44</v>
      </c>
      <c r="E196" s="171" t="s">
        <v>467</v>
      </c>
      <c r="F196" s="171">
        <v>2</v>
      </c>
      <c r="G196" s="171" t="s">
        <v>105</v>
      </c>
      <c r="H196" s="171">
        <v>3.1339999999999999</v>
      </c>
      <c r="I196" s="171"/>
      <c r="J196" s="191">
        <v>1.0819875375616326</v>
      </c>
      <c r="K196" s="191">
        <v>36.421192463824411</v>
      </c>
      <c r="L196" s="192">
        <v>33.661378897120407</v>
      </c>
      <c r="M196" s="192">
        <v>-1.3102531619382507</v>
      </c>
      <c r="N196" s="192">
        <v>-28.267296006668701</v>
      </c>
      <c r="O196" s="193">
        <v>0.36599999999999999</v>
      </c>
      <c r="P196" s="194">
        <v>-1.3102531619382507</v>
      </c>
      <c r="Q196" s="195">
        <v>0.36577552187363532</v>
      </c>
      <c r="R196" s="196">
        <v>-2.2447812636466891E-4</v>
      </c>
      <c r="S196" s="196">
        <v>10.819875375616325</v>
      </c>
      <c r="T196" s="197">
        <v>-2.4288253518175706E-2</v>
      </c>
      <c r="U196" s="197">
        <v>-2.2447812636466891</v>
      </c>
      <c r="V196" s="193">
        <v>1.077</v>
      </c>
      <c r="W196" s="194">
        <v>-28.267296006668701</v>
      </c>
      <c r="X196" s="194">
        <v>1.0801415842415916</v>
      </c>
      <c r="Y196" s="196">
        <v>3.1415842415916106E-3</v>
      </c>
      <c r="Z196" s="196">
        <v>364.21192463824411</v>
      </c>
      <c r="AA196" s="196">
        <v>11.442024430432591</v>
      </c>
      <c r="AB196" s="196">
        <v>31.415842415916106</v>
      </c>
    </row>
    <row r="197" spans="1:28" x14ac:dyDescent="0.25">
      <c r="A197" s="190">
        <v>185</v>
      </c>
      <c r="B197" s="171">
        <v>5</v>
      </c>
      <c r="C197" s="171" t="s">
        <v>460</v>
      </c>
      <c r="D197" s="171" t="s">
        <v>32</v>
      </c>
      <c r="E197" s="171" t="s">
        <v>467</v>
      </c>
      <c r="F197" s="171">
        <v>2</v>
      </c>
      <c r="G197" s="171" t="s">
        <v>106</v>
      </c>
      <c r="H197" s="171">
        <v>3.5419999999999998</v>
      </c>
      <c r="I197" s="171"/>
      <c r="J197" s="191">
        <v>1.6019010419314392</v>
      </c>
      <c r="K197" s="191">
        <v>38.826944764786397</v>
      </c>
      <c r="L197" s="192">
        <v>24.238042019107553</v>
      </c>
      <c r="M197" s="192">
        <v>-0.64509201285012818</v>
      </c>
      <c r="N197" s="192">
        <v>-28.496778697943007</v>
      </c>
      <c r="O197" s="193">
        <v>0.36599999999999999</v>
      </c>
      <c r="P197" s="194">
        <v>-0.64509201285012818</v>
      </c>
      <c r="Q197" s="195">
        <v>0.36601824905294827</v>
      </c>
      <c r="R197" s="196">
        <v>1.8249052948282607E-5</v>
      </c>
      <c r="S197" s="196">
        <v>16.019010419314391</v>
      </c>
      <c r="T197" s="197">
        <v>2.9233176932115905E-3</v>
      </c>
      <c r="U197" s="197">
        <v>0.18249052948282607</v>
      </c>
      <c r="V197" s="193">
        <v>1.077</v>
      </c>
      <c r="W197" s="194">
        <v>-28.496778697943007</v>
      </c>
      <c r="X197" s="194">
        <v>1.0798892545276741</v>
      </c>
      <c r="Y197" s="196">
        <v>2.8892545276741899E-3</v>
      </c>
      <c r="Z197" s="196">
        <v>388.26944764786396</v>
      </c>
      <c r="AA197" s="196">
        <v>11.218092595741478</v>
      </c>
      <c r="AB197" s="196">
        <v>28.892545276741899</v>
      </c>
    </row>
    <row r="198" spans="1:28" x14ac:dyDescent="0.25">
      <c r="A198" s="171"/>
      <c r="B198" s="171"/>
      <c r="C198" s="171"/>
      <c r="D198" s="171"/>
      <c r="E198" s="171"/>
      <c r="F198" s="171"/>
      <c r="G198" s="171"/>
      <c r="H198" s="171"/>
      <c r="I198" s="198" t="s">
        <v>152</v>
      </c>
      <c r="J198" s="191">
        <v>2.7401399805305982</v>
      </c>
      <c r="K198" s="191">
        <v>46.300418479257097</v>
      </c>
      <c r="L198" s="192">
        <v>16.897099713238564</v>
      </c>
      <c r="M198" s="192">
        <v>2.0576278542331723</v>
      </c>
      <c r="N198" s="192">
        <v>-26.162705293523029</v>
      </c>
      <c r="O198" s="193">
        <v>0.36599999999999999</v>
      </c>
      <c r="P198" s="194">
        <v>2.0576278542331723</v>
      </c>
      <c r="Q198" s="195">
        <v>0.36700449949575914</v>
      </c>
      <c r="R198" s="196">
        <v>1.004499495759148E-3</v>
      </c>
      <c r="S198" s="196">
        <v>27.401399805305985</v>
      </c>
      <c r="T198" s="197">
        <v>0.27524692287524682</v>
      </c>
      <c r="U198" s="197">
        <v>10.044994957591481</v>
      </c>
      <c r="V198" s="193">
        <v>1.077</v>
      </c>
      <c r="W198" s="194">
        <v>-26.162705293523029</v>
      </c>
      <c r="X198" s="194">
        <v>1.0824556454546201</v>
      </c>
      <c r="Y198" s="196">
        <v>5.4556454546201838E-3</v>
      </c>
      <c r="Z198" s="196">
        <v>463.00418479257104</v>
      </c>
      <c r="AA198" s="196">
        <v>25.259866762337136</v>
      </c>
      <c r="AB198" s="196">
        <v>54.556454546201834</v>
      </c>
    </row>
    <row r="199" spans="1:28" x14ac:dyDescent="0.25">
      <c r="A199" s="190">
        <v>186</v>
      </c>
      <c r="B199" s="171">
        <v>5</v>
      </c>
      <c r="C199" s="171" t="s">
        <v>461</v>
      </c>
      <c r="D199" s="171" t="s">
        <v>24</v>
      </c>
      <c r="E199" s="171" t="s">
        <v>467</v>
      </c>
      <c r="F199" s="171">
        <v>2</v>
      </c>
      <c r="G199" s="171" t="s">
        <v>107</v>
      </c>
      <c r="H199" s="171">
        <v>3.6579999999999999</v>
      </c>
      <c r="I199" s="171"/>
      <c r="J199" s="191">
        <v>1.6591396185532619</v>
      </c>
      <c r="K199" s="191">
        <v>39.38553763617373</v>
      </c>
      <c r="L199" s="192">
        <v>23.738531221692583</v>
      </c>
      <c r="M199" s="192">
        <v>0.38957683439433222</v>
      </c>
      <c r="N199" s="192">
        <v>-28.274577869974493</v>
      </c>
      <c r="O199" s="193">
        <v>0.36599999999999999</v>
      </c>
      <c r="P199" s="194">
        <v>0.38957683439433222</v>
      </c>
      <c r="Q199" s="195">
        <v>0.3663958127269954</v>
      </c>
      <c r="R199" s="196">
        <v>3.9581272699540371E-4</v>
      </c>
      <c r="S199" s="196">
        <v>16.59139618553262</v>
      </c>
      <c r="T199" s="197">
        <v>6.5670857688568049E-2</v>
      </c>
      <c r="U199" s="197">
        <v>3.9581272699540371</v>
      </c>
      <c r="V199" s="193">
        <v>1.077</v>
      </c>
      <c r="W199" s="194">
        <v>-28.274577869974493</v>
      </c>
      <c r="X199" s="194">
        <v>1.0801335774244489</v>
      </c>
      <c r="Y199" s="196">
        <v>3.1335774244489745E-3</v>
      </c>
      <c r="Z199" s="196">
        <v>393.85537636173729</v>
      </c>
      <c r="AA199" s="196">
        <v>12.341763158649943</v>
      </c>
      <c r="AB199" s="196">
        <v>31.335774244489745</v>
      </c>
    </row>
    <row r="200" spans="1:28" x14ac:dyDescent="0.25">
      <c r="A200" s="190">
        <v>187</v>
      </c>
      <c r="B200" s="171">
        <v>5</v>
      </c>
      <c r="C200" s="171" t="s">
        <v>462</v>
      </c>
      <c r="D200" s="171" t="s">
        <v>28</v>
      </c>
      <c r="E200" s="171" t="s">
        <v>467</v>
      </c>
      <c r="F200" s="171">
        <v>2</v>
      </c>
      <c r="G200" s="171" t="s">
        <v>108</v>
      </c>
      <c r="H200" s="171">
        <v>3.5649999999999999</v>
      </c>
      <c r="I200" s="171"/>
      <c r="J200" s="191">
        <v>1.8141698096431413</v>
      </c>
      <c r="K200" s="191">
        <v>39.492792246663186</v>
      </c>
      <c r="L200" s="192">
        <v>21.769071471006164</v>
      </c>
      <c r="M200" s="192">
        <v>1.8864655713936873</v>
      </c>
      <c r="N200" s="192">
        <v>-28.724725827314277</v>
      </c>
      <c r="O200" s="193">
        <v>0.36599999999999999</v>
      </c>
      <c r="P200" s="194">
        <v>1.8864655713936873</v>
      </c>
      <c r="Q200" s="195">
        <v>0.36694204118695428</v>
      </c>
      <c r="R200" s="196">
        <v>9.4204118695428996E-4</v>
      </c>
      <c r="S200" s="196">
        <v>18.141698096431412</v>
      </c>
      <c r="T200" s="197">
        <v>0.17090226808128631</v>
      </c>
      <c r="U200" s="197">
        <v>9.4204118695428996</v>
      </c>
      <c r="V200" s="193">
        <v>1.077</v>
      </c>
      <c r="W200" s="194">
        <v>-28.724725827314277</v>
      </c>
      <c r="X200" s="194">
        <v>1.079638611979947</v>
      </c>
      <c r="Y200" s="196">
        <v>2.6386119799470809E-3</v>
      </c>
      <c r="Z200" s="196">
        <v>394.92792246663191</v>
      </c>
      <c r="AA200" s="196">
        <v>10.420615474360668</v>
      </c>
      <c r="AB200" s="196">
        <v>26.386119799470812</v>
      </c>
    </row>
    <row r="201" spans="1:28" x14ac:dyDescent="0.25">
      <c r="A201" s="190">
        <v>188</v>
      </c>
      <c r="B201" s="171">
        <v>5</v>
      </c>
      <c r="C201" s="171" t="s">
        <v>463</v>
      </c>
      <c r="D201" s="171" t="s">
        <v>40</v>
      </c>
      <c r="E201" s="171" t="s">
        <v>467</v>
      </c>
      <c r="F201" s="171">
        <v>2</v>
      </c>
      <c r="G201" s="171" t="s">
        <v>109</v>
      </c>
      <c r="H201" s="171">
        <v>3.419</v>
      </c>
      <c r="I201" s="171"/>
      <c r="J201" s="191">
        <v>1.1226150843199358</v>
      </c>
      <c r="K201" s="191">
        <v>34.190254135593406</v>
      </c>
      <c r="L201" s="192">
        <v>30.455901237337617</v>
      </c>
      <c r="M201" s="192">
        <v>-0.91675180154984393</v>
      </c>
      <c r="N201" s="192">
        <v>-28.425546154269814</v>
      </c>
      <c r="O201" s="193">
        <v>0.36599999999999999</v>
      </c>
      <c r="P201" s="194">
        <v>-0.91675180154984393</v>
      </c>
      <c r="Q201" s="195">
        <v>0.36591911650544234</v>
      </c>
      <c r="R201" s="196">
        <v>-8.088349455764865E-5</v>
      </c>
      <c r="S201" s="196">
        <v>11.226150843199356</v>
      </c>
      <c r="T201" s="197">
        <v>-9.0801031062925797E-3</v>
      </c>
      <c r="U201" s="197">
        <v>-0.8088349455764865</v>
      </c>
      <c r="V201" s="193">
        <v>1.077</v>
      </c>
      <c r="W201" s="194">
        <v>-28.425546154269814</v>
      </c>
      <c r="X201" s="194">
        <v>1.0799675790360901</v>
      </c>
      <c r="Y201" s="196">
        <v>2.9675790360901289E-3</v>
      </c>
      <c r="Z201" s="196">
        <v>341.90254135593415</v>
      </c>
      <c r="AA201" s="196">
        <v>10.146228141138083</v>
      </c>
      <c r="AB201" s="196">
        <v>29.675790360901289</v>
      </c>
    </row>
    <row r="202" spans="1:28" x14ac:dyDescent="0.25">
      <c r="A202" s="190">
        <v>189</v>
      </c>
      <c r="B202" s="171">
        <v>5</v>
      </c>
      <c r="C202" s="171" t="s">
        <v>456</v>
      </c>
      <c r="D202" s="171" t="s">
        <v>52</v>
      </c>
      <c r="E202" s="171" t="s">
        <v>468</v>
      </c>
      <c r="F202" s="171">
        <v>2</v>
      </c>
      <c r="G202" s="171" t="s">
        <v>110</v>
      </c>
      <c r="H202" s="171">
        <v>3.75</v>
      </c>
      <c r="I202" s="171"/>
      <c r="J202" s="191">
        <v>1.5486937259376778</v>
      </c>
      <c r="K202" s="191">
        <v>44.554369244236874</v>
      </c>
      <c r="L202" s="192">
        <v>28.768999640171476</v>
      </c>
      <c r="M202" s="192">
        <v>-3.2022957163211982</v>
      </c>
      <c r="N202" s="192">
        <v>-29.68720883129614</v>
      </c>
      <c r="O202" s="193">
        <v>0.36599999999999999</v>
      </c>
      <c r="P202" s="194">
        <v>-3.2022957163211982</v>
      </c>
      <c r="Q202" s="195">
        <v>0.36508508098677006</v>
      </c>
      <c r="R202" s="196">
        <v>-9.1491901322993119E-4</v>
      </c>
      <c r="S202" s="196">
        <v>15.486937259376777</v>
      </c>
      <c r="T202" s="197">
        <v>-0.14169293355302856</v>
      </c>
      <c r="U202" s="197">
        <v>-9.1491901322993119</v>
      </c>
      <c r="V202" s="193">
        <v>1.077</v>
      </c>
      <c r="W202" s="194">
        <v>-29.68720883129614</v>
      </c>
      <c r="X202" s="194">
        <v>1.078580285932389</v>
      </c>
      <c r="Y202" s="196">
        <v>1.5802859323890139E-3</v>
      </c>
      <c r="Z202" s="196">
        <v>445.54369244236875</v>
      </c>
      <c r="AA202" s="196">
        <v>7.0408642943133284</v>
      </c>
      <c r="AB202" s="196">
        <v>15.802859323890139</v>
      </c>
    </row>
    <row r="203" spans="1:28" x14ac:dyDescent="0.25">
      <c r="A203" s="190">
        <v>190</v>
      </c>
      <c r="B203" s="171">
        <v>5</v>
      </c>
      <c r="C203" s="171" t="s">
        <v>458</v>
      </c>
      <c r="D203" s="171" t="s">
        <v>48</v>
      </c>
      <c r="E203" s="171" t="s">
        <v>468</v>
      </c>
      <c r="F203" s="171">
        <v>2</v>
      </c>
      <c r="G203" s="171" t="s">
        <v>111</v>
      </c>
      <c r="H203" s="171">
        <v>3.14</v>
      </c>
      <c r="I203" s="171"/>
      <c r="J203" s="191">
        <v>1.7761649970236644</v>
      </c>
      <c r="K203" s="191">
        <v>45.335654352918162</v>
      </c>
      <c r="L203" s="192">
        <v>25.524461088292767</v>
      </c>
      <c r="M203" s="192">
        <v>-2.2768650979256195</v>
      </c>
      <c r="N203" s="192">
        <v>-29.086890263084999</v>
      </c>
      <c r="O203" s="193">
        <v>0.36599999999999999</v>
      </c>
      <c r="P203" s="194">
        <v>-2.2768650979256195</v>
      </c>
      <c r="Q203" s="195">
        <v>0.36542278871828904</v>
      </c>
      <c r="R203" s="196">
        <v>-5.7721128171095426E-4</v>
      </c>
      <c r="S203" s="196">
        <v>17.761649970236647</v>
      </c>
      <c r="T203" s="197">
        <v>-0.10252224744621628</v>
      </c>
      <c r="U203" s="197">
        <v>-5.7721128171095426</v>
      </c>
      <c r="V203" s="193">
        <v>1.077</v>
      </c>
      <c r="W203" s="194">
        <v>-29.086890263084999</v>
      </c>
      <c r="X203" s="194">
        <v>1.0792403862485653</v>
      </c>
      <c r="Y203" s="196">
        <v>2.2403862485653736E-3</v>
      </c>
      <c r="Z203" s="196">
        <v>453.35654352918169</v>
      </c>
      <c r="AA203" s="196">
        <v>10.15693765819908</v>
      </c>
      <c r="AB203" s="196">
        <v>22.403862485653736</v>
      </c>
    </row>
    <row r="204" spans="1:28" x14ac:dyDescent="0.25">
      <c r="A204" s="190">
        <v>191</v>
      </c>
      <c r="B204" s="171">
        <v>5</v>
      </c>
      <c r="C204" s="171" t="s">
        <v>459</v>
      </c>
      <c r="D204" s="171" t="s">
        <v>44</v>
      </c>
      <c r="E204" s="171" t="s">
        <v>468</v>
      </c>
      <c r="F204" s="171">
        <v>2</v>
      </c>
      <c r="G204" s="171" t="s">
        <v>112</v>
      </c>
      <c r="H204" s="171">
        <v>4.0620000000000003</v>
      </c>
      <c r="I204" s="171"/>
      <c r="J204" s="191">
        <v>1.7815276903582786</v>
      </c>
      <c r="K204" s="191">
        <v>43.137156737813228</v>
      </c>
      <c r="L204" s="192">
        <v>24.213576343086771</v>
      </c>
      <c r="M204" s="192">
        <v>-7.6705120869986363</v>
      </c>
      <c r="N204" s="192">
        <v>-30.151762900373637</v>
      </c>
      <c r="O204" s="193">
        <v>0.36599999999999999</v>
      </c>
      <c r="P204" s="194">
        <v>-7.6705120869986363</v>
      </c>
      <c r="Q204" s="195">
        <v>0.36345450923585815</v>
      </c>
      <c r="R204" s="196">
        <v>-2.5454907641418445E-3</v>
      </c>
      <c r="S204" s="196">
        <v>17.815276903582788</v>
      </c>
      <c r="T204" s="197">
        <v>-0.45348622818699502</v>
      </c>
      <c r="U204" s="197">
        <v>-25.454907641418444</v>
      </c>
      <c r="V204" s="193">
        <v>1.077</v>
      </c>
      <c r="W204" s="194">
        <v>-30.151762900373637</v>
      </c>
      <c r="X204" s="194">
        <v>1.0780694639556054</v>
      </c>
      <c r="Y204" s="196">
        <v>1.0694639556054764E-3</v>
      </c>
      <c r="Z204" s="196">
        <v>431.37156737813228</v>
      </c>
      <c r="AA204" s="196">
        <v>4.6133634278395164</v>
      </c>
      <c r="AB204" s="196">
        <v>10.694639556054764</v>
      </c>
    </row>
    <row r="205" spans="1:28" x14ac:dyDescent="0.25">
      <c r="A205" s="190">
        <v>192</v>
      </c>
      <c r="B205" s="171">
        <v>5</v>
      </c>
      <c r="C205" s="171" t="s">
        <v>460</v>
      </c>
      <c r="D205" s="171" t="s">
        <v>32</v>
      </c>
      <c r="E205" s="171" t="s">
        <v>468</v>
      </c>
      <c r="F205" s="171">
        <v>2</v>
      </c>
      <c r="G205" s="171" t="s">
        <v>126</v>
      </c>
      <c r="H205" s="171">
        <v>3.89</v>
      </c>
      <c r="I205" s="171"/>
      <c r="J205" s="191">
        <v>1.4591397622657203</v>
      </c>
      <c r="K205" s="191">
        <v>43.620026005065043</v>
      </c>
      <c r="L205" s="192">
        <v>29.894344005356153</v>
      </c>
      <c r="M205" s="192">
        <v>13.146360224598906</v>
      </c>
      <c r="N205" s="192">
        <v>-30.022748108378138</v>
      </c>
      <c r="O205" s="193">
        <v>0.36599999999999999</v>
      </c>
      <c r="P205" s="194">
        <v>13.146360224598906</v>
      </c>
      <c r="Q205" s="195">
        <v>0.37105068828537358</v>
      </c>
      <c r="R205" s="196">
        <v>5.0506882853735835E-3</v>
      </c>
      <c r="S205" s="196">
        <v>14.591397622657203</v>
      </c>
      <c r="T205" s="197">
        <v>0.73696601039982701</v>
      </c>
      <c r="U205" s="197">
        <v>50.506882853735831</v>
      </c>
      <c r="V205" s="193">
        <v>1.077</v>
      </c>
      <c r="W205" s="194">
        <v>-30.022748108378138</v>
      </c>
      <c r="X205" s="194">
        <v>1.0782113286841171</v>
      </c>
      <c r="Y205" s="196">
        <v>1.2113286841171078E-3</v>
      </c>
      <c r="Z205" s="196">
        <v>436.20026005065046</v>
      </c>
      <c r="AA205" s="196">
        <v>5.2838188701869457</v>
      </c>
      <c r="AB205" s="196">
        <v>12.113286841171078</v>
      </c>
    </row>
    <row r="206" spans="1:28" x14ac:dyDescent="0.25">
      <c r="A206" s="190">
        <v>193</v>
      </c>
      <c r="B206" s="171">
        <v>5</v>
      </c>
      <c r="C206" s="171" t="s">
        <v>461</v>
      </c>
      <c r="D206" s="171" t="s">
        <v>24</v>
      </c>
      <c r="E206" s="171" t="s">
        <v>468</v>
      </c>
      <c r="F206" s="171">
        <v>2</v>
      </c>
      <c r="G206" s="171" t="s">
        <v>127</v>
      </c>
      <c r="H206" s="171">
        <v>3.3250000000000002</v>
      </c>
      <c r="I206" s="171"/>
      <c r="J206" s="191">
        <v>2.328997682630678</v>
      </c>
      <c r="K206" s="191">
        <v>44.085200594303835</v>
      </c>
      <c r="L206" s="192">
        <v>18.928829737824461</v>
      </c>
      <c r="M206" s="192">
        <v>-1.1608852892838017</v>
      </c>
      <c r="N206" s="192">
        <v>-29.514076304348524</v>
      </c>
      <c r="O206" s="193">
        <v>0.36599999999999999</v>
      </c>
      <c r="P206" s="194">
        <v>-1.1608852892838017</v>
      </c>
      <c r="Q206" s="195">
        <v>0.36583002853108271</v>
      </c>
      <c r="R206" s="196">
        <v>-1.6997146891728487E-4</v>
      </c>
      <c r="S206" s="196">
        <v>23.289976826306781</v>
      </c>
      <c r="T206" s="197">
        <v>-3.9586315722168877E-2</v>
      </c>
      <c r="U206" s="197">
        <v>-1.699714689172849</v>
      </c>
      <c r="V206" s="193">
        <v>1.077</v>
      </c>
      <c r="W206" s="194">
        <v>-29.514076304348524</v>
      </c>
      <c r="X206" s="194">
        <v>1.0787706604843563</v>
      </c>
      <c r="Y206" s="196">
        <v>1.7706604843563678E-3</v>
      </c>
      <c r="Z206" s="196">
        <v>440.85200594303836</v>
      </c>
      <c r="AA206" s="196">
        <v>7.8059922637257664</v>
      </c>
      <c r="AB206" s="196">
        <v>17.706604843563678</v>
      </c>
    </row>
    <row r="207" spans="1:28" x14ac:dyDescent="0.25">
      <c r="A207" s="190">
        <v>194</v>
      </c>
      <c r="B207" s="171">
        <v>5</v>
      </c>
      <c r="C207" s="171" t="s">
        <v>462</v>
      </c>
      <c r="D207" s="171" t="s">
        <v>28</v>
      </c>
      <c r="E207" s="171" t="s">
        <v>468</v>
      </c>
      <c r="F207" s="171">
        <v>2</v>
      </c>
      <c r="G207" s="171" t="s">
        <v>128</v>
      </c>
      <c r="H207" s="171">
        <v>3.9980000000000002</v>
      </c>
      <c r="I207" s="171"/>
      <c r="J207" s="191">
        <v>2.1635236336491701</v>
      </c>
      <c r="K207" s="191">
        <v>41.973690035698915</v>
      </c>
      <c r="L207" s="192">
        <v>19.400615451056002</v>
      </c>
      <c r="M207" s="192">
        <v>-3.6634137747084146</v>
      </c>
      <c r="N207" s="192">
        <v>-27.98798278906165</v>
      </c>
      <c r="O207" s="193">
        <v>0.36599999999999999</v>
      </c>
      <c r="P207" s="194">
        <v>-3.6634137747084146</v>
      </c>
      <c r="Q207" s="195">
        <v>0.36491680913452956</v>
      </c>
      <c r="R207" s="196">
        <v>-1.0831908654704292E-3</v>
      </c>
      <c r="S207" s="196">
        <v>21.635236336491701</v>
      </c>
      <c r="T207" s="197">
        <v>-0.23435090371981721</v>
      </c>
      <c r="U207" s="197">
        <v>-10.831908654704293</v>
      </c>
      <c r="V207" s="193">
        <v>1.077</v>
      </c>
      <c r="W207" s="194">
        <v>-27.98798278906165</v>
      </c>
      <c r="X207" s="194">
        <v>1.0804487038125794</v>
      </c>
      <c r="Y207" s="196">
        <v>3.4487038125794456E-3</v>
      </c>
      <c r="Z207" s="196">
        <v>419.73690035698911</v>
      </c>
      <c r="AA207" s="196">
        <v>14.475482485414272</v>
      </c>
      <c r="AB207" s="196">
        <v>34.487038125794456</v>
      </c>
    </row>
    <row r="208" spans="1:28" x14ac:dyDescent="0.25">
      <c r="A208" s="190">
        <v>195</v>
      </c>
      <c r="B208" s="171">
        <v>5</v>
      </c>
      <c r="C208" s="171" t="s">
        <v>463</v>
      </c>
      <c r="D208" s="171" t="s">
        <v>40</v>
      </c>
      <c r="E208" s="171" t="s">
        <v>468</v>
      </c>
      <c r="F208" s="171">
        <v>2</v>
      </c>
      <c r="G208" s="171" t="s">
        <v>113</v>
      </c>
      <c r="H208" s="171">
        <v>3.294</v>
      </c>
      <c r="I208" s="171"/>
      <c r="J208" s="191">
        <v>1.4093105495000704</v>
      </c>
      <c r="K208" s="191">
        <v>43.48009953149127</v>
      </c>
      <c r="L208" s="192">
        <v>30.852035803546002</v>
      </c>
      <c r="M208" s="192">
        <v>-4.7408480345849338</v>
      </c>
      <c r="N208" s="192">
        <v>-28.701327778720103</v>
      </c>
      <c r="O208" s="193">
        <v>0.36599999999999999</v>
      </c>
      <c r="P208" s="194">
        <v>-4.7408480345849338</v>
      </c>
      <c r="Q208" s="195">
        <v>0.36452362808916916</v>
      </c>
      <c r="R208" s="196">
        <v>-1.4763719108308315E-3</v>
      </c>
      <c r="S208" s="196">
        <v>14.093105495000703</v>
      </c>
      <c r="T208" s="197">
        <v>-0.20806665089194679</v>
      </c>
      <c r="U208" s="197">
        <v>-14.763719108308315</v>
      </c>
      <c r="V208" s="193">
        <v>1.077</v>
      </c>
      <c r="W208" s="194">
        <v>-28.701327778720103</v>
      </c>
      <c r="X208" s="194">
        <v>1.0796643396996242</v>
      </c>
      <c r="Y208" s="196">
        <v>2.6643396996242075E-3</v>
      </c>
      <c r="Z208" s="196">
        <v>434.80099531491265</v>
      </c>
      <c r="AA208" s="196">
        <v>11.584575532536409</v>
      </c>
      <c r="AB208" s="196">
        <v>26.643396996242071</v>
      </c>
    </row>
    <row r="209" spans="1:28" x14ac:dyDescent="0.25">
      <c r="A209" s="190">
        <v>196</v>
      </c>
      <c r="B209" s="171">
        <v>5</v>
      </c>
      <c r="C209" s="171" t="s">
        <v>464</v>
      </c>
      <c r="D209" s="171" t="s">
        <v>36</v>
      </c>
      <c r="E209" s="171" t="s">
        <v>468</v>
      </c>
      <c r="F209" s="171">
        <v>2</v>
      </c>
      <c r="G209" s="171" t="s">
        <v>114</v>
      </c>
      <c r="H209" s="171">
        <v>3.323</v>
      </c>
      <c r="I209" s="171"/>
      <c r="J209" s="191">
        <v>2.0455234721152844</v>
      </c>
      <c r="K209" s="191">
        <v>42.926715036806478</v>
      </c>
      <c r="L209" s="192">
        <v>20.985686853260979</v>
      </c>
      <c r="M209" s="192">
        <v>-2.1185125760255707</v>
      </c>
      <c r="N209" s="192">
        <v>-30.05516510306617</v>
      </c>
      <c r="O209" s="193">
        <v>0.36599999999999999</v>
      </c>
      <c r="P209" s="194">
        <v>-2.1185125760255707</v>
      </c>
      <c r="Q209" s="195">
        <v>0.36548057442109128</v>
      </c>
      <c r="R209" s="196">
        <v>-5.1942557890871655E-4</v>
      </c>
      <c r="S209" s="196">
        <v>20.455234721152845</v>
      </c>
      <c r="T209" s="197">
        <v>-0.10624972136748495</v>
      </c>
      <c r="U209" s="197">
        <v>-5.1942557890871655</v>
      </c>
      <c r="V209" s="193">
        <v>1.077</v>
      </c>
      <c r="W209" s="194">
        <v>-30.05516510306617</v>
      </c>
      <c r="X209" s="194">
        <v>1.0781756829791451</v>
      </c>
      <c r="Y209" s="196">
        <v>1.1756829791451651E-3</v>
      </c>
      <c r="Z209" s="196">
        <v>429.26715036806479</v>
      </c>
      <c r="AA209" s="196">
        <v>5.0468208219388195</v>
      </c>
      <c r="AB209" s="196">
        <v>11.756829791451652</v>
      </c>
    </row>
    <row r="210" spans="1:28" x14ac:dyDescent="0.25">
      <c r="A210" s="190">
        <v>197</v>
      </c>
      <c r="B210" s="171">
        <v>5</v>
      </c>
      <c r="C210" s="171" t="s">
        <v>456</v>
      </c>
      <c r="D210" s="171" t="s">
        <v>52</v>
      </c>
      <c r="E210" s="171" t="s">
        <v>470</v>
      </c>
      <c r="F210" s="171">
        <v>2</v>
      </c>
      <c r="G210" s="171" t="s">
        <v>115</v>
      </c>
      <c r="H210" s="171">
        <v>3.3540000000000001</v>
      </c>
      <c r="I210" s="171"/>
      <c r="J210" s="191">
        <v>1.1819559263977784</v>
      </c>
      <c r="K210" s="191">
        <v>43.738579889260656</v>
      </c>
      <c r="L210" s="192">
        <v>37.005254521259339</v>
      </c>
      <c r="M210" s="192">
        <v>0.10348944325031628</v>
      </c>
      <c r="N210" s="192">
        <v>-29.948593393548219</v>
      </c>
      <c r="O210" s="193">
        <v>0.36599999999999999</v>
      </c>
      <c r="P210" s="194">
        <v>0.10348944325031628</v>
      </c>
      <c r="Q210" s="195">
        <v>0.36629141612644261</v>
      </c>
      <c r="R210" s="196">
        <v>2.9141612644262294E-4</v>
      </c>
      <c r="S210" s="196">
        <v>11.819559263977784</v>
      </c>
      <c r="T210" s="197">
        <v>3.4444101769674246E-2</v>
      </c>
      <c r="U210" s="197">
        <v>2.9141612644262294</v>
      </c>
      <c r="V210" s="193">
        <v>1.077</v>
      </c>
      <c r="W210" s="194">
        <v>-29.948593393548219</v>
      </c>
      <c r="X210" s="194">
        <v>1.0782928690607385</v>
      </c>
      <c r="Y210" s="196">
        <v>1.2928690607385551E-3</v>
      </c>
      <c r="Z210" s="196">
        <v>437.3857988926066</v>
      </c>
      <c r="AA210" s="196">
        <v>5.6548256699466677</v>
      </c>
      <c r="AB210" s="196">
        <v>12.928690607385553</v>
      </c>
    </row>
    <row r="211" spans="1:28" x14ac:dyDescent="0.25">
      <c r="A211" s="171"/>
      <c r="B211" s="171"/>
      <c r="C211" s="171"/>
      <c r="D211" s="171"/>
      <c r="E211" s="171"/>
      <c r="F211" s="171"/>
      <c r="G211" s="171"/>
      <c r="H211" s="171"/>
      <c r="I211" s="198" t="s">
        <v>152</v>
      </c>
      <c r="J211" s="191">
        <v>2.7314533059364168</v>
      </c>
      <c r="K211" s="191">
        <v>45.759096831823854</v>
      </c>
      <c r="L211" s="192">
        <v>16.752655713488899</v>
      </c>
      <c r="M211" s="192">
        <v>2.6502682265654425</v>
      </c>
      <c r="N211" s="192">
        <v>-25.299996851809116</v>
      </c>
      <c r="O211" s="193">
        <v>0.36599999999999999</v>
      </c>
      <c r="P211" s="194">
        <v>2.6502682265654425</v>
      </c>
      <c r="Q211" s="195">
        <v>0.3672207574891882</v>
      </c>
      <c r="R211" s="196">
        <v>1.2207574891882067E-3</v>
      </c>
      <c r="S211" s="196">
        <v>27.314533059364166</v>
      </c>
      <c r="T211" s="197">
        <v>0.33344420795897667</v>
      </c>
      <c r="U211" s="197">
        <v>12.207574891882068</v>
      </c>
      <c r="V211" s="193">
        <v>1.077</v>
      </c>
      <c r="W211" s="194">
        <v>-25.299996851809116</v>
      </c>
      <c r="X211" s="194">
        <v>1.0834041882216834</v>
      </c>
      <c r="Y211" s="196">
        <v>6.4041882216834267E-3</v>
      </c>
      <c r="Z211" s="196">
        <v>457.59096831823854</v>
      </c>
      <c r="AA211" s="196">
        <v>29.304986896523776</v>
      </c>
      <c r="AB211" s="196">
        <v>64.041882216834267</v>
      </c>
    </row>
    <row r="212" spans="1:28" x14ac:dyDescent="0.25">
      <c r="A212" s="190">
        <v>198</v>
      </c>
      <c r="B212" s="171">
        <v>5</v>
      </c>
      <c r="C212" s="171" t="s">
        <v>458</v>
      </c>
      <c r="D212" s="171" t="s">
        <v>48</v>
      </c>
      <c r="E212" s="171" t="s">
        <v>470</v>
      </c>
      <c r="F212" s="171">
        <v>3</v>
      </c>
      <c r="G212" s="171" t="s">
        <v>25</v>
      </c>
      <c r="H212" s="171">
        <v>3.1920000000000002</v>
      </c>
      <c r="I212" s="171"/>
      <c r="J212" s="191">
        <v>1.9599088593046994</v>
      </c>
      <c r="K212" s="191">
        <v>44.984254841057215</v>
      </c>
      <c r="L212" s="192">
        <v>22.952217715376779</v>
      </c>
      <c r="M212" s="192">
        <v>-5.156257804691565</v>
      </c>
      <c r="N212" s="192">
        <v>-29.252207065590934</v>
      </c>
      <c r="O212" s="193">
        <v>0.36599999999999999</v>
      </c>
      <c r="P212" s="194">
        <v>-5.156257804691565</v>
      </c>
      <c r="Q212" s="195">
        <v>0.36437203448685673</v>
      </c>
      <c r="R212" s="196">
        <v>-1.6279655131432591E-3</v>
      </c>
      <c r="S212" s="196">
        <v>19.599088593046993</v>
      </c>
      <c r="T212" s="197">
        <v>-0.31906640318519941</v>
      </c>
      <c r="U212" s="197">
        <v>-16.279655131432591</v>
      </c>
      <c r="V212" s="193">
        <v>1.077</v>
      </c>
      <c r="W212" s="194">
        <v>-29.252207065590934</v>
      </c>
      <c r="X212" s="194">
        <v>1.0790586075202051</v>
      </c>
      <c r="Y212" s="196">
        <v>2.0586075202051468E-3</v>
      </c>
      <c r="Z212" s="196">
        <v>449.84254841057214</v>
      </c>
      <c r="AA212" s="196">
        <v>9.2604925306625159</v>
      </c>
      <c r="AB212" s="196">
        <v>20.586075202051468</v>
      </c>
    </row>
    <row r="213" spans="1:28" x14ac:dyDescent="0.25">
      <c r="A213" s="190">
        <v>199</v>
      </c>
      <c r="B213" s="171">
        <v>5</v>
      </c>
      <c r="C213" s="171" t="s">
        <v>459</v>
      </c>
      <c r="D213" s="171" t="s">
        <v>44</v>
      </c>
      <c r="E213" s="171" t="s">
        <v>470</v>
      </c>
      <c r="F213" s="171">
        <v>3</v>
      </c>
      <c r="G213" s="171" t="s">
        <v>26</v>
      </c>
      <c r="H213" s="171">
        <v>3.6539999999999999</v>
      </c>
      <c r="I213" s="171"/>
      <c r="J213" s="191">
        <v>1.5736217297698833</v>
      </c>
      <c r="K213" s="191">
        <v>43.08262458471377</v>
      </c>
      <c r="L213" s="192">
        <v>27.378005634819178</v>
      </c>
      <c r="M213" s="192">
        <v>-6.2229732229584727</v>
      </c>
      <c r="N213" s="192">
        <v>-30.708884006118947</v>
      </c>
      <c r="O213" s="193">
        <v>0.36599999999999999</v>
      </c>
      <c r="P213" s="194">
        <v>-6.2229732229584727</v>
      </c>
      <c r="Q213" s="195">
        <v>0.36398276075678226</v>
      </c>
      <c r="R213" s="196">
        <v>-2.0172392432177277E-3</v>
      </c>
      <c r="S213" s="196">
        <v>15.736217297698834</v>
      </c>
      <c r="T213" s="197">
        <v>-0.31743715072719719</v>
      </c>
      <c r="U213" s="197">
        <v>-20.172392432177276</v>
      </c>
      <c r="V213" s="193">
        <v>1.077</v>
      </c>
      <c r="W213" s="194">
        <v>-30.708884006118947</v>
      </c>
      <c r="X213" s="194">
        <v>1.0774568486422638</v>
      </c>
      <c r="Y213" s="196">
        <v>4.5684864226380739E-4</v>
      </c>
      <c r="Z213" s="196">
        <v>430.82624584713767</v>
      </c>
      <c r="AA213" s="196">
        <v>1.9682238546687814</v>
      </c>
      <c r="AB213" s="196">
        <v>4.5684864226380739</v>
      </c>
    </row>
    <row r="214" spans="1:28" x14ac:dyDescent="0.25">
      <c r="A214" s="190">
        <v>200</v>
      </c>
      <c r="B214" s="171">
        <v>5</v>
      </c>
      <c r="C214" s="171" t="s">
        <v>460</v>
      </c>
      <c r="D214" s="171" t="s">
        <v>32</v>
      </c>
      <c r="E214" s="171" t="s">
        <v>470</v>
      </c>
      <c r="F214" s="171">
        <v>3</v>
      </c>
      <c r="G214" s="171" t="s">
        <v>27</v>
      </c>
      <c r="H214" s="171">
        <v>3.1949999999999998</v>
      </c>
      <c r="I214" s="171"/>
      <c r="J214" s="191">
        <v>2.5653618385501451</v>
      </c>
      <c r="K214" s="191">
        <v>45.142936032091015</v>
      </c>
      <c r="L214" s="192">
        <v>17.597102815563929</v>
      </c>
      <c r="M214" s="192">
        <v>0.39455125663434443</v>
      </c>
      <c r="N214" s="192">
        <v>-29.169047758696667</v>
      </c>
      <c r="O214" s="193">
        <v>0.36599999999999999</v>
      </c>
      <c r="P214" s="194">
        <v>0.39455125663434443</v>
      </c>
      <c r="Q214" s="195">
        <v>0.3663976279493158</v>
      </c>
      <c r="R214" s="196">
        <v>3.9762794931580414E-4</v>
      </c>
      <c r="S214" s="196">
        <v>25.653618385501453</v>
      </c>
      <c r="T214" s="197">
        <v>0.10200595671157153</v>
      </c>
      <c r="U214" s="197">
        <v>3.9762794931580414</v>
      </c>
      <c r="V214" s="193">
        <v>1.077</v>
      </c>
      <c r="W214" s="194">
        <v>-29.169047758696667</v>
      </c>
      <c r="X214" s="194">
        <v>1.0791500477527436</v>
      </c>
      <c r="Y214" s="196">
        <v>2.1500477527436335E-3</v>
      </c>
      <c r="Z214" s="196">
        <v>451.42936032091012</v>
      </c>
      <c r="AA214" s="196">
        <v>9.7059468168046887</v>
      </c>
      <c r="AB214" s="196">
        <v>21.500477527436335</v>
      </c>
    </row>
    <row r="215" spans="1:28" x14ac:dyDescent="0.25">
      <c r="A215" s="190">
        <v>201</v>
      </c>
      <c r="B215" s="171">
        <v>5</v>
      </c>
      <c r="C215" s="171" t="s">
        <v>462</v>
      </c>
      <c r="D215" s="171" t="s">
        <v>28</v>
      </c>
      <c r="E215" s="171" t="s">
        <v>470</v>
      </c>
      <c r="F215" s="171">
        <v>3</v>
      </c>
      <c r="G215" s="171" t="s">
        <v>29</v>
      </c>
      <c r="H215" s="171">
        <v>3.2050000000000001</v>
      </c>
      <c r="I215" s="171"/>
      <c r="J215" s="191">
        <v>2.2357372498453882</v>
      </c>
      <c r="K215" s="191">
        <v>44.876229396804774</v>
      </c>
      <c r="L215" s="192">
        <v>20.072228702146539</v>
      </c>
      <c r="M215" s="192">
        <v>-1.876886330949072</v>
      </c>
      <c r="N215" s="192">
        <v>-29.52994001914324</v>
      </c>
      <c r="O215" s="193">
        <v>0.36599999999999999</v>
      </c>
      <c r="P215" s="194">
        <v>-1.876886330949072</v>
      </c>
      <c r="Q215" s="195">
        <v>0.36556874808429096</v>
      </c>
      <c r="R215" s="196">
        <v>-4.3125191570902999E-4</v>
      </c>
      <c r="S215" s="196">
        <v>22.357372498453884</v>
      </c>
      <c r="T215" s="197">
        <v>-9.6416597201786206E-2</v>
      </c>
      <c r="U215" s="197">
        <v>-4.3125191570902999</v>
      </c>
      <c r="V215" s="193">
        <v>1.077</v>
      </c>
      <c r="W215" s="194">
        <v>-29.52994001914324</v>
      </c>
      <c r="X215" s="194">
        <v>1.0787532169549958</v>
      </c>
      <c r="Y215" s="196">
        <v>1.7532169549958621E-3</v>
      </c>
      <c r="Z215" s="196">
        <v>448.76229396804774</v>
      </c>
      <c r="AA215" s="196">
        <v>7.8677766254761865</v>
      </c>
      <c r="AB215" s="196">
        <v>17.532169549958621</v>
      </c>
    </row>
    <row r="216" spans="1:28" x14ac:dyDescent="0.25">
      <c r="A216" s="190">
        <v>202</v>
      </c>
      <c r="B216" s="171">
        <v>5</v>
      </c>
      <c r="C216" s="171" t="s">
        <v>463</v>
      </c>
      <c r="D216" s="171" t="s">
        <v>40</v>
      </c>
      <c r="E216" s="171" t="s">
        <v>470</v>
      </c>
      <c r="F216" s="171">
        <v>3</v>
      </c>
      <c r="G216" s="171" t="s">
        <v>30</v>
      </c>
      <c r="H216" s="171">
        <v>3.9820000000000002</v>
      </c>
      <c r="I216" s="171"/>
      <c r="J216" s="191">
        <v>1.8264013331971316</v>
      </c>
      <c r="K216" s="191">
        <v>42.369312335030763</v>
      </c>
      <c r="L216" s="192">
        <v>23.198248689877435</v>
      </c>
      <c r="M216" s="192">
        <v>-4.0023968819679077</v>
      </c>
      <c r="N216" s="192">
        <v>-28.176929794716042</v>
      </c>
      <c r="O216" s="193">
        <v>0.36599999999999999</v>
      </c>
      <c r="P216" s="194">
        <v>-4.0023968819679077</v>
      </c>
      <c r="Q216" s="195">
        <v>0.36479310657841502</v>
      </c>
      <c r="R216" s="196">
        <v>-1.2068934215849758E-3</v>
      </c>
      <c r="S216" s="196">
        <v>18.264013331971316</v>
      </c>
      <c r="T216" s="197">
        <v>-0.22042717542096477</v>
      </c>
      <c r="U216" s="197">
        <v>-12.068934215849758</v>
      </c>
      <c r="V216" s="193">
        <v>1.077</v>
      </c>
      <c r="W216" s="194">
        <v>-28.176929794716042</v>
      </c>
      <c r="X216" s="194">
        <v>1.0802409468524035</v>
      </c>
      <c r="Y216" s="196">
        <v>3.2409468524035034E-3</v>
      </c>
      <c r="Z216" s="196">
        <v>423.69312335030764</v>
      </c>
      <c r="AA216" s="196">
        <v>13.731668945071888</v>
      </c>
      <c r="AB216" s="196">
        <v>32.409468524035034</v>
      </c>
    </row>
    <row r="217" spans="1:28" x14ac:dyDescent="0.25">
      <c r="A217" s="190">
        <v>203</v>
      </c>
      <c r="B217" s="171">
        <v>5</v>
      </c>
      <c r="C217" s="171" t="s">
        <v>463</v>
      </c>
      <c r="D217" s="171" t="s">
        <v>40</v>
      </c>
      <c r="E217" s="171" t="s">
        <v>466</v>
      </c>
      <c r="F217" s="171">
        <v>3</v>
      </c>
      <c r="G217" s="171" t="s">
        <v>31</v>
      </c>
      <c r="H217" s="171">
        <v>3.4729999999999999</v>
      </c>
      <c r="I217" s="171"/>
      <c r="J217" s="191">
        <v>2.1049419543021792</v>
      </c>
      <c r="K217" s="191">
        <v>38.781647177947214</v>
      </c>
      <c r="L217" s="192">
        <v>18.424093404895778</v>
      </c>
      <c r="M217" s="192">
        <v>-0.24991894472667764</v>
      </c>
      <c r="N217" s="192">
        <v>-27.908523834743857</v>
      </c>
      <c r="O217" s="193">
        <v>0.36599999999999999</v>
      </c>
      <c r="P217" s="194">
        <v>-0.24991894472667764</v>
      </c>
      <c r="Q217" s="195">
        <v>0.36616245301283612</v>
      </c>
      <c r="R217" s="196">
        <v>1.624530128361279E-4</v>
      </c>
      <c r="S217" s="196">
        <v>21.049419543021795</v>
      </c>
      <c r="T217" s="197">
        <v>3.4195416232155607E-2</v>
      </c>
      <c r="U217" s="197">
        <v>1.624530128361279</v>
      </c>
      <c r="V217" s="193">
        <v>1.077</v>
      </c>
      <c r="W217" s="194">
        <v>-27.908523834743857</v>
      </c>
      <c r="X217" s="194">
        <v>1.0805360727629301</v>
      </c>
      <c r="Y217" s="196">
        <v>3.5360727629301092E-3</v>
      </c>
      <c r="Z217" s="196">
        <v>387.81647177947218</v>
      </c>
      <c r="AA217" s="196">
        <v>13.713472628750448</v>
      </c>
      <c r="AB217" s="196">
        <v>35.360727629301095</v>
      </c>
    </row>
    <row r="218" spans="1:28" x14ac:dyDescent="0.25">
      <c r="A218" s="190">
        <v>204</v>
      </c>
      <c r="B218" s="171">
        <v>6</v>
      </c>
      <c r="C218" s="171" t="s">
        <v>456</v>
      </c>
      <c r="D218" s="171" t="s">
        <v>40</v>
      </c>
      <c r="E218" s="171" t="s">
        <v>457</v>
      </c>
      <c r="F218" s="171">
        <v>3</v>
      </c>
      <c r="G218" s="171" t="s">
        <v>33</v>
      </c>
      <c r="H218" s="171">
        <v>3.4529999999999998</v>
      </c>
      <c r="I218" s="171"/>
      <c r="J218" s="191">
        <v>2.5936383203953066</v>
      </c>
      <c r="K218" s="191">
        <v>37.602057635107919</v>
      </c>
      <c r="L218" s="192">
        <v>14.497803082033752</v>
      </c>
      <c r="M218" s="192">
        <v>1.528256706115215</v>
      </c>
      <c r="N218" s="192">
        <v>-27.614406351823554</v>
      </c>
      <c r="O218" s="193">
        <v>0.36599999999999999</v>
      </c>
      <c r="P218" s="194">
        <v>1.528256706115215</v>
      </c>
      <c r="Q218" s="195">
        <v>0.36681132802438909</v>
      </c>
      <c r="R218" s="196">
        <v>8.113280243891019E-4</v>
      </c>
      <c r="S218" s="196">
        <v>25.936383203953067</v>
      </c>
      <c r="T218" s="197">
        <v>0.21042914544661925</v>
      </c>
      <c r="U218" s="197">
        <v>8.113280243891019</v>
      </c>
      <c r="V218" s="193">
        <v>1.077</v>
      </c>
      <c r="W218" s="194">
        <v>-27.614406351823554</v>
      </c>
      <c r="X218" s="194">
        <v>1.0808594677695389</v>
      </c>
      <c r="Y218" s="196">
        <v>3.8594677695389379E-3</v>
      </c>
      <c r="Z218" s="196">
        <v>376.02057635107917</v>
      </c>
      <c r="AA218" s="196">
        <v>14.512392951104454</v>
      </c>
      <c r="AB218" s="196">
        <v>38.594677695389379</v>
      </c>
    </row>
    <row r="219" spans="1:28" x14ac:dyDescent="0.25">
      <c r="A219" s="190">
        <v>205</v>
      </c>
      <c r="B219" s="171">
        <v>6</v>
      </c>
      <c r="C219" s="171" t="s">
        <v>458</v>
      </c>
      <c r="D219" s="171" t="s">
        <v>32</v>
      </c>
      <c r="E219" s="171" t="s">
        <v>457</v>
      </c>
      <c r="F219" s="171">
        <v>3</v>
      </c>
      <c r="G219" s="171" t="s">
        <v>34</v>
      </c>
      <c r="H219" s="171">
        <v>3.0790000000000002</v>
      </c>
      <c r="I219" s="171"/>
      <c r="J219" s="191">
        <v>1.736115665673704</v>
      </c>
      <c r="K219" s="191">
        <v>37.388245308061734</v>
      </c>
      <c r="L219" s="192">
        <v>21.535572800417722</v>
      </c>
      <c r="M219" s="192">
        <v>2.9149362229365248</v>
      </c>
      <c r="N219" s="192">
        <v>-26.608212071497451</v>
      </c>
      <c r="O219" s="193">
        <v>0.36599999999999999</v>
      </c>
      <c r="P219" s="194">
        <v>2.9149362229365248</v>
      </c>
      <c r="Q219" s="195">
        <v>0.36731733611051692</v>
      </c>
      <c r="R219" s="196">
        <v>1.3173361105169312E-3</v>
      </c>
      <c r="S219" s="196">
        <v>17.361156656737037</v>
      </c>
      <c r="T219" s="197">
        <v>0.22870478584261097</v>
      </c>
      <c r="U219" s="197">
        <v>13.173361105169313</v>
      </c>
      <c r="V219" s="193">
        <v>1.077</v>
      </c>
      <c r="W219" s="194">
        <v>-26.608212071497451</v>
      </c>
      <c r="X219" s="194">
        <v>1.0819658062964377</v>
      </c>
      <c r="Y219" s="196">
        <v>4.9658062964377248E-3</v>
      </c>
      <c r="Z219" s="196">
        <v>373.88245308061732</v>
      </c>
      <c r="AA219" s="196">
        <v>18.566278396353116</v>
      </c>
      <c r="AB219" s="196">
        <v>49.658062964377251</v>
      </c>
    </row>
    <row r="220" spans="1:28" x14ac:dyDescent="0.25">
      <c r="A220" s="190">
        <v>206</v>
      </c>
      <c r="B220" s="171">
        <v>6</v>
      </c>
      <c r="C220" s="171" t="s">
        <v>459</v>
      </c>
      <c r="D220" s="171" t="s">
        <v>48</v>
      </c>
      <c r="E220" s="171" t="s">
        <v>457</v>
      </c>
      <c r="F220" s="171">
        <v>3</v>
      </c>
      <c r="G220" s="171" t="s">
        <v>35</v>
      </c>
      <c r="H220" s="171">
        <v>2.8690000000000002</v>
      </c>
      <c r="I220" s="171"/>
      <c r="J220" s="191">
        <v>1.2921792432757289</v>
      </c>
      <c r="K220" s="191">
        <v>32.270376106909758</v>
      </c>
      <c r="L220" s="192">
        <v>24.973606622176497</v>
      </c>
      <c r="M220" s="192">
        <v>1.2261584800781256</v>
      </c>
      <c r="N220" s="192">
        <v>-28.097517351594952</v>
      </c>
      <c r="O220" s="193">
        <v>0.36599999999999999</v>
      </c>
      <c r="P220" s="194">
        <v>1.2261584800781256</v>
      </c>
      <c r="Q220" s="195">
        <v>0.36670108979787897</v>
      </c>
      <c r="R220" s="196">
        <v>7.0108979787897319E-4</v>
      </c>
      <c r="S220" s="196">
        <v>12.921792432757288</v>
      </c>
      <c r="T220" s="197">
        <v>9.0593368449158537E-2</v>
      </c>
      <c r="U220" s="197">
        <v>7.0108979787897319</v>
      </c>
      <c r="V220" s="193">
        <v>1.077</v>
      </c>
      <c r="W220" s="194">
        <v>-28.097517351594952</v>
      </c>
      <c r="X220" s="194">
        <v>1.0803282650282775</v>
      </c>
      <c r="Y220" s="196">
        <v>3.3282650282775439E-3</v>
      </c>
      <c r="Z220" s="196">
        <v>322.7037610690976</v>
      </c>
      <c r="AA220" s="196">
        <v>10.7404364245991</v>
      </c>
      <c r="AB220" s="196">
        <v>33.282650282775435</v>
      </c>
    </row>
    <row r="221" spans="1:28" x14ac:dyDescent="0.25">
      <c r="A221" s="190">
        <v>207</v>
      </c>
      <c r="B221" s="171">
        <v>6</v>
      </c>
      <c r="C221" s="171" t="s">
        <v>460</v>
      </c>
      <c r="D221" s="171" t="s">
        <v>44</v>
      </c>
      <c r="E221" s="171" t="s">
        <v>457</v>
      </c>
      <c r="F221" s="171">
        <v>3</v>
      </c>
      <c r="G221" s="171" t="s">
        <v>37</v>
      </c>
      <c r="H221" s="171">
        <v>3.5590000000000002</v>
      </c>
      <c r="I221" s="171"/>
      <c r="J221" s="191">
        <v>1.7774310098299171</v>
      </c>
      <c r="K221" s="191">
        <v>32.043752406771901</v>
      </c>
      <c r="L221" s="192">
        <v>18.02812724069565</v>
      </c>
      <c r="M221" s="192">
        <v>0.62222238978525013</v>
      </c>
      <c r="N221" s="192">
        <v>-28.168006177619503</v>
      </c>
      <c r="O221" s="193">
        <v>0.36599999999999999</v>
      </c>
      <c r="P221" s="194">
        <v>0.62222238978525013</v>
      </c>
      <c r="Q221" s="195">
        <v>0.36648070762179102</v>
      </c>
      <c r="R221" s="196">
        <v>4.8070762179103221E-4</v>
      </c>
      <c r="S221" s="196">
        <v>17.774310098299171</v>
      </c>
      <c r="T221" s="197">
        <v>8.5442463363297222E-2</v>
      </c>
      <c r="U221" s="197">
        <v>4.8070762179103221</v>
      </c>
      <c r="V221" s="193">
        <v>1.077</v>
      </c>
      <c r="W221" s="194">
        <v>-28.168006177619503</v>
      </c>
      <c r="X221" s="194">
        <v>1.0802507588484456</v>
      </c>
      <c r="Y221" s="196">
        <v>3.2507588484456118E-3</v>
      </c>
      <c r="Z221" s="196">
        <v>320.43752406771904</v>
      </c>
      <c r="AA221" s="196">
        <v>10.416651167371413</v>
      </c>
      <c r="AB221" s="196">
        <v>32.507588484456122</v>
      </c>
    </row>
    <row r="222" spans="1:28" x14ac:dyDescent="0.25">
      <c r="A222" s="190">
        <v>208</v>
      </c>
      <c r="B222" s="171">
        <v>6</v>
      </c>
      <c r="C222" s="171" t="s">
        <v>461</v>
      </c>
      <c r="D222" s="171" t="s">
        <v>28</v>
      </c>
      <c r="E222" s="171" t="s">
        <v>457</v>
      </c>
      <c r="F222" s="171">
        <v>3</v>
      </c>
      <c r="G222" s="171" t="s">
        <v>38</v>
      </c>
      <c r="H222" s="171">
        <v>3.7120000000000002</v>
      </c>
      <c r="I222" s="171"/>
      <c r="J222" s="191">
        <v>2.3016977625459574</v>
      </c>
      <c r="K222" s="191">
        <v>34.565657791350141</v>
      </c>
      <c r="L222" s="192">
        <v>15.01746161195218</v>
      </c>
      <c r="M222" s="192">
        <v>1.7179306175887936</v>
      </c>
      <c r="N222" s="192">
        <v>-27.687604730948664</v>
      </c>
      <c r="O222" s="193">
        <v>0.36599999999999999</v>
      </c>
      <c r="P222" s="194">
        <v>1.7179306175887936</v>
      </c>
      <c r="Q222" s="195">
        <v>0.36688054153229382</v>
      </c>
      <c r="R222" s="196">
        <v>8.8054153229383259E-4</v>
      </c>
      <c r="S222" s="196">
        <v>23.016977625459575</v>
      </c>
      <c r="T222" s="197">
        <v>0.20267404747095033</v>
      </c>
      <c r="U222" s="197">
        <v>8.8054153229383267</v>
      </c>
      <c r="V222" s="193">
        <v>1.077</v>
      </c>
      <c r="W222" s="194">
        <v>-27.687604730948664</v>
      </c>
      <c r="X222" s="194">
        <v>1.080778983155241</v>
      </c>
      <c r="Y222" s="196">
        <v>3.7789831552410558E-3</v>
      </c>
      <c r="Z222" s="196">
        <v>345.65657791350139</v>
      </c>
      <c r="AA222" s="196">
        <v>13.062303854333893</v>
      </c>
      <c r="AB222" s="196">
        <v>37.789831552410561</v>
      </c>
    </row>
    <row r="223" spans="1:28" x14ac:dyDescent="0.25">
      <c r="A223" s="190">
        <v>209</v>
      </c>
      <c r="B223" s="171">
        <v>6</v>
      </c>
      <c r="C223" s="171" t="s">
        <v>463</v>
      </c>
      <c r="D223" s="171" t="s">
        <v>52</v>
      </c>
      <c r="E223" s="171" t="s">
        <v>457</v>
      </c>
      <c r="F223" s="171">
        <v>3</v>
      </c>
      <c r="G223" s="171" t="s">
        <v>39</v>
      </c>
      <c r="H223" s="171">
        <v>3.8580000000000001</v>
      </c>
      <c r="I223" s="171"/>
      <c r="J223" s="191">
        <v>2.104140184070467</v>
      </c>
      <c r="K223" s="191">
        <v>33.689610543574219</v>
      </c>
      <c r="L223" s="192">
        <v>16.011105533093119</v>
      </c>
      <c r="M223" s="192">
        <v>1.2810250117498021</v>
      </c>
      <c r="N223" s="192">
        <v>-27.146482580268437</v>
      </c>
      <c r="O223" s="193">
        <v>0.36599999999999999</v>
      </c>
      <c r="P223" s="194">
        <v>1.2810250117498021</v>
      </c>
      <c r="Q223" s="195">
        <v>0.36672111108268546</v>
      </c>
      <c r="R223" s="196">
        <v>7.2111108268546609E-4</v>
      </c>
      <c r="S223" s="196">
        <v>21.041401840704669</v>
      </c>
      <c r="T223" s="197">
        <v>0.15173188062570503</v>
      </c>
      <c r="U223" s="197">
        <v>7.2111108268546609</v>
      </c>
      <c r="V223" s="193">
        <v>1.077</v>
      </c>
      <c r="W223" s="194">
        <v>-27.146482580268437</v>
      </c>
      <c r="X223" s="194">
        <v>1.0813739660166557</v>
      </c>
      <c r="Y223" s="196">
        <v>4.3739660166557393E-3</v>
      </c>
      <c r="Z223" s="196">
        <v>336.89610543574219</v>
      </c>
      <c r="AA223" s="196">
        <v>14.735721163196052</v>
      </c>
      <c r="AB223" s="196">
        <v>43.739660166557393</v>
      </c>
    </row>
    <row r="224" spans="1:28" x14ac:dyDescent="0.25">
      <c r="A224" s="171"/>
      <c r="B224" s="171"/>
      <c r="C224" s="171"/>
      <c r="D224" s="171"/>
      <c r="E224" s="171"/>
      <c r="F224" s="171"/>
      <c r="G224" s="171"/>
      <c r="H224" s="171"/>
      <c r="I224" s="198" t="s">
        <v>152</v>
      </c>
      <c r="J224" s="191">
        <v>2.865835684599396</v>
      </c>
      <c r="K224" s="191">
        <v>44.779840558020233</v>
      </c>
      <c r="L224" s="192">
        <v>15.625404065788171</v>
      </c>
      <c r="M224" s="192">
        <v>2.3258291349116265</v>
      </c>
      <c r="N224" s="192">
        <v>-25.946329796422969</v>
      </c>
      <c r="O224" s="193">
        <v>0.36599999999999999</v>
      </c>
      <c r="P224" s="194">
        <v>2.3258291349116265</v>
      </c>
      <c r="Q224" s="195">
        <v>0.36710236785306699</v>
      </c>
      <c r="R224" s="196">
        <v>1.1023678530669989E-3</v>
      </c>
      <c r="S224" s="196">
        <v>28.658356845993957</v>
      </c>
      <c r="T224" s="197">
        <v>0.31592051308746288</v>
      </c>
      <c r="U224" s="197">
        <v>11.02367853066999</v>
      </c>
      <c r="V224" s="193">
        <v>1.077</v>
      </c>
      <c r="W224" s="194">
        <v>-25.946329796422969</v>
      </c>
      <c r="X224" s="194">
        <v>1.0826935507274995</v>
      </c>
      <c r="Y224" s="196">
        <v>5.6935507274995523E-3</v>
      </c>
      <c r="Z224" s="196">
        <v>447.79840558020231</v>
      </c>
      <c r="AA224" s="196">
        <v>25.495629378643006</v>
      </c>
      <c r="AB224" s="196">
        <v>56.935507274995523</v>
      </c>
    </row>
    <row r="225" spans="1:28" x14ac:dyDescent="0.25">
      <c r="A225" s="190">
        <v>210</v>
      </c>
      <c r="B225" s="171">
        <v>6</v>
      </c>
      <c r="C225" s="171" t="s">
        <v>456</v>
      </c>
      <c r="D225" s="171" t="s">
        <v>40</v>
      </c>
      <c r="E225" s="171" t="s">
        <v>465</v>
      </c>
      <c r="F225" s="171">
        <v>3</v>
      </c>
      <c r="G225" s="171" t="s">
        <v>41</v>
      </c>
      <c r="H225" s="171">
        <v>3.2639999999999998</v>
      </c>
      <c r="I225" s="171"/>
      <c r="J225" s="191">
        <v>0.86135972756617296</v>
      </c>
      <c r="K225" s="191">
        <v>37.498494967212942</v>
      </c>
      <c r="L225" s="192">
        <v>43.534070339191899</v>
      </c>
      <c r="M225" s="192">
        <v>-4.2377517933759812</v>
      </c>
      <c r="N225" s="192">
        <v>-29.201411498519697</v>
      </c>
      <c r="O225" s="193">
        <v>0.36599999999999999</v>
      </c>
      <c r="P225" s="194">
        <v>-4.2377517933759812</v>
      </c>
      <c r="Q225" s="195">
        <v>0.36470722009984102</v>
      </c>
      <c r="R225" s="196">
        <v>-1.292779900158969E-3</v>
      </c>
      <c r="S225" s="196">
        <v>8.6135972756617303</v>
      </c>
      <c r="T225" s="197">
        <v>-0.11135485426039539</v>
      </c>
      <c r="U225" s="197">
        <v>-12.927799001589692</v>
      </c>
      <c r="V225" s="193">
        <v>1.077</v>
      </c>
      <c r="W225" s="194">
        <v>-29.201411498519697</v>
      </c>
      <c r="X225" s="194">
        <v>1.079114461282211</v>
      </c>
      <c r="Y225" s="196">
        <v>2.1144612822110442E-3</v>
      </c>
      <c r="Z225" s="196">
        <v>374.9849496721294</v>
      </c>
      <c r="AA225" s="196">
        <v>7.9289115749357473</v>
      </c>
      <c r="AB225" s="196">
        <v>21.144612822110442</v>
      </c>
    </row>
    <row r="226" spans="1:28" x14ac:dyDescent="0.25">
      <c r="A226" s="190">
        <v>211</v>
      </c>
      <c r="B226" s="171">
        <v>6</v>
      </c>
      <c r="C226" s="171" t="s">
        <v>458</v>
      </c>
      <c r="D226" s="171" t="s">
        <v>32</v>
      </c>
      <c r="E226" s="171" t="s">
        <v>465</v>
      </c>
      <c r="F226" s="171">
        <v>3</v>
      </c>
      <c r="G226" s="171" t="s">
        <v>42</v>
      </c>
      <c r="H226" s="171">
        <v>3.2690000000000001</v>
      </c>
      <c r="I226" s="171"/>
      <c r="J226" s="191">
        <v>0.93435163813171707</v>
      </c>
      <c r="K226" s="191">
        <v>36.995616858319984</v>
      </c>
      <c r="L226" s="192">
        <v>39.594961199291703</v>
      </c>
      <c r="M226" s="192">
        <v>7.9934708678966686</v>
      </c>
      <c r="N226" s="192">
        <v>-29.262336237662719</v>
      </c>
      <c r="O226" s="193">
        <v>0.36599999999999999</v>
      </c>
      <c r="P226" s="194">
        <v>7.9934708678966686</v>
      </c>
      <c r="Q226" s="195">
        <v>0.36917048149603338</v>
      </c>
      <c r="R226" s="196">
        <v>3.1704814960333838E-3</v>
      </c>
      <c r="S226" s="196">
        <v>9.3435163813171709</v>
      </c>
      <c r="T226" s="197">
        <v>0.29623445794850889</v>
      </c>
      <c r="U226" s="197">
        <v>31.704814960333838</v>
      </c>
      <c r="V226" s="193">
        <v>1.077</v>
      </c>
      <c r="W226" s="194">
        <v>-29.262336237662719</v>
      </c>
      <c r="X226" s="194">
        <v>1.079047469683146</v>
      </c>
      <c r="Y226" s="196">
        <v>2.0474696831460637E-3</v>
      </c>
      <c r="Z226" s="196">
        <v>369.95616858319983</v>
      </c>
      <c r="AA226" s="196">
        <v>7.5747403926697583</v>
      </c>
      <c r="AB226" s="196">
        <v>20.474696831460637</v>
      </c>
    </row>
    <row r="227" spans="1:28" x14ac:dyDescent="0.25">
      <c r="A227" s="190">
        <v>212</v>
      </c>
      <c r="B227" s="171">
        <v>6</v>
      </c>
      <c r="C227" s="171" t="s">
        <v>459</v>
      </c>
      <c r="D227" s="171" t="s">
        <v>48</v>
      </c>
      <c r="E227" s="171" t="s">
        <v>465</v>
      </c>
      <c r="F227" s="171">
        <v>3</v>
      </c>
      <c r="G227" s="171" t="s">
        <v>43</v>
      </c>
      <c r="H227" s="171">
        <v>3.1259999999999999</v>
      </c>
      <c r="I227" s="171"/>
      <c r="J227" s="191">
        <v>1.0960173216669191</v>
      </c>
      <c r="K227" s="191">
        <v>37.855833203574591</v>
      </c>
      <c r="L227" s="192">
        <v>34.539447922228206</v>
      </c>
      <c r="M227" s="192">
        <v>2.8416311475547782</v>
      </c>
      <c r="N227" s="192">
        <v>-28.889333161126714</v>
      </c>
      <c r="O227" s="193">
        <v>0.36599999999999999</v>
      </c>
      <c r="P227" s="194">
        <v>2.8416311475547782</v>
      </c>
      <c r="Q227" s="195">
        <v>0.36729058675565757</v>
      </c>
      <c r="R227" s="196">
        <v>1.2905867556575745E-3</v>
      </c>
      <c r="S227" s="196">
        <v>10.960173216669192</v>
      </c>
      <c r="T227" s="197">
        <v>0.14145054393146136</v>
      </c>
      <c r="U227" s="197">
        <v>12.905867556575746</v>
      </c>
      <c r="V227" s="193">
        <v>1.077</v>
      </c>
      <c r="W227" s="194">
        <v>-28.889333161126714</v>
      </c>
      <c r="X227" s="194">
        <v>1.0794576148265134</v>
      </c>
      <c r="Y227" s="196">
        <v>2.4576148265134101E-3</v>
      </c>
      <c r="Z227" s="196">
        <v>378.55833203574588</v>
      </c>
      <c r="AA227" s="196">
        <v>9.3035056951123547</v>
      </c>
      <c r="AB227" s="196">
        <v>24.576148265134101</v>
      </c>
    </row>
    <row r="228" spans="1:28" x14ac:dyDescent="0.25">
      <c r="A228" s="190">
        <v>213</v>
      </c>
      <c r="B228" s="171">
        <v>6</v>
      </c>
      <c r="C228" s="171" t="s">
        <v>460</v>
      </c>
      <c r="D228" s="171" t="s">
        <v>44</v>
      </c>
      <c r="E228" s="171" t="s">
        <v>465</v>
      </c>
      <c r="F228" s="171">
        <v>3</v>
      </c>
      <c r="G228" s="171" t="s">
        <v>45</v>
      </c>
      <c r="H228" s="171">
        <v>3.956</v>
      </c>
      <c r="I228" s="171"/>
      <c r="J228" s="191">
        <v>1.026915376170747</v>
      </c>
      <c r="K228" s="191">
        <v>35.288607424980562</v>
      </c>
      <c r="L228" s="192">
        <v>34.363695630469429</v>
      </c>
      <c r="M228" s="192">
        <v>-0.48247022589891619</v>
      </c>
      <c r="N228" s="192">
        <v>-28.263848608168555</v>
      </c>
      <c r="O228" s="193">
        <v>0.36599999999999999</v>
      </c>
      <c r="P228" s="194">
        <v>-0.48247022589891619</v>
      </c>
      <c r="Q228" s="195">
        <v>0.36607759197762529</v>
      </c>
      <c r="R228" s="196">
        <v>7.7591977625302011E-5</v>
      </c>
      <c r="S228" s="196">
        <v>10.269153761707472</v>
      </c>
      <c r="T228" s="197">
        <v>7.9680394890919194E-3</v>
      </c>
      <c r="U228" s="197">
        <v>0.77591977625302011</v>
      </c>
      <c r="V228" s="193">
        <v>1.077</v>
      </c>
      <c r="W228" s="194">
        <v>-28.263848608168555</v>
      </c>
      <c r="X228" s="194">
        <v>1.0801453748491541</v>
      </c>
      <c r="Y228" s="196">
        <v>3.1453748491541145E-3</v>
      </c>
      <c r="Z228" s="196">
        <v>352.88607424980563</v>
      </c>
      <c r="AA228" s="196">
        <v>11.099589825620701</v>
      </c>
      <c r="AB228" s="196">
        <v>31.453748491541145</v>
      </c>
    </row>
    <row r="229" spans="1:28" x14ac:dyDescent="0.25">
      <c r="A229" s="190">
        <v>214</v>
      </c>
      <c r="B229" s="171">
        <v>6</v>
      </c>
      <c r="C229" s="171" t="s">
        <v>461</v>
      </c>
      <c r="D229" s="171" t="s">
        <v>28</v>
      </c>
      <c r="E229" s="171" t="s">
        <v>465</v>
      </c>
      <c r="F229" s="171">
        <v>3</v>
      </c>
      <c r="G229" s="171" t="s">
        <v>46</v>
      </c>
      <c r="H229" s="171">
        <v>3.331</v>
      </c>
      <c r="I229" s="171"/>
      <c r="J229" s="191">
        <v>0.93867379894816727</v>
      </c>
      <c r="K229" s="191">
        <v>37.482057425529646</v>
      </c>
      <c r="L229" s="192">
        <v>39.930865725164843</v>
      </c>
      <c r="M229" s="192">
        <v>-0.8300488419950276</v>
      </c>
      <c r="N229" s="192">
        <v>-29.453745145536605</v>
      </c>
      <c r="O229" s="193">
        <v>0.36599999999999999</v>
      </c>
      <c r="P229" s="194">
        <v>-0.8300488419950276</v>
      </c>
      <c r="Q229" s="195">
        <v>0.3659507556785439</v>
      </c>
      <c r="R229" s="196">
        <v>-4.9244321456087814E-5</v>
      </c>
      <c r="S229" s="196">
        <v>9.3867379894816736</v>
      </c>
      <c r="T229" s="197">
        <v>-4.6224354297810695E-3</v>
      </c>
      <c r="U229" s="197">
        <v>-0.49244321456087814</v>
      </c>
      <c r="V229" s="193">
        <v>1.077</v>
      </c>
      <c r="W229" s="194">
        <v>-29.453745145536605</v>
      </c>
      <c r="X229" s="194">
        <v>1.078836999766319</v>
      </c>
      <c r="Y229" s="196">
        <v>1.8369997663190141E-3</v>
      </c>
      <c r="Z229" s="196">
        <v>374.82057425529649</v>
      </c>
      <c r="AA229" s="196">
        <v>6.885453073185384</v>
      </c>
      <c r="AB229" s="196">
        <v>18.369997663190141</v>
      </c>
    </row>
    <row r="230" spans="1:28" x14ac:dyDescent="0.25">
      <c r="A230" s="190">
        <v>215</v>
      </c>
      <c r="B230" s="171">
        <v>6</v>
      </c>
      <c r="C230" s="171" t="s">
        <v>462</v>
      </c>
      <c r="D230" s="171" t="s">
        <v>36</v>
      </c>
      <c r="E230" s="171" t="s">
        <v>465</v>
      </c>
      <c r="F230" s="171">
        <v>3</v>
      </c>
      <c r="G230" s="171" t="s">
        <v>47</v>
      </c>
      <c r="H230" s="171">
        <v>3.1389999999999998</v>
      </c>
      <c r="I230" s="171"/>
      <c r="J230" s="191">
        <v>0.85184207443042037</v>
      </c>
      <c r="K230" s="191">
        <v>35.694025494454664</v>
      </c>
      <c r="L230" s="192">
        <v>41.902163048615883</v>
      </c>
      <c r="M230" s="192">
        <v>1.5896591594529874</v>
      </c>
      <c r="N230" s="192">
        <v>-28.060106944261108</v>
      </c>
      <c r="O230" s="193">
        <v>0.36599999999999999</v>
      </c>
      <c r="P230" s="194">
        <v>1.5896591594529874</v>
      </c>
      <c r="Q230" s="195">
        <v>0.36683373427495369</v>
      </c>
      <c r="R230" s="196">
        <v>8.3373427495370134E-4</v>
      </c>
      <c r="S230" s="196">
        <v>8.518420744304203</v>
      </c>
      <c r="T230" s="197">
        <v>7.1020993430030335E-2</v>
      </c>
      <c r="U230" s="197">
        <v>8.3373427495370134</v>
      </c>
      <c r="V230" s="193">
        <v>1.077</v>
      </c>
      <c r="W230" s="194">
        <v>-28.060106944261108</v>
      </c>
      <c r="X230" s="194">
        <v>1.0803693996937889</v>
      </c>
      <c r="Y230" s="196">
        <v>3.3693996937889104E-3</v>
      </c>
      <c r="Z230" s="196">
        <v>356.94025494454655</v>
      </c>
      <c r="AA230" s="196">
        <v>12.026743857110908</v>
      </c>
      <c r="AB230" s="196">
        <v>33.693996937889104</v>
      </c>
    </row>
    <row r="231" spans="1:28" x14ac:dyDescent="0.25">
      <c r="A231" s="190">
        <v>216</v>
      </c>
      <c r="B231" s="171">
        <v>6</v>
      </c>
      <c r="C231" s="171" t="s">
        <v>463</v>
      </c>
      <c r="D231" s="171" t="s">
        <v>52</v>
      </c>
      <c r="E231" s="171" t="s">
        <v>465</v>
      </c>
      <c r="F231" s="171">
        <v>3</v>
      </c>
      <c r="G231" s="171" t="s">
        <v>49</v>
      </c>
      <c r="H231" s="171">
        <v>3.2240000000000002</v>
      </c>
      <c r="I231" s="171"/>
      <c r="J231" s="191">
        <v>0.86657494145575753</v>
      </c>
      <c r="K231" s="191">
        <v>34.302291113154425</v>
      </c>
      <c r="L231" s="192">
        <v>39.583756086380802</v>
      </c>
      <c r="M231" s="192">
        <v>-2.1004498447457509</v>
      </c>
      <c r="N231" s="192">
        <v>-28.967451569580788</v>
      </c>
      <c r="O231" s="193">
        <v>0.36599999999999999</v>
      </c>
      <c r="P231" s="194">
        <v>-2.1004498447457509</v>
      </c>
      <c r="Q231" s="195">
        <v>0.36548716583456925</v>
      </c>
      <c r="R231" s="196">
        <v>-5.1283416543074223E-4</v>
      </c>
      <c r="S231" s="196">
        <v>8.6657494145575757</v>
      </c>
      <c r="T231" s="197">
        <v>-4.4440923688465778E-2</v>
      </c>
      <c r="U231" s="197">
        <v>-5.1283416543074223</v>
      </c>
      <c r="V231" s="193">
        <v>1.077</v>
      </c>
      <c r="W231" s="194">
        <v>-28.967451569580788</v>
      </c>
      <c r="X231" s="194">
        <v>1.0793717179993059</v>
      </c>
      <c r="Y231" s="196">
        <v>2.3717179993059112E-3</v>
      </c>
      <c r="Z231" s="196">
        <v>343.02291113154422</v>
      </c>
      <c r="AA231" s="196">
        <v>8.1355361250499545</v>
      </c>
      <c r="AB231" s="196">
        <v>23.717179993059112</v>
      </c>
    </row>
    <row r="232" spans="1:28" x14ac:dyDescent="0.25">
      <c r="A232" s="190">
        <v>217</v>
      </c>
      <c r="B232" s="171">
        <v>6</v>
      </c>
      <c r="C232" s="171" t="s">
        <v>464</v>
      </c>
      <c r="D232" s="171" t="s">
        <v>24</v>
      </c>
      <c r="E232" s="171" t="s">
        <v>465</v>
      </c>
      <c r="F232" s="171">
        <v>3</v>
      </c>
      <c r="G232" s="171" t="s">
        <v>50</v>
      </c>
      <c r="H232" s="171">
        <v>3.286</v>
      </c>
      <c r="I232" s="171"/>
      <c r="J232" s="191">
        <v>0.99521780277355598</v>
      </c>
      <c r="K232" s="191">
        <v>38.020663283287945</v>
      </c>
      <c r="L232" s="192">
        <v>38.20335928208759</v>
      </c>
      <c r="M232" s="192">
        <v>2.6639926285320761</v>
      </c>
      <c r="N232" s="192">
        <v>-29.8746394248687</v>
      </c>
      <c r="O232" s="193">
        <v>0.36599999999999999</v>
      </c>
      <c r="P232" s="194">
        <v>2.6639926285320761</v>
      </c>
      <c r="Q232" s="195">
        <v>0.36722576559389636</v>
      </c>
      <c r="R232" s="196">
        <v>1.2257655938963663E-3</v>
      </c>
      <c r="S232" s="196">
        <v>9.9521780277355614</v>
      </c>
      <c r="T232" s="197">
        <v>0.12199037410729646</v>
      </c>
      <c r="U232" s="197">
        <v>12.257655938963662</v>
      </c>
      <c r="V232" s="193">
        <v>1.077</v>
      </c>
      <c r="W232" s="194">
        <v>-29.8746394248687</v>
      </c>
      <c r="X232" s="194">
        <v>1.0783741885634122</v>
      </c>
      <c r="Y232" s="196">
        <v>1.3741885634122042E-3</v>
      </c>
      <c r="Z232" s="196">
        <v>380.20663283287945</v>
      </c>
      <c r="AA232" s="196">
        <v>5.2247560657240593</v>
      </c>
      <c r="AB232" s="196">
        <v>13.74188563412204</v>
      </c>
    </row>
    <row r="233" spans="1:28" x14ac:dyDescent="0.25">
      <c r="A233" s="190">
        <v>218</v>
      </c>
      <c r="B233" s="171">
        <v>6</v>
      </c>
      <c r="C233" s="171" t="s">
        <v>456</v>
      </c>
      <c r="D233" s="171" t="s">
        <v>40</v>
      </c>
      <c r="E233" s="171" t="s">
        <v>466</v>
      </c>
      <c r="F233" s="171">
        <v>3</v>
      </c>
      <c r="G233" s="171" t="s">
        <v>51</v>
      </c>
      <c r="H233" s="171">
        <v>3.2770000000000001</v>
      </c>
      <c r="I233" s="171"/>
      <c r="J233" s="191">
        <v>3.6516964760198145</v>
      </c>
      <c r="K233" s="191">
        <v>40.140682558608155</v>
      </c>
      <c r="L233" s="192">
        <v>10.99233817000029</v>
      </c>
      <c r="M233" s="192">
        <v>2.6369495934465581E-2</v>
      </c>
      <c r="N233" s="192">
        <v>-26.057886777756345</v>
      </c>
      <c r="O233" s="193">
        <v>0.36599999999999999</v>
      </c>
      <c r="P233" s="194">
        <v>2.6369495934465581E-2</v>
      </c>
      <c r="Q233" s="195">
        <v>0.36626327412755055</v>
      </c>
      <c r="R233" s="196">
        <v>2.6327412755056123E-4</v>
      </c>
      <c r="S233" s="196">
        <v>36.51696476019815</v>
      </c>
      <c r="T233" s="197">
        <v>9.6139720380357577E-2</v>
      </c>
      <c r="U233" s="197">
        <v>2.6327412755056123</v>
      </c>
      <c r="V233" s="193">
        <v>1.077</v>
      </c>
      <c r="W233" s="194">
        <v>-26.057886777756345</v>
      </c>
      <c r="X233" s="194">
        <v>1.0825708937560781</v>
      </c>
      <c r="Y233" s="196">
        <v>5.5708937560781102E-3</v>
      </c>
      <c r="Z233" s="196">
        <v>401.4068255860816</v>
      </c>
      <c r="AA233" s="196">
        <v>22.361947783046372</v>
      </c>
      <c r="AB233" s="196">
        <v>55.708937560781102</v>
      </c>
    </row>
    <row r="234" spans="1:28" x14ac:dyDescent="0.25">
      <c r="A234" s="190">
        <v>219</v>
      </c>
      <c r="B234" s="171">
        <v>6</v>
      </c>
      <c r="C234" s="171" t="s">
        <v>459</v>
      </c>
      <c r="D234" s="171" t="s">
        <v>48</v>
      </c>
      <c r="E234" s="171" t="s">
        <v>466</v>
      </c>
      <c r="F234" s="171">
        <v>3</v>
      </c>
      <c r="G234" s="171" t="s">
        <v>53</v>
      </c>
      <c r="H234" s="171">
        <v>3.1890000000000001</v>
      </c>
      <c r="I234" s="171"/>
      <c r="J234" s="191">
        <v>3.7188538069064134</v>
      </c>
      <c r="K234" s="191">
        <v>41.954680019361419</v>
      </c>
      <c r="L234" s="192">
        <v>11.281615841269673</v>
      </c>
      <c r="M234" s="192">
        <v>-0.13523982544191415</v>
      </c>
      <c r="N234" s="192">
        <v>-27.128220474077473</v>
      </c>
      <c r="O234" s="193">
        <v>0.36599999999999999</v>
      </c>
      <c r="P234" s="194">
        <v>-0.13523982544191415</v>
      </c>
      <c r="Q234" s="195">
        <v>0.36620430088550388</v>
      </c>
      <c r="R234" s="196">
        <v>2.0430088550388303E-4</v>
      </c>
      <c r="S234" s="196">
        <v>37.188538069064137</v>
      </c>
      <c r="T234" s="197">
        <v>7.5976512581046679E-2</v>
      </c>
      <c r="U234" s="197">
        <v>2.0430088550388303</v>
      </c>
      <c r="V234" s="193">
        <v>1.077</v>
      </c>
      <c r="W234" s="194">
        <v>-27.128220474077473</v>
      </c>
      <c r="X234" s="194">
        <v>1.0813940457206979</v>
      </c>
      <c r="Y234" s="196">
        <v>4.3940457206979033E-3</v>
      </c>
      <c r="Z234" s="196">
        <v>419.5468001936141</v>
      </c>
      <c r="AA234" s="196">
        <v>18.435078220232484</v>
      </c>
      <c r="AB234" s="196">
        <v>43.940457206979033</v>
      </c>
    </row>
    <row r="235" spans="1:28" x14ac:dyDescent="0.25">
      <c r="A235" s="190">
        <v>220</v>
      </c>
      <c r="B235" s="171">
        <v>6</v>
      </c>
      <c r="C235" s="171" t="s">
        <v>460</v>
      </c>
      <c r="D235" s="171" t="s">
        <v>44</v>
      </c>
      <c r="E235" s="171" t="s">
        <v>466</v>
      </c>
      <c r="F235" s="171">
        <v>3</v>
      </c>
      <c r="G235" s="171" t="s">
        <v>54</v>
      </c>
      <c r="H235" s="171">
        <v>3.1349999999999998</v>
      </c>
      <c r="I235" s="171"/>
      <c r="J235" s="191">
        <v>2.635010046447019</v>
      </c>
      <c r="K235" s="191">
        <v>39.310559914431693</v>
      </c>
      <c r="L235" s="192">
        <v>14.91856168345053</v>
      </c>
      <c r="M235" s="192">
        <v>-0.67383127768997753</v>
      </c>
      <c r="N235" s="192">
        <v>-25.805484081111739</v>
      </c>
      <c r="O235" s="193">
        <v>0.36599999999999999</v>
      </c>
      <c r="P235" s="194">
        <v>-0.67383127768997753</v>
      </c>
      <c r="Q235" s="195">
        <v>0.36600776169294597</v>
      </c>
      <c r="R235" s="196">
        <v>7.7616929459733974E-6</v>
      </c>
      <c r="S235" s="196">
        <v>26.350100464470191</v>
      </c>
      <c r="T235" s="197">
        <v>2.0452138890076862E-3</v>
      </c>
      <c r="U235" s="197">
        <v>7.7616929459733974E-2</v>
      </c>
      <c r="V235" s="193">
        <v>1.077</v>
      </c>
      <c r="W235" s="194">
        <v>-25.805484081111739</v>
      </c>
      <c r="X235" s="194">
        <v>1.0828484102459592</v>
      </c>
      <c r="Y235" s="196">
        <v>5.8484102459592791E-3</v>
      </c>
      <c r="Z235" s="196">
        <v>393.10559914431695</v>
      </c>
      <c r="AA235" s="196">
        <v>22.990428137795845</v>
      </c>
      <c r="AB235" s="196">
        <v>58.484102459592791</v>
      </c>
    </row>
    <row r="236" spans="1:28" x14ac:dyDescent="0.25">
      <c r="A236" s="190">
        <v>221</v>
      </c>
      <c r="B236" s="171">
        <v>6</v>
      </c>
      <c r="C236" s="171" t="s">
        <v>456</v>
      </c>
      <c r="D236" s="171" t="s">
        <v>40</v>
      </c>
      <c r="E236" s="171" t="s">
        <v>467</v>
      </c>
      <c r="F236" s="171">
        <v>3</v>
      </c>
      <c r="G236" s="171" t="s">
        <v>55</v>
      </c>
      <c r="H236" s="171">
        <v>3.2309999999999999</v>
      </c>
      <c r="I236" s="171"/>
      <c r="J236" s="191">
        <v>1.0362126165540484</v>
      </c>
      <c r="K236" s="191">
        <v>39.565980101863879</v>
      </c>
      <c r="L236" s="192">
        <v>38.183264196725915</v>
      </c>
      <c r="M236" s="192">
        <v>-0.89152632236334073</v>
      </c>
      <c r="N236" s="192">
        <v>-28.581984921483578</v>
      </c>
      <c r="O236" s="193">
        <v>0.36599999999999999</v>
      </c>
      <c r="P236" s="194">
        <v>-0.89152632236334073</v>
      </c>
      <c r="Q236" s="195">
        <v>0.36592832165237571</v>
      </c>
      <c r="R236" s="196">
        <v>-7.1678347624282157E-5</v>
      </c>
      <c r="S236" s="196">
        <v>10.362126165540483</v>
      </c>
      <c r="T236" s="197">
        <v>-7.4274008142028057E-3</v>
      </c>
      <c r="U236" s="197">
        <v>-0.71678347624282157</v>
      </c>
      <c r="V236" s="193">
        <v>1.077</v>
      </c>
      <c r="W236" s="194">
        <v>-28.581984921483578</v>
      </c>
      <c r="X236" s="194">
        <v>1.0797955649465676</v>
      </c>
      <c r="Y236" s="196">
        <v>2.7955649465676302E-3</v>
      </c>
      <c r="Z236" s="196">
        <v>395.65980101863886</v>
      </c>
      <c r="AA236" s="196">
        <v>11.060926704936303</v>
      </c>
      <c r="AB236" s="196">
        <v>27.955649465676302</v>
      </c>
    </row>
    <row r="237" spans="1:28" x14ac:dyDescent="0.25">
      <c r="A237" s="171"/>
      <c r="B237" s="171"/>
      <c r="C237" s="171"/>
      <c r="D237" s="171"/>
      <c r="E237" s="171"/>
      <c r="F237" s="171"/>
      <c r="G237" s="171"/>
      <c r="H237" s="171"/>
      <c r="I237" s="198" t="s">
        <v>152</v>
      </c>
      <c r="J237" s="191">
        <v>2.777789566575191</v>
      </c>
      <c r="K237" s="191">
        <v>47.150884739056437</v>
      </c>
      <c r="L237" s="192">
        <v>16.97424646791729</v>
      </c>
      <c r="M237" s="192">
        <v>1.668895849743306</v>
      </c>
      <c r="N237" s="192">
        <v>-26.015480129764281</v>
      </c>
      <c r="O237" s="193">
        <v>0.36599999999999999</v>
      </c>
      <c r="P237" s="194">
        <v>1.668895849743306</v>
      </c>
      <c r="Q237" s="195">
        <v>0.36686264836755994</v>
      </c>
      <c r="R237" s="196">
        <v>8.6264836755994834E-4</v>
      </c>
      <c r="S237" s="196">
        <v>27.77789566575191</v>
      </c>
      <c r="T237" s="197">
        <v>0.23962556350311451</v>
      </c>
      <c r="U237" s="197">
        <v>8.6264836755994843</v>
      </c>
      <c r="V237" s="193">
        <v>1.077</v>
      </c>
      <c r="W237" s="194">
        <v>-26.015480129764281</v>
      </c>
      <c r="X237" s="194">
        <v>1.0826175199281622</v>
      </c>
      <c r="Y237" s="196">
        <v>5.6175199281622845E-3</v>
      </c>
      <c r="Z237" s="196">
        <v>471.50884739056437</v>
      </c>
      <c r="AA237" s="196">
        <v>26.487103465213249</v>
      </c>
      <c r="AB237" s="196">
        <v>56.175199281622845</v>
      </c>
    </row>
    <row r="238" spans="1:28" x14ac:dyDescent="0.25">
      <c r="A238" s="190">
        <v>222</v>
      </c>
      <c r="B238" s="171">
        <v>6</v>
      </c>
      <c r="C238" s="171" t="s">
        <v>458</v>
      </c>
      <c r="D238" s="171" t="s">
        <v>32</v>
      </c>
      <c r="E238" s="171" t="s">
        <v>467</v>
      </c>
      <c r="F238" s="171">
        <v>3</v>
      </c>
      <c r="G238" s="171" t="s">
        <v>56</v>
      </c>
      <c r="H238" s="171">
        <v>3.2770000000000001</v>
      </c>
      <c r="I238" s="171"/>
      <c r="J238" s="191">
        <v>1.1145076051568565</v>
      </c>
      <c r="K238" s="191">
        <v>38.582355101815338</v>
      </c>
      <c r="L238" s="192">
        <v>34.618296836462797</v>
      </c>
      <c r="M238" s="192">
        <v>-0.40907372229695549</v>
      </c>
      <c r="N238" s="192">
        <v>-29.266952429743057</v>
      </c>
      <c r="O238" s="193">
        <v>0.36599999999999999</v>
      </c>
      <c r="P238" s="194">
        <v>-0.40907372229695549</v>
      </c>
      <c r="Q238" s="195">
        <v>0.36610437534719348</v>
      </c>
      <c r="R238" s="196">
        <v>1.0437534719348607E-4</v>
      </c>
      <c r="S238" s="196">
        <v>11.145076051568568</v>
      </c>
      <c r="T238" s="197">
        <v>1.1632711823802761E-2</v>
      </c>
      <c r="U238" s="197">
        <v>1.0437534719348607</v>
      </c>
      <c r="V238" s="193">
        <v>1.077</v>
      </c>
      <c r="W238" s="194">
        <v>-29.266952429743057</v>
      </c>
      <c r="X238" s="194">
        <v>1.0790423938089004</v>
      </c>
      <c r="Y238" s="196">
        <v>2.0423938089004778E-3</v>
      </c>
      <c r="Z238" s="196">
        <v>385.82355101815335</v>
      </c>
      <c r="AA238" s="196">
        <v>7.8800363192747405</v>
      </c>
      <c r="AB238" s="196">
        <v>20.423938089004778</v>
      </c>
    </row>
    <row r="239" spans="1:28" x14ac:dyDescent="0.25">
      <c r="A239" s="190">
        <v>223</v>
      </c>
      <c r="B239" s="171">
        <v>6</v>
      </c>
      <c r="C239" s="171" t="s">
        <v>459</v>
      </c>
      <c r="D239" s="171" t="s">
        <v>48</v>
      </c>
      <c r="E239" s="171" t="s">
        <v>467</v>
      </c>
      <c r="F239" s="171">
        <v>3</v>
      </c>
      <c r="G239" s="171" t="s">
        <v>57</v>
      </c>
      <c r="H239" s="171">
        <v>3.4460000000000002</v>
      </c>
      <c r="I239" s="171"/>
      <c r="J239" s="191">
        <v>1.051120748998793</v>
      </c>
      <c r="K239" s="191">
        <v>39.353823643079402</v>
      </c>
      <c r="L239" s="192">
        <v>37.439869473192743</v>
      </c>
      <c r="M239" s="192">
        <v>16.938251244635961</v>
      </c>
      <c r="N239" s="192">
        <v>-29.430510184008263</v>
      </c>
      <c r="O239" s="193">
        <v>0.36599999999999999</v>
      </c>
      <c r="P239" s="194">
        <v>16.938251244635961</v>
      </c>
      <c r="Q239" s="195">
        <v>0.37243424325684849</v>
      </c>
      <c r="R239" s="196">
        <v>6.4342432568484931E-3</v>
      </c>
      <c r="S239" s="196">
        <v>10.51120748998793</v>
      </c>
      <c r="T239" s="197">
        <v>0.67631665913790207</v>
      </c>
      <c r="U239" s="197">
        <v>64.342432568484924</v>
      </c>
      <c r="V239" s="193">
        <v>1.077</v>
      </c>
      <c r="W239" s="194">
        <v>-29.430510184008263</v>
      </c>
      <c r="X239" s="194">
        <v>1.0788625485749737</v>
      </c>
      <c r="Y239" s="196">
        <v>1.8625485749736992E-3</v>
      </c>
      <c r="Z239" s="196">
        <v>393.53823643079397</v>
      </c>
      <c r="AA239" s="196">
        <v>7.3298408146183807</v>
      </c>
      <c r="AB239" s="196">
        <v>18.625485749736992</v>
      </c>
    </row>
    <row r="240" spans="1:28" x14ac:dyDescent="0.25">
      <c r="A240" s="190">
        <v>224</v>
      </c>
      <c r="B240" s="171">
        <v>6</v>
      </c>
      <c r="C240" s="171" t="s">
        <v>460</v>
      </c>
      <c r="D240" s="171" t="s">
        <v>44</v>
      </c>
      <c r="E240" s="171" t="s">
        <v>467</v>
      </c>
      <c r="F240" s="171">
        <v>3</v>
      </c>
      <c r="G240" s="171" t="s">
        <v>58</v>
      </c>
      <c r="H240" s="171">
        <v>3.4980000000000002</v>
      </c>
      <c r="I240" s="171"/>
      <c r="J240" s="191">
        <v>1.3700786051460785</v>
      </c>
      <c r="K240" s="191">
        <v>36.490475305760846</v>
      </c>
      <c r="L240" s="192">
        <v>26.633855290273811</v>
      </c>
      <c r="M240" s="192">
        <v>-8.3581175243031658E-2</v>
      </c>
      <c r="N240" s="192">
        <v>-28.51058204185107</v>
      </c>
      <c r="O240" s="193">
        <v>0.36599999999999999</v>
      </c>
      <c r="P240" s="194">
        <v>-8.3581175243031658E-2</v>
      </c>
      <c r="Q240" s="195">
        <v>0.36622315177407172</v>
      </c>
      <c r="R240" s="196">
        <v>2.2315177407172815E-4</v>
      </c>
      <c r="S240" s="196">
        <v>13.700786051460785</v>
      </c>
      <c r="T240" s="197">
        <v>3.0573547135606616E-2</v>
      </c>
      <c r="U240" s="197">
        <v>2.2315177407172815</v>
      </c>
      <c r="V240" s="193">
        <v>1.077</v>
      </c>
      <c r="W240" s="194">
        <v>-28.51058204185107</v>
      </c>
      <c r="X240" s="194">
        <v>1.0798740768982893</v>
      </c>
      <c r="Y240" s="196">
        <v>2.874076898289335E-3</v>
      </c>
      <c r="Z240" s="196">
        <v>364.90475305760845</v>
      </c>
      <c r="AA240" s="196">
        <v>10.487643208388469</v>
      </c>
      <c r="AB240" s="196">
        <v>28.74076898289335</v>
      </c>
    </row>
    <row r="241" spans="1:28" x14ac:dyDescent="0.25">
      <c r="A241" s="190">
        <v>225</v>
      </c>
      <c r="B241" s="171">
        <v>6</v>
      </c>
      <c r="C241" s="171" t="s">
        <v>461</v>
      </c>
      <c r="D241" s="171" t="s">
        <v>28</v>
      </c>
      <c r="E241" s="171" t="s">
        <v>467</v>
      </c>
      <c r="F241" s="171">
        <v>3</v>
      </c>
      <c r="G241" s="171" t="s">
        <v>59</v>
      </c>
      <c r="H241" s="171">
        <v>3.5609999999999999</v>
      </c>
      <c r="I241" s="171"/>
      <c r="J241" s="191">
        <v>1.1844166111171575</v>
      </c>
      <c r="K241" s="191">
        <v>37.158588300359206</v>
      </c>
      <c r="L241" s="192">
        <v>31.372903716126324</v>
      </c>
      <c r="M241" s="192">
        <v>-1.0510824480025645</v>
      </c>
      <c r="N241" s="192">
        <v>-29.031476622984901</v>
      </c>
      <c r="O241" s="193">
        <v>0.36599999999999999</v>
      </c>
      <c r="P241" s="194">
        <v>-1.0510824480025645</v>
      </c>
      <c r="Q241" s="195">
        <v>0.36587009725582914</v>
      </c>
      <c r="R241" s="196">
        <v>-1.2990274417085113E-4</v>
      </c>
      <c r="S241" s="196">
        <v>11.844166111171575</v>
      </c>
      <c r="T241" s="197">
        <v>-1.5385896802565855E-2</v>
      </c>
      <c r="U241" s="197">
        <v>-1.2990274417085113</v>
      </c>
      <c r="V241" s="193">
        <v>1.077</v>
      </c>
      <c r="W241" s="194">
        <v>-29.031476622984901</v>
      </c>
      <c r="X241" s="194">
        <v>1.0793013177217343</v>
      </c>
      <c r="Y241" s="196">
        <v>2.3013177217343639E-3</v>
      </c>
      <c r="Z241" s="196">
        <v>371.58588300359207</v>
      </c>
      <c r="AA241" s="196">
        <v>8.5513717770247837</v>
      </c>
      <c r="AB241" s="196">
        <v>23.013177217343639</v>
      </c>
    </row>
    <row r="242" spans="1:28" x14ac:dyDescent="0.25">
      <c r="A242" s="190">
        <v>226</v>
      </c>
      <c r="B242" s="171">
        <v>6</v>
      </c>
      <c r="C242" s="171" t="s">
        <v>462</v>
      </c>
      <c r="D242" s="171" t="s">
        <v>36</v>
      </c>
      <c r="E242" s="171" t="s">
        <v>467</v>
      </c>
      <c r="F242" s="171">
        <v>3</v>
      </c>
      <c r="G242" s="171" t="s">
        <v>60</v>
      </c>
      <c r="H242" s="171">
        <v>3.3679999999999999</v>
      </c>
      <c r="I242" s="171"/>
      <c r="J242" s="191">
        <v>2.0140880002120523</v>
      </c>
      <c r="K242" s="191">
        <v>40.896734082271514</v>
      </c>
      <c r="L242" s="192">
        <v>20.305336250434799</v>
      </c>
      <c r="M242" s="192">
        <v>3.94766426194807</v>
      </c>
      <c r="N242" s="192">
        <v>-28.491232885850273</v>
      </c>
      <c r="O242" s="193">
        <v>0.36599999999999999</v>
      </c>
      <c r="P242" s="194">
        <v>3.94766426194807</v>
      </c>
      <c r="Q242" s="195">
        <v>0.36769418173466373</v>
      </c>
      <c r="R242" s="196">
        <v>1.6941817346637356E-3</v>
      </c>
      <c r="S242" s="196">
        <v>20.140880002120522</v>
      </c>
      <c r="T242" s="197">
        <v>0.34122311019646684</v>
      </c>
      <c r="U242" s="197">
        <v>16.941817346637357</v>
      </c>
      <c r="V242" s="193">
        <v>1.077</v>
      </c>
      <c r="W242" s="194">
        <v>-28.491232885850273</v>
      </c>
      <c r="X242" s="194">
        <v>1.0798953524893737</v>
      </c>
      <c r="Y242" s="196">
        <v>2.8953524893737814E-3</v>
      </c>
      <c r="Z242" s="196">
        <v>408.96734082271513</v>
      </c>
      <c r="AA242" s="196">
        <v>11.84104608323624</v>
      </c>
      <c r="AB242" s="196">
        <v>28.953524893737818</v>
      </c>
    </row>
    <row r="243" spans="1:28" x14ac:dyDescent="0.25">
      <c r="A243" s="190">
        <v>227</v>
      </c>
      <c r="B243" s="171">
        <v>6</v>
      </c>
      <c r="C243" s="171" t="s">
        <v>463</v>
      </c>
      <c r="D243" s="171" t="s">
        <v>52</v>
      </c>
      <c r="E243" s="171" t="s">
        <v>467</v>
      </c>
      <c r="F243" s="171">
        <v>3</v>
      </c>
      <c r="G243" s="171" t="s">
        <v>61</v>
      </c>
      <c r="H243" s="171">
        <v>3.9550000000000001</v>
      </c>
      <c r="I243" s="171"/>
      <c r="J243" s="191">
        <v>1.5838149271255719</v>
      </c>
      <c r="K243" s="191">
        <v>39.818438066804674</v>
      </c>
      <c r="L243" s="192">
        <v>25.140840248974175</v>
      </c>
      <c r="M243" s="192">
        <v>-1.0529981500911596</v>
      </c>
      <c r="N243" s="192">
        <v>-27.528149884045853</v>
      </c>
      <c r="O243" s="193">
        <v>0.36599999999999999</v>
      </c>
      <c r="P243" s="194">
        <v>-1.0529981500911596</v>
      </c>
      <c r="Q243" s="195">
        <v>0.36586939818731273</v>
      </c>
      <c r="R243" s="196">
        <v>-1.3060181268725879E-4</v>
      </c>
      <c r="S243" s="196">
        <v>15.838149271255718</v>
      </c>
      <c r="T243" s="197">
        <v>-2.0684910044373835E-2</v>
      </c>
      <c r="U243" s="197">
        <v>-1.3060181268725879</v>
      </c>
      <c r="V243" s="193">
        <v>1.077</v>
      </c>
      <c r="W243" s="194">
        <v>-27.528149884045853</v>
      </c>
      <c r="X243" s="194">
        <v>1.0809543101187546</v>
      </c>
      <c r="Y243" s="196">
        <v>3.9543101187546892E-3</v>
      </c>
      <c r="Z243" s="196">
        <v>398.18438066804674</v>
      </c>
      <c r="AA243" s="196">
        <v>15.745445256057263</v>
      </c>
      <c r="AB243" s="196">
        <v>39.543101187546895</v>
      </c>
    </row>
    <row r="244" spans="1:28" x14ac:dyDescent="0.25">
      <c r="A244" s="190">
        <v>228</v>
      </c>
      <c r="B244" s="171">
        <v>6</v>
      </c>
      <c r="C244" s="171" t="s">
        <v>464</v>
      </c>
      <c r="D244" s="171" t="s">
        <v>24</v>
      </c>
      <c r="E244" s="171" t="s">
        <v>467</v>
      </c>
      <c r="F244" s="171">
        <v>3</v>
      </c>
      <c r="G244" s="171" t="s">
        <v>62</v>
      </c>
      <c r="H244" s="171">
        <v>3.7730000000000001</v>
      </c>
      <c r="I244" s="171"/>
      <c r="J244" s="191">
        <v>1.4337167836376226</v>
      </c>
      <c r="K244" s="191">
        <v>38.446807153704547</v>
      </c>
      <c r="L244" s="192">
        <v>26.81617987072552</v>
      </c>
      <c r="M244" s="192">
        <v>3.572098686638348</v>
      </c>
      <c r="N244" s="192">
        <v>-28.291697654290967</v>
      </c>
      <c r="O244" s="193">
        <v>0.36599999999999999</v>
      </c>
      <c r="P244" s="194">
        <v>3.572098686638348</v>
      </c>
      <c r="Q244" s="195">
        <v>0.36755713703591708</v>
      </c>
      <c r="R244" s="196">
        <v>1.5571370359170889E-3</v>
      </c>
      <c r="S244" s="196">
        <v>14.337167836376224</v>
      </c>
      <c r="T244" s="197">
        <v>0.22324935028180698</v>
      </c>
      <c r="U244" s="197">
        <v>15.57137035917089</v>
      </c>
      <c r="V244" s="193">
        <v>1.077</v>
      </c>
      <c r="W244" s="194">
        <v>-28.291697654290967</v>
      </c>
      <c r="X244" s="194">
        <v>1.0801147532562421</v>
      </c>
      <c r="Y244" s="196">
        <v>3.1147532562421087E-3</v>
      </c>
      <c r="Z244" s="196">
        <v>384.46807153704555</v>
      </c>
      <c r="AA244" s="196">
        <v>11.975231777411368</v>
      </c>
      <c r="AB244" s="196">
        <v>31.147532562421087</v>
      </c>
    </row>
    <row r="245" spans="1:28" x14ac:dyDescent="0.25">
      <c r="A245" s="190">
        <v>229</v>
      </c>
      <c r="B245" s="171">
        <v>6</v>
      </c>
      <c r="C245" s="171" t="s">
        <v>456</v>
      </c>
      <c r="D245" s="171" t="s">
        <v>40</v>
      </c>
      <c r="E245" s="171" t="s">
        <v>468</v>
      </c>
      <c r="F245" s="171">
        <v>3</v>
      </c>
      <c r="G245" s="171" t="s">
        <v>63</v>
      </c>
      <c r="H245" s="171">
        <v>3.9</v>
      </c>
      <c r="I245" s="171"/>
      <c r="J245" s="191">
        <v>1.9736870654186187</v>
      </c>
      <c r="K245" s="191">
        <v>43.925832516757758</v>
      </c>
      <c r="L245" s="192">
        <v>22.255722949393245</v>
      </c>
      <c r="M245" s="192">
        <v>-5.3059276576677767</v>
      </c>
      <c r="N245" s="192">
        <v>-29.030555793473262</v>
      </c>
      <c r="O245" s="193">
        <v>0.36599999999999999</v>
      </c>
      <c r="P245" s="194">
        <v>-5.3059276576677767</v>
      </c>
      <c r="Q245" s="195">
        <v>0.36431741603355688</v>
      </c>
      <c r="R245" s="196">
        <v>-1.6825839664431075E-3</v>
      </c>
      <c r="S245" s="196">
        <v>19.736870654186188</v>
      </c>
      <c r="T245" s="197">
        <v>-0.33208942110495165</v>
      </c>
      <c r="U245" s="197">
        <v>-16.825839664431076</v>
      </c>
      <c r="V245" s="193">
        <v>1.077</v>
      </c>
      <c r="W245" s="194">
        <v>-29.030555793473262</v>
      </c>
      <c r="X245" s="194">
        <v>1.0793023302425406</v>
      </c>
      <c r="Y245" s="196">
        <v>2.3023302425406733E-3</v>
      </c>
      <c r="Z245" s="196">
        <v>439.2583251675776</v>
      </c>
      <c r="AA245" s="196">
        <v>10.113177263210787</v>
      </c>
      <c r="AB245" s="196">
        <v>23.023302425406733</v>
      </c>
    </row>
    <row r="246" spans="1:28" x14ac:dyDescent="0.25">
      <c r="A246" s="190">
        <v>230</v>
      </c>
      <c r="B246" s="171">
        <v>6</v>
      </c>
      <c r="C246" s="171" t="s">
        <v>459</v>
      </c>
      <c r="D246" s="171" t="s">
        <v>48</v>
      </c>
      <c r="E246" s="171" t="s">
        <v>468</v>
      </c>
      <c r="F246" s="171">
        <v>3</v>
      </c>
      <c r="G246" s="171" t="s">
        <v>64</v>
      </c>
      <c r="H246" s="171">
        <v>3.194</v>
      </c>
      <c r="I246" s="171"/>
      <c r="J246" s="191">
        <v>1.8577305549711582</v>
      </c>
      <c r="K246" s="191">
        <v>45.181365140375405</v>
      </c>
      <c r="L246" s="192">
        <v>24.320731022845699</v>
      </c>
      <c r="M246" s="192">
        <v>7.9048659716845115</v>
      </c>
      <c r="N246" s="192">
        <v>-29.407776358988553</v>
      </c>
      <c r="O246" s="193">
        <v>0.36599999999999999</v>
      </c>
      <c r="P246" s="194">
        <v>7.9048659716845115</v>
      </c>
      <c r="Q246" s="195">
        <v>0.36913815036800723</v>
      </c>
      <c r="R246" s="196">
        <v>3.138150368007242E-3</v>
      </c>
      <c r="S246" s="196">
        <v>18.577305549711586</v>
      </c>
      <c r="T246" s="197">
        <v>0.58298378247410387</v>
      </c>
      <c r="U246" s="197">
        <v>31.38150368007242</v>
      </c>
      <c r="V246" s="193">
        <v>1.077</v>
      </c>
      <c r="W246" s="194">
        <v>-29.407776358988553</v>
      </c>
      <c r="X246" s="194">
        <v>1.0788875463288081</v>
      </c>
      <c r="Y246" s="196">
        <v>1.8875463288081651E-3</v>
      </c>
      <c r="Z246" s="196">
        <v>451.81365140375408</v>
      </c>
      <c r="AA246" s="196">
        <v>8.5281919901256806</v>
      </c>
      <c r="AB246" s="196">
        <v>18.875463288081651</v>
      </c>
    </row>
    <row r="247" spans="1:28" x14ac:dyDescent="0.25">
      <c r="A247" s="190">
        <v>231</v>
      </c>
      <c r="B247" s="171">
        <v>6</v>
      </c>
      <c r="C247" s="171" t="s">
        <v>460</v>
      </c>
      <c r="D247" s="171" t="s">
        <v>44</v>
      </c>
      <c r="E247" s="171" t="s">
        <v>468</v>
      </c>
      <c r="F247" s="171">
        <v>3</v>
      </c>
      <c r="G247" s="171" t="s">
        <v>65</v>
      </c>
      <c r="H247" s="171">
        <v>3.202</v>
      </c>
      <c r="I247" s="171"/>
      <c r="J247" s="191">
        <v>1.3340626051073683</v>
      </c>
      <c r="K247" s="191">
        <v>45.922676641714247</v>
      </c>
      <c r="L247" s="192">
        <v>34.423179591349303</v>
      </c>
      <c r="M247" s="192">
        <v>-5.3720953862956851</v>
      </c>
      <c r="N247" s="192">
        <v>-30.068225734559686</v>
      </c>
      <c r="O247" s="193">
        <v>0.36599999999999999</v>
      </c>
      <c r="P247" s="194">
        <v>-5.3720953862956851</v>
      </c>
      <c r="Q247" s="195">
        <v>0.36429326967554887</v>
      </c>
      <c r="R247" s="196">
        <v>-1.7067303244511223E-3</v>
      </c>
      <c r="S247" s="196">
        <v>13.340626051073682</v>
      </c>
      <c r="T247" s="197">
        <v>-0.22768851028530079</v>
      </c>
      <c r="U247" s="197">
        <v>-17.067303244511223</v>
      </c>
      <c r="V247" s="193">
        <v>1.077</v>
      </c>
      <c r="W247" s="194">
        <v>-30.068225734559686</v>
      </c>
      <c r="X247" s="194">
        <v>1.0781613215105141</v>
      </c>
      <c r="Y247" s="196">
        <v>1.1613215105141794E-3</v>
      </c>
      <c r="Z247" s="196">
        <v>459.22676641714247</v>
      </c>
      <c r="AA247" s="196">
        <v>5.3330992204409817</v>
      </c>
      <c r="AB247" s="196">
        <v>11.613215105141794</v>
      </c>
    </row>
    <row r="248" spans="1:28" x14ac:dyDescent="0.25">
      <c r="A248" s="190">
        <v>233</v>
      </c>
      <c r="B248" s="171">
        <v>6</v>
      </c>
      <c r="C248" s="171" t="s">
        <v>463</v>
      </c>
      <c r="D248" s="171" t="s">
        <v>52</v>
      </c>
      <c r="E248" s="171" t="s">
        <v>468</v>
      </c>
      <c r="F248" s="171">
        <v>3</v>
      </c>
      <c r="G248" s="171" t="s">
        <v>66</v>
      </c>
      <c r="H248" s="171">
        <v>3.6280000000000001</v>
      </c>
      <c r="I248" s="171"/>
      <c r="J248" s="191">
        <v>1.5807353878982047</v>
      </c>
      <c r="K248" s="191">
        <v>44.798965402845177</v>
      </c>
      <c r="L248" s="192">
        <v>28.340584860576371</v>
      </c>
      <c r="M248" s="192">
        <v>-7.0695960549297485</v>
      </c>
      <c r="N248" s="192">
        <v>-28.968259815611248</v>
      </c>
      <c r="O248" s="193">
        <v>0.36599999999999999</v>
      </c>
      <c r="P248" s="194">
        <v>-7.0695960549297485</v>
      </c>
      <c r="Q248" s="195">
        <v>0.36367380268634647</v>
      </c>
      <c r="R248" s="196">
        <v>-2.3261973136535219E-3</v>
      </c>
      <c r="S248" s="196">
        <v>15.807353878982047</v>
      </c>
      <c r="T248" s="197">
        <v>-0.36771024129258617</v>
      </c>
      <c r="U248" s="197">
        <v>-23.261973136535218</v>
      </c>
      <c r="V248" s="193">
        <v>1.077</v>
      </c>
      <c r="W248" s="194">
        <v>-28.968259815611248</v>
      </c>
      <c r="X248" s="194">
        <v>1.0793708292736919</v>
      </c>
      <c r="Y248" s="196">
        <v>2.3708292736919212E-3</v>
      </c>
      <c r="Z248" s="196">
        <v>447.98965402845175</v>
      </c>
      <c r="AA248" s="196">
        <v>10.621069860817693</v>
      </c>
      <c r="AB248" s="196">
        <v>23.708292736919212</v>
      </c>
    </row>
    <row r="249" spans="1:28" x14ac:dyDescent="0.25">
      <c r="A249" s="190">
        <v>234</v>
      </c>
      <c r="B249" s="171">
        <v>6</v>
      </c>
      <c r="C249" s="171" t="s">
        <v>464</v>
      </c>
      <c r="D249" s="171" t="s">
        <v>24</v>
      </c>
      <c r="E249" s="171" t="s">
        <v>468</v>
      </c>
      <c r="F249" s="171">
        <v>3</v>
      </c>
      <c r="G249" s="171" t="s">
        <v>67</v>
      </c>
      <c r="H249" s="171">
        <v>3.4889999999999999</v>
      </c>
      <c r="I249" s="171"/>
      <c r="J249" s="191">
        <v>2.5022858332254256</v>
      </c>
      <c r="K249" s="191">
        <v>42.845667922009021</v>
      </c>
      <c r="L249" s="192">
        <v>17.122611395190336</v>
      </c>
      <c r="M249" s="192">
        <v>-2.2120552883112086</v>
      </c>
      <c r="N249" s="192">
        <v>-29.600857235017376</v>
      </c>
      <c r="O249" s="193">
        <v>0.36599999999999999</v>
      </c>
      <c r="P249" s="194">
        <v>-2.2120552883112086</v>
      </c>
      <c r="Q249" s="195">
        <v>0.36544643899954254</v>
      </c>
      <c r="R249" s="196">
        <v>-5.5356100045744761E-4</v>
      </c>
      <c r="S249" s="196">
        <v>25.022858332254259</v>
      </c>
      <c r="T249" s="197">
        <v>-0.13851678492707645</v>
      </c>
      <c r="U249" s="197">
        <v>-5.5356100045744761</v>
      </c>
      <c r="V249" s="193">
        <v>1.077</v>
      </c>
      <c r="W249" s="194">
        <v>-29.600857235017376</v>
      </c>
      <c r="X249" s="194">
        <v>1.0786752372543669</v>
      </c>
      <c r="Y249" s="196">
        <v>1.6752372543669125E-3</v>
      </c>
      <c r="Z249" s="196">
        <v>428.45667922009028</v>
      </c>
      <c r="AA249" s="196">
        <v>7.1776659091182911</v>
      </c>
      <c r="AB249" s="196">
        <v>16.752372543669125</v>
      </c>
    </row>
    <row r="250" spans="1:28" x14ac:dyDescent="0.25">
      <c r="A250" s="171"/>
      <c r="B250" s="171"/>
      <c r="C250" s="171"/>
      <c r="D250" s="171"/>
      <c r="E250" s="171"/>
      <c r="F250" s="171"/>
      <c r="G250" s="171"/>
      <c r="H250" s="171"/>
      <c r="I250" s="198" t="s">
        <v>152</v>
      </c>
      <c r="J250" s="191">
        <v>2.8211661057464901</v>
      </c>
      <c r="K250" s="191">
        <v>46.336233536404364</v>
      </c>
      <c r="L250" s="192">
        <v>16.424496750482419</v>
      </c>
      <c r="M250" s="192">
        <v>0.85871143861564903</v>
      </c>
      <c r="N250" s="192">
        <v>-25.800679093882895</v>
      </c>
      <c r="O250" s="193">
        <v>0.36599999999999999</v>
      </c>
      <c r="P250" s="194">
        <v>0.85871143861564903</v>
      </c>
      <c r="Q250" s="195">
        <v>0.36656700490088967</v>
      </c>
      <c r="R250" s="196">
        <v>5.6700490088967825E-4</v>
      </c>
      <c r="S250" s="196">
        <v>28.211661057464902</v>
      </c>
      <c r="T250" s="197">
        <v>0.15996150081821081</v>
      </c>
      <c r="U250" s="197">
        <v>5.6700490088967825</v>
      </c>
      <c r="V250" s="193">
        <v>1.077</v>
      </c>
      <c r="W250" s="194">
        <v>-25.800679093882895</v>
      </c>
      <c r="X250" s="194">
        <v>1.0828536933090767</v>
      </c>
      <c r="Y250" s="196">
        <v>5.8536933090767018E-3</v>
      </c>
      <c r="Z250" s="196">
        <v>463.36233536404359</v>
      </c>
      <c r="AA250" s="196">
        <v>27.123810021986568</v>
      </c>
      <c r="AB250" s="196">
        <v>58.536933090767022</v>
      </c>
    </row>
    <row r="251" spans="1:28" x14ac:dyDescent="0.25">
      <c r="A251" s="190">
        <v>235</v>
      </c>
      <c r="B251" s="171">
        <v>6</v>
      </c>
      <c r="C251" s="171" t="s">
        <v>456</v>
      </c>
      <c r="D251" s="171" t="s">
        <v>40</v>
      </c>
      <c r="E251" s="171" t="s">
        <v>470</v>
      </c>
      <c r="F251" s="171">
        <v>3</v>
      </c>
      <c r="G251" s="171" t="s">
        <v>116</v>
      </c>
      <c r="H251" s="171">
        <v>3.6480000000000001</v>
      </c>
      <c r="I251" s="171"/>
      <c r="J251" s="191">
        <v>1.3726631439118389</v>
      </c>
      <c r="K251" s="191">
        <v>44.221014187547574</v>
      </c>
      <c r="L251" s="192">
        <v>32.215488835466054</v>
      </c>
      <c r="M251" s="192">
        <v>-4.8830855529482449</v>
      </c>
      <c r="N251" s="192">
        <v>-29.852958126207341</v>
      </c>
      <c r="O251" s="193">
        <v>0.36599999999999999</v>
      </c>
      <c r="P251" s="194">
        <v>-4.8830855529482449</v>
      </c>
      <c r="Q251" s="195">
        <v>0.3644717220489872</v>
      </c>
      <c r="R251" s="196">
        <v>-1.5282779510127908E-3</v>
      </c>
      <c r="S251" s="196">
        <v>13.726631439118389</v>
      </c>
      <c r="T251" s="197">
        <v>-0.20978108170083606</v>
      </c>
      <c r="U251" s="197">
        <v>-15.282779510127909</v>
      </c>
      <c r="V251" s="193">
        <v>1.077</v>
      </c>
      <c r="W251" s="194">
        <v>-29.852958126207341</v>
      </c>
      <c r="X251" s="194">
        <v>1.0783980292116107</v>
      </c>
      <c r="Y251" s="196">
        <v>1.3980292116106963E-3</v>
      </c>
      <c r="Z251" s="196">
        <v>442.21014187547576</v>
      </c>
      <c r="AA251" s="196">
        <v>6.1822269601242548</v>
      </c>
      <c r="AB251" s="196">
        <v>13.980292116106963</v>
      </c>
    </row>
    <row r="252" spans="1:28" x14ac:dyDescent="0.25">
      <c r="A252" s="190">
        <v>236</v>
      </c>
      <c r="B252" s="171">
        <v>6</v>
      </c>
      <c r="C252" s="171" t="s">
        <v>459</v>
      </c>
      <c r="D252" s="171" t="s">
        <v>48</v>
      </c>
      <c r="E252" s="171" t="s">
        <v>470</v>
      </c>
      <c r="F252" s="171">
        <v>3</v>
      </c>
      <c r="G252" s="171" t="s">
        <v>117</v>
      </c>
      <c r="H252" s="171">
        <v>3.3319999999999999</v>
      </c>
      <c r="I252" s="171"/>
      <c r="J252" s="191">
        <v>1.3642227181421145</v>
      </c>
      <c r="K252" s="191">
        <v>44.287542366119929</v>
      </c>
      <c r="L252" s="192">
        <v>32.46357194991851</v>
      </c>
      <c r="M252" s="192">
        <v>-5.1385046208098846</v>
      </c>
      <c r="N252" s="192">
        <v>-30.9352293015919</v>
      </c>
      <c r="O252" s="193">
        <v>0.36599999999999999</v>
      </c>
      <c r="P252" s="194">
        <v>-5.1385046208098846</v>
      </c>
      <c r="Q252" s="195">
        <v>0.36437851308512409</v>
      </c>
      <c r="R252" s="196">
        <v>-1.6214869148759026E-3</v>
      </c>
      <c r="S252" s="196">
        <v>13.642227181421145</v>
      </c>
      <c r="T252" s="197">
        <v>-0.22120692864438751</v>
      </c>
      <c r="U252" s="197">
        <v>-16.214869148759025</v>
      </c>
      <c r="V252" s="193">
        <v>1.077</v>
      </c>
      <c r="W252" s="194">
        <v>-30.9352293015919</v>
      </c>
      <c r="X252" s="194">
        <v>1.0772079551785469</v>
      </c>
      <c r="Y252" s="196">
        <v>2.0795517854699241E-4</v>
      </c>
      <c r="Z252" s="196">
        <v>442.87542366119931</v>
      </c>
      <c r="AA252" s="196">
        <v>0.92098237801539606</v>
      </c>
      <c r="AB252" s="196">
        <v>2.0795517854699241</v>
      </c>
    </row>
    <row r="253" spans="1:28" x14ac:dyDescent="0.25">
      <c r="A253" s="190">
        <v>237</v>
      </c>
      <c r="B253" s="171">
        <v>6</v>
      </c>
      <c r="C253" s="171" t="s">
        <v>460</v>
      </c>
      <c r="D253" s="171" t="s">
        <v>44</v>
      </c>
      <c r="E253" s="171" t="s">
        <v>470</v>
      </c>
      <c r="F253" s="171">
        <v>3</v>
      </c>
      <c r="G253" s="171" t="s">
        <v>118</v>
      </c>
      <c r="H253" s="171">
        <v>3.919</v>
      </c>
      <c r="I253" s="171"/>
      <c r="J253" s="191">
        <v>1.3685976905724229</v>
      </c>
      <c r="K253" s="191">
        <v>42.67889113223525</v>
      </c>
      <c r="L253" s="192">
        <v>31.184395112039528</v>
      </c>
      <c r="M253" s="192">
        <v>-4.7483835406391073</v>
      </c>
      <c r="N253" s="192">
        <v>-30.531650782821842</v>
      </c>
      <c r="O253" s="193">
        <v>0.36599999999999999</v>
      </c>
      <c r="P253" s="194">
        <v>-4.7483835406391073</v>
      </c>
      <c r="Q253" s="195">
        <v>0.36452087819524825</v>
      </c>
      <c r="R253" s="196">
        <v>-1.4791218047517374E-3</v>
      </c>
      <c r="S253" s="196">
        <v>13.685976905724228</v>
      </c>
      <c r="T253" s="197">
        <v>-0.2024322686058542</v>
      </c>
      <c r="U253" s="197">
        <v>-14.791218047517374</v>
      </c>
      <c r="V253" s="193">
        <v>1.077</v>
      </c>
      <c r="W253" s="194">
        <v>-30.531650782821842</v>
      </c>
      <c r="X253" s="194">
        <v>1.0776517366908378</v>
      </c>
      <c r="Y253" s="196">
        <v>6.5173669083784525E-4</v>
      </c>
      <c r="Z253" s="196">
        <v>426.78891132235253</v>
      </c>
      <c r="AA253" s="196">
        <v>2.781539927515166</v>
      </c>
      <c r="AB253" s="196">
        <v>6.5173669083784533</v>
      </c>
    </row>
    <row r="254" spans="1:28" x14ac:dyDescent="0.25">
      <c r="A254" s="190">
        <v>238</v>
      </c>
      <c r="B254" s="171">
        <v>6</v>
      </c>
      <c r="C254" s="171" t="s">
        <v>463</v>
      </c>
      <c r="D254" s="171" t="s">
        <v>52</v>
      </c>
      <c r="E254" s="171" t="s">
        <v>470</v>
      </c>
      <c r="F254" s="171">
        <v>3</v>
      </c>
      <c r="G254" s="171" t="s">
        <v>68</v>
      </c>
      <c r="H254" s="171">
        <v>3.6429999999999998</v>
      </c>
      <c r="I254" s="171"/>
      <c r="J254" s="191">
        <v>1.7112360061965202</v>
      </c>
      <c r="K254" s="191">
        <v>43.73811962693653</v>
      </c>
      <c r="L254" s="192">
        <v>25.559373148155696</v>
      </c>
      <c r="M254" s="192">
        <v>-6.0771313519129713</v>
      </c>
      <c r="N254" s="192">
        <v>-28.853407434400285</v>
      </c>
      <c r="O254" s="193">
        <v>0.36599999999999999</v>
      </c>
      <c r="P254" s="194">
        <v>-6.0771313519129713</v>
      </c>
      <c r="Q254" s="195">
        <v>0.36403598263738235</v>
      </c>
      <c r="R254" s="196">
        <v>-1.9640173626176427E-3</v>
      </c>
      <c r="S254" s="196">
        <v>17.112360061965202</v>
      </c>
      <c r="T254" s="197">
        <v>-0.33608972277064375</v>
      </c>
      <c r="U254" s="197">
        <v>-19.640173626176427</v>
      </c>
      <c r="V254" s="193">
        <v>1.077</v>
      </c>
      <c r="W254" s="194">
        <v>-28.853407434400285</v>
      </c>
      <c r="X254" s="194">
        <v>1.0794971177054127</v>
      </c>
      <c r="Y254" s="196">
        <v>2.4971177054127214E-3</v>
      </c>
      <c r="Z254" s="196">
        <v>437.38119626936526</v>
      </c>
      <c r="AA254" s="196">
        <v>10.921923292188286</v>
      </c>
      <c r="AB254" s="196">
        <v>24.971177054127217</v>
      </c>
    </row>
    <row r="255" spans="1:28" x14ac:dyDescent="0.25">
      <c r="A255" s="190">
        <v>239</v>
      </c>
      <c r="B255" s="171">
        <v>5</v>
      </c>
      <c r="C255" s="171" t="s">
        <v>461</v>
      </c>
      <c r="D255" s="171" t="s">
        <v>24</v>
      </c>
      <c r="E255" s="171" t="s">
        <v>470</v>
      </c>
      <c r="F255" s="171">
        <v>3</v>
      </c>
      <c r="G255" s="171" t="s">
        <v>69</v>
      </c>
      <c r="H255" s="171">
        <v>3.254</v>
      </c>
      <c r="I255" s="171"/>
      <c r="J255" s="191">
        <v>1.8073824737109931</v>
      </c>
      <c r="K255" s="191">
        <v>43.351372343925291</v>
      </c>
      <c r="L255" s="192">
        <v>23.985721325998274</v>
      </c>
      <c r="M255" s="192">
        <v>-1.6846823749988511</v>
      </c>
      <c r="N255" s="192">
        <v>-30.380237531646255</v>
      </c>
      <c r="O255" s="193">
        <v>0.36599999999999999</v>
      </c>
      <c r="P255" s="194">
        <v>-1.6846823749988511</v>
      </c>
      <c r="Q255" s="195">
        <v>0.3656388865741893</v>
      </c>
      <c r="R255" s="196">
        <v>-3.611134258106885E-4</v>
      </c>
      <c r="S255" s="196">
        <v>18.073824737109931</v>
      </c>
      <c r="T255" s="197">
        <v>-6.5267007683197334E-2</v>
      </c>
      <c r="U255" s="197">
        <v>-3.611134258106885</v>
      </c>
      <c r="V255" s="193">
        <v>1.077</v>
      </c>
      <c r="W255" s="194">
        <v>-30.380237531646255</v>
      </c>
      <c r="X255" s="194">
        <v>1.0778182321407321</v>
      </c>
      <c r="Y255" s="196">
        <v>8.1823214073217798E-4</v>
      </c>
      <c r="Z255" s="196">
        <v>433.51372343925294</v>
      </c>
      <c r="AA255" s="196">
        <v>3.5471486196647732</v>
      </c>
      <c r="AB255" s="196">
        <v>8.1823214073217798</v>
      </c>
    </row>
    <row r="256" spans="1:28" x14ac:dyDescent="0.25">
      <c r="A256" s="190">
        <v>39</v>
      </c>
      <c r="B256" s="171">
        <v>1</v>
      </c>
      <c r="C256" s="171" t="s">
        <v>460</v>
      </c>
      <c r="D256" s="171" t="s">
        <v>24</v>
      </c>
      <c r="E256" s="171" t="s">
        <v>470</v>
      </c>
      <c r="F256" s="171">
        <v>3</v>
      </c>
      <c r="G256" s="171" t="s">
        <v>70</v>
      </c>
      <c r="H256" s="171">
        <v>0.32500000000000001</v>
      </c>
      <c r="I256" s="199" t="s">
        <v>471</v>
      </c>
      <c r="J256" s="200"/>
      <c r="K256" s="200"/>
      <c r="L256" s="201"/>
      <c r="M256" s="192"/>
      <c r="N256" s="201"/>
      <c r="O256" s="202"/>
      <c r="P256" s="203"/>
      <c r="Q256" s="204"/>
      <c r="R256" s="203"/>
      <c r="S256" s="203"/>
      <c r="T256" s="203"/>
      <c r="U256" s="203"/>
      <c r="V256" s="193"/>
      <c r="W256" s="203"/>
      <c r="X256" s="203"/>
      <c r="Y256" s="203"/>
      <c r="Z256" s="203"/>
      <c r="AA256" s="203"/>
      <c r="AB256" s="203"/>
    </row>
    <row r="257" spans="1:28" x14ac:dyDescent="0.25">
      <c r="A257" s="190">
        <v>62</v>
      </c>
      <c r="B257" s="171">
        <v>2</v>
      </c>
      <c r="C257" s="171" t="s">
        <v>463</v>
      </c>
      <c r="D257" s="171" t="s">
        <v>36</v>
      </c>
      <c r="E257" s="171" t="s">
        <v>466</v>
      </c>
      <c r="F257" s="171">
        <v>3</v>
      </c>
      <c r="G257" s="171" t="s">
        <v>71</v>
      </c>
      <c r="H257" s="171">
        <v>0.41799999999999998</v>
      </c>
      <c r="I257" s="171" t="s">
        <v>469</v>
      </c>
      <c r="J257" s="191">
        <v>4.0955393512590943</v>
      </c>
      <c r="K257" s="191">
        <v>43.615833564626072</v>
      </c>
      <c r="L257" s="192">
        <v>10.649594552477497</v>
      </c>
      <c r="M257" s="192">
        <v>-1.7968038113364821</v>
      </c>
      <c r="N257" s="192">
        <v>-25.808167809139569</v>
      </c>
      <c r="O257" s="193">
        <v>0.36599999999999999</v>
      </c>
      <c r="P257" s="194">
        <v>-1.7968038113364821</v>
      </c>
      <c r="Q257" s="195">
        <v>0.36559797156864476</v>
      </c>
      <c r="R257" s="196">
        <v>-4.0202843135522803E-4</v>
      </c>
      <c r="S257" s="196">
        <v>40.955393512590945</v>
      </c>
      <c r="T257" s="197">
        <v>-0.16465232609403019</v>
      </c>
      <c r="U257" s="197">
        <v>-4.0202843135522803</v>
      </c>
      <c r="V257" s="193">
        <v>1.077</v>
      </c>
      <c r="W257" s="194">
        <v>-25.808167809139569</v>
      </c>
      <c r="X257" s="194">
        <v>1.0828454594981081</v>
      </c>
      <c r="Y257" s="196">
        <v>5.8454594981081076E-3</v>
      </c>
      <c r="Z257" s="196">
        <v>436.15833564626064</v>
      </c>
      <c r="AA257" s="196">
        <v>25.495458857824584</v>
      </c>
      <c r="AB257" s="196">
        <v>58.454594981081073</v>
      </c>
    </row>
    <row r="258" spans="1:28" x14ac:dyDescent="0.25">
      <c r="A258" s="190">
        <v>80</v>
      </c>
      <c r="B258" s="171">
        <v>2</v>
      </c>
      <c r="C258" s="171" t="s">
        <v>463</v>
      </c>
      <c r="D258" s="171" t="s">
        <v>36</v>
      </c>
      <c r="E258" s="171" t="s">
        <v>470</v>
      </c>
      <c r="F258" s="171">
        <v>3</v>
      </c>
      <c r="G258" s="171" t="s">
        <v>72</v>
      </c>
      <c r="H258" s="171">
        <v>1.3260000000000001</v>
      </c>
      <c r="I258" s="171" t="s">
        <v>469</v>
      </c>
      <c r="J258" s="191">
        <v>2.1538374792550328</v>
      </c>
      <c r="K258" s="191">
        <v>49.286767460871076</v>
      </c>
      <c r="L258" s="192">
        <v>22.883234197372371</v>
      </c>
      <c r="M258" s="192">
        <v>-1.9475335804134173</v>
      </c>
      <c r="N258" s="192">
        <v>-29.955850867108964</v>
      </c>
      <c r="O258" s="193">
        <v>0.36599999999999999</v>
      </c>
      <c r="P258" s="194">
        <v>-1.9475335804134173</v>
      </c>
      <c r="Q258" s="195">
        <v>0.36554296767754157</v>
      </c>
      <c r="R258" s="196">
        <v>-4.5703232245841718E-4</v>
      </c>
      <c r="S258" s="196">
        <v>21.538374792550325</v>
      </c>
      <c r="T258" s="197">
        <v>-9.843733453419104E-2</v>
      </c>
      <c r="U258" s="197">
        <v>-4.5703232245841718</v>
      </c>
      <c r="V258" s="193">
        <v>1.077</v>
      </c>
      <c r="W258" s="194">
        <v>-29.955850867108964</v>
      </c>
      <c r="X258" s="194">
        <v>1.078284888763211</v>
      </c>
      <c r="Y258" s="196">
        <v>1.2848887632110895E-3</v>
      </c>
      <c r="Z258" s="196">
        <v>492.86767460871084</v>
      </c>
      <c r="AA258" s="196">
        <v>6.3328013685471216</v>
      </c>
      <c r="AB258" s="196">
        <v>12.848887632110896</v>
      </c>
    </row>
    <row r="259" spans="1:28" x14ac:dyDescent="0.25">
      <c r="A259" s="190">
        <v>146</v>
      </c>
      <c r="B259" s="171">
        <v>4</v>
      </c>
      <c r="C259" s="171" t="s">
        <v>456</v>
      </c>
      <c r="D259" s="171" t="s">
        <v>28</v>
      </c>
      <c r="E259" s="171" t="s">
        <v>466</v>
      </c>
      <c r="F259" s="171">
        <v>3</v>
      </c>
      <c r="G259" s="171" t="s">
        <v>73</v>
      </c>
      <c r="H259" s="171">
        <v>1.4750000000000001</v>
      </c>
      <c r="I259" s="171" t="s">
        <v>469</v>
      </c>
      <c r="J259" s="191">
        <v>2.7196950583326833</v>
      </c>
      <c r="K259" s="191">
        <v>39.489252597458751</v>
      </c>
      <c r="L259" s="192">
        <v>14.51973539330095</v>
      </c>
      <c r="M259" s="192">
        <v>-1.7308067334208295</v>
      </c>
      <c r="N259" s="192">
        <v>-23.548009934905664</v>
      </c>
      <c r="O259" s="193">
        <v>0.36599999999999999</v>
      </c>
      <c r="P259" s="194">
        <v>-1.7308067334208295</v>
      </c>
      <c r="Q259" s="195">
        <v>0.36562205502095513</v>
      </c>
      <c r="R259" s="196">
        <v>-3.7794497904486413E-4</v>
      </c>
      <c r="S259" s="196">
        <v>27.196950583326828</v>
      </c>
      <c r="T259" s="197">
        <v>-0.10278950918299663</v>
      </c>
      <c r="U259" s="197">
        <v>-3.7794497904486413</v>
      </c>
      <c r="V259" s="193">
        <v>1.077</v>
      </c>
      <c r="W259" s="194">
        <v>-23.548009934905664</v>
      </c>
      <c r="X259" s="194">
        <v>1.0853304313655885</v>
      </c>
      <c r="Y259" s="196">
        <v>8.3304313655885309E-3</v>
      </c>
      <c r="Z259" s="196">
        <v>394.8925259745875</v>
      </c>
      <c r="AA259" s="196">
        <v>32.896250844151872</v>
      </c>
      <c r="AB259" s="196">
        <v>83.304313655885309</v>
      </c>
    </row>
    <row r="260" spans="1:28" x14ac:dyDescent="0.25">
      <c r="A260" s="190">
        <v>147</v>
      </c>
      <c r="B260" s="171">
        <v>4</v>
      </c>
      <c r="C260" s="171" t="s">
        <v>458</v>
      </c>
      <c r="D260" s="171" t="s">
        <v>44</v>
      </c>
      <c r="E260" s="171" t="s">
        <v>466</v>
      </c>
      <c r="F260" s="171">
        <v>3</v>
      </c>
      <c r="G260" s="171" t="s">
        <v>74</v>
      </c>
      <c r="H260" s="171">
        <v>1.86</v>
      </c>
      <c r="I260" s="171" t="s">
        <v>469</v>
      </c>
      <c r="J260" s="191">
        <v>4.240901872310431</v>
      </c>
      <c r="K260" s="191">
        <v>42.919705979615564</v>
      </c>
      <c r="L260" s="192">
        <v>10.120419493750992</v>
      </c>
      <c r="M260" s="192">
        <v>-1.259265620485382</v>
      </c>
      <c r="N260" s="192">
        <v>-24.713112671349567</v>
      </c>
      <c r="O260" s="193">
        <v>0.36599999999999999</v>
      </c>
      <c r="P260" s="194">
        <v>-1.259265620485382</v>
      </c>
      <c r="Q260" s="195">
        <v>0.36579412802640476</v>
      </c>
      <c r="R260" s="196">
        <v>-2.0587197359522857E-4</v>
      </c>
      <c r="S260" s="196">
        <v>42.40901872310431</v>
      </c>
      <c r="T260" s="197">
        <v>-8.7308283827624844E-2</v>
      </c>
      <c r="U260" s="197">
        <v>-2.0587197359522857</v>
      </c>
      <c r="V260" s="193">
        <v>1.077</v>
      </c>
      <c r="W260" s="194">
        <v>-24.713112671349567</v>
      </c>
      <c r="X260" s="194">
        <v>1.0840494534677207</v>
      </c>
      <c r="Y260" s="196">
        <v>7.0494534677207898E-3</v>
      </c>
      <c r="Z260" s="196">
        <v>429.19705979615566</v>
      </c>
      <c r="AA260" s="196">
        <v>30.256047015155765</v>
      </c>
      <c r="AB260" s="196">
        <v>70.494534677207895</v>
      </c>
    </row>
    <row r="261" spans="1:28" x14ac:dyDescent="0.25">
      <c r="A261" s="190">
        <v>232</v>
      </c>
      <c r="B261" s="171">
        <v>6</v>
      </c>
      <c r="C261" s="171" t="s">
        <v>461</v>
      </c>
      <c r="D261" s="171" t="s">
        <v>28</v>
      </c>
      <c r="E261" s="171" t="s">
        <v>468</v>
      </c>
      <c r="F261" s="171">
        <v>3</v>
      </c>
      <c r="G261" s="171" t="s">
        <v>75</v>
      </c>
      <c r="H261" s="171">
        <v>1.0489999999999999</v>
      </c>
      <c r="I261" s="171" t="s">
        <v>469</v>
      </c>
      <c r="J261" s="191">
        <v>1.2026651550236349</v>
      </c>
      <c r="K261" s="191">
        <v>42.536511446216096</v>
      </c>
      <c r="L261" s="192">
        <v>35.368540668645352</v>
      </c>
      <c r="M261" s="192">
        <v>-1.5516225671242707</v>
      </c>
      <c r="N261" s="192">
        <v>-29.051346249218298</v>
      </c>
      <c r="O261" s="193">
        <v>0.36599999999999999</v>
      </c>
      <c r="P261" s="194">
        <v>-1.5516225671242707</v>
      </c>
      <c r="Q261" s="195">
        <v>0.36568744230149702</v>
      </c>
      <c r="R261" s="196">
        <v>-3.1255769850296877E-4</v>
      </c>
      <c r="S261" s="196">
        <v>12.026651550236348</v>
      </c>
      <c r="T261" s="197">
        <v>-3.7590225292390346E-2</v>
      </c>
      <c r="U261" s="197">
        <v>-3.1255769850296877</v>
      </c>
      <c r="V261" s="193">
        <v>1.077</v>
      </c>
      <c r="W261" s="194">
        <v>-29.051346249218298</v>
      </c>
      <c r="X261" s="194">
        <v>1.0792794695789811</v>
      </c>
      <c r="Y261" s="196">
        <v>2.2794695789811747E-3</v>
      </c>
      <c r="Z261" s="196">
        <v>425.36511446216099</v>
      </c>
      <c r="AA261" s="196">
        <v>9.6960683837634143</v>
      </c>
      <c r="AB261" s="196">
        <v>22.794695789811747</v>
      </c>
    </row>
    <row r="262" spans="1:28" x14ac:dyDescent="0.25">
      <c r="A262" s="171"/>
      <c r="B262" s="171"/>
      <c r="C262" s="171"/>
      <c r="D262" s="171"/>
      <c r="E262" s="171"/>
      <c r="F262" s="205"/>
      <c r="G262" s="171"/>
      <c r="H262" s="171"/>
      <c r="I262" s="198" t="s">
        <v>152</v>
      </c>
      <c r="J262" s="191">
        <v>2.794491669461113</v>
      </c>
      <c r="K262" s="191">
        <v>46.288531135765339</v>
      </c>
      <c r="L262" s="192">
        <v>16.564204374490611</v>
      </c>
      <c r="M262" s="192">
        <v>3.0665635767294184</v>
      </c>
      <c r="N262" s="192">
        <v>-26.357510979929859</v>
      </c>
      <c r="O262" s="193">
        <v>0.36599999999999999</v>
      </c>
      <c r="P262" s="194">
        <v>3.0665635767294184</v>
      </c>
      <c r="Q262" s="195">
        <v>0.36737266557482123</v>
      </c>
      <c r="R262" s="196">
        <v>1.3726655748212413E-3</v>
      </c>
      <c r="S262" s="196">
        <v>27.94491669461113</v>
      </c>
      <c r="T262" s="197">
        <v>0.38359025137940084</v>
      </c>
      <c r="U262" s="197">
        <v>13.726655748212412</v>
      </c>
      <c r="V262" s="193">
        <v>1.077</v>
      </c>
      <c r="W262" s="194">
        <v>-26.357510979929859</v>
      </c>
      <c r="X262" s="194">
        <v>1.0822414552509116</v>
      </c>
      <c r="Y262" s="196">
        <v>5.2414552509116863E-3</v>
      </c>
      <c r="Z262" s="196">
        <v>462.88531135765345</v>
      </c>
      <c r="AA262" s="196">
        <v>24.261926457854635</v>
      </c>
      <c r="AB262" s="196">
        <v>52.414552509116859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calculationsDELTAtoATM</vt:lpstr>
      <vt:lpstr>FINAL</vt:lpstr>
    </vt:vector>
  </TitlesOfParts>
  <Company>Faculty of Science, 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Michelsen</dc:creator>
  <cp:lastModifiedBy>Elise Ida Blum Samuelsen</cp:lastModifiedBy>
  <dcterms:created xsi:type="dcterms:W3CDTF">2018-09-28T09:22:35Z</dcterms:created>
  <dcterms:modified xsi:type="dcterms:W3CDTF">2026-05-13T10:17:53Z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2023-08-17T13:52:44Z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b8cecdca-e096-4483-a979-223b81f68545</vt:lpwstr>
  </property>
  <property fmtid="{D5CDD505-2E9C-101B-9397-08002B2CF9AE}" pid="8" name="MSIP_Label_6a2630e2-1ac5-455e-8217-0156b1936a76_ContentBits">
    <vt:lpwstr>0</vt:lpwstr>
  </property>
</Properties>
</file>