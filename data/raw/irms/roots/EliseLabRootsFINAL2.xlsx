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unissvalbard-my.sharepoint.com/personal/elisebs_unis_no/Documents/R/INSULATE/study_2/data/raw/irms/roots/"/>
    </mc:Choice>
  </mc:AlternateContent>
  <xr:revisionPtr revIDLastSave="31" documentId="13_ncr:1_{C5884EE1-CB2C-4A84-BD17-7646F53765AE}" xr6:coauthVersionLast="47" xr6:coauthVersionMax="47" xr10:uidLastSave="{56B929CA-3CFC-402D-82FE-9DAC1C2C2243}"/>
  <bookViews>
    <workbookView xWindow="-120" yWindow="-120" windowWidth="29040" windowHeight="17520" xr2:uid="{00000000-000D-0000-FFFF-FFFF00000000}"/>
  </bookViews>
  <sheets>
    <sheet name="raw" sheetId="1" r:id="rId1"/>
    <sheet name="calculationsDELTAtoATM" sheetId="8" r:id="rId2"/>
    <sheet name="FINAL" sheetId="6"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3" i="1" l="1"/>
  <c r="AY3" i="1"/>
  <c r="AR3" i="1"/>
  <c r="AX3" i="1"/>
  <c r="AO3" i="1"/>
  <c r="AX302" i="1"/>
  <c r="AV302" i="1"/>
  <c r="AW302" i="1" s="1"/>
  <c r="AZ302" i="1" s="1"/>
  <c r="AU302" i="1"/>
  <c r="AQ302" i="1"/>
  <c r="AN302" i="1"/>
  <c r="AO302" i="1" s="1"/>
  <c r="AP302" i="1" s="1"/>
  <c r="AX301" i="1"/>
  <c r="AU301" i="1"/>
  <c r="AV301" i="1" s="1"/>
  <c r="AW301" i="1" s="1"/>
  <c r="AQ301" i="1"/>
  <c r="AN301" i="1"/>
  <c r="AO301" i="1" s="1"/>
  <c r="AP301" i="1" s="1"/>
  <c r="AS301" i="1" s="1"/>
  <c r="AX300" i="1"/>
  <c r="AU300" i="1"/>
  <c r="AV300" i="1" s="1"/>
  <c r="AW300" i="1" s="1"/>
  <c r="AZ300" i="1" s="1"/>
  <c r="AQ300" i="1"/>
  <c r="AN300" i="1"/>
  <c r="AO300" i="1" s="1"/>
  <c r="AP300" i="1" s="1"/>
  <c r="AS300" i="1" s="1"/>
  <c r="AX299" i="1"/>
  <c r="AU299" i="1"/>
  <c r="AV299" i="1" s="1"/>
  <c r="AW299" i="1" s="1"/>
  <c r="AQ299" i="1"/>
  <c r="AN299" i="1"/>
  <c r="AO299" i="1" s="1"/>
  <c r="AP299" i="1" s="1"/>
  <c r="AS299" i="1" s="1"/>
  <c r="AY298" i="1"/>
  <c r="AX298" i="1"/>
  <c r="AW298" i="1"/>
  <c r="AZ298" i="1" s="1"/>
  <c r="AV298" i="1"/>
  <c r="AU298" i="1"/>
  <c r="AQ298" i="1"/>
  <c r="AP298" i="1"/>
  <c r="AO298" i="1"/>
  <c r="AN298" i="1"/>
  <c r="AY297" i="1"/>
  <c r="AX297" i="1"/>
  <c r="AU297" i="1"/>
  <c r="AV297" i="1" s="1"/>
  <c r="AW297" i="1" s="1"/>
  <c r="AZ297" i="1" s="1"/>
  <c r="AQ297" i="1"/>
  <c r="AN297" i="1"/>
  <c r="AO297" i="1" s="1"/>
  <c r="AP297" i="1" s="1"/>
  <c r="AS297" i="1" s="1"/>
  <c r="AX296" i="1"/>
  <c r="AU296" i="1"/>
  <c r="AV296" i="1" s="1"/>
  <c r="AW296" i="1" s="1"/>
  <c r="AZ296" i="1" s="1"/>
  <c r="AQ296" i="1"/>
  <c r="AN296" i="1"/>
  <c r="AO296" i="1" s="1"/>
  <c r="AP296" i="1" s="1"/>
  <c r="AX295" i="1"/>
  <c r="AU295" i="1"/>
  <c r="AV295" i="1" s="1"/>
  <c r="AW295" i="1" s="1"/>
  <c r="AR295" i="1"/>
  <c r="AQ295" i="1"/>
  <c r="AP295" i="1"/>
  <c r="AS295" i="1" s="1"/>
  <c r="AO295" i="1"/>
  <c r="AN295" i="1"/>
  <c r="AX294" i="1"/>
  <c r="AW294" i="1"/>
  <c r="AV294" i="1"/>
  <c r="AU294" i="1"/>
  <c r="AQ294" i="1"/>
  <c r="AN294" i="1"/>
  <c r="AO294" i="1" s="1"/>
  <c r="AP294" i="1" s="1"/>
  <c r="AX293" i="1"/>
  <c r="AU293" i="1"/>
  <c r="AV293" i="1" s="1"/>
  <c r="AW293" i="1" s="1"/>
  <c r="AZ293" i="1" s="1"/>
  <c r="AQ293" i="1"/>
  <c r="AN293" i="1"/>
  <c r="AO293" i="1" s="1"/>
  <c r="AP293" i="1" s="1"/>
  <c r="AS293" i="1" s="1"/>
  <c r="AX292" i="1"/>
  <c r="AU292" i="1"/>
  <c r="AV292" i="1" s="1"/>
  <c r="AW292" i="1" s="1"/>
  <c r="AZ292" i="1" s="1"/>
  <c r="AQ292" i="1"/>
  <c r="AN292" i="1"/>
  <c r="AO292" i="1" s="1"/>
  <c r="AP292" i="1" s="1"/>
  <c r="AS292" i="1" s="1"/>
  <c r="AX291" i="1"/>
  <c r="AV291" i="1"/>
  <c r="AW291" i="1" s="1"/>
  <c r="AU291" i="1"/>
  <c r="AQ291" i="1"/>
  <c r="AP291" i="1"/>
  <c r="AO291" i="1"/>
  <c r="AN291" i="1"/>
  <c r="AX290" i="1"/>
  <c r="AW290" i="1"/>
  <c r="AY290" i="1" s="1"/>
  <c r="AU290" i="1"/>
  <c r="AV290" i="1" s="1"/>
  <c r="AQ290" i="1"/>
  <c r="AN290" i="1"/>
  <c r="AO290" i="1" s="1"/>
  <c r="AP290" i="1" s="1"/>
  <c r="AS290" i="1" s="1"/>
  <c r="AX289" i="1"/>
  <c r="AW289" i="1"/>
  <c r="AZ289" i="1" s="1"/>
  <c r="AU289" i="1"/>
  <c r="AV289" i="1" s="1"/>
  <c r="AQ289" i="1"/>
  <c r="AN289" i="1"/>
  <c r="AO289" i="1" s="1"/>
  <c r="AP289" i="1" s="1"/>
  <c r="AS289" i="1" s="1"/>
  <c r="AX288" i="1"/>
  <c r="AU288" i="1"/>
  <c r="AV288" i="1" s="1"/>
  <c r="AW288" i="1" s="1"/>
  <c r="AR288" i="1"/>
  <c r="AQ288" i="1"/>
  <c r="AO288" i="1"/>
  <c r="AP288" i="1" s="1"/>
  <c r="AS288" i="1" s="1"/>
  <c r="AN288" i="1"/>
  <c r="AX287" i="1"/>
  <c r="AW287" i="1"/>
  <c r="AV287" i="1"/>
  <c r="AU287" i="1"/>
  <c r="AQ287" i="1"/>
  <c r="AN287" i="1"/>
  <c r="AO287" i="1" s="1"/>
  <c r="AP287" i="1" s="1"/>
  <c r="AS287" i="1" s="1"/>
  <c r="AX286" i="1"/>
  <c r="AU286" i="1"/>
  <c r="AV286" i="1" s="1"/>
  <c r="AW286" i="1" s="1"/>
  <c r="AZ286" i="1" s="1"/>
  <c r="AQ286" i="1"/>
  <c r="AR286" i="1" s="1"/>
  <c r="AN286" i="1"/>
  <c r="AO286" i="1" s="1"/>
  <c r="AP286" i="1" s="1"/>
  <c r="AS286" i="1" s="1"/>
  <c r="AX285" i="1"/>
  <c r="AU285" i="1"/>
  <c r="AV285" i="1" s="1"/>
  <c r="AW285" i="1" s="1"/>
  <c r="AZ285" i="1" s="1"/>
  <c r="AQ285" i="1"/>
  <c r="AN285" i="1"/>
  <c r="AO285" i="1" s="1"/>
  <c r="AP285" i="1" s="1"/>
  <c r="AS285" i="1" s="1"/>
  <c r="AX284" i="1"/>
  <c r="AV284" i="1"/>
  <c r="AW284" i="1" s="1"/>
  <c r="AU284" i="1"/>
  <c r="AQ284" i="1"/>
  <c r="AP284" i="1"/>
  <c r="AO284" i="1"/>
  <c r="AN284" i="1"/>
  <c r="AX283" i="1"/>
  <c r="AU283" i="1"/>
  <c r="AV283" i="1" s="1"/>
  <c r="AW283" i="1" s="1"/>
  <c r="AQ283" i="1"/>
  <c r="AR283" i="1" s="1"/>
  <c r="AN283" i="1"/>
  <c r="AO283" i="1" s="1"/>
  <c r="AP283" i="1" s="1"/>
  <c r="AS283" i="1" s="1"/>
  <c r="AX282" i="1"/>
  <c r="AW282" i="1"/>
  <c r="AZ282" i="1" s="1"/>
  <c r="AU282" i="1"/>
  <c r="AV282" i="1" s="1"/>
  <c r="AQ282" i="1"/>
  <c r="AN282" i="1"/>
  <c r="AO282" i="1" s="1"/>
  <c r="AP282" i="1" s="1"/>
  <c r="AS282" i="1" s="1"/>
  <c r="AX281" i="1"/>
  <c r="AU281" i="1"/>
  <c r="AV281" i="1" s="1"/>
  <c r="AW281" i="1" s="1"/>
  <c r="AR281" i="1"/>
  <c r="AQ281" i="1"/>
  <c r="AO281" i="1"/>
  <c r="AP281" i="1" s="1"/>
  <c r="AS281" i="1" s="1"/>
  <c r="AN281" i="1"/>
  <c r="AX280" i="1"/>
  <c r="AW280" i="1"/>
  <c r="AV280" i="1"/>
  <c r="AU280" i="1"/>
  <c r="AQ280" i="1"/>
  <c r="AN280" i="1"/>
  <c r="AO280" i="1" s="1"/>
  <c r="AP280" i="1" s="1"/>
  <c r="AS280" i="1" s="1"/>
  <c r="AX279" i="1"/>
  <c r="AU279" i="1"/>
  <c r="AV279" i="1" s="1"/>
  <c r="AW279" i="1" s="1"/>
  <c r="AZ279" i="1" s="1"/>
  <c r="AQ279" i="1"/>
  <c r="AN279" i="1"/>
  <c r="AO279" i="1" s="1"/>
  <c r="AP279" i="1" s="1"/>
  <c r="AS279" i="1" s="1"/>
  <c r="AX278" i="1"/>
  <c r="AU278" i="1"/>
  <c r="AV278" i="1" s="1"/>
  <c r="AW278" i="1" s="1"/>
  <c r="AZ278" i="1" s="1"/>
  <c r="AQ278" i="1"/>
  <c r="AO278" i="1"/>
  <c r="AP278" i="1" s="1"/>
  <c r="AS278" i="1" s="1"/>
  <c r="AN278" i="1"/>
  <c r="AX277" i="1"/>
  <c r="AV277" i="1"/>
  <c r="AW277" i="1" s="1"/>
  <c r="AZ277" i="1" s="1"/>
  <c r="AU277" i="1"/>
  <c r="AQ277" i="1"/>
  <c r="AP277" i="1"/>
  <c r="AO277" i="1"/>
  <c r="AN277" i="1"/>
  <c r="AX276" i="1"/>
  <c r="AU276" i="1"/>
  <c r="AV276" i="1" s="1"/>
  <c r="AW276" i="1" s="1"/>
  <c r="AQ276" i="1"/>
  <c r="AR276" i="1" s="1"/>
  <c r="AN276" i="1"/>
  <c r="AO276" i="1" s="1"/>
  <c r="AP276" i="1" s="1"/>
  <c r="AS276" i="1" s="1"/>
  <c r="AX275" i="1"/>
  <c r="AU275" i="1"/>
  <c r="AV275" i="1" s="1"/>
  <c r="AW275" i="1" s="1"/>
  <c r="AZ275" i="1" s="1"/>
  <c r="AQ275" i="1"/>
  <c r="AR275" i="1" s="1"/>
  <c r="AN275" i="1"/>
  <c r="AO275" i="1" s="1"/>
  <c r="AP275" i="1" s="1"/>
  <c r="AS275" i="1" s="1"/>
  <c r="AX274" i="1"/>
  <c r="AU274" i="1"/>
  <c r="AV274" i="1" s="1"/>
  <c r="AW274" i="1" s="1"/>
  <c r="AQ274" i="1"/>
  <c r="AO274" i="1"/>
  <c r="AP274" i="1" s="1"/>
  <c r="AS274" i="1" s="1"/>
  <c r="AN274" i="1"/>
  <c r="AX273" i="1"/>
  <c r="AW273" i="1"/>
  <c r="AV273" i="1"/>
  <c r="AU273" i="1"/>
  <c r="AS273" i="1"/>
  <c r="AQ273" i="1"/>
  <c r="AP273" i="1"/>
  <c r="AR273" i="1" s="1"/>
  <c r="AN273" i="1"/>
  <c r="AO273" i="1" s="1"/>
  <c r="AX272" i="1"/>
  <c r="AU272" i="1"/>
  <c r="AV272" i="1" s="1"/>
  <c r="AW272" i="1" s="1"/>
  <c r="AZ272" i="1" s="1"/>
  <c r="AQ272" i="1"/>
  <c r="AN272" i="1"/>
  <c r="AO272" i="1" s="1"/>
  <c r="AP272" i="1" s="1"/>
  <c r="AS272" i="1" s="1"/>
  <c r="AX271" i="1"/>
  <c r="AU271" i="1"/>
  <c r="AV271" i="1" s="1"/>
  <c r="AW271" i="1" s="1"/>
  <c r="AZ271" i="1" s="1"/>
  <c r="AQ271" i="1"/>
  <c r="AO271" i="1"/>
  <c r="AP271" i="1" s="1"/>
  <c r="AN271" i="1"/>
  <c r="AX270" i="1"/>
  <c r="AV270" i="1"/>
  <c r="AW270" i="1" s="1"/>
  <c r="AZ270" i="1" s="1"/>
  <c r="AU270" i="1"/>
  <c r="AQ270" i="1"/>
  <c r="AP270" i="1"/>
  <c r="AO270" i="1"/>
  <c r="AN270" i="1"/>
  <c r="AX269" i="1"/>
  <c r="AU269" i="1"/>
  <c r="AV269" i="1" s="1"/>
  <c r="AW269" i="1" s="1"/>
  <c r="AQ269" i="1"/>
  <c r="AN269" i="1"/>
  <c r="AO269" i="1" s="1"/>
  <c r="AP269" i="1" s="1"/>
  <c r="AS269" i="1" s="1"/>
  <c r="AX268" i="1"/>
  <c r="AY268" i="1" s="1"/>
  <c r="AU268" i="1"/>
  <c r="AV268" i="1" s="1"/>
  <c r="AW268" i="1" s="1"/>
  <c r="AZ268" i="1" s="1"/>
  <c r="AQ268" i="1"/>
  <c r="AN268" i="1"/>
  <c r="AO268" i="1" s="1"/>
  <c r="AP268" i="1" s="1"/>
  <c r="AS268" i="1" s="1"/>
  <c r="AX267" i="1"/>
  <c r="AU267" i="1"/>
  <c r="AV267" i="1" s="1"/>
  <c r="AW267" i="1" s="1"/>
  <c r="AZ267" i="1" s="1"/>
  <c r="AQ267" i="1"/>
  <c r="AO267" i="1"/>
  <c r="AP267" i="1" s="1"/>
  <c r="AN267" i="1"/>
  <c r="AX266" i="1"/>
  <c r="AW266" i="1"/>
  <c r="AV266" i="1"/>
  <c r="AU266" i="1"/>
  <c r="AS266" i="1"/>
  <c r="AR266" i="1"/>
  <c r="AQ266" i="1"/>
  <c r="AP266" i="1"/>
  <c r="AN266" i="1"/>
  <c r="AO266" i="1" s="1"/>
  <c r="AX265" i="1"/>
  <c r="AU265" i="1"/>
  <c r="AV265" i="1" s="1"/>
  <c r="AW265" i="1" s="1"/>
  <c r="AZ265" i="1" s="1"/>
  <c r="AQ265" i="1"/>
  <c r="AP265" i="1"/>
  <c r="AS265" i="1" s="1"/>
  <c r="AN265" i="1"/>
  <c r="AO265" i="1" s="1"/>
  <c r="AX264" i="1"/>
  <c r="AU264" i="1"/>
  <c r="AV264" i="1" s="1"/>
  <c r="AW264" i="1" s="1"/>
  <c r="AZ264" i="1" s="1"/>
  <c r="AQ264" i="1"/>
  <c r="AN264" i="1"/>
  <c r="AO264" i="1" s="1"/>
  <c r="AP264" i="1" s="1"/>
  <c r="AY263" i="1"/>
  <c r="AX263" i="1"/>
  <c r="AV263" i="1"/>
  <c r="AW263" i="1" s="1"/>
  <c r="AZ263" i="1" s="1"/>
  <c r="AU263" i="1"/>
  <c r="AQ263" i="1"/>
  <c r="AP263" i="1"/>
  <c r="AO263" i="1"/>
  <c r="AN263" i="1"/>
  <c r="AX262" i="1"/>
  <c r="AU262" i="1"/>
  <c r="AV262" i="1" s="1"/>
  <c r="AW262" i="1" s="1"/>
  <c r="AZ262" i="1" s="1"/>
  <c r="AQ262" i="1"/>
  <c r="AN262" i="1"/>
  <c r="AO262" i="1" s="1"/>
  <c r="AP262" i="1" s="1"/>
  <c r="AS262" i="1" s="1"/>
  <c r="AX261" i="1"/>
  <c r="AU261" i="1"/>
  <c r="AV261" i="1" s="1"/>
  <c r="AW261" i="1" s="1"/>
  <c r="AZ261" i="1" s="1"/>
  <c r="AQ261" i="1"/>
  <c r="AN261" i="1"/>
  <c r="AO261" i="1" s="1"/>
  <c r="AP261" i="1" s="1"/>
  <c r="AS261" i="1" s="1"/>
  <c r="AX260" i="1"/>
  <c r="AU260" i="1"/>
  <c r="AV260" i="1" s="1"/>
  <c r="AW260" i="1" s="1"/>
  <c r="AZ260" i="1" s="1"/>
  <c r="AQ260" i="1"/>
  <c r="AO260" i="1"/>
  <c r="AP260" i="1" s="1"/>
  <c r="AN260" i="1"/>
  <c r="AX259" i="1"/>
  <c r="AW259" i="1"/>
  <c r="AV259" i="1"/>
  <c r="AU259" i="1"/>
  <c r="AQ259" i="1"/>
  <c r="AN259" i="1"/>
  <c r="AO259" i="1" s="1"/>
  <c r="AP259" i="1" s="1"/>
  <c r="AX258" i="1"/>
  <c r="AY258" i="1" s="1"/>
  <c r="AU258" i="1"/>
  <c r="AV258" i="1" s="1"/>
  <c r="AW258" i="1" s="1"/>
  <c r="AZ258" i="1" s="1"/>
  <c r="AQ258" i="1"/>
  <c r="AP258" i="1"/>
  <c r="AS258" i="1" s="1"/>
  <c r="AN258" i="1"/>
  <c r="AO258" i="1" s="1"/>
  <c r="AX257" i="1"/>
  <c r="AU257" i="1"/>
  <c r="AV257" i="1" s="1"/>
  <c r="AW257" i="1" s="1"/>
  <c r="AZ257" i="1" s="1"/>
  <c r="AQ257" i="1"/>
  <c r="AN257" i="1"/>
  <c r="AO257" i="1" s="1"/>
  <c r="AP257" i="1" s="1"/>
  <c r="AY256" i="1"/>
  <c r="AX256" i="1"/>
  <c r="AV256" i="1"/>
  <c r="AW256" i="1" s="1"/>
  <c r="AZ256" i="1" s="1"/>
  <c r="AU256" i="1"/>
  <c r="AQ256" i="1"/>
  <c r="AP256" i="1"/>
  <c r="AO256" i="1"/>
  <c r="AN256" i="1"/>
  <c r="AX255" i="1"/>
  <c r="AU255" i="1"/>
  <c r="AV255" i="1" s="1"/>
  <c r="AW255" i="1" s="1"/>
  <c r="AZ255" i="1" s="1"/>
  <c r="AQ255" i="1"/>
  <c r="AN255" i="1"/>
  <c r="AO255" i="1" s="1"/>
  <c r="AP255" i="1" s="1"/>
  <c r="AS255" i="1" s="1"/>
  <c r="AX254" i="1"/>
  <c r="AU254" i="1"/>
  <c r="AV254" i="1" s="1"/>
  <c r="AW254" i="1" s="1"/>
  <c r="AZ254" i="1" s="1"/>
  <c r="AQ254" i="1"/>
  <c r="AN254" i="1"/>
  <c r="AO254" i="1" s="1"/>
  <c r="AP254" i="1" s="1"/>
  <c r="AS254" i="1" s="1"/>
  <c r="AX253" i="1"/>
  <c r="AV253" i="1"/>
  <c r="AW253" i="1" s="1"/>
  <c r="AZ253" i="1" s="1"/>
  <c r="AU253" i="1"/>
  <c r="AQ253" i="1"/>
  <c r="AO253" i="1"/>
  <c r="AP253" i="1" s="1"/>
  <c r="AS253" i="1" s="1"/>
  <c r="AN253" i="1"/>
  <c r="AX252" i="1"/>
  <c r="AW252" i="1"/>
  <c r="AV252" i="1"/>
  <c r="AU252" i="1"/>
  <c r="AQ252" i="1"/>
  <c r="AN252" i="1"/>
  <c r="AO252" i="1" s="1"/>
  <c r="AP252" i="1" s="1"/>
  <c r="AX251" i="1"/>
  <c r="AY251" i="1" s="1"/>
  <c r="AU251" i="1"/>
  <c r="AV251" i="1" s="1"/>
  <c r="AW251" i="1" s="1"/>
  <c r="AZ251" i="1" s="1"/>
  <c r="AQ251" i="1"/>
  <c r="AN251" i="1"/>
  <c r="AO251" i="1" s="1"/>
  <c r="AP251" i="1" s="1"/>
  <c r="AS251" i="1" s="1"/>
  <c r="AX250" i="1"/>
  <c r="AY250" i="1" s="1"/>
  <c r="AU250" i="1"/>
  <c r="AV250" i="1" s="1"/>
  <c r="AW250" i="1" s="1"/>
  <c r="AZ250" i="1" s="1"/>
  <c r="AQ250" i="1"/>
  <c r="AN250" i="1"/>
  <c r="AO250" i="1" s="1"/>
  <c r="AP250" i="1" s="1"/>
  <c r="AX249" i="1"/>
  <c r="AV249" i="1"/>
  <c r="AW249" i="1" s="1"/>
  <c r="AZ249" i="1" s="1"/>
  <c r="AU249" i="1"/>
  <c r="AQ249" i="1"/>
  <c r="AP249" i="1"/>
  <c r="AO249" i="1"/>
  <c r="AN249" i="1"/>
  <c r="AZ248" i="1"/>
  <c r="AX248" i="1"/>
  <c r="AW248" i="1"/>
  <c r="AY248" i="1" s="1"/>
  <c r="AU248" i="1"/>
  <c r="AV248" i="1" s="1"/>
  <c r="AQ248" i="1"/>
  <c r="AN248" i="1"/>
  <c r="AO248" i="1" s="1"/>
  <c r="AP248" i="1" s="1"/>
  <c r="AS248" i="1" s="1"/>
  <c r="AX247" i="1"/>
  <c r="AU247" i="1"/>
  <c r="AV247" i="1" s="1"/>
  <c r="AW247" i="1" s="1"/>
  <c r="AZ247" i="1" s="1"/>
  <c r="AQ247" i="1"/>
  <c r="AN247" i="1"/>
  <c r="AO247" i="1" s="1"/>
  <c r="AP247" i="1" s="1"/>
  <c r="AS247" i="1" s="1"/>
  <c r="AX246" i="1"/>
  <c r="AV246" i="1"/>
  <c r="AW246" i="1" s="1"/>
  <c r="AU246" i="1"/>
  <c r="AQ246" i="1"/>
  <c r="AO246" i="1"/>
  <c r="AP246" i="1" s="1"/>
  <c r="AS246" i="1" s="1"/>
  <c r="AN246" i="1"/>
  <c r="AX245" i="1"/>
  <c r="AW245" i="1"/>
  <c r="AV245" i="1"/>
  <c r="AU245" i="1"/>
  <c r="AQ245" i="1"/>
  <c r="AN245" i="1"/>
  <c r="AO245" i="1" s="1"/>
  <c r="AP245" i="1" s="1"/>
  <c r="AX244" i="1"/>
  <c r="AU244" i="1"/>
  <c r="AV244" i="1" s="1"/>
  <c r="AW244" i="1" s="1"/>
  <c r="AZ244" i="1" s="1"/>
  <c r="AQ244" i="1"/>
  <c r="AN244" i="1"/>
  <c r="AO244" i="1" s="1"/>
  <c r="AP244" i="1" s="1"/>
  <c r="AS244" i="1" s="1"/>
  <c r="AX243" i="1"/>
  <c r="AU243" i="1"/>
  <c r="AV243" i="1" s="1"/>
  <c r="AW243" i="1" s="1"/>
  <c r="AZ243" i="1" s="1"/>
  <c r="AQ243" i="1"/>
  <c r="AN243" i="1"/>
  <c r="AO243" i="1" s="1"/>
  <c r="AP243" i="1" s="1"/>
  <c r="AS243" i="1" s="1"/>
  <c r="AX242" i="1"/>
  <c r="AV242" i="1"/>
  <c r="AW242" i="1" s="1"/>
  <c r="AU242" i="1"/>
  <c r="AQ242" i="1"/>
  <c r="AP242" i="1"/>
  <c r="AO242" i="1"/>
  <c r="AN242" i="1"/>
  <c r="AX241" i="1"/>
  <c r="AW241" i="1"/>
  <c r="AZ241" i="1" s="1"/>
  <c r="AU241" i="1"/>
  <c r="AV241" i="1" s="1"/>
  <c r="AQ241" i="1"/>
  <c r="AN241" i="1"/>
  <c r="AO241" i="1" s="1"/>
  <c r="AP241" i="1" s="1"/>
  <c r="AS241" i="1" s="1"/>
  <c r="AX240" i="1"/>
  <c r="AW240" i="1"/>
  <c r="AZ240" i="1" s="1"/>
  <c r="AU240" i="1"/>
  <c r="AV240" i="1" s="1"/>
  <c r="AQ240" i="1"/>
  <c r="AN240" i="1"/>
  <c r="AO240" i="1" s="1"/>
  <c r="AP240" i="1" s="1"/>
  <c r="AS240" i="1" s="1"/>
  <c r="AX239" i="1"/>
  <c r="AU239" i="1"/>
  <c r="AV239" i="1" s="1"/>
  <c r="AW239" i="1" s="1"/>
  <c r="AR239" i="1"/>
  <c r="AQ239" i="1"/>
  <c r="AO239" i="1"/>
  <c r="AP239" i="1" s="1"/>
  <c r="AS239" i="1" s="1"/>
  <c r="AN239" i="1"/>
  <c r="AX238" i="1"/>
  <c r="AW238" i="1"/>
  <c r="AV238" i="1"/>
  <c r="AU238" i="1"/>
  <c r="AR238" i="1"/>
  <c r="AQ238" i="1"/>
  <c r="AP238" i="1"/>
  <c r="AS238" i="1" s="1"/>
  <c r="AO238" i="1"/>
  <c r="AN238" i="1"/>
  <c r="AX237" i="1"/>
  <c r="AU237" i="1"/>
  <c r="AV237" i="1" s="1"/>
  <c r="AW237" i="1" s="1"/>
  <c r="AZ237" i="1" s="1"/>
  <c r="AQ237" i="1"/>
  <c r="AN237" i="1"/>
  <c r="AO237" i="1" s="1"/>
  <c r="AP237" i="1" s="1"/>
  <c r="AS237" i="1" s="1"/>
  <c r="AX236" i="1"/>
  <c r="AU236" i="1"/>
  <c r="AV236" i="1" s="1"/>
  <c r="AW236" i="1" s="1"/>
  <c r="AZ236" i="1" s="1"/>
  <c r="AQ236" i="1"/>
  <c r="AO236" i="1"/>
  <c r="AP236" i="1" s="1"/>
  <c r="AN236" i="1"/>
  <c r="AX235" i="1"/>
  <c r="AV235" i="1"/>
  <c r="AW235" i="1" s="1"/>
  <c r="AU235" i="1"/>
  <c r="AQ235" i="1"/>
  <c r="AP235" i="1"/>
  <c r="AO235" i="1"/>
  <c r="AN235" i="1"/>
  <c r="AY234" i="1"/>
  <c r="AX234" i="1"/>
  <c r="AW234" i="1"/>
  <c r="AZ234" i="1" s="1"/>
  <c r="AV234" i="1"/>
  <c r="AU234" i="1"/>
  <c r="AQ234" i="1"/>
  <c r="AN234" i="1"/>
  <c r="AO234" i="1" s="1"/>
  <c r="AP234" i="1" s="1"/>
  <c r="AS234" i="1" s="1"/>
  <c r="AX233" i="1"/>
  <c r="AU233" i="1"/>
  <c r="AV233" i="1" s="1"/>
  <c r="AW233" i="1" s="1"/>
  <c r="AZ233" i="1" s="1"/>
  <c r="AQ233" i="1"/>
  <c r="AN233" i="1"/>
  <c r="AO233" i="1" s="1"/>
  <c r="AP233" i="1" s="1"/>
  <c r="AS233" i="1" s="1"/>
  <c r="AX232" i="1"/>
  <c r="AV232" i="1"/>
  <c r="AW232" i="1" s="1"/>
  <c r="AU232" i="1"/>
  <c r="AQ232" i="1"/>
  <c r="AO232" i="1"/>
  <c r="AP232" i="1" s="1"/>
  <c r="AS232" i="1" s="1"/>
  <c r="AN232" i="1"/>
  <c r="AX231" i="1"/>
  <c r="AW231" i="1"/>
  <c r="AV231" i="1"/>
  <c r="AU231" i="1"/>
  <c r="AQ231" i="1"/>
  <c r="AP231" i="1"/>
  <c r="AS231" i="1" s="1"/>
  <c r="AO231" i="1"/>
  <c r="AN231" i="1"/>
  <c r="AX230" i="1"/>
  <c r="AU230" i="1"/>
  <c r="AV230" i="1" s="1"/>
  <c r="AW230" i="1" s="1"/>
  <c r="AZ230" i="1" s="1"/>
  <c r="AQ230" i="1"/>
  <c r="AN230" i="1"/>
  <c r="AO230" i="1" s="1"/>
  <c r="AP230" i="1" s="1"/>
  <c r="AS230" i="1" s="1"/>
  <c r="AX229" i="1"/>
  <c r="AU229" i="1"/>
  <c r="AV229" i="1" s="1"/>
  <c r="AW229" i="1" s="1"/>
  <c r="AZ229" i="1" s="1"/>
  <c r="AQ229" i="1"/>
  <c r="AN229" i="1"/>
  <c r="AO229" i="1" s="1"/>
  <c r="AP229" i="1" s="1"/>
  <c r="AS229" i="1" s="1"/>
  <c r="AX228" i="1"/>
  <c r="AV228" i="1"/>
  <c r="AW228" i="1" s="1"/>
  <c r="AZ228" i="1" s="1"/>
  <c r="AU228" i="1"/>
  <c r="AQ228" i="1"/>
  <c r="AP228" i="1"/>
  <c r="AO228" i="1"/>
  <c r="AN228" i="1"/>
  <c r="AZ227" i="1"/>
  <c r="AY227" i="1"/>
  <c r="AX227" i="1"/>
  <c r="AW227" i="1"/>
  <c r="AV227" i="1"/>
  <c r="AU227" i="1"/>
  <c r="AQ227" i="1"/>
  <c r="AN227" i="1"/>
  <c r="AO227" i="1" s="1"/>
  <c r="AP227" i="1" s="1"/>
  <c r="AS227" i="1" s="1"/>
  <c r="AX226" i="1"/>
  <c r="AU226" i="1"/>
  <c r="AV226" i="1" s="1"/>
  <c r="AW226" i="1" s="1"/>
  <c r="AZ226" i="1" s="1"/>
  <c r="AQ226" i="1"/>
  <c r="AO226" i="1"/>
  <c r="AP226" i="1" s="1"/>
  <c r="AS226" i="1" s="1"/>
  <c r="AN226" i="1"/>
  <c r="AX225" i="1"/>
  <c r="AV225" i="1"/>
  <c r="AW225" i="1" s="1"/>
  <c r="AZ225" i="1" s="1"/>
  <c r="AU225" i="1"/>
  <c r="AQ225" i="1"/>
  <c r="AO225" i="1"/>
  <c r="AP225" i="1" s="1"/>
  <c r="AS225" i="1" s="1"/>
  <c r="AN225" i="1"/>
  <c r="AX224" i="1"/>
  <c r="AW224" i="1"/>
  <c r="AV224" i="1"/>
  <c r="AU224" i="1"/>
  <c r="AQ224" i="1"/>
  <c r="AP224" i="1"/>
  <c r="AO224" i="1"/>
  <c r="AN224" i="1"/>
  <c r="AX223" i="1"/>
  <c r="AU223" i="1"/>
  <c r="AV223" i="1" s="1"/>
  <c r="AW223" i="1" s="1"/>
  <c r="AZ223" i="1" s="1"/>
  <c r="AQ223" i="1"/>
  <c r="AP223" i="1"/>
  <c r="AS223" i="1" s="1"/>
  <c r="AN223" i="1"/>
  <c r="AO223" i="1" s="1"/>
  <c r="AX222" i="1"/>
  <c r="AV222" i="1"/>
  <c r="AW222" i="1" s="1"/>
  <c r="AZ222" i="1" s="1"/>
  <c r="AU222" i="1"/>
  <c r="AQ222" i="1"/>
  <c r="AN222" i="1"/>
  <c r="AO222" i="1" s="1"/>
  <c r="AP222" i="1" s="1"/>
  <c r="AY221" i="1"/>
  <c r="AX221" i="1"/>
  <c r="AV221" i="1"/>
  <c r="AW221" i="1" s="1"/>
  <c r="AZ221" i="1" s="1"/>
  <c r="AU221" i="1"/>
  <c r="AQ221" i="1"/>
  <c r="AP221" i="1"/>
  <c r="AO221" i="1"/>
  <c r="AN221" i="1"/>
  <c r="AZ220" i="1"/>
  <c r="AX220" i="1"/>
  <c r="AW220" i="1"/>
  <c r="AY220" i="1" s="1"/>
  <c r="AV220" i="1"/>
  <c r="AU220" i="1"/>
  <c r="AQ220" i="1"/>
  <c r="AR220" i="1" s="1"/>
  <c r="AN220" i="1"/>
  <c r="AO220" i="1" s="1"/>
  <c r="AP220" i="1" s="1"/>
  <c r="AS220" i="1" s="1"/>
  <c r="AX219" i="1"/>
  <c r="AU219" i="1"/>
  <c r="AV219" i="1" s="1"/>
  <c r="AW219" i="1" s="1"/>
  <c r="AZ219" i="1" s="1"/>
  <c r="AQ219" i="1"/>
  <c r="AR219" i="1" s="1"/>
  <c r="AO219" i="1"/>
  <c r="AP219" i="1" s="1"/>
  <c r="AS219" i="1" s="1"/>
  <c r="AN219" i="1"/>
  <c r="AX218" i="1"/>
  <c r="AU218" i="1"/>
  <c r="AV218" i="1" s="1"/>
  <c r="AW218" i="1" s="1"/>
  <c r="AZ218" i="1" s="1"/>
  <c r="AQ218" i="1"/>
  <c r="AO218" i="1"/>
  <c r="AP218" i="1" s="1"/>
  <c r="AS218" i="1" s="1"/>
  <c r="AN218" i="1"/>
  <c r="AX217" i="1"/>
  <c r="AW217" i="1"/>
  <c r="AV217" i="1"/>
  <c r="AU217" i="1"/>
  <c r="AQ217" i="1"/>
  <c r="AP217" i="1"/>
  <c r="AS217" i="1" s="1"/>
  <c r="AO217" i="1"/>
  <c r="AN217" i="1"/>
  <c r="AX216" i="1"/>
  <c r="AU216" i="1"/>
  <c r="AV216" i="1" s="1"/>
  <c r="AW216" i="1" s="1"/>
  <c r="AZ216" i="1" s="1"/>
  <c r="AQ216" i="1"/>
  <c r="AN216" i="1"/>
  <c r="AO216" i="1" s="1"/>
  <c r="AP216" i="1" s="1"/>
  <c r="AS216" i="1" s="1"/>
  <c r="AX215" i="1"/>
  <c r="AV215" i="1"/>
  <c r="AW215" i="1" s="1"/>
  <c r="AZ215" i="1" s="1"/>
  <c r="AU215" i="1"/>
  <c r="AQ215" i="1"/>
  <c r="AO215" i="1"/>
  <c r="AP215" i="1" s="1"/>
  <c r="AN215" i="1"/>
  <c r="AX214" i="1"/>
  <c r="AV214" i="1"/>
  <c r="AW214" i="1" s="1"/>
  <c r="AU214" i="1"/>
  <c r="AQ214" i="1"/>
  <c r="AP214" i="1"/>
  <c r="AO214" i="1"/>
  <c r="AN214" i="1"/>
  <c r="AY213" i="1"/>
  <c r="AX213" i="1"/>
  <c r="AW213" i="1"/>
  <c r="AZ213" i="1" s="1"/>
  <c r="AV213" i="1"/>
  <c r="AU213" i="1"/>
  <c r="AQ213" i="1"/>
  <c r="AN213" i="1"/>
  <c r="AO213" i="1" s="1"/>
  <c r="AP213" i="1" s="1"/>
  <c r="AS213" i="1" s="1"/>
  <c r="AX212" i="1"/>
  <c r="AY212" i="1" s="1"/>
  <c r="AU212" i="1"/>
  <c r="AV212" i="1" s="1"/>
  <c r="AW212" i="1" s="1"/>
  <c r="AZ212" i="1" s="1"/>
  <c r="AQ212" i="1"/>
  <c r="AO212" i="1"/>
  <c r="AP212" i="1" s="1"/>
  <c r="AS212" i="1" s="1"/>
  <c r="AN212" i="1"/>
  <c r="AX211" i="1"/>
  <c r="AU211" i="1"/>
  <c r="AV211" i="1" s="1"/>
  <c r="AW211" i="1" s="1"/>
  <c r="AR211" i="1"/>
  <c r="AQ211" i="1"/>
  <c r="AO211" i="1"/>
  <c r="AP211" i="1" s="1"/>
  <c r="AS211" i="1" s="1"/>
  <c r="AN211" i="1"/>
  <c r="AX210" i="1"/>
  <c r="AW210" i="1"/>
  <c r="AV210" i="1"/>
  <c r="AU210" i="1"/>
  <c r="AQ210" i="1"/>
  <c r="AP210" i="1"/>
  <c r="AO210" i="1"/>
  <c r="AN210" i="1"/>
  <c r="AX209" i="1"/>
  <c r="AY209" i="1" s="1"/>
  <c r="AU209" i="1"/>
  <c r="AV209" i="1" s="1"/>
  <c r="AW209" i="1" s="1"/>
  <c r="AZ209" i="1" s="1"/>
  <c r="AQ209" i="1"/>
  <c r="AN209" i="1"/>
  <c r="AO209" i="1" s="1"/>
  <c r="AP209" i="1" s="1"/>
  <c r="AS209" i="1" s="1"/>
  <c r="AX208" i="1"/>
  <c r="AV208" i="1"/>
  <c r="AW208" i="1" s="1"/>
  <c r="AZ208" i="1" s="1"/>
  <c r="AU208" i="1"/>
  <c r="AQ208" i="1"/>
  <c r="AN208" i="1"/>
  <c r="AO208" i="1" s="1"/>
  <c r="AP208" i="1" s="1"/>
  <c r="AX207" i="1"/>
  <c r="AV207" i="1"/>
  <c r="AW207" i="1" s="1"/>
  <c r="AU207" i="1"/>
  <c r="AQ207" i="1"/>
  <c r="AP207" i="1"/>
  <c r="AO207" i="1"/>
  <c r="AN207" i="1"/>
  <c r="AZ206" i="1"/>
  <c r="AX206" i="1"/>
  <c r="AW206" i="1"/>
  <c r="AY206" i="1" s="1"/>
  <c r="AV206" i="1"/>
  <c r="AU206" i="1"/>
  <c r="AQ206" i="1"/>
  <c r="AN206" i="1"/>
  <c r="AO206" i="1" s="1"/>
  <c r="AP206" i="1" s="1"/>
  <c r="AS206" i="1" s="1"/>
  <c r="AX205" i="1"/>
  <c r="AY205" i="1" s="1"/>
  <c r="AU205" i="1"/>
  <c r="AV205" i="1" s="1"/>
  <c r="AW205" i="1" s="1"/>
  <c r="AZ205" i="1" s="1"/>
  <c r="AQ205" i="1"/>
  <c r="AO205" i="1"/>
  <c r="AP205" i="1" s="1"/>
  <c r="AS205" i="1" s="1"/>
  <c r="AN205" i="1"/>
  <c r="AX204" i="1"/>
  <c r="AU204" i="1"/>
  <c r="AV204" i="1" s="1"/>
  <c r="AW204" i="1" s="1"/>
  <c r="AZ204" i="1" s="1"/>
  <c r="AQ204" i="1"/>
  <c r="AO204" i="1"/>
  <c r="AP204" i="1" s="1"/>
  <c r="AS204" i="1" s="1"/>
  <c r="AN204" i="1"/>
  <c r="AX203" i="1"/>
  <c r="AW203" i="1"/>
  <c r="AV203" i="1"/>
  <c r="AU203" i="1"/>
  <c r="AS203" i="1"/>
  <c r="AR203" i="1"/>
  <c r="AQ203" i="1"/>
  <c r="AP203" i="1"/>
  <c r="AO203" i="1"/>
  <c r="AN203" i="1"/>
  <c r="AX202" i="1"/>
  <c r="AU202" i="1"/>
  <c r="AV202" i="1" s="1"/>
  <c r="AW202" i="1" s="1"/>
  <c r="AZ202" i="1" s="1"/>
  <c r="AQ202" i="1"/>
  <c r="AN202" i="1"/>
  <c r="AO202" i="1" s="1"/>
  <c r="AP202" i="1" s="1"/>
  <c r="AS202" i="1" s="1"/>
  <c r="AX201" i="1"/>
  <c r="AV201" i="1"/>
  <c r="AW201" i="1" s="1"/>
  <c r="AZ201" i="1" s="1"/>
  <c r="AU201" i="1"/>
  <c r="AR201" i="1"/>
  <c r="AQ201" i="1"/>
  <c r="AO201" i="1"/>
  <c r="AP201" i="1" s="1"/>
  <c r="AS201" i="1" s="1"/>
  <c r="AN201" i="1"/>
  <c r="AX200" i="1"/>
  <c r="AV200" i="1"/>
  <c r="AW200" i="1" s="1"/>
  <c r="AZ200" i="1" s="1"/>
  <c r="AU200" i="1"/>
  <c r="AQ200" i="1"/>
  <c r="AP200" i="1"/>
  <c r="AO200" i="1"/>
  <c r="AN200" i="1"/>
  <c r="AY199" i="1"/>
  <c r="AX199" i="1"/>
  <c r="AW199" i="1"/>
  <c r="AZ199" i="1" s="1"/>
  <c r="AV199" i="1"/>
  <c r="AU199" i="1"/>
  <c r="AQ199" i="1"/>
  <c r="AN199" i="1"/>
  <c r="AO199" i="1" s="1"/>
  <c r="AP199" i="1" s="1"/>
  <c r="AS199" i="1" s="1"/>
  <c r="AX198" i="1"/>
  <c r="AW198" i="1"/>
  <c r="AZ198" i="1" s="1"/>
  <c r="AU198" i="1"/>
  <c r="AV198" i="1" s="1"/>
  <c r="AQ198" i="1"/>
  <c r="AO198" i="1"/>
  <c r="AP198" i="1" s="1"/>
  <c r="AS198" i="1" s="1"/>
  <c r="AN198" i="1"/>
  <c r="AX197" i="1"/>
  <c r="AU197" i="1"/>
  <c r="AV197" i="1" s="1"/>
  <c r="AW197" i="1" s="1"/>
  <c r="AR197" i="1"/>
  <c r="AQ197" i="1"/>
  <c r="AO197" i="1"/>
  <c r="AP197" i="1" s="1"/>
  <c r="AS197" i="1" s="1"/>
  <c r="AN197" i="1"/>
  <c r="AX196" i="1"/>
  <c r="AW196" i="1"/>
  <c r="AV196" i="1"/>
  <c r="AU196" i="1"/>
  <c r="AQ196" i="1"/>
  <c r="AP196" i="1"/>
  <c r="AO196" i="1"/>
  <c r="AN196" i="1"/>
  <c r="AX195" i="1"/>
  <c r="AY195" i="1" s="1"/>
  <c r="AU195" i="1"/>
  <c r="AV195" i="1" s="1"/>
  <c r="AW195" i="1" s="1"/>
  <c r="AZ195" i="1" s="1"/>
  <c r="AQ195" i="1"/>
  <c r="AN195" i="1"/>
  <c r="AO195" i="1" s="1"/>
  <c r="AP195" i="1" s="1"/>
  <c r="AS195" i="1" s="1"/>
  <c r="AX194" i="1"/>
  <c r="AY194" i="1" s="1"/>
  <c r="AV194" i="1"/>
  <c r="AW194" i="1" s="1"/>
  <c r="AZ194" i="1" s="1"/>
  <c r="AU194" i="1"/>
  <c r="AQ194" i="1"/>
  <c r="AN194" i="1"/>
  <c r="AO194" i="1" s="1"/>
  <c r="AP194" i="1" s="1"/>
  <c r="AS194" i="1" s="1"/>
  <c r="AX193" i="1"/>
  <c r="AV193" i="1"/>
  <c r="AW193" i="1" s="1"/>
  <c r="AU193" i="1"/>
  <c r="AQ193" i="1"/>
  <c r="AP193" i="1"/>
  <c r="AO193" i="1"/>
  <c r="AN193" i="1"/>
  <c r="AX192" i="1"/>
  <c r="AW192" i="1"/>
  <c r="AZ192" i="1" s="1"/>
  <c r="AV192" i="1"/>
  <c r="AU192" i="1"/>
  <c r="AQ192" i="1"/>
  <c r="AR192" i="1" s="1"/>
  <c r="AN192" i="1"/>
  <c r="AO192" i="1" s="1"/>
  <c r="AP192" i="1" s="1"/>
  <c r="AS192" i="1" s="1"/>
  <c r="AX191" i="1"/>
  <c r="AU191" i="1"/>
  <c r="AV191" i="1" s="1"/>
  <c r="AW191" i="1" s="1"/>
  <c r="AZ191" i="1" s="1"/>
  <c r="AQ191" i="1"/>
  <c r="AO191" i="1"/>
  <c r="AP191" i="1" s="1"/>
  <c r="AS191" i="1" s="1"/>
  <c r="AN191" i="1"/>
  <c r="AX190" i="1"/>
  <c r="AV190" i="1"/>
  <c r="AW190" i="1" s="1"/>
  <c r="AU190" i="1"/>
  <c r="AQ190" i="1"/>
  <c r="AO190" i="1"/>
  <c r="AP190" i="1" s="1"/>
  <c r="AN190" i="1"/>
  <c r="AZ189" i="1"/>
  <c r="AX189" i="1"/>
  <c r="AW189" i="1"/>
  <c r="AV189" i="1"/>
  <c r="AU189" i="1"/>
  <c r="AQ189" i="1"/>
  <c r="AP189" i="1"/>
  <c r="AR189" i="1" s="1"/>
  <c r="AO189" i="1"/>
  <c r="AN189" i="1"/>
  <c r="AX188" i="1"/>
  <c r="AU188" i="1"/>
  <c r="AV188" i="1" s="1"/>
  <c r="AW188" i="1" s="1"/>
  <c r="AZ188" i="1" s="1"/>
  <c r="AQ188" i="1"/>
  <c r="AR188" i="1" s="1"/>
  <c r="AP188" i="1"/>
  <c r="AS188" i="1" s="1"/>
  <c r="AN188" i="1"/>
  <c r="AO188" i="1" s="1"/>
  <c r="AX187" i="1"/>
  <c r="AV187" i="1"/>
  <c r="AW187" i="1" s="1"/>
  <c r="AZ187" i="1" s="1"/>
  <c r="AU187" i="1"/>
  <c r="AR187" i="1"/>
  <c r="AQ187" i="1"/>
  <c r="AN187" i="1"/>
  <c r="AO187" i="1" s="1"/>
  <c r="AP187" i="1" s="1"/>
  <c r="AS187" i="1" s="1"/>
  <c r="AX186" i="1"/>
  <c r="AY186" i="1" s="1"/>
  <c r="AV186" i="1"/>
  <c r="AW186" i="1" s="1"/>
  <c r="AZ186" i="1" s="1"/>
  <c r="AU186" i="1"/>
  <c r="AS186" i="1"/>
  <c r="AQ186" i="1"/>
  <c r="AR186" i="1" s="1"/>
  <c r="AP186" i="1"/>
  <c r="AO186" i="1"/>
  <c r="AN186" i="1"/>
  <c r="AX185" i="1"/>
  <c r="AV185" i="1"/>
  <c r="AW185" i="1" s="1"/>
  <c r="AZ185" i="1" s="1"/>
  <c r="AU185" i="1"/>
  <c r="AQ185" i="1"/>
  <c r="AR185" i="1" s="1"/>
  <c r="AN185" i="1"/>
  <c r="AO185" i="1" s="1"/>
  <c r="AP185" i="1" s="1"/>
  <c r="AS185" i="1" s="1"/>
  <c r="AX184" i="1"/>
  <c r="AY184" i="1" s="1"/>
  <c r="AW184" i="1"/>
  <c r="AZ184" i="1" s="1"/>
  <c r="AU184" i="1"/>
  <c r="AV184" i="1" s="1"/>
  <c r="AQ184" i="1"/>
  <c r="AO184" i="1"/>
  <c r="AP184" i="1" s="1"/>
  <c r="AS184" i="1" s="1"/>
  <c r="AN184" i="1"/>
  <c r="AX183" i="1"/>
  <c r="AV183" i="1"/>
  <c r="AW183" i="1" s="1"/>
  <c r="AU183" i="1"/>
  <c r="AQ183" i="1"/>
  <c r="AO183" i="1"/>
  <c r="AP183" i="1" s="1"/>
  <c r="AS183" i="1" s="1"/>
  <c r="AN183" i="1"/>
  <c r="AZ182" i="1"/>
  <c r="AX182" i="1"/>
  <c r="AV182" i="1"/>
  <c r="AW182" i="1" s="1"/>
  <c r="AU182" i="1"/>
  <c r="AS182" i="1"/>
  <c r="AQ182" i="1"/>
  <c r="AP182" i="1"/>
  <c r="AR182" i="1" s="1"/>
  <c r="AO182" i="1"/>
  <c r="AN182" i="1"/>
  <c r="AX181" i="1"/>
  <c r="AU181" i="1"/>
  <c r="AV181" i="1" s="1"/>
  <c r="AW181" i="1" s="1"/>
  <c r="AZ181" i="1" s="1"/>
  <c r="AQ181" i="1"/>
  <c r="AN181" i="1"/>
  <c r="AO181" i="1" s="1"/>
  <c r="AP181" i="1" s="1"/>
  <c r="AS181" i="1" s="1"/>
  <c r="AX180" i="1"/>
  <c r="AY180" i="1" s="1"/>
  <c r="AV180" i="1"/>
  <c r="AW180" i="1" s="1"/>
  <c r="AZ180" i="1" s="1"/>
  <c r="AU180" i="1"/>
  <c r="AR180" i="1"/>
  <c r="AQ180" i="1"/>
  <c r="AN180" i="1"/>
  <c r="AO180" i="1" s="1"/>
  <c r="AP180" i="1" s="1"/>
  <c r="AS180" i="1" s="1"/>
  <c r="AZ179" i="1"/>
  <c r="AX179" i="1"/>
  <c r="AY179" i="1" s="1"/>
  <c r="AV179" i="1"/>
  <c r="AW179" i="1" s="1"/>
  <c r="AU179" i="1"/>
  <c r="AQ179" i="1"/>
  <c r="AP179" i="1"/>
  <c r="AS179" i="1" s="1"/>
  <c r="AO179" i="1"/>
  <c r="AN179" i="1"/>
  <c r="AZ178" i="1"/>
  <c r="AX178" i="1"/>
  <c r="AW178" i="1"/>
  <c r="AV178" i="1"/>
  <c r="AU178" i="1"/>
  <c r="AS178" i="1"/>
  <c r="AQ178" i="1"/>
  <c r="AR178" i="1" s="1"/>
  <c r="AN178" i="1"/>
  <c r="AO178" i="1" s="1"/>
  <c r="AP178" i="1" s="1"/>
  <c r="AX177" i="1"/>
  <c r="AW177" i="1"/>
  <c r="AZ177" i="1" s="1"/>
  <c r="AV177" i="1"/>
  <c r="AU177" i="1"/>
  <c r="AS177" i="1"/>
  <c r="AQ177" i="1"/>
  <c r="AO177" i="1"/>
  <c r="AP177" i="1" s="1"/>
  <c r="AN177" i="1"/>
  <c r="AY176" i="1"/>
  <c r="AX176" i="1"/>
  <c r="AV176" i="1"/>
  <c r="AW176" i="1" s="1"/>
  <c r="AZ176" i="1" s="1"/>
  <c r="AU176" i="1"/>
  <c r="AQ176" i="1"/>
  <c r="AO176" i="1"/>
  <c r="AP176" i="1" s="1"/>
  <c r="AS176" i="1" s="1"/>
  <c r="AN176" i="1"/>
  <c r="AX175" i="1"/>
  <c r="AV175" i="1"/>
  <c r="AW175" i="1" s="1"/>
  <c r="AU175" i="1"/>
  <c r="AS175" i="1"/>
  <c r="AQ175" i="1"/>
  <c r="AR175" i="1" s="1"/>
  <c r="AN175" i="1"/>
  <c r="AO175" i="1" s="1"/>
  <c r="AP175" i="1" s="1"/>
  <c r="AY174" i="1"/>
  <c r="AX174" i="1"/>
  <c r="AU174" i="1"/>
  <c r="AV174" i="1" s="1"/>
  <c r="AW174" i="1" s="1"/>
  <c r="AZ174" i="1" s="1"/>
  <c r="AQ174" i="1"/>
  <c r="AN174" i="1"/>
  <c r="AO174" i="1" s="1"/>
  <c r="AP174" i="1" s="1"/>
  <c r="AS174" i="1" s="1"/>
  <c r="AX173" i="1"/>
  <c r="AU173" i="1"/>
  <c r="AV173" i="1" s="1"/>
  <c r="AW173" i="1" s="1"/>
  <c r="AQ173" i="1"/>
  <c r="AR173" i="1" s="1"/>
  <c r="AN173" i="1"/>
  <c r="AO173" i="1" s="1"/>
  <c r="AP173" i="1" s="1"/>
  <c r="AS173" i="1" s="1"/>
  <c r="AZ172" i="1"/>
  <c r="AX172" i="1"/>
  <c r="AY172" i="1" s="1"/>
  <c r="AW172" i="1"/>
  <c r="AV172" i="1"/>
  <c r="AU172" i="1"/>
  <c r="AQ172" i="1"/>
  <c r="AR172" i="1" s="1"/>
  <c r="AP172" i="1"/>
  <c r="AS172" i="1" s="1"/>
  <c r="AO172" i="1"/>
  <c r="AN172" i="1"/>
  <c r="AX171" i="1"/>
  <c r="AU171" i="1"/>
  <c r="AV171" i="1" s="1"/>
  <c r="AW171" i="1" s="1"/>
  <c r="AZ171" i="1" s="1"/>
  <c r="AQ171" i="1"/>
  <c r="AR171" i="1" s="1"/>
  <c r="AO171" i="1"/>
  <c r="AP171" i="1" s="1"/>
  <c r="AS171" i="1" s="1"/>
  <c r="AN171" i="1"/>
  <c r="AX170" i="1"/>
  <c r="AU170" i="1"/>
  <c r="AV170" i="1" s="1"/>
  <c r="AW170" i="1" s="1"/>
  <c r="AZ170" i="1" s="1"/>
  <c r="AS170" i="1"/>
  <c r="AQ170" i="1"/>
  <c r="AR170" i="1" s="1"/>
  <c r="AN170" i="1"/>
  <c r="AO170" i="1" s="1"/>
  <c r="AP170" i="1" s="1"/>
  <c r="AX169" i="1"/>
  <c r="AU169" i="1"/>
  <c r="AV169" i="1" s="1"/>
  <c r="AW169" i="1" s="1"/>
  <c r="AQ169" i="1"/>
  <c r="AO169" i="1"/>
  <c r="AP169" i="1" s="1"/>
  <c r="AS169" i="1" s="1"/>
  <c r="AN169" i="1"/>
  <c r="AX168" i="1"/>
  <c r="AY168" i="1" s="1"/>
  <c r="AV168" i="1"/>
  <c r="AW168" i="1" s="1"/>
  <c r="AZ168" i="1" s="1"/>
  <c r="AU168" i="1"/>
  <c r="AQ168" i="1"/>
  <c r="AN168" i="1"/>
  <c r="AO168" i="1" s="1"/>
  <c r="AP168" i="1" s="1"/>
  <c r="AX167" i="1"/>
  <c r="AU167" i="1"/>
  <c r="AV167" i="1" s="1"/>
  <c r="AW167" i="1" s="1"/>
  <c r="AS167" i="1"/>
  <c r="AQ167" i="1"/>
  <c r="AO167" i="1"/>
  <c r="AP167" i="1" s="1"/>
  <c r="AN167" i="1"/>
  <c r="AX166" i="1"/>
  <c r="AY166" i="1" s="1"/>
  <c r="AW166" i="1"/>
  <c r="AZ166" i="1" s="1"/>
  <c r="AV166" i="1"/>
  <c r="AU166" i="1"/>
  <c r="AQ166" i="1"/>
  <c r="AO166" i="1"/>
  <c r="AP166" i="1" s="1"/>
  <c r="AS166" i="1" s="1"/>
  <c r="AN166" i="1"/>
  <c r="AX165" i="1"/>
  <c r="AV165" i="1"/>
  <c r="AW165" i="1" s="1"/>
  <c r="AZ165" i="1" s="1"/>
  <c r="AU165" i="1"/>
  <c r="AR165" i="1"/>
  <c r="AQ165" i="1"/>
  <c r="AO165" i="1"/>
  <c r="AP165" i="1" s="1"/>
  <c r="AS165" i="1" s="1"/>
  <c r="AN165" i="1"/>
  <c r="AX164" i="1"/>
  <c r="AU164" i="1"/>
  <c r="AV164" i="1" s="1"/>
  <c r="AW164" i="1" s="1"/>
  <c r="AR164" i="1"/>
  <c r="AQ164" i="1"/>
  <c r="AP164" i="1"/>
  <c r="AS164" i="1" s="1"/>
  <c r="AO164" i="1"/>
  <c r="AN164" i="1"/>
  <c r="AX163" i="1"/>
  <c r="AW163" i="1"/>
  <c r="AZ163" i="1" s="1"/>
  <c r="AV163" i="1"/>
  <c r="AU163" i="1"/>
  <c r="AQ163" i="1"/>
  <c r="AN163" i="1"/>
  <c r="AO163" i="1" s="1"/>
  <c r="AP163" i="1" s="1"/>
  <c r="AS163" i="1" s="1"/>
  <c r="AX162" i="1"/>
  <c r="AU162" i="1"/>
  <c r="AV162" i="1" s="1"/>
  <c r="AW162" i="1" s="1"/>
  <c r="AS162" i="1"/>
  <c r="AQ162" i="1"/>
  <c r="AP162" i="1"/>
  <c r="AR162" i="1" s="1"/>
  <c r="AN162" i="1"/>
  <c r="AO162" i="1" s="1"/>
  <c r="AY161" i="1"/>
  <c r="AX161" i="1"/>
  <c r="AW161" i="1"/>
  <c r="AZ161" i="1" s="1"/>
  <c r="AV161" i="1"/>
  <c r="AU161" i="1"/>
  <c r="AQ161" i="1"/>
  <c r="AN161" i="1"/>
  <c r="AO161" i="1" s="1"/>
  <c r="AP161" i="1" s="1"/>
  <c r="AS161" i="1" s="1"/>
  <c r="AX160" i="1"/>
  <c r="AW160" i="1"/>
  <c r="AZ160" i="1" s="1"/>
  <c r="AU160" i="1"/>
  <c r="AV160" i="1" s="1"/>
  <c r="AQ160" i="1"/>
  <c r="AN160" i="1"/>
  <c r="AO160" i="1" s="1"/>
  <c r="AP160" i="1" s="1"/>
  <c r="AS160" i="1" s="1"/>
  <c r="AX159" i="1"/>
  <c r="AU159" i="1"/>
  <c r="AV159" i="1" s="1"/>
  <c r="AW159" i="1" s="1"/>
  <c r="AZ159" i="1" s="1"/>
  <c r="AS159" i="1"/>
  <c r="AQ159" i="1"/>
  <c r="AR159" i="1" s="1"/>
  <c r="AO159" i="1"/>
  <c r="AP159" i="1" s="1"/>
  <c r="AN159" i="1"/>
  <c r="AX158" i="1"/>
  <c r="AU158" i="1"/>
  <c r="AV158" i="1" s="1"/>
  <c r="AW158" i="1" s="1"/>
  <c r="AZ158" i="1" s="1"/>
  <c r="AQ158" i="1"/>
  <c r="AO158" i="1"/>
  <c r="AP158" i="1" s="1"/>
  <c r="AS158" i="1" s="1"/>
  <c r="AN158" i="1"/>
  <c r="AX157" i="1"/>
  <c r="AV157" i="1"/>
  <c r="AW157" i="1" s="1"/>
  <c r="AZ157" i="1" s="1"/>
  <c r="AU157" i="1"/>
  <c r="AQ157" i="1"/>
  <c r="AO157" i="1"/>
  <c r="AP157" i="1" s="1"/>
  <c r="AN157" i="1"/>
  <c r="AZ156" i="1"/>
  <c r="AX156" i="1"/>
  <c r="AU156" i="1"/>
  <c r="AV156" i="1" s="1"/>
  <c r="AW156" i="1" s="1"/>
  <c r="AQ156" i="1"/>
  <c r="AO156" i="1"/>
  <c r="AP156" i="1" s="1"/>
  <c r="AS156" i="1" s="1"/>
  <c r="AN156" i="1"/>
  <c r="AX155" i="1"/>
  <c r="AY155" i="1" s="1"/>
  <c r="AU155" i="1"/>
  <c r="AV155" i="1" s="1"/>
  <c r="AW155" i="1" s="1"/>
  <c r="AZ155" i="1" s="1"/>
  <c r="AQ155" i="1"/>
  <c r="AO155" i="1"/>
  <c r="AP155" i="1" s="1"/>
  <c r="AS155" i="1" s="1"/>
  <c r="AN155" i="1"/>
  <c r="AX154" i="1"/>
  <c r="AU154" i="1"/>
  <c r="AV154" i="1" s="1"/>
  <c r="AW154" i="1" s="1"/>
  <c r="AQ154" i="1"/>
  <c r="AN154" i="1"/>
  <c r="AO154" i="1" s="1"/>
  <c r="AP154" i="1" s="1"/>
  <c r="AS154" i="1" s="1"/>
  <c r="AX153" i="1"/>
  <c r="AU153" i="1"/>
  <c r="AV153" i="1" s="1"/>
  <c r="AW153" i="1" s="1"/>
  <c r="AR153" i="1"/>
  <c r="AQ153" i="1"/>
  <c r="AP153" i="1"/>
  <c r="AS153" i="1" s="1"/>
  <c r="AO153" i="1"/>
  <c r="AN153" i="1"/>
  <c r="AX152" i="1"/>
  <c r="AU152" i="1"/>
  <c r="AV152" i="1" s="1"/>
  <c r="AW152" i="1" s="1"/>
  <c r="AZ152" i="1" s="1"/>
  <c r="AQ152" i="1"/>
  <c r="AR152" i="1" s="1"/>
  <c r="AP152" i="1"/>
  <c r="AS152" i="1" s="1"/>
  <c r="AO152" i="1"/>
  <c r="AN152" i="1"/>
  <c r="AX151" i="1"/>
  <c r="AV151" i="1"/>
  <c r="AW151" i="1" s="1"/>
  <c r="AZ151" i="1" s="1"/>
  <c r="AU151" i="1"/>
  <c r="AQ151" i="1"/>
  <c r="AN151" i="1"/>
  <c r="AO151" i="1" s="1"/>
  <c r="AP151" i="1" s="1"/>
  <c r="AS151" i="1" s="1"/>
  <c r="AX150" i="1"/>
  <c r="AU150" i="1"/>
  <c r="AV150" i="1" s="1"/>
  <c r="AW150" i="1" s="1"/>
  <c r="AQ150" i="1"/>
  <c r="AO150" i="1"/>
  <c r="AP150" i="1" s="1"/>
  <c r="AR150" i="1" s="1"/>
  <c r="AN150" i="1"/>
  <c r="AY149" i="1"/>
  <c r="AX149" i="1"/>
  <c r="AW149" i="1"/>
  <c r="AZ149" i="1" s="1"/>
  <c r="AV149" i="1"/>
  <c r="AU149" i="1"/>
  <c r="AQ149" i="1"/>
  <c r="AN149" i="1"/>
  <c r="AO149" i="1" s="1"/>
  <c r="AP149" i="1" s="1"/>
  <c r="AS149" i="1" s="1"/>
  <c r="AZ148" i="1"/>
  <c r="AY148" i="1"/>
  <c r="AX148" i="1"/>
  <c r="AV148" i="1"/>
  <c r="AW148" i="1" s="1"/>
  <c r="AU148" i="1"/>
  <c r="AQ148" i="1"/>
  <c r="AO148" i="1"/>
  <c r="AP148" i="1" s="1"/>
  <c r="AS148" i="1" s="1"/>
  <c r="AN148" i="1"/>
  <c r="AX147" i="1"/>
  <c r="AU147" i="1"/>
  <c r="AV147" i="1" s="1"/>
  <c r="AW147" i="1" s="1"/>
  <c r="AZ147" i="1" s="1"/>
  <c r="AS147" i="1"/>
  <c r="AR147" i="1"/>
  <c r="AQ147" i="1"/>
  <c r="AN147" i="1"/>
  <c r="AO147" i="1" s="1"/>
  <c r="AP147" i="1" s="1"/>
  <c r="AX146" i="1"/>
  <c r="AV146" i="1"/>
  <c r="AW146" i="1" s="1"/>
  <c r="AU146" i="1"/>
  <c r="AQ146" i="1"/>
  <c r="AR146" i="1" s="1"/>
  <c r="AP146" i="1"/>
  <c r="AS146" i="1" s="1"/>
  <c r="AO146" i="1"/>
  <c r="AN146" i="1"/>
  <c r="AX145" i="1"/>
  <c r="AY145" i="1" s="1"/>
  <c r="AU145" i="1"/>
  <c r="AV145" i="1" s="1"/>
  <c r="AW145" i="1" s="1"/>
  <c r="AZ145" i="1" s="1"/>
  <c r="AQ145" i="1"/>
  <c r="AO145" i="1"/>
  <c r="AP145" i="1" s="1"/>
  <c r="AN145" i="1"/>
  <c r="AX144" i="1"/>
  <c r="AV144" i="1"/>
  <c r="AW144" i="1" s="1"/>
  <c r="AZ144" i="1" s="1"/>
  <c r="AU144" i="1"/>
  <c r="AQ144" i="1"/>
  <c r="AN144" i="1"/>
  <c r="AO144" i="1" s="1"/>
  <c r="AP144" i="1" s="1"/>
  <c r="AS144" i="1" s="1"/>
  <c r="AY143" i="1"/>
  <c r="AX143" i="1"/>
  <c r="AU143" i="1"/>
  <c r="AV143" i="1" s="1"/>
  <c r="AW143" i="1" s="1"/>
  <c r="AZ143" i="1" s="1"/>
  <c r="AQ143" i="1"/>
  <c r="AN143" i="1"/>
  <c r="AO143" i="1" s="1"/>
  <c r="AP143" i="1" s="1"/>
  <c r="AX142" i="1"/>
  <c r="AY142" i="1" s="1"/>
  <c r="AW142" i="1"/>
  <c r="AZ142" i="1" s="1"/>
  <c r="AV142" i="1"/>
  <c r="AU142" i="1"/>
  <c r="AQ142" i="1"/>
  <c r="AR142" i="1" s="1"/>
  <c r="AN142" i="1"/>
  <c r="AO142" i="1" s="1"/>
  <c r="AP142" i="1" s="1"/>
  <c r="AS142" i="1" s="1"/>
  <c r="AX141" i="1"/>
  <c r="AU141" i="1"/>
  <c r="AV141" i="1" s="1"/>
  <c r="AW141" i="1" s="1"/>
  <c r="AQ141" i="1"/>
  <c r="AO141" i="1"/>
  <c r="AP141" i="1" s="1"/>
  <c r="AS141" i="1" s="1"/>
  <c r="AN141" i="1"/>
  <c r="AX140" i="1"/>
  <c r="AV140" i="1"/>
  <c r="AW140" i="1" s="1"/>
  <c r="AZ140" i="1" s="1"/>
  <c r="AU140" i="1"/>
  <c r="AR140" i="1"/>
  <c r="AQ140" i="1"/>
  <c r="AN140" i="1"/>
  <c r="AO140" i="1" s="1"/>
  <c r="AP140" i="1" s="1"/>
  <c r="AS140" i="1" s="1"/>
  <c r="AX139" i="1"/>
  <c r="AU139" i="1"/>
  <c r="AV139" i="1" s="1"/>
  <c r="AW139" i="1" s="1"/>
  <c r="AS139" i="1"/>
  <c r="AR139" i="1"/>
  <c r="AQ139" i="1"/>
  <c r="AP139" i="1"/>
  <c r="AO139" i="1"/>
  <c r="AN139" i="1"/>
  <c r="AX138" i="1"/>
  <c r="AY138" i="1" s="1"/>
  <c r="AU138" i="1"/>
  <c r="AV138" i="1" s="1"/>
  <c r="AW138" i="1" s="1"/>
  <c r="AZ138" i="1" s="1"/>
  <c r="AQ138" i="1"/>
  <c r="AO138" i="1"/>
  <c r="AP138" i="1" s="1"/>
  <c r="AS138" i="1" s="1"/>
  <c r="AN138" i="1"/>
  <c r="AX137" i="1"/>
  <c r="AY137" i="1" s="1"/>
  <c r="AV137" i="1"/>
  <c r="AW137" i="1" s="1"/>
  <c r="AZ137" i="1" s="1"/>
  <c r="AU137" i="1"/>
  <c r="AQ137" i="1"/>
  <c r="AO137" i="1"/>
  <c r="AP137" i="1" s="1"/>
  <c r="AN137" i="1"/>
  <c r="AX136" i="1"/>
  <c r="AU136" i="1"/>
  <c r="AV136" i="1" s="1"/>
  <c r="AW136" i="1" s="1"/>
  <c r="AZ136" i="1" s="1"/>
  <c r="AQ136" i="1"/>
  <c r="AO136" i="1"/>
  <c r="AP136" i="1" s="1"/>
  <c r="AN136" i="1"/>
  <c r="AX135" i="1"/>
  <c r="AY135" i="1" s="1"/>
  <c r="AW135" i="1"/>
  <c r="AZ135" i="1" s="1"/>
  <c r="AV135" i="1"/>
  <c r="AU135" i="1"/>
  <c r="AQ135" i="1"/>
  <c r="AN135" i="1"/>
  <c r="AO135" i="1" s="1"/>
  <c r="AP135" i="1" s="1"/>
  <c r="AS135" i="1" s="1"/>
  <c r="AX134" i="1"/>
  <c r="AV134" i="1"/>
  <c r="AW134" i="1" s="1"/>
  <c r="AU134" i="1"/>
  <c r="AQ134" i="1"/>
  <c r="AR134" i="1" s="1"/>
  <c r="AO134" i="1"/>
  <c r="AP134" i="1" s="1"/>
  <c r="AS134" i="1" s="1"/>
  <c r="AN134" i="1"/>
  <c r="AY133" i="1"/>
  <c r="AX133" i="1"/>
  <c r="AU133" i="1"/>
  <c r="AV133" i="1" s="1"/>
  <c r="AW133" i="1" s="1"/>
  <c r="AZ133" i="1" s="1"/>
  <c r="AQ133" i="1"/>
  <c r="AN133" i="1"/>
  <c r="AO133" i="1" s="1"/>
  <c r="AP133" i="1" s="1"/>
  <c r="AS133" i="1" s="1"/>
  <c r="AZ132" i="1"/>
  <c r="AX132" i="1"/>
  <c r="AU132" i="1"/>
  <c r="AV132" i="1" s="1"/>
  <c r="AW132" i="1" s="1"/>
  <c r="AY132" i="1" s="1"/>
  <c r="AS132" i="1"/>
  <c r="AQ132" i="1"/>
  <c r="AR132" i="1" s="1"/>
  <c r="AP132" i="1"/>
  <c r="AO132" i="1"/>
  <c r="AN132" i="1"/>
  <c r="AX131" i="1"/>
  <c r="AY131" i="1" s="1"/>
  <c r="AU131" i="1"/>
  <c r="AV131" i="1" s="1"/>
  <c r="AW131" i="1" s="1"/>
  <c r="AZ131" i="1" s="1"/>
  <c r="AQ131" i="1"/>
  <c r="AN131" i="1"/>
  <c r="AO131" i="1" s="1"/>
  <c r="AP131" i="1" s="1"/>
  <c r="AS131" i="1" s="1"/>
  <c r="AX130" i="1"/>
  <c r="AY130" i="1" s="1"/>
  <c r="AV130" i="1"/>
  <c r="AW130" i="1" s="1"/>
  <c r="AZ130" i="1" s="1"/>
  <c r="AU130" i="1"/>
  <c r="AQ130" i="1"/>
  <c r="AN130" i="1"/>
  <c r="AO130" i="1" s="1"/>
  <c r="AP130" i="1" s="1"/>
  <c r="AS130" i="1" s="1"/>
  <c r="AZ129" i="1"/>
  <c r="AY129" i="1"/>
  <c r="AX129" i="1"/>
  <c r="AU129" i="1"/>
  <c r="AV129" i="1" s="1"/>
  <c r="AW129" i="1" s="1"/>
  <c r="AQ129" i="1"/>
  <c r="AN129" i="1"/>
  <c r="AO129" i="1" s="1"/>
  <c r="AP129" i="1" s="1"/>
  <c r="AX128" i="1"/>
  <c r="AW128" i="1"/>
  <c r="AZ128" i="1" s="1"/>
  <c r="AV128" i="1"/>
  <c r="AU128" i="1"/>
  <c r="AQ128" i="1"/>
  <c r="AR128" i="1" s="1"/>
  <c r="AN128" i="1"/>
  <c r="AO128" i="1" s="1"/>
  <c r="AP128" i="1" s="1"/>
  <c r="AS128" i="1" s="1"/>
  <c r="AX127" i="1"/>
  <c r="AU127" i="1"/>
  <c r="AV127" i="1" s="1"/>
  <c r="AW127" i="1" s="1"/>
  <c r="AZ127" i="1" s="1"/>
  <c r="AQ127" i="1"/>
  <c r="AO127" i="1"/>
  <c r="AP127" i="1" s="1"/>
  <c r="AS127" i="1" s="1"/>
  <c r="AN127" i="1"/>
  <c r="AX126" i="1"/>
  <c r="AY126" i="1" s="1"/>
  <c r="AV126" i="1"/>
  <c r="AW126" i="1" s="1"/>
  <c r="AZ126" i="1" s="1"/>
  <c r="AU126" i="1"/>
  <c r="AQ126" i="1"/>
  <c r="AN126" i="1"/>
  <c r="AO126" i="1" s="1"/>
  <c r="AP126" i="1" s="1"/>
  <c r="AX125" i="1"/>
  <c r="AU125" i="1"/>
  <c r="AV125" i="1" s="1"/>
  <c r="AW125" i="1" s="1"/>
  <c r="AS125" i="1"/>
  <c r="AR125" i="1"/>
  <c r="AQ125" i="1"/>
  <c r="AP125" i="1"/>
  <c r="AO125" i="1"/>
  <c r="AN125" i="1"/>
  <c r="AX124" i="1"/>
  <c r="AW124" i="1"/>
  <c r="AZ124" i="1" s="1"/>
  <c r="AU124" i="1"/>
  <c r="AV124" i="1" s="1"/>
  <c r="AQ124" i="1"/>
  <c r="AN124" i="1"/>
  <c r="AO124" i="1" s="1"/>
  <c r="AP124" i="1" s="1"/>
  <c r="AS124" i="1" s="1"/>
  <c r="AX123" i="1"/>
  <c r="AV123" i="1"/>
  <c r="AW123" i="1" s="1"/>
  <c r="AZ123" i="1" s="1"/>
  <c r="AU123" i="1"/>
  <c r="AQ123" i="1"/>
  <c r="AO123" i="1"/>
  <c r="AP123" i="1" s="1"/>
  <c r="AN123" i="1"/>
  <c r="AX122" i="1"/>
  <c r="AU122" i="1"/>
  <c r="AV122" i="1" s="1"/>
  <c r="AW122" i="1" s="1"/>
  <c r="AZ122" i="1" s="1"/>
  <c r="AQ122" i="1"/>
  <c r="AN122" i="1"/>
  <c r="AO122" i="1" s="1"/>
  <c r="AP122" i="1" s="1"/>
  <c r="AX121" i="1"/>
  <c r="AY121" i="1" s="1"/>
  <c r="AW121" i="1"/>
  <c r="AZ121" i="1" s="1"/>
  <c r="AV121" i="1"/>
  <c r="AU121" i="1"/>
  <c r="AQ121" i="1"/>
  <c r="AN121" i="1"/>
  <c r="AO121" i="1" s="1"/>
  <c r="AP121" i="1" s="1"/>
  <c r="AS121" i="1" s="1"/>
  <c r="AZ120" i="1"/>
  <c r="AX120" i="1"/>
  <c r="AY120" i="1" s="1"/>
  <c r="AV120" i="1"/>
  <c r="AW120" i="1" s="1"/>
  <c r="AU120" i="1"/>
  <c r="AQ120" i="1"/>
  <c r="AO120" i="1"/>
  <c r="AP120" i="1" s="1"/>
  <c r="AS120" i="1" s="1"/>
  <c r="AN120" i="1"/>
  <c r="AX119" i="1"/>
  <c r="AU119" i="1"/>
  <c r="AV119" i="1" s="1"/>
  <c r="AW119" i="1" s="1"/>
  <c r="AZ119" i="1" s="1"/>
  <c r="AS119" i="1"/>
  <c r="AR119" i="1"/>
  <c r="AQ119" i="1"/>
  <c r="AN119" i="1"/>
  <c r="AO119" i="1" s="1"/>
  <c r="AP119" i="1" s="1"/>
  <c r="AX118" i="1"/>
  <c r="AU118" i="1"/>
  <c r="AV118" i="1" s="1"/>
  <c r="AW118" i="1" s="1"/>
  <c r="AQ118" i="1"/>
  <c r="AP118" i="1"/>
  <c r="AO118" i="1"/>
  <c r="AN118" i="1"/>
  <c r="AX117" i="1"/>
  <c r="AU117" i="1"/>
  <c r="AV117" i="1" s="1"/>
  <c r="AW117" i="1" s="1"/>
  <c r="AZ117" i="1" s="1"/>
  <c r="AQ117" i="1"/>
  <c r="AN117" i="1"/>
  <c r="AO117" i="1" s="1"/>
  <c r="AP117" i="1" s="1"/>
  <c r="AS117" i="1" s="1"/>
  <c r="AX116" i="1"/>
  <c r="AU116" i="1"/>
  <c r="AV116" i="1" s="1"/>
  <c r="AW116" i="1" s="1"/>
  <c r="AZ116" i="1" s="1"/>
  <c r="AR116" i="1"/>
  <c r="AQ116" i="1"/>
  <c r="AN116" i="1"/>
  <c r="AO116" i="1" s="1"/>
  <c r="AP116" i="1" s="1"/>
  <c r="AS116" i="1" s="1"/>
  <c r="AX115" i="1"/>
  <c r="AV115" i="1"/>
  <c r="AW115" i="1" s="1"/>
  <c r="AZ115" i="1" s="1"/>
  <c r="AU115" i="1"/>
  <c r="AQ115" i="1"/>
  <c r="AN115" i="1"/>
  <c r="AO115" i="1" s="1"/>
  <c r="AP115" i="1" s="1"/>
  <c r="AZ114" i="1"/>
  <c r="AX114" i="1"/>
  <c r="AY114" i="1" s="1"/>
  <c r="AW114" i="1"/>
  <c r="AV114" i="1"/>
  <c r="AU114" i="1"/>
  <c r="AQ114" i="1"/>
  <c r="AN114" i="1"/>
  <c r="AO114" i="1" s="1"/>
  <c r="AP114" i="1" s="1"/>
  <c r="AS114" i="1" s="1"/>
  <c r="AX113" i="1"/>
  <c r="AY113" i="1" s="1"/>
  <c r="AW113" i="1"/>
  <c r="AZ113" i="1" s="1"/>
  <c r="AV113" i="1"/>
  <c r="AU113" i="1"/>
  <c r="AQ113" i="1"/>
  <c r="AN113" i="1"/>
  <c r="AO113" i="1" s="1"/>
  <c r="AP113" i="1" s="1"/>
  <c r="AS113" i="1" s="1"/>
  <c r="AX112" i="1"/>
  <c r="AV112" i="1"/>
  <c r="AW112" i="1" s="1"/>
  <c r="AZ112" i="1" s="1"/>
  <c r="AU112" i="1"/>
  <c r="AS112" i="1"/>
  <c r="AQ112" i="1"/>
  <c r="AO112" i="1"/>
  <c r="AP112" i="1" s="1"/>
  <c r="AR112" i="1" s="1"/>
  <c r="AN112" i="1"/>
  <c r="AX111" i="1"/>
  <c r="AY111" i="1" s="1"/>
  <c r="AW111" i="1"/>
  <c r="AZ111" i="1" s="1"/>
  <c r="AU111" i="1"/>
  <c r="AV111" i="1" s="1"/>
  <c r="AQ111" i="1"/>
  <c r="AP111" i="1"/>
  <c r="AO111" i="1"/>
  <c r="AN111" i="1"/>
  <c r="AX110" i="1"/>
  <c r="AV110" i="1"/>
  <c r="AW110" i="1" s="1"/>
  <c r="AZ110" i="1" s="1"/>
  <c r="AU110" i="1"/>
  <c r="AQ110" i="1"/>
  <c r="AN110" i="1"/>
  <c r="AO110" i="1" s="1"/>
  <c r="AP110" i="1" s="1"/>
  <c r="AS110" i="1" s="1"/>
  <c r="AX109" i="1"/>
  <c r="AV109" i="1"/>
  <c r="AW109" i="1" s="1"/>
  <c r="AZ109" i="1" s="1"/>
  <c r="AU109" i="1"/>
  <c r="AQ109" i="1"/>
  <c r="AN109" i="1"/>
  <c r="AO109" i="1" s="1"/>
  <c r="AP109" i="1" s="1"/>
  <c r="AS109" i="1" s="1"/>
  <c r="AZ108" i="1"/>
  <c r="AX108" i="1"/>
  <c r="AV108" i="1"/>
  <c r="AW108" i="1" s="1"/>
  <c r="AY108" i="1" s="1"/>
  <c r="AU108" i="1"/>
  <c r="AQ108" i="1"/>
  <c r="AO108" i="1"/>
  <c r="AP108" i="1" s="1"/>
  <c r="AS108" i="1" s="1"/>
  <c r="AN108" i="1"/>
  <c r="AX107" i="1"/>
  <c r="AY107" i="1" s="1"/>
  <c r="AW107" i="1"/>
  <c r="AZ107" i="1" s="1"/>
  <c r="AV107" i="1"/>
  <c r="AU107" i="1"/>
  <c r="AQ107" i="1"/>
  <c r="AN107" i="1"/>
  <c r="AO107" i="1" s="1"/>
  <c r="AP107" i="1" s="1"/>
  <c r="AS107" i="1" s="1"/>
  <c r="AZ106" i="1"/>
  <c r="AY106" i="1"/>
  <c r="AX106" i="1"/>
  <c r="AV106" i="1"/>
  <c r="AW106" i="1" s="1"/>
  <c r="AU106" i="1"/>
  <c r="AQ106" i="1"/>
  <c r="AO106" i="1"/>
  <c r="AP106" i="1" s="1"/>
  <c r="AS106" i="1" s="1"/>
  <c r="AN106" i="1"/>
  <c r="AX105" i="1"/>
  <c r="AU105" i="1"/>
  <c r="AV105" i="1" s="1"/>
  <c r="AW105" i="1" s="1"/>
  <c r="AZ105" i="1" s="1"/>
  <c r="AS105" i="1"/>
  <c r="AR105" i="1"/>
  <c r="AQ105" i="1"/>
  <c r="AO105" i="1"/>
  <c r="AP105" i="1" s="1"/>
  <c r="AN105" i="1"/>
  <c r="AX104" i="1"/>
  <c r="AU104" i="1"/>
  <c r="AV104" i="1" s="1"/>
  <c r="AW104" i="1" s="1"/>
  <c r="AZ104" i="1" s="1"/>
  <c r="AS104" i="1"/>
  <c r="AQ104" i="1"/>
  <c r="AR104" i="1" s="1"/>
  <c r="AP104" i="1"/>
  <c r="AO104" i="1"/>
  <c r="AN104" i="1"/>
  <c r="AX103" i="1"/>
  <c r="AU103" i="1"/>
  <c r="AV103" i="1" s="1"/>
  <c r="AW103" i="1" s="1"/>
  <c r="AZ103" i="1" s="1"/>
  <c r="AQ103" i="1"/>
  <c r="AN103" i="1"/>
  <c r="AO103" i="1" s="1"/>
  <c r="AP103" i="1" s="1"/>
  <c r="AS103" i="1" s="1"/>
  <c r="AX102" i="1"/>
  <c r="AU102" i="1"/>
  <c r="AV102" i="1" s="1"/>
  <c r="AW102" i="1" s="1"/>
  <c r="AZ102" i="1" s="1"/>
  <c r="AQ102" i="1"/>
  <c r="AO102" i="1"/>
  <c r="AP102" i="1" s="1"/>
  <c r="AN102" i="1"/>
  <c r="AX101" i="1"/>
  <c r="AV101" i="1"/>
  <c r="AW101" i="1" s="1"/>
  <c r="AU101" i="1"/>
  <c r="AS101" i="1"/>
  <c r="AR101" i="1"/>
  <c r="AQ101" i="1"/>
  <c r="AO101" i="1"/>
  <c r="AP101" i="1" s="1"/>
  <c r="AN101" i="1"/>
  <c r="AY100" i="1"/>
  <c r="AX100" i="1"/>
  <c r="AW100" i="1"/>
  <c r="AZ100" i="1" s="1"/>
  <c r="AV100" i="1"/>
  <c r="AU100" i="1"/>
  <c r="AQ100" i="1"/>
  <c r="AN100" i="1"/>
  <c r="AO100" i="1" s="1"/>
  <c r="AP100" i="1" s="1"/>
  <c r="AS100" i="1" s="1"/>
  <c r="AZ99" i="1"/>
  <c r="AX99" i="1"/>
  <c r="AY99" i="1" s="1"/>
  <c r="AU99" i="1"/>
  <c r="AV99" i="1" s="1"/>
  <c r="AW99" i="1" s="1"/>
  <c r="AQ99" i="1"/>
  <c r="AN99" i="1"/>
  <c r="AO99" i="1" s="1"/>
  <c r="AP99" i="1" s="1"/>
  <c r="AS99" i="1" s="1"/>
  <c r="AX98" i="1"/>
  <c r="AY98" i="1" s="1"/>
  <c r="AV98" i="1"/>
  <c r="AW98" i="1" s="1"/>
  <c r="AZ98" i="1" s="1"/>
  <c r="AU98" i="1"/>
  <c r="AR98" i="1"/>
  <c r="AQ98" i="1"/>
  <c r="AO98" i="1"/>
  <c r="AP98" i="1" s="1"/>
  <c r="AS98" i="1" s="1"/>
  <c r="AN98" i="1"/>
  <c r="AX97" i="1"/>
  <c r="AU97" i="1"/>
  <c r="AV97" i="1" s="1"/>
  <c r="AW97" i="1" s="1"/>
  <c r="AZ97" i="1" s="1"/>
  <c r="AS97" i="1"/>
  <c r="AQ97" i="1"/>
  <c r="AR97" i="1" s="1"/>
  <c r="AP97" i="1"/>
  <c r="AO97" i="1"/>
  <c r="AN97" i="1"/>
  <c r="AX96" i="1"/>
  <c r="AU96" i="1"/>
  <c r="AV96" i="1" s="1"/>
  <c r="AW96" i="1" s="1"/>
  <c r="AZ96" i="1" s="1"/>
  <c r="AQ96" i="1"/>
  <c r="AR96" i="1" s="1"/>
  <c r="AN96" i="1"/>
  <c r="AO96" i="1" s="1"/>
  <c r="AP96" i="1" s="1"/>
  <c r="AS96" i="1" s="1"/>
  <c r="AX95" i="1"/>
  <c r="AU95" i="1"/>
  <c r="AV95" i="1" s="1"/>
  <c r="AW95" i="1" s="1"/>
  <c r="AZ95" i="1" s="1"/>
  <c r="AQ95" i="1"/>
  <c r="AR95" i="1" s="1"/>
  <c r="AN95" i="1"/>
  <c r="AO95" i="1" s="1"/>
  <c r="AP95" i="1" s="1"/>
  <c r="AS95" i="1" s="1"/>
  <c r="AX94" i="1"/>
  <c r="AV94" i="1"/>
  <c r="AW94" i="1" s="1"/>
  <c r="AZ94" i="1" s="1"/>
  <c r="AU94" i="1"/>
  <c r="AS94" i="1"/>
  <c r="AQ94" i="1"/>
  <c r="AR94" i="1" s="1"/>
  <c r="AN94" i="1"/>
  <c r="AO94" i="1" s="1"/>
  <c r="AP94" i="1" s="1"/>
  <c r="AX93" i="1"/>
  <c r="AW93" i="1"/>
  <c r="AZ93" i="1" s="1"/>
  <c r="AV93" i="1"/>
  <c r="AU93" i="1"/>
  <c r="AS93" i="1"/>
  <c r="AQ93" i="1"/>
  <c r="AR93" i="1" s="1"/>
  <c r="AP93" i="1"/>
  <c r="AN93" i="1"/>
  <c r="AO93" i="1" s="1"/>
  <c r="AX92" i="1"/>
  <c r="AU92" i="1"/>
  <c r="AV92" i="1" s="1"/>
  <c r="AW92" i="1" s="1"/>
  <c r="AZ92" i="1" s="1"/>
  <c r="AQ92" i="1"/>
  <c r="AO92" i="1"/>
  <c r="AP92" i="1" s="1"/>
  <c r="AS92" i="1" s="1"/>
  <c r="AN92" i="1"/>
  <c r="AX91" i="1"/>
  <c r="AU91" i="1"/>
  <c r="AV91" i="1" s="1"/>
  <c r="AW91" i="1" s="1"/>
  <c r="AZ91" i="1" s="1"/>
  <c r="AS91" i="1"/>
  <c r="AQ91" i="1"/>
  <c r="AR91" i="1" s="1"/>
  <c r="AO91" i="1"/>
  <c r="AP91" i="1" s="1"/>
  <c r="AN91" i="1"/>
  <c r="AX90" i="1"/>
  <c r="AV90" i="1"/>
  <c r="AW90" i="1" s="1"/>
  <c r="AZ90" i="1" s="1"/>
  <c r="AU90" i="1"/>
  <c r="AQ90" i="1"/>
  <c r="AP90" i="1"/>
  <c r="AS90" i="1" s="1"/>
  <c r="AO90" i="1"/>
  <c r="AN90" i="1"/>
  <c r="AX89" i="1"/>
  <c r="AY89" i="1" s="1"/>
  <c r="AW89" i="1"/>
  <c r="AZ89" i="1" s="1"/>
  <c r="AV89" i="1"/>
  <c r="AU89" i="1"/>
  <c r="AQ89" i="1"/>
  <c r="AN89" i="1"/>
  <c r="AO89" i="1" s="1"/>
  <c r="AP89" i="1" s="1"/>
  <c r="AZ88" i="1"/>
  <c r="AX88" i="1"/>
  <c r="AU88" i="1"/>
  <c r="AV88" i="1" s="1"/>
  <c r="AW88" i="1" s="1"/>
  <c r="AQ88" i="1"/>
  <c r="AR88" i="1" s="1"/>
  <c r="AP88" i="1"/>
  <c r="AS88" i="1" s="1"/>
  <c r="AO88" i="1"/>
  <c r="AN88" i="1"/>
  <c r="AY87" i="1"/>
  <c r="AX87" i="1"/>
  <c r="AV87" i="1"/>
  <c r="AW87" i="1" s="1"/>
  <c r="AZ87" i="1" s="1"/>
  <c r="AU87" i="1"/>
  <c r="AQ87" i="1"/>
  <c r="AP87" i="1"/>
  <c r="AS87" i="1" s="1"/>
  <c r="AO87" i="1"/>
  <c r="AN87" i="1"/>
  <c r="AX86" i="1"/>
  <c r="AY86" i="1" s="1"/>
  <c r="AV86" i="1"/>
  <c r="AW86" i="1" s="1"/>
  <c r="AZ86" i="1" s="1"/>
  <c r="AU86" i="1"/>
  <c r="AQ86" i="1"/>
  <c r="AR86" i="1" s="1"/>
  <c r="AN86" i="1"/>
  <c r="AO86" i="1" s="1"/>
  <c r="AP86" i="1" s="1"/>
  <c r="AS86" i="1" s="1"/>
  <c r="AX85" i="1"/>
  <c r="AV85" i="1"/>
  <c r="AW85" i="1" s="1"/>
  <c r="AZ85" i="1" s="1"/>
  <c r="AU85" i="1"/>
  <c r="AQ85" i="1"/>
  <c r="AN85" i="1"/>
  <c r="AO85" i="1" s="1"/>
  <c r="AP85" i="1" s="1"/>
  <c r="AS85" i="1" s="1"/>
  <c r="AX84" i="1"/>
  <c r="AV84" i="1"/>
  <c r="AW84" i="1" s="1"/>
  <c r="AZ84" i="1" s="1"/>
  <c r="AU84" i="1"/>
  <c r="AQ84" i="1"/>
  <c r="AR84" i="1" s="1"/>
  <c r="AO84" i="1"/>
  <c r="AP84" i="1" s="1"/>
  <c r="AS84" i="1" s="1"/>
  <c r="AN84" i="1"/>
  <c r="AX83" i="1"/>
  <c r="AW83" i="1"/>
  <c r="AZ83" i="1" s="1"/>
  <c r="AU83" i="1"/>
  <c r="AV83" i="1" s="1"/>
  <c r="AQ83" i="1"/>
  <c r="AO83" i="1"/>
  <c r="AP83" i="1" s="1"/>
  <c r="AS83" i="1" s="1"/>
  <c r="AN83" i="1"/>
  <c r="AZ82" i="1"/>
  <c r="AX82" i="1"/>
  <c r="AY82" i="1" s="1"/>
  <c r="AU82" i="1"/>
  <c r="AV82" i="1" s="1"/>
  <c r="AW82" i="1" s="1"/>
  <c r="AQ82" i="1"/>
  <c r="AN82" i="1"/>
  <c r="AO82" i="1" s="1"/>
  <c r="AP82" i="1" s="1"/>
  <c r="AS82" i="1" s="1"/>
  <c r="AZ81" i="1"/>
  <c r="AX81" i="1"/>
  <c r="AU81" i="1"/>
  <c r="AV81" i="1" s="1"/>
  <c r="AW81" i="1" s="1"/>
  <c r="AQ81" i="1"/>
  <c r="AN81" i="1"/>
  <c r="AO81" i="1" s="1"/>
  <c r="AP81" i="1" s="1"/>
  <c r="AS81" i="1" s="1"/>
  <c r="AX80" i="1"/>
  <c r="AY80" i="1" s="1"/>
  <c r="AU80" i="1"/>
  <c r="AV80" i="1" s="1"/>
  <c r="AW80" i="1" s="1"/>
  <c r="AZ80" i="1" s="1"/>
  <c r="AQ80" i="1"/>
  <c r="AN80" i="1"/>
  <c r="AO80" i="1" s="1"/>
  <c r="AP80" i="1" s="1"/>
  <c r="AS80" i="1" s="1"/>
  <c r="AX79" i="1"/>
  <c r="AY79" i="1" s="1"/>
  <c r="AW79" i="1"/>
  <c r="AZ79" i="1" s="1"/>
  <c r="AV79" i="1"/>
  <c r="AU79" i="1"/>
  <c r="AQ79" i="1"/>
  <c r="AR79" i="1" s="1"/>
  <c r="AO79" i="1"/>
  <c r="AP79" i="1" s="1"/>
  <c r="AS79" i="1" s="1"/>
  <c r="AN79" i="1"/>
  <c r="AX78" i="1"/>
  <c r="AU78" i="1"/>
  <c r="AV78" i="1" s="1"/>
  <c r="AW78" i="1" s="1"/>
  <c r="AZ78" i="1" s="1"/>
  <c r="AQ78" i="1"/>
  <c r="AR78" i="1" s="1"/>
  <c r="AP78" i="1"/>
  <c r="AS78" i="1" s="1"/>
  <c r="AO78" i="1"/>
  <c r="AN78" i="1"/>
  <c r="AX77" i="1"/>
  <c r="AV77" i="1"/>
  <c r="AW77" i="1" s="1"/>
  <c r="AU77" i="1"/>
  <c r="AQ77" i="1"/>
  <c r="AR77" i="1" s="1"/>
  <c r="AO77" i="1"/>
  <c r="AP77" i="1" s="1"/>
  <c r="AS77" i="1" s="1"/>
  <c r="AN77" i="1"/>
  <c r="AX76" i="1"/>
  <c r="AY76" i="1" s="1"/>
  <c r="AV76" i="1"/>
  <c r="AW76" i="1" s="1"/>
  <c r="AZ76" i="1" s="1"/>
  <c r="AU76" i="1"/>
  <c r="AR76" i="1"/>
  <c r="AQ76" i="1"/>
  <c r="AN76" i="1"/>
  <c r="AO76" i="1" s="1"/>
  <c r="AP76" i="1" s="1"/>
  <c r="AS76" i="1" s="1"/>
  <c r="AX75" i="1"/>
  <c r="AY75" i="1" s="1"/>
  <c r="AW75" i="1"/>
  <c r="AZ75" i="1" s="1"/>
  <c r="AV75" i="1"/>
  <c r="AU75" i="1"/>
  <c r="AQ75" i="1"/>
  <c r="AN75" i="1"/>
  <c r="AO75" i="1" s="1"/>
  <c r="AP75" i="1" s="1"/>
  <c r="AS75" i="1" s="1"/>
  <c r="AX74" i="1"/>
  <c r="AY74" i="1" s="1"/>
  <c r="AW74" i="1"/>
  <c r="AZ74" i="1" s="1"/>
  <c r="AV74" i="1"/>
  <c r="AU74" i="1"/>
  <c r="AQ74" i="1"/>
  <c r="AN74" i="1"/>
  <c r="AO74" i="1" s="1"/>
  <c r="AP74" i="1" s="1"/>
  <c r="AS74" i="1" s="1"/>
  <c r="AX73" i="1"/>
  <c r="AY73" i="1" s="1"/>
  <c r="AW73" i="1"/>
  <c r="AZ73" i="1" s="1"/>
  <c r="AV73" i="1"/>
  <c r="AU73" i="1"/>
  <c r="AQ73" i="1"/>
  <c r="AO73" i="1"/>
  <c r="AP73" i="1" s="1"/>
  <c r="AS73" i="1" s="1"/>
  <c r="AN73" i="1"/>
  <c r="AY72" i="1"/>
  <c r="AX72" i="1"/>
  <c r="AU72" i="1"/>
  <c r="AV72" i="1" s="1"/>
  <c r="AW72" i="1" s="1"/>
  <c r="AZ72" i="1" s="1"/>
  <c r="AQ72" i="1"/>
  <c r="AR72" i="1" s="1"/>
  <c r="AP72" i="1"/>
  <c r="AS72" i="1" s="1"/>
  <c r="AO72" i="1"/>
  <c r="AN72" i="1"/>
  <c r="AX71" i="1"/>
  <c r="AU71" i="1"/>
  <c r="AV71" i="1" s="1"/>
  <c r="AW71" i="1" s="1"/>
  <c r="AZ71" i="1" s="1"/>
  <c r="AQ71" i="1"/>
  <c r="AO71" i="1"/>
  <c r="AP71" i="1" s="1"/>
  <c r="AS71" i="1" s="1"/>
  <c r="AN71" i="1"/>
  <c r="AX70" i="1"/>
  <c r="AY70" i="1" s="1"/>
  <c r="AU70" i="1"/>
  <c r="AV70" i="1" s="1"/>
  <c r="AW70" i="1" s="1"/>
  <c r="AZ70" i="1" s="1"/>
  <c r="AQ70" i="1"/>
  <c r="AN70" i="1"/>
  <c r="AO70" i="1" s="1"/>
  <c r="AP70" i="1" s="1"/>
  <c r="AS70" i="1" s="1"/>
  <c r="AZ69" i="1"/>
  <c r="AY69" i="1"/>
  <c r="AX69" i="1"/>
  <c r="AV69" i="1"/>
  <c r="AW69" i="1" s="1"/>
  <c r="AU69" i="1"/>
  <c r="AQ69" i="1"/>
  <c r="AN69" i="1"/>
  <c r="AO69" i="1" s="1"/>
  <c r="AP69" i="1" s="1"/>
  <c r="AX68" i="1"/>
  <c r="AV68" i="1"/>
  <c r="AW68" i="1" s="1"/>
  <c r="AU68" i="1"/>
  <c r="AS68" i="1"/>
  <c r="AQ68" i="1"/>
  <c r="AR68" i="1" s="1"/>
  <c r="AP68" i="1"/>
  <c r="AN68" i="1"/>
  <c r="AO68" i="1" s="1"/>
  <c r="AX67" i="1"/>
  <c r="AY67" i="1" s="1"/>
  <c r="AW67" i="1"/>
  <c r="AZ67" i="1" s="1"/>
  <c r="AV67" i="1"/>
  <c r="AU67" i="1"/>
  <c r="AQ67" i="1"/>
  <c r="AN67" i="1"/>
  <c r="AO67" i="1" s="1"/>
  <c r="AP67" i="1" s="1"/>
  <c r="AS67" i="1" s="1"/>
  <c r="AX66" i="1"/>
  <c r="AW66" i="1"/>
  <c r="AZ66" i="1" s="1"/>
  <c r="AV66" i="1"/>
  <c r="AU66" i="1"/>
  <c r="AQ66" i="1"/>
  <c r="AO66" i="1"/>
  <c r="AP66" i="1" s="1"/>
  <c r="AS66" i="1" s="1"/>
  <c r="AN66" i="1"/>
  <c r="AX65" i="1"/>
  <c r="AU65" i="1"/>
  <c r="AV65" i="1" s="1"/>
  <c r="AW65" i="1" s="1"/>
  <c r="AQ65" i="1"/>
  <c r="AR65" i="1" s="1"/>
  <c r="AP65" i="1"/>
  <c r="AS65" i="1" s="1"/>
  <c r="AO65" i="1"/>
  <c r="AN65" i="1"/>
  <c r="AX64" i="1"/>
  <c r="AU64" i="1"/>
  <c r="AV64" i="1" s="1"/>
  <c r="AW64" i="1" s="1"/>
  <c r="AZ64" i="1" s="1"/>
  <c r="AQ64" i="1"/>
  <c r="AN64" i="1"/>
  <c r="AO64" i="1" s="1"/>
  <c r="AP64" i="1" s="1"/>
  <c r="AZ63" i="1"/>
  <c r="AX63" i="1"/>
  <c r="AY63" i="1" s="1"/>
  <c r="AU63" i="1"/>
  <c r="AV63" i="1" s="1"/>
  <c r="AW63" i="1" s="1"/>
  <c r="AQ63" i="1"/>
  <c r="AN63" i="1"/>
  <c r="AO63" i="1" s="1"/>
  <c r="AP63" i="1" s="1"/>
  <c r="AS63" i="1" s="1"/>
  <c r="AZ62" i="1"/>
  <c r="AY62" i="1"/>
  <c r="AX62" i="1"/>
  <c r="AV62" i="1"/>
  <c r="AW62" i="1" s="1"/>
  <c r="AU62" i="1"/>
  <c r="AQ62" i="1"/>
  <c r="AO62" i="1"/>
  <c r="AP62" i="1" s="1"/>
  <c r="AN62" i="1"/>
  <c r="AX61" i="1"/>
  <c r="AV61" i="1"/>
  <c r="AW61" i="1" s="1"/>
  <c r="AU61" i="1"/>
  <c r="AQ61" i="1"/>
  <c r="AN61" i="1"/>
  <c r="AO61" i="1" s="1"/>
  <c r="AP61" i="1" s="1"/>
  <c r="AS61" i="1" s="1"/>
  <c r="AX60" i="1"/>
  <c r="AY60" i="1" s="1"/>
  <c r="AU60" i="1"/>
  <c r="AV60" i="1" s="1"/>
  <c r="AW60" i="1" s="1"/>
  <c r="AZ60" i="1" s="1"/>
  <c r="AQ60" i="1"/>
  <c r="AN60" i="1"/>
  <c r="AO60" i="1" s="1"/>
  <c r="AP60" i="1" s="1"/>
  <c r="AS60" i="1" s="1"/>
  <c r="AX59" i="1"/>
  <c r="AU59" i="1"/>
  <c r="AV59" i="1" s="1"/>
  <c r="AW59" i="1" s="1"/>
  <c r="AS59" i="1"/>
  <c r="AQ59" i="1"/>
  <c r="AR59" i="1" s="1"/>
  <c r="AO59" i="1"/>
  <c r="AP59" i="1" s="1"/>
  <c r="AN59" i="1"/>
  <c r="AX58" i="1"/>
  <c r="AV58" i="1"/>
  <c r="AW58" i="1" s="1"/>
  <c r="AU58" i="1"/>
  <c r="AQ58" i="1"/>
  <c r="AR58" i="1" s="1"/>
  <c r="AO58" i="1"/>
  <c r="AP58" i="1" s="1"/>
  <c r="AS58" i="1" s="1"/>
  <c r="AN58" i="1"/>
  <c r="AX57" i="1"/>
  <c r="AU57" i="1"/>
  <c r="AV57" i="1" s="1"/>
  <c r="AW57" i="1" s="1"/>
  <c r="AZ57" i="1" s="1"/>
  <c r="AQ57" i="1"/>
  <c r="AR57" i="1" s="1"/>
  <c r="AP57" i="1"/>
  <c r="AS57" i="1" s="1"/>
  <c r="AO57" i="1"/>
  <c r="AN57" i="1"/>
  <c r="AX56" i="1"/>
  <c r="AU56" i="1"/>
  <c r="AV56" i="1" s="1"/>
  <c r="AW56" i="1" s="1"/>
  <c r="AZ56" i="1" s="1"/>
  <c r="AQ56" i="1"/>
  <c r="AN56" i="1"/>
  <c r="AO56" i="1" s="1"/>
  <c r="AP56" i="1" s="1"/>
  <c r="AS56" i="1" s="1"/>
  <c r="AX55" i="1"/>
  <c r="AY55" i="1" s="1"/>
  <c r="AV55" i="1"/>
  <c r="AW55" i="1" s="1"/>
  <c r="AZ55" i="1" s="1"/>
  <c r="AU55" i="1"/>
  <c r="AQ55" i="1"/>
  <c r="AN55" i="1"/>
  <c r="AO55" i="1" s="1"/>
  <c r="AP55" i="1" s="1"/>
  <c r="AZ54" i="1"/>
  <c r="AY54" i="1"/>
  <c r="AX54" i="1"/>
  <c r="AW54" i="1"/>
  <c r="AV54" i="1"/>
  <c r="AU54" i="1"/>
  <c r="AS54" i="1"/>
  <c r="AQ54" i="1"/>
  <c r="AR54" i="1" s="1"/>
  <c r="AP54" i="1"/>
  <c r="AN54" i="1"/>
  <c r="AO54" i="1" s="1"/>
  <c r="AX53" i="1"/>
  <c r="AV53" i="1"/>
  <c r="AW53" i="1" s="1"/>
  <c r="AZ53" i="1" s="1"/>
  <c r="AU53" i="1"/>
  <c r="AQ53" i="1"/>
  <c r="AR53" i="1" s="1"/>
  <c r="AN53" i="1"/>
  <c r="AO53" i="1" s="1"/>
  <c r="AP53" i="1" s="1"/>
  <c r="AS53" i="1" s="1"/>
  <c r="AX52" i="1"/>
  <c r="AY52" i="1" s="1"/>
  <c r="AW52" i="1"/>
  <c r="AZ52" i="1" s="1"/>
  <c r="AV52" i="1"/>
  <c r="AU52" i="1"/>
  <c r="AQ52" i="1"/>
  <c r="AR52" i="1" s="1"/>
  <c r="AO52" i="1"/>
  <c r="AP52" i="1" s="1"/>
  <c r="AS52" i="1" s="1"/>
  <c r="AN52" i="1"/>
  <c r="AX51" i="1"/>
  <c r="AU51" i="1"/>
  <c r="AV51" i="1" s="1"/>
  <c r="AW51" i="1" s="1"/>
  <c r="AQ51" i="1"/>
  <c r="AO51" i="1"/>
  <c r="AP51" i="1" s="1"/>
  <c r="AN51" i="1"/>
  <c r="AX50" i="1"/>
  <c r="AW50" i="1"/>
  <c r="AZ50" i="1" s="1"/>
  <c r="AU50" i="1"/>
  <c r="AV50" i="1" s="1"/>
  <c r="AQ50" i="1"/>
  <c r="AO50" i="1"/>
  <c r="AP50" i="1" s="1"/>
  <c r="AN50" i="1"/>
  <c r="AX49" i="1"/>
  <c r="AU49" i="1"/>
  <c r="AV49" i="1" s="1"/>
  <c r="AW49" i="1" s="1"/>
  <c r="AZ49" i="1" s="1"/>
  <c r="AQ49" i="1"/>
  <c r="AO49" i="1"/>
  <c r="AP49" i="1" s="1"/>
  <c r="AS49" i="1" s="1"/>
  <c r="AN49" i="1"/>
  <c r="AX48" i="1"/>
  <c r="AV48" i="1"/>
  <c r="AW48" i="1" s="1"/>
  <c r="AZ48" i="1" s="1"/>
  <c r="AU48" i="1"/>
  <c r="AQ48" i="1"/>
  <c r="AN48" i="1"/>
  <c r="AO48" i="1" s="1"/>
  <c r="AP48" i="1" s="1"/>
  <c r="AZ47" i="1"/>
  <c r="AY47" i="1"/>
  <c r="AX47" i="1"/>
  <c r="AW47" i="1"/>
  <c r="AV47" i="1"/>
  <c r="AU47" i="1"/>
  <c r="AQ47" i="1"/>
  <c r="AP47" i="1"/>
  <c r="AS47" i="1" s="1"/>
  <c r="AN47" i="1"/>
  <c r="AO47" i="1" s="1"/>
  <c r="AX46" i="1"/>
  <c r="AU46" i="1"/>
  <c r="AV46" i="1" s="1"/>
  <c r="AW46" i="1" s="1"/>
  <c r="AZ46" i="1" s="1"/>
  <c r="AS46" i="1"/>
  <c r="AQ46" i="1"/>
  <c r="AR46" i="1" s="1"/>
  <c r="AN46" i="1"/>
  <c r="AO46" i="1" s="1"/>
  <c r="AP46" i="1" s="1"/>
  <c r="AX45" i="1"/>
  <c r="AV45" i="1"/>
  <c r="AW45" i="1" s="1"/>
  <c r="AU45" i="1"/>
  <c r="AQ45" i="1"/>
  <c r="AR45" i="1" s="1"/>
  <c r="AO45" i="1"/>
  <c r="AP45" i="1" s="1"/>
  <c r="AS45" i="1" s="1"/>
  <c r="AN45" i="1"/>
  <c r="AX44" i="1"/>
  <c r="AU44" i="1"/>
  <c r="AV44" i="1" s="1"/>
  <c r="AW44" i="1" s="1"/>
  <c r="AZ44" i="1" s="1"/>
  <c r="AQ44" i="1"/>
  <c r="AR44" i="1" s="1"/>
  <c r="AP44" i="1"/>
  <c r="AS44" i="1" s="1"/>
  <c r="AO44" i="1"/>
  <c r="AN44" i="1"/>
  <c r="AX43" i="1"/>
  <c r="AU43" i="1"/>
  <c r="AV43" i="1" s="1"/>
  <c r="AW43" i="1" s="1"/>
  <c r="AZ43" i="1" s="1"/>
  <c r="AS43" i="1"/>
  <c r="AQ43" i="1"/>
  <c r="AN43" i="1"/>
  <c r="AO43" i="1" s="1"/>
  <c r="AP43" i="1" s="1"/>
  <c r="AR43" i="1" s="1"/>
  <c r="AZ42" i="1"/>
  <c r="AX42" i="1"/>
  <c r="AY42" i="1" s="1"/>
  <c r="AU42" i="1"/>
  <c r="AV42" i="1" s="1"/>
  <c r="AW42" i="1" s="1"/>
  <c r="AQ42" i="1"/>
  <c r="AN42" i="1"/>
  <c r="AO42" i="1" s="1"/>
  <c r="AP42" i="1" s="1"/>
  <c r="AS42" i="1" s="1"/>
  <c r="AZ41" i="1"/>
  <c r="AY41" i="1"/>
  <c r="AX41" i="1"/>
  <c r="AV41" i="1"/>
  <c r="AW41" i="1" s="1"/>
  <c r="AU41" i="1"/>
  <c r="AQ41" i="1"/>
  <c r="AP41" i="1"/>
  <c r="AS41" i="1" s="1"/>
  <c r="AO41" i="1"/>
  <c r="AN41" i="1"/>
  <c r="AX40" i="1"/>
  <c r="AW40" i="1"/>
  <c r="AZ40" i="1" s="1"/>
  <c r="AV40" i="1"/>
  <c r="AU40" i="1"/>
  <c r="AQ40" i="1"/>
  <c r="AN40" i="1"/>
  <c r="AO40" i="1" s="1"/>
  <c r="AP40" i="1" s="1"/>
  <c r="AS40" i="1" s="1"/>
  <c r="AX39" i="1"/>
  <c r="AU39" i="1"/>
  <c r="AV39" i="1" s="1"/>
  <c r="AW39" i="1" s="1"/>
  <c r="AQ39" i="1"/>
  <c r="AN39" i="1"/>
  <c r="AO39" i="1" s="1"/>
  <c r="AP39" i="1" s="1"/>
  <c r="AS39" i="1" s="1"/>
  <c r="AX38" i="1"/>
  <c r="AU38" i="1"/>
  <c r="AV38" i="1" s="1"/>
  <c r="AW38" i="1" s="1"/>
  <c r="AS38" i="1"/>
  <c r="AR38" i="1"/>
  <c r="AQ38" i="1"/>
  <c r="AO38" i="1"/>
  <c r="AP38" i="1" s="1"/>
  <c r="AN38" i="1"/>
  <c r="AX37" i="1"/>
  <c r="AV37" i="1"/>
  <c r="AW37" i="1" s="1"/>
  <c r="AU37" i="1"/>
  <c r="AQ37" i="1"/>
  <c r="AO37" i="1"/>
  <c r="AP37" i="1" s="1"/>
  <c r="AN37" i="1"/>
  <c r="AX36" i="1"/>
  <c r="AU36" i="1"/>
  <c r="AV36" i="1" s="1"/>
  <c r="AW36" i="1" s="1"/>
  <c r="AZ36" i="1" s="1"/>
  <c r="AR36" i="1"/>
  <c r="AQ36" i="1"/>
  <c r="AN36" i="1"/>
  <c r="AO36" i="1" s="1"/>
  <c r="AP36" i="1" s="1"/>
  <c r="AS36" i="1" s="1"/>
  <c r="AX35" i="1"/>
  <c r="AU35" i="1"/>
  <c r="AV35" i="1" s="1"/>
  <c r="AW35" i="1" s="1"/>
  <c r="AZ35" i="1" s="1"/>
  <c r="AQ35" i="1"/>
  <c r="AN35" i="1"/>
  <c r="AO35" i="1" s="1"/>
  <c r="AP35" i="1" s="1"/>
  <c r="AZ34" i="1"/>
  <c r="AX34" i="1"/>
  <c r="AY34" i="1" s="1"/>
  <c r="AV34" i="1"/>
  <c r="AW34" i="1" s="1"/>
  <c r="AU34" i="1"/>
  <c r="AQ34" i="1"/>
  <c r="AO34" i="1"/>
  <c r="AP34" i="1" s="1"/>
  <c r="AN34" i="1"/>
  <c r="AX33" i="1"/>
  <c r="AY33" i="1" s="1"/>
  <c r="AV33" i="1"/>
  <c r="AW33" i="1" s="1"/>
  <c r="AZ33" i="1" s="1"/>
  <c r="AU33" i="1"/>
  <c r="AQ33" i="1"/>
  <c r="AN33" i="1"/>
  <c r="AO33" i="1" s="1"/>
  <c r="AP33" i="1" s="1"/>
  <c r="AS33" i="1" s="1"/>
  <c r="AX32" i="1"/>
  <c r="AY32" i="1" s="1"/>
  <c r="AW32" i="1"/>
  <c r="AZ32" i="1" s="1"/>
  <c r="AV32" i="1"/>
  <c r="AU32" i="1"/>
  <c r="AQ32" i="1"/>
  <c r="AN32" i="1"/>
  <c r="AO32" i="1" s="1"/>
  <c r="AP32" i="1" s="1"/>
  <c r="AS32" i="1" s="1"/>
  <c r="AY31" i="1"/>
  <c r="AX31" i="1"/>
  <c r="AU31" i="1"/>
  <c r="AV31" i="1" s="1"/>
  <c r="AW31" i="1" s="1"/>
  <c r="AZ31" i="1" s="1"/>
  <c r="AQ31" i="1"/>
  <c r="AR31" i="1" s="1"/>
  <c r="AO31" i="1"/>
  <c r="AP31" i="1" s="1"/>
  <c r="AS31" i="1" s="1"/>
  <c r="AN31" i="1"/>
  <c r="AX30" i="1"/>
  <c r="AU30" i="1"/>
  <c r="AV30" i="1" s="1"/>
  <c r="AW30" i="1" s="1"/>
  <c r="AS30" i="1"/>
  <c r="AR30" i="1"/>
  <c r="AQ30" i="1"/>
  <c r="AP30" i="1"/>
  <c r="AO30" i="1"/>
  <c r="AN30" i="1"/>
  <c r="AZ29" i="1"/>
  <c r="AX29" i="1"/>
  <c r="AY29" i="1" s="1"/>
  <c r="AW29" i="1"/>
  <c r="AU29" i="1"/>
  <c r="AV29" i="1" s="1"/>
  <c r="AQ29" i="1"/>
  <c r="AO29" i="1"/>
  <c r="AP29" i="1" s="1"/>
  <c r="AS29" i="1" s="1"/>
  <c r="AN29" i="1"/>
  <c r="AX28" i="1"/>
  <c r="AU28" i="1"/>
  <c r="AV28" i="1" s="1"/>
  <c r="AW28" i="1" s="1"/>
  <c r="AZ28" i="1" s="1"/>
  <c r="AQ28" i="1"/>
  <c r="AN28" i="1"/>
  <c r="AO28" i="1" s="1"/>
  <c r="AP28" i="1" s="1"/>
  <c r="AX27" i="1"/>
  <c r="AV27" i="1"/>
  <c r="AW27" i="1" s="1"/>
  <c r="AZ27" i="1" s="1"/>
  <c r="AU27" i="1"/>
  <c r="AQ27" i="1"/>
  <c r="AO27" i="1"/>
  <c r="AP27" i="1" s="1"/>
  <c r="AN27" i="1"/>
  <c r="AX26" i="1"/>
  <c r="AY26" i="1" s="1"/>
  <c r="AV26" i="1"/>
  <c r="AW26" i="1" s="1"/>
  <c r="AZ26" i="1" s="1"/>
  <c r="AU26" i="1"/>
  <c r="AQ26" i="1"/>
  <c r="AO26" i="1"/>
  <c r="AP26" i="1" s="1"/>
  <c r="AS26" i="1" s="1"/>
  <c r="AN26" i="1"/>
  <c r="AX25" i="1"/>
  <c r="AU25" i="1"/>
  <c r="AV25" i="1" s="1"/>
  <c r="AW25" i="1" s="1"/>
  <c r="AQ25" i="1"/>
  <c r="AO25" i="1"/>
  <c r="AP25" i="1" s="1"/>
  <c r="AS25" i="1" s="1"/>
  <c r="AN25" i="1"/>
  <c r="AX24" i="1"/>
  <c r="AY24" i="1" s="1"/>
  <c r="AU24" i="1"/>
  <c r="AV24" i="1" s="1"/>
  <c r="AW24" i="1" s="1"/>
  <c r="AZ24" i="1" s="1"/>
  <c r="AQ24" i="1"/>
  <c r="AO24" i="1"/>
  <c r="AP24" i="1" s="1"/>
  <c r="AS24" i="1" s="1"/>
  <c r="AN24" i="1"/>
  <c r="AX23" i="1"/>
  <c r="AY23" i="1" s="1"/>
  <c r="AU23" i="1"/>
  <c r="AV23" i="1" s="1"/>
  <c r="AW23" i="1" s="1"/>
  <c r="AZ23" i="1" s="1"/>
  <c r="AQ23" i="1"/>
  <c r="AR23" i="1" s="1"/>
  <c r="AP23" i="1"/>
  <c r="AS23" i="1" s="1"/>
  <c r="AO23" i="1"/>
  <c r="AN23" i="1"/>
  <c r="AX22" i="1"/>
  <c r="AV22" i="1"/>
  <c r="AW22" i="1" s="1"/>
  <c r="AZ22" i="1" s="1"/>
  <c r="AU22" i="1"/>
  <c r="AQ22" i="1"/>
  <c r="AN22" i="1"/>
  <c r="AO22" i="1" s="1"/>
  <c r="AP22" i="1" s="1"/>
  <c r="AS22" i="1" s="1"/>
  <c r="AX21" i="1"/>
  <c r="AU21" i="1"/>
  <c r="AV21" i="1" s="1"/>
  <c r="AW21" i="1" s="1"/>
  <c r="AZ21" i="1" s="1"/>
  <c r="AQ21" i="1"/>
  <c r="AP21" i="1"/>
  <c r="AS21" i="1" s="1"/>
  <c r="AO21" i="1"/>
  <c r="AN21" i="1"/>
  <c r="AX20" i="1"/>
  <c r="AY20" i="1" s="1"/>
  <c r="AV20" i="1"/>
  <c r="AW20" i="1" s="1"/>
  <c r="AZ20" i="1" s="1"/>
  <c r="AU20" i="1"/>
  <c r="AQ20" i="1"/>
  <c r="AR20" i="1" s="1"/>
  <c r="AN20" i="1"/>
  <c r="AO20" i="1" s="1"/>
  <c r="AP20" i="1" s="1"/>
  <c r="AS20" i="1" s="1"/>
  <c r="AZ19" i="1"/>
  <c r="AY19" i="1"/>
  <c r="AX19" i="1"/>
  <c r="AW19" i="1"/>
  <c r="AV19" i="1"/>
  <c r="AU19" i="1"/>
  <c r="AQ19" i="1"/>
  <c r="AN19" i="1"/>
  <c r="AO19" i="1" s="1"/>
  <c r="AP19" i="1" s="1"/>
  <c r="AS19" i="1" s="1"/>
  <c r="AX18" i="1"/>
  <c r="AW18" i="1"/>
  <c r="AZ18" i="1" s="1"/>
  <c r="AV18" i="1"/>
  <c r="AU18" i="1"/>
  <c r="AQ18" i="1"/>
  <c r="AN18" i="1"/>
  <c r="AO18" i="1" s="1"/>
  <c r="AP18" i="1" s="1"/>
  <c r="AS18" i="1" s="1"/>
  <c r="AX17" i="1"/>
  <c r="AU17" i="1"/>
  <c r="AV17" i="1" s="1"/>
  <c r="AW17" i="1" s="1"/>
  <c r="AS17" i="1"/>
  <c r="AR17" i="1"/>
  <c r="AQ17" i="1"/>
  <c r="AO17" i="1"/>
  <c r="AP17" i="1" s="1"/>
  <c r="AN17" i="1"/>
  <c r="AX16" i="1"/>
  <c r="AY16" i="1" s="1"/>
  <c r="AW16" i="1"/>
  <c r="AZ16" i="1" s="1"/>
  <c r="AV16" i="1"/>
  <c r="AU16" i="1"/>
  <c r="AQ16" i="1"/>
  <c r="AP16" i="1"/>
  <c r="AS16" i="1" s="1"/>
  <c r="AO16" i="1"/>
  <c r="AN16" i="1"/>
  <c r="AX15" i="1"/>
  <c r="AU15" i="1"/>
  <c r="AV15" i="1" s="1"/>
  <c r="AW15" i="1" s="1"/>
  <c r="AZ15" i="1" s="1"/>
  <c r="AQ15" i="1"/>
  <c r="AN15" i="1"/>
  <c r="AO15" i="1" s="1"/>
  <c r="AP15" i="1" s="1"/>
  <c r="AZ14" i="1"/>
  <c r="AX14" i="1"/>
  <c r="AY14" i="1" s="1"/>
  <c r="AV14" i="1"/>
  <c r="AW14" i="1" s="1"/>
  <c r="AU14" i="1"/>
  <c r="AQ14" i="1"/>
  <c r="AR14" i="1" s="1"/>
  <c r="AP14" i="1"/>
  <c r="AS14" i="1" s="1"/>
  <c r="AO14" i="1"/>
  <c r="AN14" i="1"/>
  <c r="AX13" i="1"/>
  <c r="AY13" i="1" s="1"/>
  <c r="AV13" i="1"/>
  <c r="AW13" i="1" s="1"/>
  <c r="AZ13" i="1" s="1"/>
  <c r="AU13" i="1"/>
  <c r="AS13" i="1"/>
  <c r="AQ13" i="1"/>
  <c r="AN13" i="1"/>
  <c r="AO13" i="1" s="1"/>
  <c r="AP13" i="1" s="1"/>
  <c r="AR13" i="1" s="1"/>
  <c r="AX12" i="1"/>
  <c r="AV12" i="1"/>
  <c r="AW12" i="1" s="1"/>
  <c r="AU12" i="1"/>
  <c r="AQ12" i="1"/>
  <c r="AP12" i="1"/>
  <c r="AS12" i="1" s="1"/>
  <c r="AO12" i="1"/>
  <c r="AN12" i="1"/>
  <c r="AX11" i="1"/>
  <c r="AY11" i="1" s="1"/>
  <c r="AW11" i="1"/>
  <c r="AZ11" i="1" s="1"/>
  <c r="AV11" i="1"/>
  <c r="AU11" i="1"/>
  <c r="AQ11" i="1"/>
  <c r="AN11" i="1"/>
  <c r="AO11" i="1" s="1"/>
  <c r="AP11" i="1" s="1"/>
  <c r="AS11" i="1" s="1"/>
  <c r="AX10" i="1"/>
  <c r="AV10" i="1"/>
  <c r="AW10" i="1" s="1"/>
  <c r="AY10" i="1" s="1"/>
  <c r="AU10" i="1"/>
  <c r="AS10" i="1"/>
  <c r="AR10" i="1"/>
  <c r="AQ10" i="1"/>
  <c r="AO10" i="1"/>
  <c r="AP10" i="1" s="1"/>
  <c r="AN10" i="1"/>
  <c r="AX9" i="1"/>
  <c r="AV9" i="1"/>
  <c r="AW9" i="1" s="1"/>
  <c r="AZ9" i="1" s="1"/>
  <c r="AU9" i="1"/>
  <c r="AQ9" i="1"/>
  <c r="AO9" i="1"/>
  <c r="AP9" i="1" s="1"/>
  <c r="AN9" i="1"/>
  <c r="AX8" i="1"/>
  <c r="AU8" i="1"/>
  <c r="AV8" i="1" s="1"/>
  <c r="AW8" i="1" s="1"/>
  <c r="AZ8" i="1" s="1"/>
  <c r="AQ8" i="1"/>
  <c r="AO8" i="1"/>
  <c r="AP8" i="1" s="1"/>
  <c r="AS8" i="1" s="1"/>
  <c r="AN8" i="1"/>
  <c r="AX7" i="1"/>
  <c r="AY7" i="1" s="1"/>
  <c r="AV7" i="1"/>
  <c r="AW7" i="1" s="1"/>
  <c r="AZ7" i="1" s="1"/>
  <c r="AU7" i="1"/>
  <c r="AQ7" i="1"/>
  <c r="AN7" i="1"/>
  <c r="AO7" i="1" s="1"/>
  <c r="AP7" i="1" s="1"/>
  <c r="AS7" i="1" s="1"/>
  <c r="AZ6" i="1"/>
  <c r="AX6" i="1"/>
  <c r="AY6" i="1" s="1"/>
  <c r="AV6" i="1"/>
  <c r="AW6" i="1" s="1"/>
  <c r="AU6" i="1"/>
  <c r="AQ6" i="1"/>
  <c r="AN6" i="1"/>
  <c r="AO6" i="1" s="1"/>
  <c r="AP6" i="1" s="1"/>
  <c r="AY5" i="1"/>
  <c r="AX5" i="1"/>
  <c r="AU5" i="1"/>
  <c r="AV5" i="1" s="1"/>
  <c r="AW5" i="1" s="1"/>
  <c r="AZ5" i="1" s="1"/>
  <c r="AQ5" i="1"/>
  <c r="AN5" i="1"/>
  <c r="AO5" i="1" s="1"/>
  <c r="AP5" i="1" s="1"/>
  <c r="AS5" i="1" s="1"/>
  <c r="AX4" i="1"/>
  <c r="AU4" i="1"/>
  <c r="AV4" i="1" s="1"/>
  <c r="AW4" i="1" s="1"/>
  <c r="AZ4" i="1" s="1"/>
  <c r="AQ4" i="1"/>
  <c r="AN4" i="1"/>
  <c r="AO4" i="1" s="1"/>
  <c r="AP4" i="1" s="1"/>
  <c r="AS4" i="1" s="1"/>
  <c r="O51" i="8"/>
  <c r="N51" i="8"/>
  <c r="F33" i="8"/>
  <c r="G33" i="8" s="1"/>
  <c r="I33" i="8" s="1"/>
  <c r="J33" i="8" s="1"/>
  <c r="K33" i="8" s="1"/>
  <c r="E25" i="8"/>
  <c r="C25" i="8"/>
  <c r="E24" i="8"/>
  <c r="C24" i="8"/>
  <c r="E23" i="8"/>
  <c r="C23" i="8"/>
  <c r="E22" i="8"/>
  <c r="C22" i="8"/>
  <c r="E21" i="8"/>
  <c r="C21" i="8"/>
  <c r="E20" i="8"/>
  <c r="C20" i="8"/>
  <c r="E19" i="8"/>
  <c r="C19" i="8"/>
  <c r="E18" i="8"/>
  <c r="C18" i="8"/>
  <c r="E17" i="8"/>
  <c r="C17" i="8"/>
  <c r="E16" i="8"/>
  <c r="C16" i="8"/>
  <c r="E15" i="8"/>
  <c r="C15" i="8"/>
  <c r="J14" i="8"/>
  <c r="H14" i="8"/>
  <c r="E14" i="8"/>
  <c r="C14" i="8"/>
  <c r="J13" i="8"/>
  <c r="H13" i="8"/>
  <c r="E13" i="8"/>
  <c r="C13" i="8"/>
  <c r="J12" i="8"/>
  <c r="H12" i="8"/>
  <c r="E12" i="8"/>
  <c r="C12" i="8"/>
  <c r="J11" i="8"/>
  <c r="H11" i="8"/>
  <c r="E11" i="8"/>
  <c r="C11" i="8"/>
  <c r="J10" i="8"/>
  <c r="H10" i="8"/>
  <c r="AU3" i="1"/>
  <c r="AV3" i="1" s="1"/>
  <c r="AW3" i="1" s="1"/>
  <c r="AQ3" i="1"/>
  <c r="AN3" i="1"/>
  <c r="AP3" i="1" s="1"/>
  <c r="AS3" i="1" s="1"/>
  <c r="AZ37" i="1" l="1"/>
  <c r="AY37" i="1"/>
  <c r="AS62" i="1"/>
  <c r="AR62" i="1"/>
  <c r="AR8" i="1"/>
  <c r="AR89" i="1"/>
  <c r="AS89" i="1"/>
  <c r="AS6" i="1"/>
  <c r="AR6" i="1"/>
  <c r="AR39" i="1"/>
  <c r="AS64" i="1"/>
  <c r="AR64" i="1"/>
  <c r="AZ68" i="1"/>
  <c r="AY68" i="1"/>
  <c r="AR73" i="1"/>
  <c r="AR103" i="1"/>
  <c r="AY160" i="1"/>
  <c r="AZ39" i="1"/>
  <c r="AY39" i="1"/>
  <c r="AS34" i="1"/>
  <c r="AR34" i="1"/>
  <c r="AZ45" i="1"/>
  <c r="AY45" i="1"/>
  <c r="AR16" i="1"/>
  <c r="AZ61" i="1"/>
  <c r="AY61" i="1"/>
  <c r="AS55" i="1"/>
  <c r="AR55" i="1"/>
  <c r="AZ59" i="1"/>
  <c r="AY59" i="1"/>
  <c r="AS69" i="1"/>
  <c r="AR69" i="1"/>
  <c r="AR71" i="1"/>
  <c r="AR83" i="1"/>
  <c r="AS122" i="1"/>
  <c r="AR122" i="1"/>
  <c r="AZ38" i="1"/>
  <c r="AY38" i="1"/>
  <c r="AS50" i="1"/>
  <c r="AR50" i="1"/>
  <c r="AY164" i="1"/>
  <c r="AZ164" i="1"/>
  <c r="AR136" i="1"/>
  <c r="AS136" i="1"/>
  <c r="AY162" i="1"/>
  <c r="AZ162" i="1"/>
  <c r="AY27" i="1"/>
  <c r="AS48" i="1"/>
  <c r="AR48" i="1"/>
  <c r="AS37" i="1"/>
  <c r="AR37" i="1"/>
  <c r="AY46" i="1"/>
  <c r="AS51" i="1"/>
  <c r="AR51" i="1"/>
  <c r="AY85" i="1"/>
  <c r="AZ134" i="1"/>
  <c r="AY134" i="1"/>
  <c r="AR92" i="1"/>
  <c r="AY153" i="1"/>
  <c r="AZ153" i="1"/>
  <c r="AR4" i="1"/>
  <c r="AR21" i="1"/>
  <c r="AS35" i="1"/>
  <c r="AR35" i="1"/>
  <c r="AR42" i="1"/>
  <c r="AZ51" i="1"/>
  <c r="AY51" i="1"/>
  <c r="AY53" i="1"/>
  <c r="AY83" i="1"/>
  <c r="AR108" i="1"/>
  <c r="AY110" i="1"/>
  <c r="AS115" i="1"/>
  <c r="AR115" i="1"/>
  <c r="AY139" i="1"/>
  <c r="AZ139" i="1"/>
  <c r="AR129" i="1"/>
  <c r="AS129" i="1"/>
  <c r="AY4" i="1"/>
  <c r="AZ30" i="1"/>
  <c r="AY30" i="1"/>
  <c r="AZ10" i="1"/>
  <c r="AS15" i="1"/>
  <c r="AR15" i="1"/>
  <c r="AR7" i="1"/>
  <c r="AY44" i="1"/>
  <c r="AZ25" i="1"/>
  <c r="AY25" i="1"/>
  <c r="AS28" i="1"/>
  <c r="AR28" i="1"/>
  <c r="AZ12" i="1"/>
  <c r="AY12" i="1"/>
  <c r="AR29" i="1"/>
  <c r="AS123" i="1"/>
  <c r="AR123" i="1"/>
  <c r="AZ197" i="1"/>
  <c r="AY197" i="1"/>
  <c r="AY18" i="1"/>
  <c r="AS9" i="1"/>
  <c r="AR9" i="1"/>
  <c r="AR49" i="1"/>
  <c r="AZ17" i="1"/>
  <c r="AY17" i="1"/>
  <c r="AR22" i="1"/>
  <c r="AY40" i="1"/>
  <c r="AZ65" i="1"/>
  <c r="AY65" i="1"/>
  <c r="AY97" i="1"/>
  <c r="AS157" i="1"/>
  <c r="AR157" i="1"/>
  <c r="AR87" i="1"/>
  <c r="AR12" i="1"/>
  <c r="AY50" i="1"/>
  <c r="AY9" i="1"/>
  <c r="AS27" i="1"/>
  <c r="AR27" i="1"/>
  <c r="AR56" i="1"/>
  <c r="AZ58" i="1"/>
  <c r="AY58" i="1"/>
  <c r="AY90" i="1"/>
  <c r="AZ118" i="1"/>
  <c r="AY118" i="1"/>
  <c r="AY292" i="1"/>
  <c r="AY22" i="1"/>
  <c r="AR26" i="1"/>
  <c r="AR33" i="1"/>
  <c r="AY57" i="1"/>
  <c r="AY81" i="1"/>
  <c r="AR144" i="1"/>
  <c r="AY146" i="1"/>
  <c r="AZ146" i="1"/>
  <c r="AS224" i="1"/>
  <c r="AR224" i="1"/>
  <c r="AR151" i="1"/>
  <c r="AS222" i="1"/>
  <c r="AR222" i="1"/>
  <c r="AR80" i="1"/>
  <c r="AY56" i="1"/>
  <c r="AY127" i="1"/>
  <c r="AR82" i="1"/>
  <c r="AS111" i="1"/>
  <c r="AR111" i="1"/>
  <c r="AY123" i="1"/>
  <c r="AS145" i="1"/>
  <c r="AR145" i="1"/>
  <c r="AY158" i="1"/>
  <c r="AY208" i="1"/>
  <c r="AY253" i="1"/>
  <c r="AY8" i="1"/>
  <c r="AY36" i="1"/>
  <c r="AY49" i="1"/>
  <c r="AR61" i="1"/>
  <c r="AR75" i="1"/>
  <c r="AY78" i="1"/>
  <c r="AY94" i="1"/>
  <c r="AR100" i="1"/>
  <c r="AR109" i="1"/>
  <c r="AY119" i="1"/>
  <c r="AS126" i="1"/>
  <c r="AR126" i="1"/>
  <c r="AR130" i="1"/>
  <c r="AR143" i="1"/>
  <c r="AS143" i="1"/>
  <c r="AZ290" i="1"/>
  <c r="AS215" i="1"/>
  <c r="AR215" i="1"/>
  <c r="AR300" i="1"/>
  <c r="AR138" i="1"/>
  <c r="AY261" i="1"/>
  <c r="AY71" i="1"/>
  <c r="AR169" i="1"/>
  <c r="AR11" i="1"/>
  <c r="AY92" i="1"/>
  <c r="AZ169" i="1"/>
  <c r="AY169" i="1"/>
  <c r="AY21" i="1"/>
  <c r="AR24" i="1"/>
  <c r="AR70" i="1"/>
  <c r="AS102" i="1"/>
  <c r="AR102" i="1"/>
  <c r="AY105" i="1"/>
  <c r="AY117" i="1"/>
  <c r="AY140" i="1"/>
  <c r="AY147" i="1"/>
  <c r="AR196" i="1"/>
  <c r="AS196" i="1"/>
  <c r="AY243" i="1"/>
  <c r="AS252" i="1"/>
  <c r="AR252" i="1"/>
  <c r="AZ288" i="1"/>
  <c r="AY288" i="1"/>
  <c r="AY173" i="1"/>
  <c r="AZ173" i="1"/>
  <c r="AZ210" i="1"/>
  <c r="AY210" i="1"/>
  <c r="AS264" i="1"/>
  <c r="AR264" i="1"/>
  <c r="AR25" i="1"/>
  <c r="AY66" i="1"/>
  <c r="AY112" i="1"/>
  <c r="AR158" i="1"/>
  <c r="AS259" i="1"/>
  <c r="AR259" i="1"/>
  <c r="AY43" i="1"/>
  <c r="AZ125" i="1"/>
  <c r="AY125" i="1"/>
  <c r="AR67" i="1"/>
  <c r="AR117" i="1"/>
  <c r="AZ295" i="1"/>
  <c r="AY295" i="1"/>
  <c r="AR19" i="1"/>
  <c r="AR124" i="1"/>
  <c r="AZ167" i="1"/>
  <c r="AY167" i="1"/>
  <c r="AS189" i="1"/>
  <c r="AZ193" i="1"/>
  <c r="AY193" i="1"/>
  <c r="AZ246" i="1"/>
  <c r="AY246" i="1"/>
  <c r="AZ283" i="1"/>
  <c r="AY283" i="1"/>
  <c r="AZ154" i="1"/>
  <c r="AY154" i="1"/>
  <c r="AY241" i="1"/>
  <c r="AR244" i="1"/>
  <c r="AR32" i="1"/>
  <c r="AZ101" i="1"/>
  <c r="AY101" i="1"/>
  <c r="AY35" i="1"/>
  <c r="AR41" i="1"/>
  <c r="AR47" i="1"/>
  <c r="AR60" i="1"/>
  <c r="AY84" i="1"/>
  <c r="AS118" i="1"/>
  <c r="AR118" i="1"/>
  <c r="AY128" i="1"/>
  <c r="AS137" i="1"/>
  <c r="AR137" i="1"/>
  <c r="AY165" i="1"/>
  <c r="AS168" i="1"/>
  <c r="AR168" i="1"/>
  <c r="AR278" i="1"/>
  <c r="AR5" i="1"/>
  <c r="AR18" i="1"/>
  <c r="AY64" i="1"/>
  <c r="AR74" i="1"/>
  <c r="AZ77" i="1"/>
  <c r="AY77" i="1"/>
  <c r="AR81" i="1"/>
  <c r="AY95" i="1"/>
  <c r="AY102" i="1"/>
  <c r="AZ141" i="1"/>
  <c r="AY141" i="1"/>
  <c r="AZ232" i="1"/>
  <c r="AY232" i="1"/>
  <c r="AY237" i="1"/>
  <c r="AZ239" i="1"/>
  <c r="AY239" i="1"/>
  <c r="AR293" i="1"/>
  <c r="AY15" i="1"/>
  <c r="AY28" i="1"/>
  <c r="AR40" i="1"/>
  <c r="AY48" i="1"/>
  <c r="AR66" i="1"/>
  <c r="AY91" i="1"/>
  <c r="AY104" i="1"/>
  <c r="AR131" i="1"/>
  <c r="AR133" i="1"/>
  <c r="AS150" i="1"/>
  <c r="AY225" i="1"/>
  <c r="AR268" i="1"/>
  <c r="AZ276" i="1"/>
  <c r="AY276" i="1"/>
  <c r="AR63" i="1"/>
  <c r="AR90" i="1"/>
  <c r="AY93" i="1"/>
  <c r="AR110" i="1"/>
  <c r="AZ150" i="1"/>
  <c r="AY150" i="1"/>
  <c r="AR155" i="1"/>
  <c r="AS271" i="1"/>
  <c r="AR271" i="1"/>
  <c r="AY109" i="1"/>
  <c r="AR141" i="1"/>
  <c r="AR149" i="1"/>
  <c r="AR161" i="1"/>
  <c r="AY171" i="1"/>
  <c r="AY175" i="1"/>
  <c r="AZ175" i="1"/>
  <c r="AY191" i="1"/>
  <c r="AY300" i="1"/>
  <c r="AY116" i="1"/>
  <c r="AR121" i="1"/>
  <c r="AR183" i="1"/>
  <c r="AR262" i="1"/>
  <c r="AY286" i="1"/>
  <c r="AR107" i="1"/>
  <c r="AY122" i="1"/>
  <c r="AR127" i="1"/>
  <c r="AR135" i="1"/>
  <c r="AY136" i="1"/>
  <c r="AR166" i="1"/>
  <c r="AY181" i="1"/>
  <c r="AY185" i="1"/>
  <c r="AS242" i="1"/>
  <c r="AR242" i="1"/>
  <c r="AS245" i="1"/>
  <c r="AR245" i="1"/>
  <c r="AZ259" i="1"/>
  <c r="AY259" i="1"/>
  <c r="AZ266" i="1"/>
  <c r="AY266" i="1"/>
  <c r="AZ269" i="1"/>
  <c r="AY269" i="1"/>
  <c r="AS284" i="1"/>
  <c r="AR284" i="1"/>
  <c r="AS291" i="1"/>
  <c r="AR291" i="1"/>
  <c r="AS294" i="1"/>
  <c r="AR294" i="1"/>
  <c r="AY144" i="1"/>
  <c r="AY152" i="1"/>
  <c r="AR154" i="1"/>
  <c r="AR163" i="1"/>
  <c r="AZ183" i="1"/>
  <c r="AY183" i="1"/>
  <c r="AR194" i="1"/>
  <c r="AY204" i="1"/>
  <c r="AZ211" i="1"/>
  <c r="AY211" i="1"/>
  <c r="AZ235" i="1"/>
  <c r="AY235" i="1"/>
  <c r="AS257" i="1"/>
  <c r="AR257" i="1"/>
  <c r="AZ281" i="1"/>
  <c r="AY281" i="1"/>
  <c r="AZ301" i="1"/>
  <c r="AY301" i="1"/>
  <c r="AY88" i="1"/>
  <c r="AR99" i="1"/>
  <c r="AR114" i="1"/>
  <c r="AY157" i="1"/>
  <c r="AR176" i="1"/>
  <c r="AZ196" i="1"/>
  <c r="AY196" i="1"/>
  <c r="AS207" i="1"/>
  <c r="AR207" i="1"/>
  <c r="AR216" i="1"/>
  <c r="AR218" i="1"/>
  <c r="AY233" i="1"/>
  <c r="AY247" i="1"/>
  <c r="AY249" i="1"/>
  <c r="AY262" i="1"/>
  <c r="AR272" i="1"/>
  <c r="AR274" i="1"/>
  <c r="AR287" i="1"/>
  <c r="AY159" i="1"/>
  <c r="AS190" i="1"/>
  <c r="AR190" i="1"/>
  <c r="AZ242" i="1"/>
  <c r="AY242" i="1"/>
  <c r="AS250" i="1"/>
  <c r="AR250" i="1"/>
  <c r="AS260" i="1"/>
  <c r="AR260" i="1"/>
  <c r="AS267" i="1"/>
  <c r="AR267" i="1"/>
  <c r="AZ274" i="1"/>
  <c r="AY274" i="1"/>
  <c r="AZ284" i="1"/>
  <c r="AY284" i="1"/>
  <c r="AZ291" i="1"/>
  <c r="AY291" i="1"/>
  <c r="AY296" i="1"/>
  <c r="AS302" i="1"/>
  <c r="AR302" i="1"/>
  <c r="AY96" i="1"/>
  <c r="AR106" i="1"/>
  <c r="AY115" i="1"/>
  <c r="AR120" i="1"/>
  <c r="AY124" i="1"/>
  <c r="AR148" i="1"/>
  <c r="AR205" i="1"/>
  <c r="AY216" i="1"/>
  <c r="AZ231" i="1"/>
  <c r="AY231" i="1"/>
  <c r="AS236" i="1"/>
  <c r="AR236" i="1"/>
  <c r="AZ245" i="1"/>
  <c r="AY245" i="1"/>
  <c r="AY257" i="1"/>
  <c r="AS270" i="1"/>
  <c r="AR270" i="1"/>
  <c r="AR282" i="1"/>
  <c r="AZ294" i="1"/>
  <c r="AY294" i="1"/>
  <c r="AR156" i="1"/>
  <c r="AY170" i="1"/>
  <c r="AY188" i="1"/>
  <c r="AZ207" i="1"/>
  <c r="AY207" i="1"/>
  <c r="AS210" i="1"/>
  <c r="AR210" i="1"/>
  <c r="AY218" i="1"/>
  <c r="AR229" i="1"/>
  <c r="AY255" i="1"/>
  <c r="AR280" i="1"/>
  <c r="AR85" i="1"/>
  <c r="AY103" i="1"/>
  <c r="AR113" i="1"/>
  <c r="AZ190" i="1"/>
  <c r="AY190" i="1"/>
  <c r="AS221" i="1"/>
  <c r="AR221" i="1"/>
  <c r="AR299" i="1"/>
  <c r="AY151" i="1"/>
  <c r="AY156" i="1"/>
  <c r="AY178" i="1"/>
  <c r="AS208" i="1"/>
  <c r="AR208" i="1"/>
  <c r="AZ214" i="1"/>
  <c r="AY214" i="1"/>
  <c r="AY229" i="1"/>
  <c r="AR243" i="1"/>
  <c r="AY260" i="1"/>
  <c r="AY267" i="1"/>
  <c r="AR285" i="1"/>
  <c r="AR292" i="1"/>
  <c r="AR174" i="1"/>
  <c r="AR209" i="1"/>
  <c r="AR213" i="1"/>
  <c r="AR234" i="1"/>
  <c r="AR248" i="1"/>
  <c r="AS256" i="1"/>
  <c r="AR256" i="1"/>
  <c r="AR258" i="1"/>
  <c r="AY272" i="1"/>
  <c r="AZ280" i="1"/>
  <c r="AY280" i="1"/>
  <c r="AY282" i="1"/>
  <c r="AR177" i="1"/>
  <c r="AY201" i="1"/>
  <c r="AZ203" i="1"/>
  <c r="AY203" i="1"/>
  <c r="AR226" i="1"/>
  <c r="AS228" i="1"/>
  <c r="AR228" i="1"/>
  <c r="AR230" i="1"/>
  <c r="AR254" i="1"/>
  <c r="AY278" i="1"/>
  <c r="AR297" i="1"/>
  <c r="AR301" i="1"/>
  <c r="AY192" i="1"/>
  <c r="AR198" i="1"/>
  <c r="AS200" i="1"/>
  <c r="AR200" i="1"/>
  <c r="AR217" i="1"/>
  <c r="AY222" i="1"/>
  <c r="AZ224" i="1"/>
  <c r="AY224" i="1"/>
  <c r="AY230" i="1"/>
  <c r="AR232" i="1"/>
  <c r="AR240" i="1"/>
  <c r="AR246" i="1"/>
  <c r="AY264" i="1"/>
  <c r="AY270" i="1"/>
  <c r="AR289" i="1"/>
  <c r="AR167" i="1"/>
  <c r="AR202" i="1"/>
  <c r="AR206" i="1"/>
  <c r="AY226" i="1"/>
  <c r="AY244" i="1"/>
  <c r="AZ252" i="1"/>
  <c r="AY252" i="1"/>
  <c r="AY254" i="1"/>
  <c r="AR269" i="1"/>
  <c r="AS277" i="1"/>
  <c r="AR277" i="1"/>
  <c r="AR279" i="1"/>
  <c r="AY293" i="1"/>
  <c r="AY163" i="1"/>
  <c r="AY177" i="1"/>
  <c r="AR179" i="1"/>
  <c r="AY198" i="1"/>
  <c r="AY202" i="1"/>
  <c r="AR204" i="1"/>
  <c r="AR223" i="1"/>
  <c r="AR227" i="1"/>
  <c r="AY228" i="1"/>
  <c r="AY236" i="1"/>
  <c r="AZ238" i="1"/>
  <c r="AY238" i="1"/>
  <c r="AY240" i="1"/>
  <c r="AR255" i="1"/>
  <c r="AS263" i="1"/>
  <c r="AR263" i="1"/>
  <c r="AR265" i="1"/>
  <c r="AY279" i="1"/>
  <c r="AZ287" i="1"/>
  <c r="AY287" i="1"/>
  <c r="AY289" i="1"/>
  <c r="AZ299" i="1"/>
  <c r="AY299" i="1"/>
  <c r="AR184" i="1"/>
  <c r="AR191" i="1"/>
  <c r="AS193" i="1"/>
  <c r="AR193" i="1"/>
  <c r="AY215" i="1"/>
  <c r="AZ217" i="1"/>
  <c r="AY217" i="1"/>
  <c r="AR261" i="1"/>
  <c r="AY285" i="1"/>
  <c r="AR160" i="1"/>
  <c r="AY187" i="1"/>
  <c r="AR195" i="1"/>
  <c r="AR199" i="1"/>
  <c r="AY200" i="1"/>
  <c r="AY219" i="1"/>
  <c r="AY223" i="1"/>
  <c r="AR225" i="1"/>
  <c r="AR231" i="1"/>
  <c r="AR241" i="1"/>
  <c r="AS249" i="1"/>
  <c r="AR249" i="1"/>
  <c r="AR251" i="1"/>
  <c r="AY265" i="1"/>
  <c r="AZ273" i="1"/>
  <c r="AY273" i="1"/>
  <c r="AY275" i="1"/>
  <c r="AR290" i="1"/>
  <c r="AR181" i="1"/>
  <c r="AY182" i="1"/>
  <c r="AY189" i="1"/>
  <c r="AR212" i="1"/>
  <c r="AS214" i="1"/>
  <c r="AR214" i="1"/>
  <c r="AR233" i="1"/>
  <c r="AS235" i="1"/>
  <c r="AR235" i="1"/>
  <c r="AR237" i="1"/>
  <c r="AR247" i="1"/>
  <c r="AR253" i="1"/>
  <c r="AY271" i="1"/>
  <c r="AY277" i="1"/>
  <c r="AS296" i="1"/>
  <c r="AR296" i="1"/>
  <c r="AS298" i="1"/>
  <c r="AR298" i="1"/>
  <c r="AY302" i="1"/>
  <c r="W307" i="1" l="1"/>
  <c r="AE307" i="1"/>
  <c r="AD307" i="1"/>
  <c r="AL303" i="1"/>
  <c r="AK303" i="1"/>
  <c r="AE303" i="1"/>
  <c r="AG303" i="1" s="1"/>
  <c r="AD303" i="1"/>
  <c r="AF303" i="1" s="1"/>
  <c r="AH303" i="1" s="1"/>
  <c r="T307" i="1"/>
  <c r="AK307" i="1" s="1"/>
  <c r="V307" i="1"/>
  <c r="AL307" i="1" s="1"/>
  <c r="U307" i="1"/>
  <c r="S307" i="1"/>
  <c r="AF307" i="1" l="1"/>
  <c r="AH307" i="1" s="1"/>
  <c r="AG307" i="1"/>
  <c r="AI307" i="1" s="1"/>
  <c r="AI303" i="1"/>
  <c r="AJ303" i="1"/>
  <c r="AK210" i="1"/>
  <c r="W335" i="1"/>
  <c r="V335" i="1"/>
  <c r="AL335" i="1" s="1"/>
  <c r="U335" i="1"/>
  <c r="T335" i="1"/>
  <c r="AK335" i="1" s="1"/>
  <c r="S335" i="1"/>
  <c r="S325" i="1"/>
  <c r="W325" i="1"/>
  <c r="V325" i="1"/>
  <c r="AL325" i="1" s="1"/>
  <c r="U325" i="1"/>
  <c r="T325" i="1"/>
  <c r="W317" i="1"/>
  <c r="V317" i="1"/>
  <c r="AL317" i="1" s="1"/>
  <c r="U317" i="1"/>
  <c r="T317" i="1"/>
  <c r="S317" i="1"/>
  <c r="AE317" i="1"/>
  <c r="AD317" i="1"/>
  <c r="AE335" i="1"/>
  <c r="AD335" i="1"/>
  <c r="AF335" i="1" s="1"/>
  <c r="AE325" i="1"/>
  <c r="AD325" i="1"/>
  <c r="AL333" i="1"/>
  <c r="AK333" i="1"/>
  <c r="AE333" i="1"/>
  <c r="AG333" i="1" s="1"/>
  <c r="AD333" i="1"/>
  <c r="AF333" i="1" s="1"/>
  <c r="AH333" i="1" s="1"/>
  <c r="AL332" i="1"/>
  <c r="AK332" i="1"/>
  <c r="AE332" i="1"/>
  <c r="AG332" i="1" s="1"/>
  <c r="AD332" i="1"/>
  <c r="AF332" i="1" s="1"/>
  <c r="AH332" i="1" s="1"/>
  <c r="AL331" i="1"/>
  <c r="AK331" i="1"/>
  <c r="AE331" i="1"/>
  <c r="AG331" i="1" s="1"/>
  <c r="AD331" i="1"/>
  <c r="AF331" i="1" s="1"/>
  <c r="AH331" i="1" s="1"/>
  <c r="AL330" i="1"/>
  <c r="AK330" i="1"/>
  <c r="AE330" i="1"/>
  <c r="AG330" i="1" s="1"/>
  <c r="AD330" i="1"/>
  <c r="AF330" i="1" s="1"/>
  <c r="AH330" i="1" s="1"/>
  <c r="AL329" i="1"/>
  <c r="AK329" i="1"/>
  <c r="AE329" i="1"/>
  <c r="AG329" i="1" s="1"/>
  <c r="AD329" i="1"/>
  <c r="AF329" i="1" s="1"/>
  <c r="AH329" i="1" s="1"/>
  <c r="AL328" i="1"/>
  <c r="AK328" i="1"/>
  <c r="AE328" i="1"/>
  <c r="AG328" i="1" s="1"/>
  <c r="AD328" i="1"/>
  <c r="AF328" i="1" s="1"/>
  <c r="AH328" i="1" s="1"/>
  <c r="AL323" i="1"/>
  <c r="AK323" i="1"/>
  <c r="AE323" i="1"/>
  <c r="AG323" i="1" s="1"/>
  <c r="AD323" i="1"/>
  <c r="AF323" i="1" s="1"/>
  <c r="AH323" i="1" s="1"/>
  <c r="AL322" i="1"/>
  <c r="AK322" i="1"/>
  <c r="AE322" i="1"/>
  <c r="AG322" i="1" s="1"/>
  <c r="AD322" i="1"/>
  <c r="AF322" i="1" s="1"/>
  <c r="AH322" i="1" s="1"/>
  <c r="AL321" i="1"/>
  <c r="AK321" i="1"/>
  <c r="AE321" i="1"/>
  <c r="AG321" i="1" s="1"/>
  <c r="AD321" i="1"/>
  <c r="AF321" i="1" s="1"/>
  <c r="AH321" i="1" s="1"/>
  <c r="AL320" i="1"/>
  <c r="AK320" i="1"/>
  <c r="AE320" i="1"/>
  <c r="AG320" i="1" s="1"/>
  <c r="AD320" i="1"/>
  <c r="AF320" i="1" s="1"/>
  <c r="AH320" i="1" s="1"/>
  <c r="AL319" i="1"/>
  <c r="AK319" i="1"/>
  <c r="AE319" i="1"/>
  <c r="AG319" i="1" s="1"/>
  <c r="AD319" i="1"/>
  <c r="AF319" i="1" s="1"/>
  <c r="AH319" i="1" s="1"/>
  <c r="AL315" i="1"/>
  <c r="AK315" i="1"/>
  <c r="AE315" i="1"/>
  <c r="AG315" i="1" s="1"/>
  <c r="AD315" i="1"/>
  <c r="AF315" i="1" s="1"/>
  <c r="AH315" i="1" s="1"/>
  <c r="AL314" i="1"/>
  <c r="AK314" i="1"/>
  <c r="AE314" i="1"/>
  <c r="AG314" i="1" s="1"/>
  <c r="AD314" i="1"/>
  <c r="AF314" i="1" s="1"/>
  <c r="AH314" i="1" s="1"/>
  <c r="AL313" i="1"/>
  <c r="AK313" i="1"/>
  <c r="AE313" i="1"/>
  <c r="AG313" i="1" s="1"/>
  <c r="AI313" i="1" s="1"/>
  <c r="AD313" i="1"/>
  <c r="AF313" i="1" s="1"/>
  <c r="AH313" i="1" s="1"/>
  <c r="AL312" i="1"/>
  <c r="AK312" i="1"/>
  <c r="AE312" i="1"/>
  <c r="AG312" i="1" s="1"/>
  <c r="AD312" i="1"/>
  <c r="AF312" i="1" s="1"/>
  <c r="AH312" i="1" s="1"/>
  <c r="AL311" i="1"/>
  <c r="AK311" i="1"/>
  <c r="AE311" i="1"/>
  <c r="AG311" i="1" s="1"/>
  <c r="AI311" i="1" s="1"/>
  <c r="AD311" i="1"/>
  <c r="AF311" i="1" s="1"/>
  <c r="AL310" i="1"/>
  <c r="AK310" i="1"/>
  <c r="AE310" i="1"/>
  <c r="AG310" i="1" s="1"/>
  <c r="AD310" i="1"/>
  <c r="AF310" i="1" s="1"/>
  <c r="AH310" i="1" s="1"/>
  <c r="AL309" i="1"/>
  <c r="AK309" i="1"/>
  <c r="AE309" i="1"/>
  <c r="AG309" i="1" s="1"/>
  <c r="AD309" i="1"/>
  <c r="AF309" i="1" s="1"/>
  <c r="AH309" i="1" s="1"/>
  <c r="AL305" i="1"/>
  <c r="AK305" i="1"/>
  <c r="AE305" i="1"/>
  <c r="AG305" i="1" s="1"/>
  <c r="AD305" i="1"/>
  <c r="AF305" i="1" s="1"/>
  <c r="AH305" i="1" s="1"/>
  <c r="AL304" i="1"/>
  <c r="AK304" i="1"/>
  <c r="AE304" i="1"/>
  <c r="AG304" i="1" s="1"/>
  <c r="AD304" i="1"/>
  <c r="AF304" i="1" s="1"/>
  <c r="AH304" i="1" s="1"/>
  <c r="AL302" i="1"/>
  <c r="AK302" i="1"/>
  <c r="AE302" i="1"/>
  <c r="AG302" i="1" s="1"/>
  <c r="AD302" i="1"/>
  <c r="AF302" i="1" s="1"/>
  <c r="AH302" i="1" s="1"/>
  <c r="AL301" i="1"/>
  <c r="AK301" i="1"/>
  <c r="AE301" i="1"/>
  <c r="AG301" i="1" s="1"/>
  <c r="AD301" i="1"/>
  <c r="AF301" i="1" s="1"/>
  <c r="AH301" i="1" s="1"/>
  <c r="AL300" i="1"/>
  <c r="AK300" i="1"/>
  <c r="AE300" i="1"/>
  <c r="AG300" i="1" s="1"/>
  <c r="AD300" i="1"/>
  <c r="AF300" i="1" s="1"/>
  <c r="AH300" i="1" s="1"/>
  <c r="AL299" i="1"/>
  <c r="AK299" i="1"/>
  <c r="AE299" i="1"/>
  <c r="AG299" i="1" s="1"/>
  <c r="AD299" i="1"/>
  <c r="AF299" i="1" s="1"/>
  <c r="AH299" i="1" s="1"/>
  <c r="AL298" i="1"/>
  <c r="AK298" i="1"/>
  <c r="AE298" i="1"/>
  <c r="AG298" i="1" s="1"/>
  <c r="AD298" i="1"/>
  <c r="AF298" i="1" s="1"/>
  <c r="AH298" i="1" s="1"/>
  <c r="AL297" i="1"/>
  <c r="AK297" i="1"/>
  <c r="AE297" i="1"/>
  <c r="AG297" i="1" s="1"/>
  <c r="AD297" i="1"/>
  <c r="AF297" i="1" s="1"/>
  <c r="AH297" i="1" s="1"/>
  <c r="AL296" i="1"/>
  <c r="AK296" i="1"/>
  <c r="AE296" i="1"/>
  <c r="AG296" i="1" s="1"/>
  <c r="AD296" i="1"/>
  <c r="AF296" i="1" s="1"/>
  <c r="AH296" i="1" s="1"/>
  <c r="AL295" i="1"/>
  <c r="AK295" i="1"/>
  <c r="AE295" i="1"/>
  <c r="AG295" i="1" s="1"/>
  <c r="AD295" i="1"/>
  <c r="AF295" i="1" s="1"/>
  <c r="AH295" i="1" s="1"/>
  <c r="AL294" i="1"/>
  <c r="AK294" i="1"/>
  <c r="AE294" i="1"/>
  <c r="AG294" i="1" s="1"/>
  <c r="AD294" i="1"/>
  <c r="AF294" i="1" s="1"/>
  <c r="AH294" i="1" s="1"/>
  <c r="AL293" i="1"/>
  <c r="AK293" i="1"/>
  <c r="AE293" i="1"/>
  <c r="AG293" i="1" s="1"/>
  <c r="AD293" i="1"/>
  <c r="AF293" i="1" s="1"/>
  <c r="AH293" i="1" s="1"/>
  <c r="AL292" i="1"/>
  <c r="AK292" i="1"/>
  <c r="AE292" i="1"/>
  <c r="AG292" i="1" s="1"/>
  <c r="AD292" i="1"/>
  <c r="AF292" i="1" s="1"/>
  <c r="AH292" i="1" s="1"/>
  <c r="AL291" i="1"/>
  <c r="AK291" i="1"/>
  <c r="AE291" i="1"/>
  <c r="AG291" i="1" s="1"/>
  <c r="AD291" i="1"/>
  <c r="AF291" i="1" s="1"/>
  <c r="AH291" i="1" s="1"/>
  <c r="AL290" i="1"/>
  <c r="AK290" i="1"/>
  <c r="AE290" i="1"/>
  <c r="AG290" i="1" s="1"/>
  <c r="AD290" i="1"/>
  <c r="AF290" i="1" s="1"/>
  <c r="AH290" i="1" s="1"/>
  <c r="AL289" i="1"/>
  <c r="AK289" i="1"/>
  <c r="AE289" i="1"/>
  <c r="AG289" i="1" s="1"/>
  <c r="AD289" i="1"/>
  <c r="AF289" i="1" s="1"/>
  <c r="AH289" i="1" s="1"/>
  <c r="AL288" i="1"/>
  <c r="AK288" i="1"/>
  <c r="AE288" i="1"/>
  <c r="AG288" i="1" s="1"/>
  <c r="AD288" i="1"/>
  <c r="AF288" i="1" s="1"/>
  <c r="AH288" i="1" s="1"/>
  <c r="AL287" i="1"/>
  <c r="AK287" i="1"/>
  <c r="AE287" i="1"/>
  <c r="AG287" i="1" s="1"/>
  <c r="AD287" i="1"/>
  <c r="AF287" i="1" s="1"/>
  <c r="AH287" i="1" s="1"/>
  <c r="AL286" i="1"/>
  <c r="AK286" i="1"/>
  <c r="AE286" i="1"/>
  <c r="AG286" i="1" s="1"/>
  <c r="AD286" i="1"/>
  <c r="AF286" i="1" s="1"/>
  <c r="AH286" i="1" s="1"/>
  <c r="AL285" i="1"/>
  <c r="AK285" i="1"/>
  <c r="AE285" i="1"/>
  <c r="AG285" i="1" s="1"/>
  <c r="AD285" i="1"/>
  <c r="AF285" i="1" s="1"/>
  <c r="AH285" i="1" s="1"/>
  <c r="AL284" i="1"/>
  <c r="AK284" i="1"/>
  <c r="AE284" i="1"/>
  <c r="AG284" i="1" s="1"/>
  <c r="AD284" i="1"/>
  <c r="AF284" i="1" s="1"/>
  <c r="AH284" i="1" s="1"/>
  <c r="AL283" i="1"/>
  <c r="AK283" i="1"/>
  <c r="AE283" i="1"/>
  <c r="AG283" i="1" s="1"/>
  <c r="AD283" i="1"/>
  <c r="AF283" i="1" s="1"/>
  <c r="AH283" i="1" s="1"/>
  <c r="AL282" i="1"/>
  <c r="AK282" i="1"/>
  <c r="AE282" i="1"/>
  <c r="AG282" i="1" s="1"/>
  <c r="AD282" i="1"/>
  <c r="AF282" i="1" s="1"/>
  <c r="AH282" i="1" s="1"/>
  <c r="AL281" i="1"/>
  <c r="AK281" i="1"/>
  <c r="AE281" i="1"/>
  <c r="AG281" i="1" s="1"/>
  <c r="AD281" i="1"/>
  <c r="AF281" i="1" s="1"/>
  <c r="AH281" i="1" s="1"/>
  <c r="AL280" i="1"/>
  <c r="AK280" i="1"/>
  <c r="AE280" i="1"/>
  <c r="AG280" i="1" s="1"/>
  <c r="AD280" i="1"/>
  <c r="AF280" i="1" s="1"/>
  <c r="AH280" i="1" s="1"/>
  <c r="AL279" i="1"/>
  <c r="AK279" i="1"/>
  <c r="AE279" i="1"/>
  <c r="AG279" i="1" s="1"/>
  <c r="AD279" i="1"/>
  <c r="AF279" i="1" s="1"/>
  <c r="AH279" i="1" s="1"/>
  <c r="AL278" i="1"/>
  <c r="AK278" i="1"/>
  <c r="AE278" i="1"/>
  <c r="AG278" i="1" s="1"/>
  <c r="AD278" i="1"/>
  <c r="AF278" i="1" s="1"/>
  <c r="AH278" i="1" s="1"/>
  <c r="AL277" i="1"/>
  <c r="AK277" i="1"/>
  <c r="AE277" i="1"/>
  <c r="AG277" i="1" s="1"/>
  <c r="AD277" i="1"/>
  <c r="AF277" i="1" s="1"/>
  <c r="AH277" i="1" s="1"/>
  <c r="AL276" i="1"/>
  <c r="AK276" i="1"/>
  <c r="AE276" i="1"/>
  <c r="AG276" i="1" s="1"/>
  <c r="AD276" i="1"/>
  <c r="AF276" i="1" s="1"/>
  <c r="AH276" i="1" s="1"/>
  <c r="AL275" i="1"/>
  <c r="AK275" i="1"/>
  <c r="AE275" i="1"/>
  <c r="AG275" i="1" s="1"/>
  <c r="AD275" i="1"/>
  <c r="AF275" i="1" s="1"/>
  <c r="AH275" i="1" s="1"/>
  <c r="AL274" i="1"/>
  <c r="AK274" i="1"/>
  <c r="AE274" i="1"/>
  <c r="AG274" i="1" s="1"/>
  <c r="AD274" i="1"/>
  <c r="AF274" i="1" s="1"/>
  <c r="AH274" i="1" s="1"/>
  <c r="AL273" i="1"/>
  <c r="AK273" i="1"/>
  <c r="AE273" i="1"/>
  <c r="AG273" i="1" s="1"/>
  <c r="AD273" i="1"/>
  <c r="AF273" i="1" s="1"/>
  <c r="AH273" i="1" s="1"/>
  <c r="AL272" i="1"/>
  <c r="AK272" i="1"/>
  <c r="AE272" i="1"/>
  <c r="AG272" i="1" s="1"/>
  <c r="AD272" i="1"/>
  <c r="AF272" i="1" s="1"/>
  <c r="AH272" i="1" s="1"/>
  <c r="AL271" i="1"/>
  <c r="AK271" i="1"/>
  <c r="AE271" i="1"/>
  <c r="AG271" i="1" s="1"/>
  <c r="AD271" i="1"/>
  <c r="AF271" i="1" s="1"/>
  <c r="AH271" i="1" s="1"/>
  <c r="AL270" i="1"/>
  <c r="AK270" i="1"/>
  <c r="AE270" i="1"/>
  <c r="AG270" i="1" s="1"/>
  <c r="AD270" i="1"/>
  <c r="AF270" i="1" s="1"/>
  <c r="AH270" i="1" s="1"/>
  <c r="AL269" i="1"/>
  <c r="AK269" i="1"/>
  <c r="AE269" i="1"/>
  <c r="AG269" i="1" s="1"/>
  <c r="AD269" i="1"/>
  <c r="AF269" i="1" s="1"/>
  <c r="AH269" i="1" s="1"/>
  <c r="AL268" i="1"/>
  <c r="AK268" i="1"/>
  <c r="AE268" i="1"/>
  <c r="AG268" i="1" s="1"/>
  <c r="AD268" i="1"/>
  <c r="AF268" i="1" s="1"/>
  <c r="AH268" i="1" s="1"/>
  <c r="AL267" i="1"/>
  <c r="AK267" i="1"/>
  <c r="AE267" i="1"/>
  <c r="AG267" i="1" s="1"/>
  <c r="AD267" i="1"/>
  <c r="AF267" i="1" s="1"/>
  <c r="AH267" i="1" s="1"/>
  <c r="AL266" i="1"/>
  <c r="AK266" i="1"/>
  <c r="AE266" i="1"/>
  <c r="AG266" i="1" s="1"/>
  <c r="AD266" i="1"/>
  <c r="AF266" i="1" s="1"/>
  <c r="AH266" i="1" s="1"/>
  <c r="AL265" i="1"/>
  <c r="AK265" i="1"/>
  <c r="AE265" i="1"/>
  <c r="AG265" i="1" s="1"/>
  <c r="AD265" i="1"/>
  <c r="AF265" i="1" s="1"/>
  <c r="AH265" i="1" s="1"/>
  <c r="AL264" i="1"/>
  <c r="AK264" i="1"/>
  <c r="AE264" i="1"/>
  <c r="AG264" i="1" s="1"/>
  <c r="AD264" i="1"/>
  <c r="AF264" i="1" s="1"/>
  <c r="AH264" i="1" s="1"/>
  <c r="AL263" i="1"/>
  <c r="AK263" i="1"/>
  <c r="AE263" i="1"/>
  <c r="AG263" i="1" s="1"/>
  <c r="AD263" i="1"/>
  <c r="AF263" i="1" s="1"/>
  <c r="AH263" i="1" s="1"/>
  <c r="AL262" i="1"/>
  <c r="AK262" i="1"/>
  <c r="AE262" i="1"/>
  <c r="AG262" i="1" s="1"/>
  <c r="AD262" i="1"/>
  <c r="AF262" i="1" s="1"/>
  <c r="AH262" i="1" s="1"/>
  <c r="AL261" i="1"/>
  <c r="AK261" i="1"/>
  <c r="AE261" i="1"/>
  <c r="AG261" i="1" s="1"/>
  <c r="AD261" i="1"/>
  <c r="AF261" i="1" s="1"/>
  <c r="AH261" i="1" s="1"/>
  <c r="AL260" i="1"/>
  <c r="AK260" i="1"/>
  <c r="AE260" i="1"/>
  <c r="AG260" i="1" s="1"/>
  <c r="AD260" i="1"/>
  <c r="AF260" i="1" s="1"/>
  <c r="AH260" i="1" s="1"/>
  <c r="AL259" i="1"/>
  <c r="AK259" i="1"/>
  <c r="AE259" i="1"/>
  <c r="AG259" i="1" s="1"/>
  <c r="AD259" i="1"/>
  <c r="AF259" i="1" s="1"/>
  <c r="AH259" i="1" s="1"/>
  <c r="AL258" i="1"/>
  <c r="AK258" i="1"/>
  <c r="AE258" i="1"/>
  <c r="AG258" i="1" s="1"/>
  <c r="AD258" i="1"/>
  <c r="AF258" i="1" s="1"/>
  <c r="AH258" i="1" s="1"/>
  <c r="AL257" i="1"/>
  <c r="AK257" i="1"/>
  <c r="AE257" i="1"/>
  <c r="AG257" i="1" s="1"/>
  <c r="AD257" i="1"/>
  <c r="AF257" i="1" s="1"/>
  <c r="AH257" i="1" s="1"/>
  <c r="AL256" i="1"/>
  <c r="AK256" i="1"/>
  <c r="AE256" i="1"/>
  <c r="AG256" i="1" s="1"/>
  <c r="AD256" i="1"/>
  <c r="AF256" i="1" s="1"/>
  <c r="AH256" i="1" s="1"/>
  <c r="AL255" i="1"/>
  <c r="AK255" i="1"/>
  <c r="AE255" i="1"/>
  <c r="AG255" i="1" s="1"/>
  <c r="AD255" i="1"/>
  <c r="AF255" i="1" s="1"/>
  <c r="AH255" i="1" s="1"/>
  <c r="AL254" i="1"/>
  <c r="AK254" i="1"/>
  <c r="AE254" i="1"/>
  <c r="AG254" i="1" s="1"/>
  <c r="AD254" i="1"/>
  <c r="AF254" i="1" s="1"/>
  <c r="AH254" i="1" s="1"/>
  <c r="AL253" i="1"/>
  <c r="AK253" i="1"/>
  <c r="AE253" i="1"/>
  <c r="AG253" i="1" s="1"/>
  <c r="AD253" i="1"/>
  <c r="AF253" i="1" s="1"/>
  <c r="AH253" i="1" s="1"/>
  <c r="AL252" i="1"/>
  <c r="AK252" i="1"/>
  <c r="AE252" i="1"/>
  <c r="AG252" i="1" s="1"/>
  <c r="AD252" i="1"/>
  <c r="AF252" i="1" s="1"/>
  <c r="AH252" i="1" s="1"/>
  <c r="AL251" i="1"/>
  <c r="AK251" i="1"/>
  <c r="AE251" i="1"/>
  <c r="AG251" i="1" s="1"/>
  <c r="AD251" i="1"/>
  <c r="AF251" i="1" s="1"/>
  <c r="AH251" i="1" s="1"/>
  <c r="AL250" i="1"/>
  <c r="AK250" i="1"/>
  <c r="AE250" i="1"/>
  <c r="AG250" i="1" s="1"/>
  <c r="AD250" i="1"/>
  <c r="AF250" i="1" s="1"/>
  <c r="AH250" i="1" s="1"/>
  <c r="AL249" i="1"/>
  <c r="AK249" i="1"/>
  <c r="AE249" i="1"/>
  <c r="AG249" i="1" s="1"/>
  <c r="AD249" i="1"/>
  <c r="AF249" i="1" s="1"/>
  <c r="AH249" i="1" s="1"/>
  <c r="AL248" i="1"/>
  <c r="AK248" i="1"/>
  <c r="AE248" i="1"/>
  <c r="AG248" i="1" s="1"/>
  <c r="AD248" i="1"/>
  <c r="AF248" i="1" s="1"/>
  <c r="AH248" i="1" s="1"/>
  <c r="AL247" i="1"/>
  <c r="AK247" i="1"/>
  <c r="AE247" i="1"/>
  <c r="AG247" i="1" s="1"/>
  <c r="AD247" i="1"/>
  <c r="AF247" i="1" s="1"/>
  <c r="AH247" i="1" s="1"/>
  <c r="AL246" i="1"/>
  <c r="AK246" i="1"/>
  <c r="AE246" i="1"/>
  <c r="AG246" i="1" s="1"/>
  <c r="AD246" i="1"/>
  <c r="AF246" i="1" s="1"/>
  <c r="AH246" i="1" s="1"/>
  <c r="AL245" i="1"/>
  <c r="AK245" i="1"/>
  <c r="AE245" i="1"/>
  <c r="AG245" i="1" s="1"/>
  <c r="AD245" i="1"/>
  <c r="AF245" i="1" s="1"/>
  <c r="AH245" i="1" s="1"/>
  <c r="AL244" i="1"/>
  <c r="AK244" i="1"/>
  <c r="AE244" i="1"/>
  <c r="AG244" i="1" s="1"/>
  <c r="AD244" i="1"/>
  <c r="AF244" i="1" s="1"/>
  <c r="AH244" i="1" s="1"/>
  <c r="AL243" i="1"/>
  <c r="AK243" i="1"/>
  <c r="AE243" i="1"/>
  <c r="AG243" i="1" s="1"/>
  <c r="AD243" i="1"/>
  <c r="AF243" i="1" s="1"/>
  <c r="AH243" i="1" s="1"/>
  <c r="AL242" i="1"/>
  <c r="AK242" i="1"/>
  <c r="AE242" i="1"/>
  <c r="AG242" i="1" s="1"/>
  <c r="AD242" i="1"/>
  <c r="AF242" i="1" s="1"/>
  <c r="AH242" i="1" s="1"/>
  <c r="AL241" i="1"/>
  <c r="AK241" i="1"/>
  <c r="AE241" i="1"/>
  <c r="AG241" i="1" s="1"/>
  <c r="AD241" i="1"/>
  <c r="AF241" i="1" s="1"/>
  <c r="AH241" i="1" s="1"/>
  <c r="AL240" i="1"/>
  <c r="AK240" i="1"/>
  <c r="AE240" i="1"/>
  <c r="AG240" i="1" s="1"/>
  <c r="AD240" i="1"/>
  <c r="AF240" i="1" s="1"/>
  <c r="AH240" i="1" s="1"/>
  <c r="AL239" i="1"/>
  <c r="AK239" i="1"/>
  <c r="AE239" i="1"/>
  <c r="AG239" i="1" s="1"/>
  <c r="AD239" i="1"/>
  <c r="AF239" i="1" s="1"/>
  <c r="AH239" i="1" s="1"/>
  <c r="AL238" i="1"/>
  <c r="AK238" i="1"/>
  <c r="AE238" i="1"/>
  <c r="AG238" i="1" s="1"/>
  <c r="AD238" i="1"/>
  <c r="AF238" i="1" s="1"/>
  <c r="AH238" i="1" s="1"/>
  <c r="AL237" i="1"/>
  <c r="AK237" i="1"/>
  <c r="AE237" i="1"/>
  <c r="AG237" i="1" s="1"/>
  <c r="AD237" i="1"/>
  <c r="AF237" i="1" s="1"/>
  <c r="AH237" i="1" s="1"/>
  <c r="AL236" i="1"/>
  <c r="AK236" i="1"/>
  <c r="AE236" i="1"/>
  <c r="AG236" i="1" s="1"/>
  <c r="AD236" i="1"/>
  <c r="AF236" i="1" s="1"/>
  <c r="AH236" i="1" s="1"/>
  <c r="AL235" i="1"/>
  <c r="AK235" i="1"/>
  <c r="AE235" i="1"/>
  <c r="AG235" i="1" s="1"/>
  <c r="AD235" i="1"/>
  <c r="AF235" i="1" s="1"/>
  <c r="AH235" i="1" s="1"/>
  <c r="AL234" i="1"/>
  <c r="AK234" i="1"/>
  <c r="AE234" i="1"/>
  <c r="AG234" i="1" s="1"/>
  <c r="AD234" i="1"/>
  <c r="AF234" i="1" s="1"/>
  <c r="AH234" i="1" s="1"/>
  <c r="AL233" i="1"/>
  <c r="AK233" i="1"/>
  <c r="AE233" i="1"/>
  <c r="AG233" i="1" s="1"/>
  <c r="AD233" i="1"/>
  <c r="AF233" i="1" s="1"/>
  <c r="AH233" i="1" s="1"/>
  <c r="AL232" i="1"/>
  <c r="AK232" i="1"/>
  <c r="AE232" i="1"/>
  <c r="AG232" i="1" s="1"/>
  <c r="AD232" i="1"/>
  <c r="AF232" i="1" s="1"/>
  <c r="AH232" i="1" s="1"/>
  <c r="AL231" i="1"/>
  <c r="AK231" i="1"/>
  <c r="AE231" i="1"/>
  <c r="AG231" i="1" s="1"/>
  <c r="AD231" i="1"/>
  <c r="AF231" i="1" s="1"/>
  <c r="AH231" i="1" s="1"/>
  <c r="AL230" i="1"/>
  <c r="AK230" i="1"/>
  <c r="AE230" i="1"/>
  <c r="AG230" i="1" s="1"/>
  <c r="AD230" i="1"/>
  <c r="AF230" i="1" s="1"/>
  <c r="AH230" i="1" s="1"/>
  <c r="AL229" i="1"/>
  <c r="AK229" i="1"/>
  <c r="AE229" i="1"/>
  <c r="AG229" i="1" s="1"/>
  <c r="AD229" i="1"/>
  <c r="AF229" i="1" s="1"/>
  <c r="AH229" i="1" s="1"/>
  <c r="AL228" i="1"/>
  <c r="AK228" i="1"/>
  <c r="AE228" i="1"/>
  <c r="AG228" i="1" s="1"/>
  <c r="AD228" i="1"/>
  <c r="AF228" i="1" s="1"/>
  <c r="AH228" i="1" s="1"/>
  <c r="AL227" i="1"/>
  <c r="AK227" i="1"/>
  <c r="AE227" i="1"/>
  <c r="AG227" i="1" s="1"/>
  <c r="AD227" i="1"/>
  <c r="AF227" i="1" s="1"/>
  <c r="AH227" i="1" s="1"/>
  <c r="AL226" i="1"/>
  <c r="AK226" i="1"/>
  <c r="AE226" i="1"/>
  <c r="AG226" i="1" s="1"/>
  <c r="AD226" i="1"/>
  <c r="AF226" i="1" s="1"/>
  <c r="AH226" i="1" s="1"/>
  <c r="AL225" i="1"/>
  <c r="AK225" i="1"/>
  <c r="AE225" i="1"/>
  <c r="AG225" i="1" s="1"/>
  <c r="AD225" i="1"/>
  <c r="AF225" i="1" s="1"/>
  <c r="AH225" i="1" s="1"/>
  <c r="AL224" i="1"/>
  <c r="AK224" i="1"/>
  <c r="AE224" i="1"/>
  <c r="AG224" i="1" s="1"/>
  <c r="AD224" i="1"/>
  <c r="AF224" i="1" s="1"/>
  <c r="AH224" i="1" s="1"/>
  <c r="AL223" i="1"/>
  <c r="AK223" i="1"/>
  <c r="AE223" i="1"/>
  <c r="AG223" i="1" s="1"/>
  <c r="AD223" i="1"/>
  <c r="AF223" i="1" s="1"/>
  <c r="AH223" i="1" s="1"/>
  <c r="AL222" i="1"/>
  <c r="AK222" i="1"/>
  <c r="AE222" i="1"/>
  <c r="AG222" i="1" s="1"/>
  <c r="AD222" i="1"/>
  <c r="AF222" i="1" s="1"/>
  <c r="AH222" i="1" s="1"/>
  <c r="AL221" i="1"/>
  <c r="AK221" i="1"/>
  <c r="AE221" i="1"/>
  <c r="AG221" i="1" s="1"/>
  <c r="AD221" i="1"/>
  <c r="AF221" i="1" s="1"/>
  <c r="AH221" i="1" s="1"/>
  <c r="AL220" i="1"/>
  <c r="AK220" i="1"/>
  <c r="AE220" i="1"/>
  <c r="AG220" i="1" s="1"/>
  <c r="AD220" i="1"/>
  <c r="AF220" i="1" s="1"/>
  <c r="AH220" i="1" s="1"/>
  <c r="AL219" i="1"/>
  <c r="AK219" i="1"/>
  <c r="AE219" i="1"/>
  <c r="AG219" i="1" s="1"/>
  <c r="AD219" i="1"/>
  <c r="AF219" i="1" s="1"/>
  <c r="AH219" i="1" s="1"/>
  <c r="AL218" i="1"/>
  <c r="AK218" i="1"/>
  <c r="AE218" i="1"/>
  <c r="AG218" i="1" s="1"/>
  <c r="AD218" i="1"/>
  <c r="AF218" i="1" s="1"/>
  <c r="AH218" i="1" s="1"/>
  <c r="AL217" i="1"/>
  <c r="AK217" i="1"/>
  <c r="AE217" i="1"/>
  <c r="AG217" i="1" s="1"/>
  <c r="AD217" i="1"/>
  <c r="AF217" i="1" s="1"/>
  <c r="AH217" i="1" s="1"/>
  <c r="AL216" i="1"/>
  <c r="AK216" i="1"/>
  <c r="AE216" i="1"/>
  <c r="AG216" i="1" s="1"/>
  <c r="AD216" i="1"/>
  <c r="AF216" i="1" s="1"/>
  <c r="AH216" i="1" s="1"/>
  <c r="AL215" i="1"/>
  <c r="AK215" i="1"/>
  <c r="AE215" i="1"/>
  <c r="AG215" i="1" s="1"/>
  <c r="AD215" i="1"/>
  <c r="AF215" i="1" s="1"/>
  <c r="AH215" i="1" s="1"/>
  <c r="AL214" i="1"/>
  <c r="AK214" i="1"/>
  <c r="AE214" i="1"/>
  <c r="AG214" i="1" s="1"/>
  <c r="AD214" i="1"/>
  <c r="AF214" i="1" s="1"/>
  <c r="AH214" i="1" s="1"/>
  <c r="AL213" i="1"/>
  <c r="AK213" i="1"/>
  <c r="AE213" i="1"/>
  <c r="AG213" i="1" s="1"/>
  <c r="AD213" i="1"/>
  <c r="AF213" i="1" s="1"/>
  <c r="AH213" i="1" s="1"/>
  <c r="AL212" i="1"/>
  <c r="AK212" i="1"/>
  <c r="AE212" i="1"/>
  <c r="AG212" i="1" s="1"/>
  <c r="AD212" i="1"/>
  <c r="AF212" i="1" s="1"/>
  <c r="AH212" i="1" s="1"/>
  <c r="AL211" i="1"/>
  <c r="AK211" i="1"/>
  <c r="AE211" i="1"/>
  <c r="AG211" i="1" s="1"/>
  <c r="AD211" i="1"/>
  <c r="AF211" i="1" s="1"/>
  <c r="AH211" i="1" s="1"/>
  <c r="AL210" i="1"/>
  <c r="AE210" i="1"/>
  <c r="AG210" i="1" s="1"/>
  <c r="AD210" i="1"/>
  <c r="AF210" i="1" s="1"/>
  <c r="AH210" i="1" s="1"/>
  <c r="AL209" i="1"/>
  <c r="AK209" i="1"/>
  <c r="AE209" i="1"/>
  <c r="AG209" i="1" s="1"/>
  <c r="AD209" i="1"/>
  <c r="AF209" i="1" s="1"/>
  <c r="AH209" i="1" s="1"/>
  <c r="AL208" i="1"/>
  <c r="AK208" i="1"/>
  <c r="AE208" i="1"/>
  <c r="AG208" i="1" s="1"/>
  <c r="AD208" i="1"/>
  <c r="AF208" i="1" s="1"/>
  <c r="AH208" i="1" s="1"/>
  <c r="AL207" i="1"/>
  <c r="AK207" i="1"/>
  <c r="AE207" i="1"/>
  <c r="AG207" i="1" s="1"/>
  <c r="AD207" i="1"/>
  <c r="AF207" i="1" s="1"/>
  <c r="AH207" i="1" s="1"/>
  <c r="AL206" i="1"/>
  <c r="AK206" i="1"/>
  <c r="AE206" i="1"/>
  <c r="AG206" i="1" s="1"/>
  <c r="AD206" i="1"/>
  <c r="AF206" i="1" s="1"/>
  <c r="AH206" i="1" s="1"/>
  <c r="AL205" i="1"/>
  <c r="AK205" i="1"/>
  <c r="AE205" i="1"/>
  <c r="AG205" i="1" s="1"/>
  <c r="AD205" i="1"/>
  <c r="AF205" i="1" s="1"/>
  <c r="AH205" i="1" s="1"/>
  <c r="AL204" i="1"/>
  <c r="AK204" i="1"/>
  <c r="AE204" i="1"/>
  <c r="AG204" i="1" s="1"/>
  <c r="AD204" i="1"/>
  <c r="AF204" i="1" s="1"/>
  <c r="AH204" i="1" s="1"/>
  <c r="AL203" i="1"/>
  <c r="AK203" i="1"/>
  <c r="AE203" i="1"/>
  <c r="AG203" i="1" s="1"/>
  <c r="AD203" i="1"/>
  <c r="AF203" i="1" s="1"/>
  <c r="AH203" i="1" s="1"/>
  <c r="AL202" i="1"/>
  <c r="AK202" i="1"/>
  <c r="AE202" i="1"/>
  <c r="AG202" i="1" s="1"/>
  <c r="AD202" i="1"/>
  <c r="AF202" i="1" s="1"/>
  <c r="AH202" i="1" s="1"/>
  <c r="AL201" i="1"/>
  <c r="AK201" i="1"/>
  <c r="AE201" i="1"/>
  <c r="AG201" i="1" s="1"/>
  <c r="AD201" i="1"/>
  <c r="AF201" i="1" s="1"/>
  <c r="AH201" i="1" s="1"/>
  <c r="AL200" i="1"/>
  <c r="AK200" i="1"/>
  <c r="AE200" i="1"/>
  <c r="AG200" i="1" s="1"/>
  <c r="AD200" i="1"/>
  <c r="AF200" i="1" s="1"/>
  <c r="AH200" i="1" s="1"/>
  <c r="AL199" i="1"/>
  <c r="AK199" i="1"/>
  <c r="AE199" i="1"/>
  <c r="AG199" i="1" s="1"/>
  <c r="AD199" i="1"/>
  <c r="AF199" i="1" s="1"/>
  <c r="AH199" i="1" s="1"/>
  <c r="AL198" i="1"/>
  <c r="AK198" i="1"/>
  <c r="AE198" i="1"/>
  <c r="AG198" i="1" s="1"/>
  <c r="AD198" i="1"/>
  <c r="AF198" i="1" s="1"/>
  <c r="AH198" i="1" s="1"/>
  <c r="AL197" i="1"/>
  <c r="AK197" i="1"/>
  <c r="AE197" i="1"/>
  <c r="AG197" i="1" s="1"/>
  <c r="AD197" i="1"/>
  <c r="AF197" i="1" s="1"/>
  <c r="AH197" i="1" s="1"/>
  <c r="AL196" i="1"/>
  <c r="AK196" i="1"/>
  <c r="AE196" i="1"/>
  <c r="AG196" i="1" s="1"/>
  <c r="AD196" i="1"/>
  <c r="AF196" i="1" s="1"/>
  <c r="AH196" i="1" s="1"/>
  <c r="AL195" i="1"/>
  <c r="AK195" i="1"/>
  <c r="AE195" i="1"/>
  <c r="AG195" i="1" s="1"/>
  <c r="AD195" i="1"/>
  <c r="AF195" i="1" s="1"/>
  <c r="AH195" i="1" s="1"/>
  <c r="AL194" i="1"/>
  <c r="AK194" i="1"/>
  <c r="AE194" i="1"/>
  <c r="AG194" i="1" s="1"/>
  <c r="AD194" i="1"/>
  <c r="AF194" i="1" s="1"/>
  <c r="AH194" i="1" s="1"/>
  <c r="AL193" i="1"/>
  <c r="AK193" i="1"/>
  <c r="AE193" i="1"/>
  <c r="AG193" i="1" s="1"/>
  <c r="AD193" i="1"/>
  <c r="AF193" i="1" s="1"/>
  <c r="AH193" i="1" s="1"/>
  <c r="AL192" i="1"/>
  <c r="AK192" i="1"/>
  <c r="AE192" i="1"/>
  <c r="AG192" i="1" s="1"/>
  <c r="AD192" i="1"/>
  <c r="AF192" i="1" s="1"/>
  <c r="AH192" i="1" s="1"/>
  <c r="AL191" i="1"/>
  <c r="AK191" i="1"/>
  <c r="AE191" i="1"/>
  <c r="AG191" i="1" s="1"/>
  <c r="AD191" i="1"/>
  <c r="AF191" i="1" s="1"/>
  <c r="AH191" i="1" s="1"/>
  <c r="AL190" i="1"/>
  <c r="AK190" i="1"/>
  <c r="AE190" i="1"/>
  <c r="AG190" i="1" s="1"/>
  <c r="AD190" i="1"/>
  <c r="AF190" i="1" s="1"/>
  <c r="AH190" i="1" s="1"/>
  <c r="AL189" i="1"/>
  <c r="AK189" i="1"/>
  <c r="AE189" i="1"/>
  <c r="AG189" i="1" s="1"/>
  <c r="AD189" i="1"/>
  <c r="AF189" i="1" s="1"/>
  <c r="AH189" i="1" s="1"/>
  <c r="AL188" i="1"/>
  <c r="AK188" i="1"/>
  <c r="AE188" i="1"/>
  <c r="AG188" i="1" s="1"/>
  <c r="AD188" i="1"/>
  <c r="AF188" i="1" s="1"/>
  <c r="AH188" i="1" s="1"/>
  <c r="AL187" i="1"/>
  <c r="AK187" i="1"/>
  <c r="AE187" i="1"/>
  <c r="AG187" i="1" s="1"/>
  <c r="AD187" i="1"/>
  <c r="AF187" i="1" s="1"/>
  <c r="AH187" i="1" s="1"/>
  <c r="AL186" i="1"/>
  <c r="AK186" i="1"/>
  <c r="AE186" i="1"/>
  <c r="AG186" i="1" s="1"/>
  <c r="AD186" i="1"/>
  <c r="AF186" i="1" s="1"/>
  <c r="AH186" i="1" s="1"/>
  <c r="AL185" i="1"/>
  <c r="AK185" i="1"/>
  <c r="AE185" i="1"/>
  <c r="AG185" i="1" s="1"/>
  <c r="AD185" i="1"/>
  <c r="AF185" i="1" s="1"/>
  <c r="AH185" i="1" s="1"/>
  <c r="AL184" i="1"/>
  <c r="AK184" i="1"/>
  <c r="AE184" i="1"/>
  <c r="AG184" i="1" s="1"/>
  <c r="AD184" i="1"/>
  <c r="AF184" i="1" s="1"/>
  <c r="AH184" i="1" s="1"/>
  <c r="AL183" i="1"/>
  <c r="AK183" i="1"/>
  <c r="AE183" i="1"/>
  <c r="AG183" i="1" s="1"/>
  <c r="AD183" i="1"/>
  <c r="AF183" i="1" s="1"/>
  <c r="AH183" i="1" s="1"/>
  <c r="AL182" i="1"/>
  <c r="AK182" i="1"/>
  <c r="AE182" i="1"/>
  <c r="AG182" i="1" s="1"/>
  <c r="AD182" i="1"/>
  <c r="AF182" i="1" s="1"/>
  <c r="AH182" i="1" s="1"/>
  <c r="AL181" i="1"/>
  <c r="AK181" i="1"/>
  <c r="AE181" i="1"/>
  <c r="AG181" i="1" s="1"/>
  <c r="AD181" i="1"/>
  <c r="AF181" i="1" s="1"/>
  <c r="AH181" i="1" s="1"/>
  <c r="AL180" i="1"/>
  <c r="AK180" i="1"/>
  <c r="AE180" i="1"/>
  <c r="AG180" i="1" s="1"/>
  <c r="AD180" i="1"/>
  <c r="AF180" i="1" s="1"/>
  <c r="AH180" i="1" s="1"/>
  <c r="AL179" i="1"/>
  <c r="AK179" i="1"/>
  <c r="AE179" i="1"/>
  <c r="AG179" i="1" s="1"/>
  <c r="AD179" i="1"/>
  <c r="AF179" i="1" s="1"/>
  <c r="AH179" i="1" s="1"/>
  <c r="AL178" i="1"/>
  <c r="AK178" i="1"/>
  <c r="AE178" i="1"/>
  <c r="AG178" i="1" s="1"/>
  <c r="AD178" i="1"/>
  <c r="AF178" i="1" s="1"/>
  <c r="AH178" i="1" s="1"/>
  <c r="AL177" i="1"/>
  <c r="AK177" i="1"/>
  <c r="AE177" i="1"/>
  <c r="AG177" i="1" s="1"/>
  <c r="AD177" i="1"/>
  <c r="AF177" i="1" s="1"/>
  <c r="AH177" i="1" s="1"/>
  <c r="AL176" i="1"/>
  <c r="AK176" i="1"/>
  <c r="AE176" i="1"/>
  <c r="AG176" i="1" s="1"/>
  <c r="AD176" i="1"/>
  <c r="AF176" i="1" s="1"/>
  <c r="AH176" i="1" s="1"/>
  <c r="AL175" i="1"/>
  <c r="AK175" i="1"/>
  <c r="AE175" i="1"/>
  <c r="AG175" i="1" s="1"/>
  <c r="AD175" i="1"/>
  <c r="AF175" i="1" s="1"/>
  <c r="AH175" i="1" s="1"/>
  <c r="AL174" i="1"/>
  <c r="AK174" i="1"/>
  <c r="AE174" i="1"/>
  <c r="AG174" i="1" s="1"/>
  <c r="AD174" i="1"/>
  <c r="AF174" i="1" s="1"/>
  <c r="AH174" i="1" s="1"/>
  <c r="AL173" i="1"/>
  <c r="AK173" i="1"/>
  <c r="AE173" i="1"/>
  <c r="AG173" i="1" s="1"/>
  <c r="AD173" i="1"/>
  <c r="AF173" i="1" s="1"/>
  <c r="AH173" i="1" s="1"/>
  <c r="AL172" i="1"/>
  <c r="AK172" i="1"/>
  <c r="AE172" i="1"/>
  <c r="AG172" i="1" s="1"/>
  <c r="AD172" i="1"/>
  <c r="AF172" i="1" s="1"/>
  <c r="AH172" i="1" s="1"/>
  <c r="AL171" i="1"/>
  <c r="AK171" i="1"/>
  <c r="AE171" i="1"/>
  <c r="AG171" i="1" s="1"/>
  <c r="AD171" i="1"/>
  <c r="AF171" i="1" s="1"/>
  <c r="AH171" i="1" s="1"/>
  <c r="AL170" i="1"/>
  <c r="AK170" i="1"/>
  <c r="AE170" i="1"/>
  <c r="AG170" i="1" s="1"/>
  <c r="AD170" i="1"/>
  <c r="AF170" i="1" s="1"/>
  <c r="AH170" i="1" s="1"/>
  <c r="AL169" i="1"/>
  <c r="AK169" i="1"/>
  <c r="AE169" i="1"/>
  <c r="AG169" i="1" s="1"/>
  <c r="AD169" i="1"/>
  <c r="AF169" i="1" s="1"/>
  <c r="AH169" i="1" s="1"/>
  <c r="AL168" i="1"/>
  <c r="AK168" i="1"/>
  <c r="AE168" i="1"/>
  <c r="AG168" i="1" s="1"/>
  <c r="AD168" i="1"/>
  <c r="AF168" i="1" s="1"/>
  <c r="AH168" i="1" s="1"/>
  <c r="AL167" i="1"/>
  <c r="AK167" i="1"/>
  <c r="AE167" i="1"/>
  <c r="AG167" i="1" s="1"/>
  <c r="AD167" i="1"/>
  <c r="AF167" i="1" s="1"/>
  <c r="AH167" i="1" s="1"/>
  <c r="AL166" i="1"/>
  <c r="AK166" i="1"/>
  <c r="AE166" i="1"/>
  <c r="AG166" i="1" s="1"/>
  <c r="AD166" i="1"/>
  <c r="AF166" i="1" s="1"/>
  <c r="AH166" i="1" s="1"/>
  <c r="AL165" i="1"/>
  <c r="AK165" i="1"/>
  <c r="AE165" i="1"/>
  <c r="AG165" i="1" s="1"/>
  <c r="AD165" i="1"/>
  <c r="AF165" i="1" s="1"/>
  <c r="AH165" i="1" s="1"/>
  <c r="AL164" i="1"/>
  <c r="AK164" i="1"/>
  <c r="AE164" i="1"/>
  <c r="AG164" i="1" s="1"/>
  <c r="AD164" i="1"/>
  <c r="AF164" i="1" s="1"/>
  <c r="AH164" i="1" s="1"/>
  <c r="AL163" i="1"/>
  <c r="AK163" i="1"/>
  <c r="AE163" i="1"/>
  <c r="AG163" i="1" s="1"/>
  <c r="AD163" i="1"/>
  <c r="AF163" i="1" s="1"/>
  <c r="AH163" i="1" s="1"/>
  <c r="AL162" i="1"/>
  <c r="AK162" i="1"/>
  <c r="AE162" i="1"/>
  <c r="AG162" i="1" s="1"/>
  <c r="AD162" i="1"/>
  <c r="AF162" i="1" s="1"/>
  <c r="AH162" i="1" s="1"/>
  <c r="AL161" i="1"/>
  <c r="AK161" i="1"/>
  <c r="AE161" i="1"/>
  <c r="AG161" i="1" s="1"/>
  <c r="AD161" i="1"/>
  <c r="AF161" i="1" s="1"/>
  <c r="AH161" i="1" s="1"/>
  <c r="AL160" i="1"/>
  <c r="AK160" i="1"/>
  <c r="AE160" i="1"/>
  <c r="AG160" i="1" s="1"/>
  <c r="AD160" i="1"/>
  <c r="AF160" i="1" s="1"/>
  <c r="AH160" i="1" s="1"/>
  <c r="AL107" i="1"/>
  <c r="AK107" i="1"/>
  <c r="AE107" i="1"/>
  <c r="AG107" i="1" s="1"/>
  <c r="AD107" i="1"/>
  <c r="AF107" i="1" s="1"/>
  <c r="AH107" i="1" s="1"/>
  <c r="AL106" i="1"/>
  <c r="AK106" i="1"/>
  <c r="AE106" i="1"/>
  <c r="AG106" i="1" s="1"/>
  <c r="AD106" i="1"/>
  <c r="AF106" i="1" s="1"/>
  <c r="AH106" i="1" s="1"/>
  <c r="AL105" i="1"/>
  <c r="AK105" i="1"/>
  <c r="AE105" i="1"/>
  <c r="AG105" i="1" s="1"/>
  <c r="AD105" i="1"/>
  <c r="AF105" i="1" s="1"/>
  <c r="AH105" i="1" s="1"/>
  <c r="AL104" i="1"/>
  <c r="AK104" i="1"/>
  <c r="AE104" i="1"/>
  <c r="AG104" i="1" s="1"/>
  <c r="AD104" i="1"/>
  <c r="AF104" i="1" s="1"/>
  <c r="AH104" i="1" s="1"/>
  <c r="AL103" i="1"/>
  <c r="AK103" i="1"/>
  <c r="AE103" i="1"/>
  <c r="AG103" i="1" s="1"/>
  <c r="AD103" i="1"/>
  <c r="AF103" i="1" s="1"/>
  <c r="AH103" i="1" s="1"/>
  <c r="AL102" i="1"/>
  <c r="AK102" i="1"/>
  <c r="AE102" i="1"/>
  <c r="AG102" i="1" s="1"/>
  <c r="AD102" i="1"/>
  <c r="AF102" i="1" s="1"/>
  <c r="AH102" i="1" s="1"/>
  <c r="AL101" i="1"/>
  <c r="AK101" i="1"/>
  <c r="AE101" i="1"/>
  <c r="AG101" i="1" s="1"/>
  <c r="AD101" i="1"/>
  <c r="AF101" i="1" s="1"/>
  <c r="AH101" i="1" s="1"/>
  <c r="AL100" i="1"/>
  <c r="AK100" i="1"/>
  <c r="AE100" i="1"/>
  <c r="AG100" i="1" s="1"/>
  <c r="AD100" i="1"/>
  <c r="AF100" i="1" s="1"/>
  <c r="AH100" i="1" s="1"/>
  <c r="AL99" i="1"/>
  <c r="AK99" i="1"/>
  <c r="AE99" i="1"/>
  <c r="AG99" i="1" s="1"/>
  <c r="AD99" i="1"/>
  <c r="AF99" i="1" s="1"/>
  <c r="AH99" i="1" s="1"/>
  <c r="AL98" i="1"/>
  <c r="AK98" i="1"/>
  <c r="AE98" i="1"/>
  <c r="AG98" i="1" s="1"/>
  <c r="AD98" i="1"/>
  <c r="AF98" i="1" s="1"/>
  <c r="AH98" i="1" s="1"/>
  <c r="AL97" i="1"/>
  <c r="AK97" i="1"/>
  <c r="AE97" i="1"/>
  <c r="AG97" i="1" s="1"/>
  <c r="AD97" i="1"/>
  <c r="AF97" i="1" s="1"/>
  <c r="AH97" i="1" s="1"/>
  <c r="AL96" i="1"/>
  <c r="AK96" i="1"/>
  <c r="AE96" i="1"/>
  <c r="AG96" i="1" s="1"/>
  <c r="AD96" i="1"/>
  <c r="AF96" i="1" s="1"/>
  <c r="AH96" i="1" s="1"/>
  <c r="AL95" i="1"/>
  <c r="AK95" i="1"/>
  <c r="AE95" i="1"/>
  <c r="AG95" i="1" s="1"/>
  <c r="AD95" i="1"/>
  <c r="AF95" i="1" s="1"/>
  <c r="AH95" i="1" s="1"/>
  <c r="AL94" i="1"/>
  <c r="AK94" i="1"/>
  <c r="AE94" i="1"/>
  <c r="AG94" i="1" s="1"/>
  <c r="AD94" i="1"/>
  <c r="AF94" i="1" s="1"/>
  <c r="AH94" i="1" s="1"/>
  <c r="AL93" i="1"/>
  <c r="AK93" i="1"/>
  <c r="AE93" i="1"/>
  <c r="AG93" i="1" s="1"/>
  <c r="AD93" i="1"/>
  <c r="AF93" i="1" s="1"/>
  <c r="AH93" i="1" s="1"/>
  <c r="AL92" i="1"/>
  <c r="AK92" i="1"/>
  <c r="AE92" i="1"/>
  <c r="AG92" i="1" s="1"/>
  <c r="AD92" i="1"/>
  <c r="AF92" i="1" s="1"/>
  <c r="AH92" i="1" s="1"/>
  <c r="AL91" i="1"/>
  <c r="AK91" i="1"/>
  <c r="AE91" i="1"/>
  <c r="AG91" i="1" s="1"/>
  <c r="AD91" i="1"/>
  <c r="AF91" i="1" s="1"/>
  <c r="AH91" i="1" s="1"/>
  <c r="AL90" i="1"/>
  <c r="AK90" i="1"/>
  <c r="AE90" i="1"/>
  <c r="AG90" i="1" s="1"/>
  <c r="AD90" i="1"/>
  <c r="AF90" i="1" s="1"/>
  <c r="AH90" i="1" s="1"/>
  <c r="AL89" i="1"/>
  <c r="AK89" i="1"/>
  <c r="AE89" i="1"/>
  <c r="AG89" i="1" s="1"/>
  <c r="AD89" i="1"/>
  <c r="AF89" i="1" s="1"/>
  <c r="AH89" i="1" s="1"/>
  <c r="AL88" i="1"/>
  <c r="AK88" i="1"/>
  <c r="AE88" i="1"/>
  <c r="AG88" i="1" s="1"/>
  <c r="AD88" i="1"/>
  <c r="AF88" i="1" s="1"/>
  <c r="AH88" i="1" s="1"/>
  <c r="AL87" i="1"/>
  <c r="AK87" i="1"/>
  <c r="AE87" i="1"/>
  <c r="AG87" i="1" s="1"/>
  <c r="AD87" i="1"/>
  <c r="AF87" i="1" s="1"/>
  <c r="AH87" i="1" s="1"/>
  <c r="AL86" i="1"/>
  <c r="AK86" i="1"/>
  <c r="AE86" i="1"/>
  <c r="AG86" i="1" s="1"/>
  <c r="AD86" i="1"/>
  <c r="AF86" i="1" s="1"/>
  <c r="AH86" i="1" s="1"/>
  <c r="AL85" i="1"/>
  <c r="AK85" i="1"/>
  <c r="AE85" i="1"/>
  <c r="AG85" i="1" s="1"/>
  <c r="AD85" i="1"/>
  <c r="AF85" i="1" s="1"/>
  <c r="AH85" i="1" s="1"/>
  <c r="AL84" i="1"/>
  <c r="AK84" i="1"/>
  <c r="AE84" i="1"/>
  <c r="AG84" i="1" s="1"/>
  <c r="AD84" i="1"/>
  <c r="AF84" i="1" s="1"/>
  <c r="AH84" i="1" s="1"/>
  <c r="AL83" i="1"/>
  <c r="AK83" i="1"/>
  <c r="AE83" i="1"/>
  <c r="AG83" i="1" s="1"/>
  <c r="AD83" i="1"/>
  <c r="AF83" i="1" s="1"/>
  <c r="AH83" i="1" s="1"/>
  <c r="AL82" i="1"/>
  <c r="AK82" i="1"/>
  <c r="AE82" i="1"/>
  <c r="AG82" i="1" s="1"/>
  <c r="AD82" i="1"/>
  <c r="AF82" i="1" s="1"/>
  <c r="AH82" i="1" s="1"/>
  <c r="AL81" i="1"/>
  <c r="AK81" i="1"/>
  <c r="AE81" i="1"/>
  <c r="AG81" i="1" s="1"/>
  <c r="AD81" i="1"/>
  <c r="AF81" i="1" s="1"/>
  <c r="AH81" i="1" s="1"/>
  <c r="AL80" i="1"/>
  <c r="AK80" i="1"/>
  <c r="AE80" i="1"/>
  <c r="AG80" i="1" s="1"/>
  <c r="AD80" i="1"/>
  <c r="AF80" i="1" s="1"/>
  <c r="AH80" i="1" s="1"/>
  <c r="AL79" i="1"/>
  <c r="AK79" i="1"/>
  <c r="AE79" i="1"/>
  <c r="AG79" i="1" s="1"/>
  <c r="AD79" i="1"/>
  <c r="AF79" i="1" s="1"/>
  <c r="AH79" i="1" s="1"/>
  <c r="AL78" i="1"/>
  <c r="AK78" i="1"/>
  <c r="AE78" i="1"/>
  <c r="AG78" i="1" s="1"/>
  <c r="AD78" i="1"/>
  <c r="AF78" i="1" s="1"/>
  <c r="AH78" i="1" s="1"/>
  <c r="AL77" i="1"/>
  <c r="AK77" i="1"/>
  <c r="AE77" i="1"/>
  <c r="AG77" i="1" s="1"/>
  <c r="AD77" i="1"/>
  <c r="AF77" i="1" s="1"/>
  <c r="AH77" i="1" s="1"/>
  <c r="AL76" i="1"/>
  <c r="AK76" i="1"/>
  <c r="AE76" i="1"/>
  <c r="AG76" i="1" s="1"/>
  <c r="AD76" i="1"/>
  <c r="AF76" i="1" s="1"/>
  <c r="AH76" i="1" s="1"/>
  <c r="AL75" i="1"/>
  <c r="AK75" i="1"/>
  <c r="AE75" i="1"/>
  <c r="AG75" i="1" s="1"/>
  <c r="AD75" i="1"/>
  <c r="AF75" i="1" s="1"/>
  <c r="AH75" i="1" s="1"/>
  <c r="AL74" i="1"/>
  <c r="AK74" i="1"/>
  <c r="AE74" i="1"/>
  <c r="AG74" i="1" s="1"/>
  <c r="AD74" i="1"/>
  <c r="AF74" i="1" s="1"/>
  <c r="AH74" i="1" s="1"/>
  <c r="AL73" i="1"/>
  <c r="AK73" i="1"/>
  <c r="AE73" i="1"/>
  <c r="AG73" i="1" s="1"/>
  <c r="AD73" i="1"/>
  <c r="AF73" i="1" s="1"/>
  <c r="AH73" i="1" s="1"/>
  <c r="AL72" i="1"/>
  <c r="AK72" i="1"/>
  <c r="AE72" i="1"/>
  <c r="AG72" i="1" s="1"/>
  <c r="AD72" i="1"/>
  <c r="AF72" i="1" s="1"/>
  <c r="AH72" i="1" s="1"/>
  <c r="AL71" i="1"/>
  <c r="AK71" i="1"/>
  <c r="AE71" i="1"/>
  <c r="AG71" i="1" s="1"/>
  <c r="AD71" i="1"/>
  <c r="AF71" i="1" s="1"/>
  <c r="AH71" i="1" s="1"/>
  <c r="AL70" i="1"/>
  <c r="AK70" i="1"/>
  <c r="AE70" i="1"/>
  <c r="AG70" i="1" s="1"/>
  <c r="AD70" i="1"/>
  <c r="AF70" i="1" s="1"/>
  <c r="AH70" i="1" s="1"/>
  <c r="AL69" i="1"/>
  <c r="AK69" i="1"/>
  <c r="AE69" i="1"/>
  <c r="AG69" i="1" s="1"/>
  <c r="AD69" i="1"/>
  <c r="AF69" i="1" s="1"/>
  <c r="AH69" i="1" s="1"/>
  <c r="AL68" i="1"/>
  <c r="AK68" i="1"/>
  <c r="AE68" i="1"/>
  <c r="AG68" i="1" s="1"/>
  <c r="AD68" i="1"/>
  <c r="AF68" i="1" s="1"/>
  <c r="AH68" i="1" s="1"/>
  <c r="AL67" i="1"/>
  <c r="AK67" i="1"/>
  <c r="AE67" i="1"/>
  <c r="AG67" i="1" s="1"/>
  <c r="AD67" i="1"/>
  <c r="AF67" i="1" s="1"/>
  <c r="AH67" i="1" s="1"/>
  <c r="AL66" i="1"/>
  <c r="AK66" i="1"/>
  <c r="AE66" i="1"/>
  <c r="AG66" i="1" s="1"/>
  <c r="AD66" i="1"/>
  <c r="AF66" i="1" s="1"/>
  <c r="AH66" i="1" s="1"/>
  <c r="AL65" i="1"/>
  <c r="AK65" i="1"/>
  <c r="AE65" i="1"/>
  <c r="AG65" i="1" s="1"/>
  <c r="AD65" i="1"/>
  <c r="AF65" i="1" s="1"/>
  <c r="AH65" i="1" s="1"/>
  <c r="AL64" i="1"/>
  <c r="AK64" i="1"/>
  <c r="AE64" i="1"/>
  <c r="AG64" i="1" s="1"/>
  <c r="AD64" i="1"/>
  <c r="AF64" i="1" s="1"/>
  <c r="AH64" i="1" s="1"/>
  <c r="AL63" i="1"/>
  <c r="AK63" i="1"/>
  <c r="AE63" i="1"/>
  <c r="AG63" i="1" s="1"/>
  <c r="AD63" i="1"/>
  <c r="AF63" i="1" s="1"/>
  <c r="AH63" i="1" s="1"/>
  <c r="AL62" i="1"/>
  <c r="AK62" i="1"/>
  <c r="AE62" i="1"/>
  <c r="AG62" i="1" s="1"/>
  <c r="AD62" i="1"/>
  <c r="AF62" i="1" s="1"/>
  <c r="AH62" i="1" s="1"/>
  <c r="AL61" i="1"/>
  <c r="AK61" i="1"/>
  <c r="AE61" i="1"/>
  <c r="AG61" i="1" s="1"/>
  <c r="AD61" i="1"/>
  <c r="AF61" i="1" s="1"/>
  <c r="AH61" i="1" s="1"/>
  <c r="AL60" i="1"/>
  <c r="AK60" i="1"/>
  <c r="AE60" i="1"/>
  <c r="AG60" i="1" s="1"/>
  <c r="AD60" i="1"/>
  <c r="AF60" i="1" s="1"/>
  <c r="AH60" i="1" s="1"/>
  <c r="AL59" i="1"/>
  <c r="AK59" i="1"/>
  <c r="AE59" i="1"/>
  <c r="AG59" i="1" s="1"/>
  <c r="AD59" i="1"/>
  <c r="AF59" i="1" s="1"/>
  <c r="AH59" i="1" s="1"/>
  <c r="AL58" i="1"/>
  <c r="AK58" i="1"/>
  <c r="AE58" i="1"/>
  <c r="AG58" i="1" s="1"/>
  <c r="AD58" i="1"/>
  <c r="AF58" i="1" s="1"/>
  <c r="AH58" i="1" s="1"/>
  <c r="AL57" i="1"/>
  <c r="AK57" i="1"/>
  <c r="AE57" i="1"/>
  <c r="AG57" i="1" s="1"/>
  <c r="AD57" i="1"/>
  <c r="AF57" i="1" s="1"/>
  <c r="AH57" i="1" s="1"/>
  <c r="AL56" i="1"/>
  <c r="AK56" i="1"/>
  <c r="AE56" i="1"/>
  <c r="AG56" i="1" s="1"/>
  <c r="AD56" i="1"/>
  <c r="AF56" i="1" s="1"/>
  <c r="AH56" i="1" s="1"/>
  <c r="AL55" i="1"/>
  <c r="AK55" i="1"/>
  <c r="AE55" i="1"/>
  <c r="AG55" i="1" s="1"/>
  <c r="AD55" i="1"/>
  <c r="AF55" i="1" s="1"/>
  <c r="AH55" i="1" s="1"/>
  <c r="AL54" i="1"/>
  <c r="AK54" i="1"/>
  <c r="AE54" i="1"/>
  <c r="AG54" i="1" s="1"/>
  <c r="AD54" i="1"/>
  <c r="AF54" i="1" s="1"/>
  <c r="AH54" i="1" s="1"/>
  <c r="AL53" i="1"/>
  <c r="AK53" i="1"/>
  <c r="AE53" i="1"/>
  <c r="AG53" i="1" s="1"/>
  <c r="AD53" i="1"/>
  <c r="AF53" i="1" s="1"/>
  <c r="AH53" i="1" s="1"/>
  <c r="AL52" i="1"/>
  <c r="AK52" i="1"/>
  <c r="AE52" i="1"/>
  <c r="AG52" i="1" s="1"/>
  <c r="AD52" i="1"/>
  <c r="AF52" i="1" s="1"/>
  <c r="AH52" i="1" s="1"/>
  <c r="AL51" i="1"/>
  <c r="AK51" i="1"/>
  <c r="AE51" i="1"/>
  <c r="AG51" i="1" s="1"/>
  <c r="AD51" i="1"/>
  <c r="AF51" i="1" s="1"/>
  <c r="AH51" i="1" s="1"/>
  <c r="AL50" i="1"/>
  <c r="AK50" i="1"/>
  <c r="AE50" i="1"/>
  <c r="AG50" i="1" s="1"/>
  <c r="AD50" i="1"/>
  <c r="AF50" i="1" s="1"/>
  <c r="AH50" i="1" s="1"/>
  <c r="AL49" i="1"/>
  <c r="AK49" i="1"/>
  <c r="AE49" i="1"/>
  <c r="AG49" i="1" s="1"/>
  <c r="AD49" i="1"/>
  <c r="AF49" i="1" s="1"/>
  <c r="AH49" i="1" s="1"/>
  <c r="AL48" i="1"/>
  <c r="AK48" i="1"/>
  <c r="AE48" i="1"/>
  <c r="AG48" i="1" s="1"/>
  <c r="AD48" i="1"/>
  <c r="AF48" i="1" s="1"/>
  <c r="AH48" i="1" s="1"/>
  <c r="AL47" i="1"/>
  <c r="AK47" i="1"/>
  <c r="AE47" i="1"/>
  <c r="AG47" i="1" s="1"/>
  <c r="AD47" i="1"/>
  <c r="AF47" i="1" s="1"/>
  <c r="AH47" i="1" s="1"/>
  <c r="AL46" i="1"/>
  <c r="AK46" i="1"/>
  <c r="AE46" i="1"/>
  <c r="AG46" i="1" s="1"/>
  <c r="AD46" i="1"/>
  <c r="AF46" i="1" s="1"/>
  <c r="AH46" i="1" s="1"/>
  <c r="AL45" i="1"/>
  <c r="AK45" i="1"/>
  <c r="AE45" i="1"/>
  <c r="AG45" i="1" s="1"/>
  <c r="AD45" i="1"/>
  <c r="AF45" i="1" s="1"/>
  <c r="AH45" i="1" s="1"/>
  <c r="AL44" i="1"/>
  <c r="AK44" i="1"/>
  <c r="AE44" i="1"/>
  <c r="AG44" i="1" s="1"/>
  <c r="AD44" i="1"/>
  <c r="AF44" i="1" s="1"/>
  <c r="AH44" i="1" s="1"/>
  <c r="AL43" i="1"/>
  <c r="AK43" i="1"/>
  <c r="AE43" i="1"/>
  <c r="AG43" i="1" s="1"/>
  <c r="AD43" i="1"/>
  <c r="AF43" i="1" s="1"/>
  <c r="AH43" i="1" s="1"/>
  <c r="AL42" i="1"/>
  <c r="AK42" i="1"/>
  <c r="AE42" i="1"/>
  <c r="AG42" i="1" s="1"/>
  <c r="AD42" i="1"/>
  <c r="AF42" i="1" s="1"/>
  <c r="AH42" i="1" s="1"/>
  <c r="AL41" i="1"/>
  <c r="AK41" i="1"/>
  <c r="AE41" i="1"/>
  <c r="AG41" i="1" s="1"/>
  <c r="AD41" i="1"/>
  <c r="AF41" i="1" s="1"/>
  <c r="AH41" i="1" s="1"/>
  <c r="AL40" i="1"/>
  <c r="AK40" i="1"/>
  <c r="AE40" i="1"/>
  <c r="AG40" i="1" s="1"/>
  <c r="AD40" i="1"/>
  <c r="AF40" i="1" s="1"/>
  <c r="AH40" i="1" s="1"/>
  <c r="AL39" i="1"/>
  <c r="AK39" i="1"/>
  <c r="AE39" i="1"/>
  <c r="AG39" i="1" s="1"/>
  <c r="AD39" i="1"/>
  <c r="AF39" i="1" s="1"/>
  <c r="AH39" i="1" s="1"/>
  <c r="AL38" i="1"/>
  <c r="AK38" i="1"/>
  <c r="AE38" i="1"/>
  <c r="AG38" i="1" s="1"/>
  <c r="AD38" i="1"/>
  <c r="AF38" i="1" s="1"/>
  <c r="AH38" i="1" s="1"/>
  <c r="AL37" i="1"/>
  <c r="AK37" i="1"/>
  <c r="AE37" i="1"/>
  <c r="AG37" i="1" s="1"/>
  <c r="AD37" i="1"/>
  <c r="AF37" i="1" s="1"/>
  <c r="AH37" i="1" s="1"/>
  <c r="AL36" i="1"/>
  <c r="AK36" i="1"/>
  <c r="AE36" i="1"/>
  <c r="AG36" i="1" s="1"/>
  <c r="AD36" i="1"/>
  <c r="AF36" i="1" s="1"/>
  <c r="AH36" i="1" s="1"/>
  <c r="AL35" i="1"/>
  <c r="AK35" i="1"/>
  <c r="AE35" i="1"/>
  <c r="AG35" i="1" s="1"/>
  <c r="AD35" i="1"/>
  <c r="AF35" i="1" s="1"/>
  <c r="AH35" i="1" s="1"/>
  <c r="AL34" i="1"/>
  <c r="AK34" i="1"/>
  <c r="AE34" i="1"/>
  <c r="AG34" i="1" s="1"/>
  <c r="AD34" i="1"/>
  <c r="AF34" i="1" s="1"/>
  <c r="AH34" i="1" s="1"/>
  <c r="AL33" i="1"/>
  <c r="AK33" i="1"/>
  <c r="AE33" i="1"/>
  <c r="AG33" i="1" s="1"/>
  <c r="AD33" i="1"/>
  <c r="AF33" i="1" s="1"/>
  <c r="AH33" i="1" s="1"/>
  <c r="AL32" i="1"/>
  <c r="AK32" i="1"/>
  <c r="AE32" i="1"/>
  <c r="AG32" i="1" s="1"/>
  <c r="AD32" i="1"/>
  <c r="AF32" i="1" s="1"/>
  <c r="AH32" i="1" s="1"/>
  <c r="AL31" i="1"/>
  <c r="AK31" i="1"/>
  <c r="AE31" i="1"/>
  <c r="AG31" i="1" s="1"/>
  <c r="AD31" i="1"/>
  <c r="AF31" i="1" s="1"/>
  <c r="AH31" i="1" s="1"/>
  <c r="AL30" i="1"/>
  <c r="AK30" i="1"/>
  <c r="AE30" i="1"/>
  <c r="AG30" i="1" s="1"/>
  <c r="AD30" i="1"/>
  <c r="AF30" i="1" s="1"/>
  <c r="AH30" i="1" s="1"/>
  <c r="AL29" i="1"/>
  <c r="AK29" i="1"/>
  <c r="AE29" i="1"/>
  <c r="AG29" i="1" s="1"/>
  <c r="AD29" i="1"/>
  <c r="AF29" i="1" s="1"/>
  <c r="AH29" i="1" s="1"/>
  <c r="AL28" i="1"/>
  <c r="AK28" i="1"/>
  <c r="AE28" i="1"/>
  <c r="AG28" i="1" s="1"/>
  <c r="AD28" i="1"/>
  <c r="AF28" i="1" s="1"/>
  <c r="AH28" i="1" s="1"/>
  <c r="AL27" i="1"/>
  <c r="AK27" i="1"/>
  <c r="AE27" i="1"/>
  <c r="AG27" i="1" s="1"/>
  <c r="AD27" i="1"/>
  <c r="AF27" i="1" s="1"/>
  <c r="AH27" i="1" s="1"/>
  <c r="AL26" i="1"/>
  <c r="AK26" i="1"/>
  <c r="AE26" i="1"/>
  <c r="AG26" i="1" s="1"/>
  <c r="AD26" i="1"/>
  <c r="AF26" i="1" s="1"/>
  <c r="AH26" i="1" s="1"/>
  <c r="AL25" i="1"/>
  <c r="AK25" i="1"/>
  <c r="AE25" i="1"/>
  <c r="AG25" i="1" s="1"/>
  <c r="AD25" i="1"/>
  <c r="AF25" i="1" s="1"/>
  <c r="AH25" i="1" s="1"/>
  <c r="AL24" i="1"/>
  <c r="AK24" i="1"/>
  <c r="AE24" i="1"/>
  <c r="AG24" i="1" s="1"/>
  <c r="AD24" i="1"/>
  <c r="AF24" i="1" s="1"/>
  <c r="AH24" i="1" s="1"/>
  <c r="AL23" i="1"/>
  <c r="AK23" i="1"/>
  <c r="AE23" i="1"/>
  <c r="AG23" i="1" s="1"/>
  <c r="AD23" i="1"/>
  <c r="AF23" i="1" s="1"/>
  <c r="AH23" i="1" s="1"/>
  <c r="AL22" i="1"/>
  <c r="AK22" i="1"/>
  <c r="AE22" i="1"/>
  <c r="AG22" i="1" s="1"/>
  <c r="AD22" i="1"/>
  <c r="AF22" i="1" s="1"/>
  <c r="AH22" i="1" s="1"/>
  <c r="AL21" i="1"/>
  <c r="AK21" i="1"/>
  <c r="AE21" i="1"/>
  <c r="AG21" i="1" s="1"/>
  <c r="AD21" i="1"/>
  <c r="AF21" i="1" s="1"/>
  <c r="AH21" i="1" s="1"/>
  <c r="AL20" i="1"/>
  <c r="AK20" i="1"/>
  <c r="AE20" i="1"/>
  <c r="AG20" i="1" s="1"/>
  <c r="AD20" i="1"/>
  <c r="AF20" i="1" s="1"/>
  <c r="AH20" i="1" s="1"/>
  <c r="AL19" i="1"/>
  <c r="AK19" i="1"/>
  <c r="AE19" i="1"/>
  <c r="AG19" i="1" s="1"/>
  <c r="AD19" i="1"/>
  <c r="AF19" i="1" s="1"/>
  <c r="AH19" i="1" s="1"/>
  <c r="AL18" i="1"/>
  <c r="AK18" i="1"/>
  <c r="AE18" i="1"/>
  <c r="AG18" i="1" s="1"/>
  <c r="AD18" i="1"/>
  <c r="AF18" i="1" s="1"/>
  <c r="AH18" i="1" s="1"/>
  <c r="AL17" i="1"/>
  <c r="AK17" i="1"/>
  <c r="AE17" i="1"/>
  <c r="AG17" i="1" s="1"/>
  <c r="AD17" i="1"/>
  <c r="AF17" i="1" s="1"/>
  <c r="AH17" i="1" s="1"/>
  <c r="AL16" i="1"/>
  <c r="AK16" i="1"/>
  <c r="AE16" i="1"/>
  <c r="AG16" i="1" s="1"/>
  <c r="AD16" i="1"/>
  <c r="AF16" i="1" s="1"/>
  <c r="AH16" i="1" s="1"/>
  <c r="AL15" i="1"/>
  <c r="AK15" i="1"/>
  <c r="AE15" i="1"/>
  <c r="AG15" i="1" s="1"/>
  <c r="AD15" i="1"/>
  <c r="AF15" i="1" s="1"/>
  <c r="AH15" i="1" s="1"/>
  <c r="AL14" i="1"/>
  <c r="AK14" i="1"/>
  <c r="AE14" i="1"/>
  <c r="AG14" i="1" s="1"/>
  <c r="AD14" i="1"/>
  <c r="AF14" i="1" s="1"/>
  <c r="AH14" i="1" s="1"/>
  <c r="AL13" i="1"/>
  <c r="AK13" i="1"/>
  <c r="AE13" i="1"/>
  <c r="AG13" i="1" s="1"/>
  <c r="AD13" i="1"/>
  <c r="AF13" i="1" s="1"/>
  <c r="AH13" i="1" s="1"/>
  <c r="AL12" i="1"/>
  <c r="AK12" i="1"/>
  <c r="AE12" i="1"/>
  <c r="AG12" i="1" s="1"/>
  <c r="AD12" i="1"/>
  <c r="AF12" i="1" s="1"/>
  <c r="AH12" i="1" s="1"/>
  <c r="AL11" i="1"/>
  <c r="AK11" i="1"/>
  <c r="AE11" i="1"/>
  <c r="AG11" i="1" s="1"/>
  <c r="AD11" i="1"/>
  <c r="AF11" i="1" s="1"/>
  <c r="AH11" i="1" s="1"/>
  <c r="AL10" i="1"/>
  <c r="AK10" i="1"/>
  <c r="AE10" i="1"/>
  <c r="AG10" i="1" s="1"/>
  <c r="AD10" i="1"/>
  <c r="AF10" i="1" s="1"/>
  <c r="AH10" i="1" s="1"/>
  <c r="AL9" i="1"/>
  <c r="AK9" i="1"/>
  <c r="AE9" i="1"/>
  <c r="AG9" i="1" s="1"/>
  <c r="AD9" i="1"/>
  <c r="AF9" i="1" s="1"/>
  <c r="AH9" i="1" s="1"/>
  <c r="AL8" i="1"/>
  <c r="AK8" i="1"/>
  <c r="AE8" i="1"/>
  <c r="AG8" i="1" s="1"/>
  <c r="AD8" i="1"/>
  <c r="AF8" i="1" s="1"/>
  <c r="AH8" i="1" s="1"/>
  <c r="AL7" i="1"/>
  <c r="AK7" i="1"/>
  <c r="AE7" i="1"/>
  <c r="AG7" i="1" s="1"/>
  <c r="AD7" i="1"/>
  <c r="AF7" i="1" s="1"/>
  <c r="AH7" i="1" s="1"/>
  <c r="AL6" i="1"/>
  <c r="AE6" i="1"/>
  <c r="AG6" i="1" s="1"/>
  <c r="AD6" i="1"/>
  <c r="AF6" i="1" s="1"/>
  <c r="AH6" i="1" s="1"/>
  <c r="AL5" i="1"/>
  <c r="AE5" i="1"/>
  <c r="AG5" i="1" s="1"/>
  <c r="AD5" i="1"/>
  <c r="AF5" i="1" s="1"/>
  <c r="AH5" i="1" s="1"/>
  <c r="AL4" i="1"/>
  <c r="AE4" i="1"/>
  <c r="AG4" i="1" s="1"/>
  <c r="AD4" i="1"/>
  <c r="AF4" i="1" s="1"/>
  <c r="AH4" i="1" s="1"/>
  <c r="AL159" i="1"/>
  <c r="AK159" i="1"/>
  <c r="AE159" i="1"/>
  <c r="AG159" i="1" s="1"/>
  <c r="AD159" i="1"/>
  <c r="AF159" i="1" s="1"/>
  <c r="AH159" i="1" s="1"/>
  <c r="AL158" i="1"/>
  <c r="AK158" i="1"/>
  <c r="AE158" i="1"/>
  <c r="AG158" i="1" s="1"/>
  <c r="AD158" i="1"/>
  <c r="AF158" i="1" s="1"/>
  <c r="AH158" i="1" s="1"/>
  <c r="AL157" i="1"/>
  <c r="AK157" i="1"/>
  <c r="AE157" i="1"/>
  <c r="AG157" i="1" s="1"/>
  <c r="AD157" i="1"/>
  <c r="AF157" i="1" s="1"/>
  <c r="AH157" i="1" s="1"/>
  <c r="AL156" i="1"/>
  <c r="AK156" i="1"/>
  <c r="AE156" i="1"/>
  <c r="AG156" i="1" s="1"/>
  <c r="AD156" i="1"/>
  <c r="AF156" i="1" s="1"/>
  <c r="AH156" i="1" s="1"/>
  <c r="AL155" i="1"/>
  <c r="AK155" i="1"/>
  <c r="AE155" i="1"/>
  <c r="AG155" i="1" s="1"/>
  <c r="AD155" i="1"/>
  <c r="AF155" i="1" s="1"/>
  <c r="AH155" i="1" s="1"/>
  <c r="AL154" i="1"/>
  <c r="AK154" i="1"/>
  <c r="AE154" i="1"/>
  <c r="AG154" i="1" s="1"/>
  <c r="AD154" i="1"/>
  <c r="AF154" i="1" s="1"/>
  <c r="AH154" i="1" s="1"/>
  <c r="AL153" i="1"/>
  <c r="AK153" i="1"/>
  <c r="AE153" i="1"/>
  <c r="AG153" i="1" s="1"/>
  <c r="AD153" i="1"/>
  <c r="AF153" i="1" s="1"/>
  <c r="AH153" i="1" s="1"/>
  <c r="AL152" i="1"/>
  <c r="AK152" i="1"/>
  <c r="AE152" i="1"/>
  <c r="AG152" i="1" s="1"/>
  <c r="AD152" i="1"/>
  <c r="AF152" i="1" s="1"/>
  <c r="AH152" i="1" s="1"/>
  <c r="AL151" i="1"/>
  <c r="AK151" i="1"/>
  <c r="AE151" i="1"/>
  <c r="AG151" i="1" s="1"/>
  <c r="AD151" i="1"/>
  <c r="AF151" i="1" s="1"/>
  <c r="AH151" i="1" s="1"/>
  <c r="AK325" i="1" l="1"/>
  <c r="AJ307" i="1"/>
  <c r="AF317" i="1"/>
  <c r="AH317" i="1" s="1"/>
  <c r="AG335" i="1"/>
  <c r="AG317" i="1"/>
  <c r="AH335" i="1"/>
  <c r="AK317" i="1"/>
  <c r="AF325" i="1"/>
  <c r="AH325" i="1" s="1"/>
  <c r="AJ329" i="1"/>
  <c r="AG325" i="1"/>
  <c r="AI325" i="1" s="1"/>
  <c r="AI335" i="1"/>
  <c r="AJ335" i="1"/>
  <c r="AI331" i="1"/>
  <c r="AJ331" i="1"/>
  <c r="AJ332" i="1"/>
  <c r="AJ328" i="1"/>
  <c r="AI328" i="1"/>
  <c r="AJ333" i="1"/>
  <c r="AI333" i="1"/>
  <c r="AJ330" i="1"/>
  <c r="AI332" i="1"/>
  <c r="AI329" i="1"/>
  <c r="AI330" i="1"/>
  <c r="AJ321" i="1"/>
  <c r="AI321" i="1"/>
  <c r="AJ312" i="1"/>
  <c r="AI312" i="1"/>
  <c r="AJ319" i="1"/>
  <c r="AJ315" i="1"/>
  <c r="AI315" i="1"/>
  <c r="AJ322" i="1"/>
  <c r="AI322" i="1"/>
  <c r="AI310" i="1"/>
  <c r="AJ310" i="1"/>
  <c r="AH311" i="1"/>
  <c r="AJ311" i="1"/>
  <c r="AJ323" i="1"/>
  <c r="AI323" i="1"/>
  <c r="AJ309" i="1"/>
  <c r="AI309" i="1"/>
  <c r="AJ320" i="1"/>
  <c r="AI320" i="1"/>
  <c r="AJ314" i="1"/>
  <c r="AI314" i="1"/>
  <c r="AJ313" i="1"/>
  <c r="AI319" i="1"/>
  <c r="AI305" i="1"/>
  <c r="AJ305" i="1"/>
  <c r="AI304" i="1"/>
  <c r="AJ304" i="1"/>
  <c r="AI302" i="1"/>
  <c r="AJ302" i="1"/>
  <c r="AI301" i="1"/>
  <c r="AJ301" i="1"/>
  <c r="AI300" i="1"/>
  <c r="AJ300" i="1"/>
  <c r="AI299" i="1"/>
  <c r="AJ299" i="1"/>
  <c r="AI298" i="1"/>
  <c r="AJ298" i="1"/>
  <c r="AI297" i="1"/>
  <c r="AJ297" i="1"/>
  <c r="AI296" i="1"/>
  <c r="AJ296" i="1"/>
  <c r="AI295" i="1"/>
  <c r="AJ295" i="1"/>
  <c r="AI294" i="1"/>
  <c r="AJ294" i="1"/>
  <c r="AI293" i="1"/>
  <c r="AJ293" i="1"/>
  <c r="AI292" i="1"/>
  <c r="AJ292" i="1"/>
  <c r="AI291" i="1"/>
  <c r="AJ291" i="1"/>
  <c r="AI290" i="1"/>
  <c r="AJ290" i="1"/>
  <c r="AI289" i="1"/>
  <c r="AJ289" i="1"/>
  <c r="AI288" i="1"/>
  <c r="AJ288" i="1"/>
  <c r="AI287" i="1"/>
  <c r="AJ287" i="1"/>
  <c r="AI286" i="1"/>
  <c r="AJ286" i="1"/>
  <c r="AI285" i="1"/>
  <c r="AJ285" i="1"/>
  <c r="AI284" i="1"/>
  <c r="AJ284" i="1"/>
  <c r="AI283" i="1"/>
  <c r="AJ283" i="1"/>
  <c r="AI282" i="1"/>
  <c r="AJ282" i="1"/>
  <c r="AI281" i="1"/>
  <c r="AJ281" i="1"/>
  <c r="AI280" i="1"/>
  <c r="AJ280" i="1"/>
  <c r="AI279" i="1"/>
  <c r="AJ279" i="1"/>
  <c r="AI278" i="1"/>
  <c r="AJ278" i="1"/>
  <c r="AI277" i="1"/>
  <c r="AJ277" i="1"/>
  <c r="AI276" i="1"/>
  <c r="AJ276" i="1"/>
  <c r="AI275" i="1"/>
  <c r="AJ275" i="1"/>
  <c r="AI274" i="1"/>
  <c r="AJ274" i="1"/>
  <c r="AI273" i="1"/>
  <c r="AJ273" i="1"/>
  <c r="AI272" i="1"/>
  <c r="AJ272" i="1"/>
  <c r="AI271" i="1"/>
  <c r="AJ271" i="1"/>
  <c r="AI270" i="1"/>
  <c r="AJ270" i="1"/>
  <c r="AI269" i="1"/>
  <c r="AJ269" i="1"/>
  <c r="AI268" i="1"/>
  <c r="AJ268" i="1"/>
  <c r="AI267" i="1"/>
  <c r="AJ267" i="1"/>
  <c r="AI266" i="1"/>
  <c r="AJ266" i="1"/>
  <c r="AI265" i="1"/>
  <c r="AJ265" i="1"/>
  <c r="AI264" i="1"/>
  <c r="AJ264" i="1"/>
  <c r="AI263" i="1"/>
  <c r="AJ263" i="1"/>
  <c r="AI262" i="1"/>
  <c r="AJ262" i="1"/>
  <c r="AI261" i="1"/>
  <c r="AJ261" i="1"/>
  <c r="AI260" i="1"/>
  <c r="AJ260" i="1"/>
  <c r="AI259" i="1"/>
  <c r="AJ259" i="1"/>
  <c r="AI258" i="1"/>
  <c r="AJ258" i="1"/>
  <c r="AI257" i="1"/>
  <c r="AJ257" i="1"/>
  <c r="AI256" i="1"/>
  <c r="AJ256" i="1"/>
  <c r="AI255" i="1"/>
  <c r="AJ255" i="1"/>
  <c r="AI254" i="1"/>
  <c r="AJ254" i="1"/>
  <c r="AI253" i="1"/>
  <c r="AJ253" i="1"/>
  <c r="AI252" i="1"/>
  <c r="AJ252" i="1"/>
  <c r="AI251" i="1"/>
  <c r="AJ251" i="1"/>
  <c r="AI250" i="1"/>
  <c r="AJ250" i="1"/>
  <c r="AI249" i="1"/>
  <c r="AJ249" i="1"/>
  <c r="AI248" i="1"/>
  <c r="AJ248" i="1"/>
  <c r="AI247" i="1"/>
  <c r="AJ247" i="1"/>
  <c r="AI246" i="1"/>
  <c r="AJ246" i="1"/>
  <c r="AI245" i="1"/>
  <c r="AJ245" i="1"/>
  <c r="AI244" i="1"/>
  <c r="AJ244" i="1"/>
  <c r="AI243" i="1"/>
  <c r="AJ243" i="1"/>
  <c r="AI242" i="1"/>
  <c r="AJ242" i="1"/>
  <c r="AI241" i="1"/>
  <c r="AJ241" i="1"/>
  <c r="AI240" i="1"/>
  <c r="AJ240" i="1"/>
  <c r="AI239" i="1"/>
  <c r="AJ239" i="1"/>
  <c r="AI238" i="1"/>
  <c r="AJ238" i="1"/>
  <c r="AI237" i="1"/>
  <c r="AJ237" i="1"/>
  <c r="AI236" i="1"/>
  <c r="AJ236" i="1"/>
  <c r="AI235" i="1"/>
  <c r="AJ235" i="1"/>
  <c r="AI234" i="1"/>
  <c r="AJ234" i="1"/>
  <c r="AI233" i="1"/>
  <c r="AJ233" i="1"/>
  <c r="AI232" i="1"/>
  <c r="AJ232" i="1"/>
  <c r="AI231" i="1"/>
  <c r="AJ231" i="1"/>
  <c r="AI230" i="1"/>
  <c r="AJ230" i="1"/>
  <c r="AI229" i="1"/>
  <c r="AJ229" i="1"/>
  <c r="AI228" i="1"/>
  <c r="AJ228" i="1"/>
  <c r="AI227" i="1"/>
  <c r="AJ227" i="1"/>
  <c r="AI226" i="1"/>
  <c r="AJ226" i="1"/>
  <c r="AI225" i="1"/>
  <c r="AJ225" i="1"/>
  <c r="AI224" i="1"/>
  <c r="AJ224" i="1"/>
  <c r="AI223" i="1"/>
  <c r="AJ223" i="1"/>
  <c r="AI222" i="1"/>
  <c r="AJ222" i="1"/>
  <c r="AI221" i="1"/>
  <c r="AJ221" i="1"/>
  <c r="AI220" i="1"/>
  <c r="AJ220" i="1"/>
  <c r="AI219" i="1"/>
  <c r="AJ219" i="1"/>
  <c r="AI218" i="1"/>
  <c r="AJ218" i="1"/>
  <c r="AI217" i="1"/>
  <c r="AJ217" i="1"/>
  <c r="AI216" i="1"/>
  <c r="AJ216" i="1"/>
  <c r="AI215" i="1"/>
  <c r="AJ215" i="1"/>
  <c r="AI214" i="1"/>
  <c r="AJ214" i="1"/>
  <c r="AI213" i="1"/>
  <c r="AJ213" i="1"/>
  <c r="AI212" i="1"/>
  <c r="AJ212" i="1"/>
  <c r="AI211" i="1"/>
  <c r="AJ211" i="1"/>
  <c r="AI210" i="1"/>
  <c r="AJ210" i="1"/>
  <c r="AI209" i="1"/>
  <c r="AJ209" i="1"/>
  <c r="AI208" i="1"/>
  <c r="AJ208" i="1"/>
  <c r="AI207" i="1"/>
  <c r="AJ207" i="1"/>
  <c r="AI206" i="1"/>
  <c r="AJ206" i="1"/>
  <c r="AI205" i="1"/>
  <c r="AJ205" i="1"/>
  <c r="AI204" i="1"/>
  <c r="AJ204" i="1"/>
  <c r="AI203" i="1"/>
  <c r="AJ203" i="1"/>
  <c r="AI202" i="1"/>
  <c r="AJ202" i="1"/>
  <c r="AI201" i="1"/>
  <c r="AJ201" i="1"/>
  <c r="AI200" i="1"/>
  <c r="AJ200" i="1"/>
  <c r="AI199" i="1"/>
  <c r="AJ199" i="1"/>
  <c r="AI198" i="1"/>
  <c r="AJ198" i="1"/>
  <c r="AI197" i="1"/>
  <c r="AJ197" i="1"/>
  <c r="AI196" i="1"/>
  <c r="AJ196" i="1"/>
  <c r="AI195" i="1"/>
  <c r="AJ195" i="1"/>
  <c r="AI194" i="1"/>
  <c r="AJ194" i="1"/>
  <c r="AI193" i="1"/>
  <c r="AJ193" i="1"/>
  <c r="AI192" i="1"/>
  <c r="AJ192" i="1"/>
  <c r="AI191" i="1"/>
  <c r="AJ191" i="1"/>
  <c r="AI190" i="1"/>
  <c r="AJ190" i="1"/>
  <c r="AI189" i="1"/>
  <c r="AJ189" i="1"/>
  <c r="AI188" i="1"/>
  <c r="AJ188" i="1"/>
  <c r="AI187" i="1"/>
  <c r="AJ187" i="1"/>
  <c r="AI186" i="1"/>
  <c r="AJ186" i="1"/>
  <c r="AI185" i="1"/>
  <c r="AJ185" i="1"/>
  <c r="AI184" i="1"/>
  <c r="AJ184" i="1"/>
  <c r="AI183" i="1"/>
  <c r="AJ183" i="1"/>
  <c r="AI182" i="1"/>
  <c r="AJ182" i="1"/>
  <c r="AI181" i="1"/>
  <c r="AJ181" i="1"/>
  <c r="AI180" i="1"/>
  <c r="AJ180" i="1"/>
  <c r="AI179" i="1"/>
  <c r="AJ179" i="1"/>
  <c r="AI178" i="1"/>
  <c r="AJ178" i="1"/>
  <c r="AI177" i="1"/>
  <c r="AJ177" i="1"/>
  <c r="AI176" i="1"/>
  <c r="AJ176" i="1"/>
  <c r="AI175" i="1"/>
  <c r="AJ175" i="1"/>
  <c r="AI174" i="1"/>
  <c r="AJ174" i="1"/>
  <c r="AI173" i="1"/>
  <c r="AJ173" i="1"/>
  <c r="AI172" i="1"/>
  <c r="AJ172" i="1"/>
  <c r="AI171" i="1"/>
  <c r="AJ171" i="1"/>
  <c r="AI170" i="1"/>
  <c r="AJ170" i="1"/>
  <c r="AI169" i="1"/>
  <c r="AJ169" i="1"/>
  <c r="AI168" i="1"/>
  <c r="AJ168" i="1"/>
  <c r="AI167" i="1"/>
  <c r="AJ167" i="1"/>
  <c r="AI166" i="1"/>
  <c r="AJ166" i="1"/>
  <c r="AI165" i="1"/>
  <c r="AJ165" i="1"/>
  <c r="AI164" i="1"/>
  <c r="AJ164" i="1"/>
  <c r="AI163" i="1"/>
  <c r="AJ163" i="1"/>
  <c r="AI162" i="1"/>
  <c r="AJ162" i="1"/>
  <c r="AI161" i="1"/>
  <c r="AJ161" i="1"/>
  <c r="AI160" i="1"/>
  <c r="AJ160" i="1"/>
  <c r="AI107" i="1"/>
  <c r="AJ107" i="1"/>
  <c r="AI106" i="1"/>
  <c r="AJ106" i="1"/>
  <c r="AI105" i="1"/>
  <c r="AJ105" i="1"/>
  <c r="AI104" i="1"/>
  <c r="AJ104" i="1"/>
  <c r="AI103" i="1"/>
  <c r="AJ103" i="1"/>
  <c r="AI102" i="1"/>
  <c r="AJ102" i="1"/>
  <c r="AI101" i="1"/>
  <c r="AJ101" i="1"/>
  <c r="AI100" i="1"/>
  <c r="AJ100" i="1"/>
  <c r="AI99" i="1"/>
  <c r="AJ99" i="1"/>
  <c r="AI98" i="1"/>
  <c r="AJ98" i="1"/>
  <c r="AI97" i="1"/>
  <c r="AJ97" i="1"/>
  <c r="AI96" i="1"/>
  <c r="AJ96" i="1"/>
  <c r="AJ95" i="1"/>
  <c r="AI95" i="1"/>
  <c r="AI94" i="1"/>
  <c r="AJ94" i="1"/>
  <c r="AJ93" i="1"/>
  <c r="AI93" i="1"/>
  <c r="AJ92" i="1"/>
  <c r="AI92" i="1"/>
  <c r="AI91" i="1"/>
  <c r="AJ91" i="1"/>
  <c r="AI90" i="1"/>
  <c r="AJ90" i="1"/>
  <c r="AI89" i="1"/>
  <c r="AJ89" i="1"/>
  <c r="AI88" i="1"/>
  <c r="AJ88" i="1"/>
  <c r="AI87" i="1"/>
  <c r="AJ87" i="1"/>
  <c r="AI86" i="1"/>
  <c r="AJ86" i="1"/>
  <c r="AI85" i="1"/>
  <c r="AJ85" i="1"/>
  <c r="AI84" i="1"/>
  <c r="AJ84" i="1"/>
  <c r="AI83" i="1"/>
  <c r="AJ83" i="1"/>
  <c r="AI82" i="1"/>
  <c r="AJ82" i="1"/>
  <c r="AI81" i="1"/>
  <c r="AJ81" i="1"/>
  <c r="AJ80" i="1"/>
  <c r="AI80" i="1"/>
  <c r="AI79" i="1"/>
  <c r="AJ79" i="1"/>
  <c r="AI78" i="1"/>
  <c r="AJ78" i="1"/>
  <c r="AI77" i="1"/>
  <c r="AJ77" i="1"/>
  <c r="AI76" i="1"/>
  <c r="AJ76" i="1"/>
  <c r="AI75" i="1"/>
  <c r="AJ75" i="1"/>
  <c r="AI74" i="1"/>
  <c r="AJ74" i="1"/>
  <c r="AI73" i="1"/>
  <c r="AJ73" i="1"/>
  <c r="AI72" i="1"/>
  <c r="AJ72" i="1"/>
  <c r="AI71" i="1"/>
  <c r="AJ71" i="1"/>
  <c r="AI70" i="1"/>
  <c r="AJ70" i="1"/>
  <c r="AI69" i="1"/>
  <c r="AJ69" i="1"/>
  <c r="AI68" i="1"/>
  <c r="AJ68" i="1"/>
  <c r="AI67" i="1"/>
  <c r="AJ67" i="1"/>
  <c r="AI66" i="1"/>
  <c r="AJ66" i="1"/>
  <c r="AI65" i="1"/>
  <c r="AJ65" i="1"/>
  <c r="AI64" i="1"/>
  <c r="AJ64" i="1"/>
  <c r="AI63" i="1"/>
  <c r="AJ63" i="1"/>
  <c r="AJ62" i="1"/>
  <c r="AI62" i="1"/>
  <c r="AI61" i="1"/>
  <c r="AJ61" i="1"/>
  <c r="AJ60" i="1"/>
  <c r="AI60" i="1"/>
  <c r="AJ59" i="1"/>
  <c r="AI59" i="1"/>
  <c r="AI58" i="1"/>
  <c r="AJ58" i="1"/>
  <c r="AI57" i="1"/>
  <c r="AJ57" i="1"/>
  <c r="AI56" i="1"/>
  <c r="AJ56" i="1"/>
  <c r="AI55" i="1"/>
  <c r="AJ55" i="1"/>
  <c r="AJ54" i="1"/>
  <c r="AI54" i="1"/>
  <c r="AJ53" i="1"/>
  <c r="AI53" i="1"/>
  <c r="AJ52" i="1"/>
  <c r="AI52" i="1"/>
  <c r="AI51" i="1"/>
  <c r="AJ51" i="1"/>
  <c r="AI50" i="1"/>
  <c r="AJ50" i="1"/>
  <c r="AI49" i="1"/>
  <c r="AJ49" i="1"/>
  <c r="AI48" i="1"/>
  <c r="AJ48" i="1"/>
  <c r="AI47" i="1"/>
  <c r="AJ47" i="1"/>
  <c r="AI46" i="1"/>
  <c r="AJ46" i="1"/>
  <c r="AI45" i="1"/>
  <c r="AJ45" i="1"/>
  <c r="AI44" i="1"/>
  <c r="AJ44" i="1"/>
  <c r="AI43" i="1"/>
  <c r="AJ43" i="1"/>
  <c r="AI42" i="1"/>
  <c r="AJ42" i="1"/>
  <c r="AI41" i="1"/>
  <c r="AJ41" i="1"/>
  <c r="AI40" i="1"/>
  <c r="AJ40" i="1"/>
  <c r="AI39" i="1"/>
  <c r="AJ39" i="1"/>
  <c r="AI38" i="1"/>
  <c r="AJ38" i="1"/>
  <c r="AI37" i="1"/>
  <c r="AJ37" i="1"/>
  <c r="AI36" i="1"/>
  <c r="AJ36" i="1"/>
  <c r="AI35" i="1"/>
  <c r="AJ35" i="1"/>
  <c r="AI34" i="1"/>
  <c r="AJ34" i="1"/>
  <c r="AI33" i="1"/>
  <c r="AJ33" i="1"/>
  <c r="AI32" i="1"/>
  <c r="AJ32" i="1"/>
  <c r="AI31" i="1"/>
  <c r="AJ31" i="1"/>
  <c r="AI30" i="1"/>
  <c r="AJ30" i="1"/>
  <c r="AJ29" i="1"/>
  <c r="AI29" i="1"/>
  <c r="AI28" i="1"/>
  <c r="AJ28" i="1"/>
  <c r="AI27" i="1"/>
  <c r="AJ27" i="1"/>
  <c r="AI26" i="1"/>
  <c r="AJ26" i="1"/>
  <c r="AJ25" i="1"/>
  <c r="AI25" i="1"/>
  <c r="AI24" i="1"/>
  <c r="AJ24" i="1"/>
  <c r="AI23" i="1"/>
  <c r="AJ23" i="1"/>
  <c r="AJ22" i="1"/>
  <c r="AI22" i="1"/>
  <c r="AJ21" i="1"/>
  <c r="AI21" i="1"/>
  <c r="AI20" i="1"/>
  <c r="AJ20" i="1"/>
  <c r="AI19" i="1"/>
  <c r="AJ19" i="1"/>
  <c r="AI18" i="1"/>
  <c r="AJ18" i="1"/>
  <c r="AI17" i="1"/>
  <c r="AJ17" i="1"/>
  <c r="AI16" i="1"/>
  <c r="AJ16" i="1"/>
  <c r="AI15" i="1"/>
  <c r="AJ15" i="1"/>
  <c r="AI14" i="1"/>
  <c r="AJ14" i="1"/>
  <c r="AI13" i="1"/>
  <c r="AJ13" i="1"/>
  <c r="AI12" i="1"/>
  <c r="AJ12" i="1"/>
  <c r="AI11" i="1"/>
  <c r="AJ11" i="1"/>
  <c r="AI10" i="1"/>
  <c r="AJ10" i="1"/>
  <c r="AI9" i="1"/>
  <c r="AJ9" i="1"/>
  <c r="AI8" i="1"/>
  <c r="AJ8" i="1"/>
  <c r="AI7" i="1"/>
  <c r="AJ7" i="1"/>
  <c r="AI6" i="1"/>
  <c r="AJ6" i="1"/>
  <c r="AI5" i="1"/>
  <c r="AJ5" i="1"/>
  <c r="AI4" i="1"/>
  <c r="AJ4" i="1"/>
  <c r="AJ159" i="1"/>
  <c r="AI159" i="1"/>
  <c r="AI158" i="1"/>
  <c r="AJ158" i="1"/>
  <c r="AI157" i="1"/>
  <c r="AJ157" i="1"/>
  <c r="AJ156" i="1"/>
  <c r="AI156" i="1"/>
  <c r="AJ155" i="1"/>
  <c r="AI155" i="1"/>
  <c r="AI154" i="1"/>
  <c r="AJ154" i="1"/>
  <c r="AI153" i="1"/>
  <c r="AJ153" i="1"/>
  <c r="AI152" i="1"/>
  <c r="AJ152" i="1"/>
  <c r="AI151" i="1"/>
  <c r="AJ151" i="1"/>
  <c r="AL150" i="1"/>
  <c r="AK150" i="1"/>
  <c r="AE150" i="1"/>
  <c r="AG150" i="1" s="1"/>
  <c r="AD150" i="1"/>
  <c r="AF150" i="1" s="1"/>
  <c r="AH150" i="1" s="1"/>
  <c r="AL149" i="1"/>
  <c r="AK149" i="1"/>
  <c r="AE149" i="1"/>
  <c r="AG149" i="1" s="1"/>
  <c r="AD149" i="1"/>
  <c r="AF149" i="1" s="1"/>
  <c r="AH149" i="1" s="1"/>
  <c r="AL148" i="1"/>
  <c r="AK148" i="1"/>
  <c r="AE148" i="1"/>
  <c r="AG148" i="1" s="1"/>
  <c r="AD148" i="1"/>
  <c r="AF148" i="1" s="1"/>
  <c r="AH148" i="1" s="1"/>
  <c r="AL147" i="1"/>
  <c r="AK147" i="1"/>
  <c r="AE147" i="1"/>
  <c r="AG147" i="1" s="1"/>
  <c r="AD147" i="1"/>
  <c r="AF147" i="1" s="1"/>
  <c r="AH147" i="1" s="1"/>
  <c r="AL146" i="1"/>
  <c r="AK146" i="1"/>
  <c r="AE146" i="1"/>
  <c r="AG146" i="1" s="1"/>
  <c r="AI146" i="1" s="1"/>
  <c r="AD146" i="1"/>
  <c r="AF146" i="1" s="1"/>
  <c r="AH146" i="1" s="1"/>
  <c r="AL145" i="1"/>
  <c r="AK145" i="1"/>
  <c r="AE145" i="1"/>
  <c r="AG145" i="1" s="1"/>
  <c r="AD145" i="1"/>
  <c r="AF145" i="1" s="1"/>
  <c r="AH145" i="1" s="1"/>
  <c r="AL144" i="1"/>
  <c r="AK144" i="1"/>
  <c r="AE144" i="1"/>
  <c r="AG144" i="1" s="1"/>
  <c r="AI144" i="1" s="1"/>
  <c r="AD144" i="1"/>
  <c r="AF144" i="1" s="1"/>
  <c r="AL143" i="1"/>
  <c r="AK143" i="1"/>
  <c r="AE143" i="1"/>
  <c r="AG143" i="1" s="1"/>
  <c r="AD143" i="1"/>
  <c r="AF143" i="1" s="1"/>
  <c r="AH143" i="1" s="1"/>
  <c r="AL142" i="1"/>
  <c r="AK142" i="1"/>
  <c r="AE142" i="1"/>
  <c r="AG142" i="1" s="1"/>
  <c r="AD142" i="1"/>
  <c r="AF142" i="1" s="1"/>
  <c r="AH142" i="1" s="1"/>
  <c r="AL141" i="1"/>
  <c r="AK141" i="1"/>
  <c r="AE141" i="1"/>
  <c r="AG141" i="1" s="1"/>
  <c r="AD141" i="1"/>
  <c r="AF141" i="1" s="1"/>
  <c r="AH141" i="1" s="1"/>
  <c r="AL140" i="1"/>
  <c r="AK140" i="1"/>
  <c r="AE140" i="1"/>
  <c r="AG140" i="1" s="1"/>
  <c r="AD140" i="1"/>
  <c r="AF140" i="1" s="1"/>
  <c r="AH140" i="1" s="1"/>
  <c r="AL139" i="1"/>
  <c r="AK139" i="1"/>
  <c r="AE139" i="1"/>
  <c r="AG139" i="1" s="1"/>
  <c r="AD139" i="1"/>
  <c r="AF139" i="1" s="1"/>
  <c r="AH139" i="1" s="1"/>
  <c r="AL138" i="1"/>
  <c r="AK138" i="1"/>
  <c r="AE138" i="1"/>
  <c r="AG138" i="1" s="1"/>
  <c r="AD138" i="1"/>
  <c r="AF138" i="1" s="1"/>
  <c r="AH138" i="1" s="1"/>
  <c r="AL137" i="1"/>
  <c r="AK137" i="1"/>
  <c r="AE137" i="1"/>
  <c r="AG137" i="1" s="1"/>
  <c r="AI137" i="1" s="1"/>
  <c r="AD137" i="1"/>
  <c r="AF137" i="1" s="1"/>
  <c r="AL136" i="1"/>
  <c r="AK136" i="1"/>
  <c r="AE136" i="1"/>
  <c r="AG136" i="1" s="1"/>
  <c r="AI136" i="1" s="1"/>
  <c r="AD136" i="1"/>
  <c r="AF136" i="1" s="1"/>
  <c r="AH136" i="1" s="1"/>
  <c r="AL135" i="1"/>
  <c r="AK135" i="1"/>
  <c r="AE135" i="1"/>
  <c r="AG135" i="1" s="1"/>
  <c r="AD135" i="1"/>
  <c r="AF135" i="1" s="1"/>
  <c r="AH135" i="1" s="1"/>
  <c r="AL134" i="1"/>
  <c r="AK134" i="1"/>
  <c r="AE134" i="1"/>
  <c r="AG134" i="1" s="1"/>
  <c r="AD134" i="1"/>
  <c r="AF134" i="1" s="1"/>
  <c r="AH134" i="1" s="1"/>
  <c r="AL133" i="1"/>
  <c r="AK133" i="1"/>
  <c r="AE133" i="1"/>
  <c r="AG133" i="1" s="1"/>
  <c r="AD133" i="1"/>
  <c r="AF133" i="1" s="1"/>
  <c r="AH133" i="1" s="1"/>
  <c r="AL132" i="1"/>
  <c r="AK132" i="1"/>
  <c r="AE132" i="1"/>
  <c r="AG132" i="1" s="1"/>
  <c r="AD132" i="1"/>
  <c r="AF132" i="1" s="1"/>
  <c r="AH132" i="1" s="1"/>
  <c r="AL131" i="1"/>
  <c r="AK131" i="1"/>
  <c r="AE131" i="1"/>
  <c r="AG131" i="1" s="1"/>
  <c r="AD131" i="1"/>
  <c r="AF131" i="1" s="1"/>
  <c r="AH131" i="1" s="1"/>
  <c r="AL130" i="1"/>
  <c r="AK130" i="1"/>
  <c r="AE130" i="1"/>
  <c r="AG130" i="1" s="1"/>
  <c r="AD130" i="1"/>
  <c r="AF130" i="1" s="1"/>
  <c r="AH130" i="1" s="1"/>
  <c r="AL129" i="1"/>
  <c r="AK129" i="1"/>
  <c r="AE129" i="1"/>
  <c r="AG129" i="1" s="1"/>
  <c r="AI129" i="1" s="1"/>
  <c r="AD129" i="1"/>
  <c r="AF129" i="1" s="1"/>
  <c r="AH129" i="1" s="1"/>
  <c r="AL128" i="1"/>
  <c r="AK128" i="1"/>
  <c r="AE128" i="1"/>
  <c r="AG128" i="1" s="1"/>
  <c r="AI128" i="1" s="1"/>
  <c r="AD128" i="1"/>
  <c r="AF128" i="1" s="1"/>
  <c r="AH128" i="1" s="1"/>
  <c r="AL127" i="1"/>
  <c r="AK127" i="1"/>
  <c r="AE127" i="1"/>
  <c r="AG127" i="1" s="1"/>
  <c r="AD127" i="1"/>
  <c r="AF127" i="1" s="1"/>
  <c r="AH127" i="1" s="1"/>
  <c r="AL126" i="1"/>
  <c r="AK126" i="1"/>
  <c r="AE126" i="1"/>
  <c r="AG126" i="1" s="1"/>
  <c r="AI126" i="1" s="1"/>
  <c r="AD126" i="1"/>
  <c r="AF126" i="1" s="1"/>
  <c r="AH126" i="1" s="1"/>
  <c r="AL125" i="1"/>
  <c r="AK125" i="1"/>
  <c r="AE125" i="1"/>
  <c r="AG125" i="1" s="1"/>
  <c r="AD125" i="1"/>
  <c r="AF125" i="1" s="1"/>
  <c r="AH125" i="1" s="1"/>
  <c r="AL124" i="1"/>
  <c r="AK124" i="1"/>
  <c r="AE124" i="1"/>
  <c r="AG124" i="1" s="1"/>
  <c r="AD124" i="1"/>
  <c r="AF124" i="1" s="1"/>
  <c r="AH124" i="1" s="1"/>
  <c r="AL123" i="1"/>
  <c r="AK123" i="1"/>
  <c r="AE123" i="1"/>
  <c r="AG123" i="1" s="1"/>
  <c r="AD123" i="1"/>
  <c r="AF123" i="1" s="1"/>
  <c r="AH123" i="1" s="1"/>
  <c r="AL122" i="1"/>
  <c r="AK122" i="1"/>
  <c r="AE122" i="1"/>
  <c r="AG122" i="1" s="1"/>
  <c r="AI122" i="1" s="1"/>
  <c r="AD122" i="1"/>
  <c r="AF122" i="1" s="1"/>
  <c r="AH122" i="1" s="1"/>
  <c r="AL121" i="1"/>
  <c r="AK121" i="1"/>
  <c r="AE121" i="1"/>
  <c r="AG121" i="1" s="1"/>
  <c r="AI121" i="1" s="1"/>
  <c r="AD121" i="1"/>
  <c r="AF121" i="1" s="1"/>
  <c r="AH121" i="1" s="1"/>
  <c r="AL120" i="1"/>
  <c r="AK120" i="1"/>
  <c r="AE120" i="1"/>
  <c r="AG120" i="1" s="1"/>
  <c r="AI120" i="1" s="1"/>
  <c r="AD120" i="1"/>
  <c r="AF120" i="1" s="1"/>
  <c r="AH120" i="1" s="1"/>
  <c r="AL119" i="1"/>
  <c r="AK119" i="1"/>
  <c r="AE119" i="1"/>
  <c r="AG119" i="1" s="1"/>
  <c r="AD119" i="1"/>
  <c r="AF119" i="1" s="1"/>
  <c r="AH119" i="1" s="1"/>
  <c r="AL118" i="1"/>
  <c r="AK118" i="1"/>
  <c r="AE118" i="1"/>
  <c r="AG118" i="1" s="1"/>
  <c r="AI118" i="1" s="1"/>
  <c r="AD118" i="1"/>
  <c r="AF118" i="1" s="1"/>
  <c r="AH118" i="1" s="1"/>
  <c r="AL117" i="1"/>
  <c r="AK117" i="1"/>
  <c r="AE117" i="1"/>
  <c r="AG117" i="1" s="1"/>
  <c r="AD117" i="1"/>
  <c r="AF117" i="1" s="1"/>
  <c r="AH117" i="1" s="1"/>
  <c r="AL116" i="1"/>
  <c r="AK116" i="1"/>
  <c r="AE116" i="1"/>
  <c r="AG116" i="1" s="1"/>
  <c r="AD116" i="1"/>
  <c r="AF116" i="1" s="1"/>
  <c r="AH116" i="1" s="1"/>
  <c r="AL115" i="1"/>
  <c r="AK115" i="1"/>
  <c r="AE115" i="1"/>
  <c r="AG115" i="1" s="1"/>
  <c r="AD115" i="1"/>
  <c r="AF115" i="1" s="1"/>
  <c r="AH115" i="1" s="1"/>
  <c r="AL114" i="1"/>
  <c r="AK114" i="1"/>
  <c r="AE114" i="1"/>
  <c r="AG114" i="1" s="1"/>
  <c r="AD114" i="1"/>
  <c r="AF114" i="1" s="1"/>
  <c r="AH114" i="1" s="1"/>
  <c r="AL113" i="1"/>
  <c r="AK113" i="1"/>
  <c r="AE113" i="1"/>
  <c r="AG113" i="1" s="1"/>
  <c r="AI113" i="1" s="1"/>
  <c r="AD113" i="1"/>
  <c r="AF113" i="1" s="1"/>
  <c r="AH113" i="1" s="1"/>
  <c r="AL112" i="1"/>
  <c r="AK112" i="1"/>
  <c r="AE112" i="1"/>
  <c r="AG112" i="1" s="1"/>
  <c r="AI112" i="1" s="1"/>
  <c r="AD112" i="1"/>
  <c r="AF112" i="1" s="1"/>
  <c r="AH112" i="1" s="1"/>
  <c r="AL111" i="1"/>
  <c r="AK111" i="1"/>
  <c r="AE111" i="1"/>
  <c r="AG111" i="1" s="1"/>
  <c r="AD111" i="1"/>
  <c r="AF111" i="1" s="1"/>
  <c r="AH111" i="1" s="1"/>
  <c r="AL110" i="1"/>
  <c r="AK110" i="1"/>
  <c r="AE110" i="1"/>
  <c r="AG110" i="1" s="1"/>
  <c r="AI110" i="1" s="1"/>
  <c r="AD110" i="1"/>
  <c r="AF110" i="1" s="1"/>
  <c r="AH110" i="1" s="1"/>
  <c r="AL109" i="1"/>
  <c r="AK109" i="1"/>
  <c r="AE109" i="1"/>
  <c r="AG109" i="1" s="1"/>
  <c r="AD109" i="1"/>
  <c r="AF109" i="1" s="1"/>
  <c r="AH109" i="1" s="1"/>
  <c r="AL108" i="1"/>
  <c r="AK108" i="1"/>
  <c r="AE108" i="1"/>
  <c r="AG108" i="1" s="1"/>
  <c r="AD108" i="1"/>
  <c r="AF108" i="1" s="1"/>
  <c r="AH108" i="1" s="1"/>
  <c r="AL3" i="1"/>
  <c r="AE3" i="1"/>
  <c r="AG3" i="1" s="1"/>
  <c r="AD3" i="1"/>
  <c r="AF3" i="1" s="1"/>
  <c r="AH3" i="1" s="1"/>
  <c r="AJ317" i="1" l="1"/>
  <c r="AI317" i="1"/>
  <c r="AJ325" i="1"/>
  <c r="AJ119" i="1"/>
  <c r="AJ126" i="1"/>
  <c r="AJ139" i="1"/>
  <c r="AJ110" i="1"/>
  <c r="AJ114" i="1"/>
  <c r="AJ145" i="1"/>
  <c r="AI145" i="1"/>
  <c r="AJ138" i="1"/>
  <c r="AI138" i="1"/>
  <c r="AJ111" i="1"/>
  <c r="AJ127" i="1"/>
  <c r="AJ113" i="1"/>
  <c r="AJ140" i="1"/>
  <c r="AJ120" i="1"/>
  <c r="AJ112" i="1"/>
  <c r="AJ128" i="1"/>
  <c r="AJ147" i="1"/>
  <c r="AJ108" i="1"/>
  <c r="AI108" i="1"/>
  <c r="AJ124" i="1"/>
  <c r="AI124" i="1"/>
  <c r="AI3" i="1"/>
  <c r="AJ3" i="1"/>
  <c r="AI123" i="1"/>
  <c r="AJ123" i="1"/>
  <c r="AJ116" i="1"/>
  <c r="AI116" i="1"/>
  <c r="AI115" i="1"/>
  <c r="AJ115" i="1"/>
  <c r="AI119" i="1"/>
  <c r="AJ121" i="1"/>
  <c r="AJ131" i="1"/>
  <c r="AI131" i="1"/>
  <c r="AJ109" i="1"/>
  <c r="AI109" i="1"/>
  <c r="AJ125" i="1"/>
  <c r="AI125" i="1"/>
  <c r="AJ129" i="1"/>
  <c r="AJ130" i="1"/>
  <c r="AI130" i="1"/>
  <c r="AJ133" i="1"/>
  <c r="AI133" i="1"/>
  <c r="AJ135" i="1"/>
  <c r="AI135" i="1"/>
  <c r="AH137" i="1"/>
  <c r="AJ137" i="1"/>
  <c r="AH144" i="1"/>
  <c r="AJ144" i="1"/>
  <c r="AJ142" i="1"/>
  <c r="AI142" i="1"/>
  <c r="AI114" i="1"/>
  <c r="AI127" i="1"/>
  <c r="AJ132" i="1"/>
  <c r="AI132" i="1"/>
  <c r="AJ134" i="1"/>
  <c r="AI134" i="1"/>
  <c r="AJ141" i="1"/>
  <c r="AI141" i="1"/>
  <c r="AJ148" i="1"/>
  <c r="AI148" i="1"/>
  <c r="AJ149" i="1"/>
  <c r="AI149" i="1"/>
  <c r="AJ118" i="1"/>
  <c r="AI111" i="1"/>
  <c r="AJ117" i="1"/>
  <c r="AI117" i="1"/>
  <c r="AJ122" i="1"/>
  <c r="AJ136" i="1"/>
  <c r="AJ143" i="1"/>
  <c r="AI143" i="1"/>
  <c r="AJ150" i="1"/>
  <c r="AI150" i="1"/>
  <c r="AI139" i="1"/>
  <c r="AI140" i="1"/>
  <c r="AJ146" i="1"/>
  <c r="AI14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Micromass UK Ltd</author>
    <author>andersm</author>
    <author>Kristine Dyrnum</author>
  </authors>
  <commentList>
    <comment ref="Q1" authorId="0" shapeId="0" xr:uid="{FB08D3D0-6406-4F3F-BDDB-8DEABE9371E6}">
      <text>
        <r>
          <rPr>
            <sz val="8"/>
            <color indexed="81"/>
            <rFont val="Tahoma"/>
            <family val="2"/>
          </rPr>
          <t>This is the batch report table. 
Unhide the row below to display the table columns.
Double click to set the columns data source.</t>
        </r>
      </text>
    </comment>
    <comment ref="AR1" authorId="1" shapeId="0" xr:uid="{02BB6F27-BF1E-4279-B1D5-325FA87E32E2}">
      <text>
        <r>
          <rPr>
            <b/>
            <sz val="9"/>
            <color indexed="81"/>
            <rFont val="Tahoma"/>
            <family val="2"/>
          </rPr>
          <t>excess</t>
        </r>
      </text>
    </comment>
    <comment ref="AS1" authorId="2" shapeId="0" xr:uid="{9DF6ADC4-9734-44AE-ABA8-6D7B9341AC2F}">
      <text>
        <r>
          <rPr>
            <b/>
            <sz val="9"/>
            <color indexed="81"/>
            <rFont val="Tahoma"/>
            <family val="2"/>
          </rPr>
          <t>excess</t>
        </r>
      </text>
    </comment>
    <comment ref="AY1" authorId="2" shapeId="0" xr:uid="{3D8F1C7E-E6F1-4D54-91F9-92039DB58581}">
      <text>
        <r>
          <rPr>
            <b/>
            <sz val="9"/>
            <color indexed="81"/>
            <rFont val="Tahoma"/>
            <family val="2"/>
          </rPr>
          <t>excess</t>
        </r>
      </text>
    </comment>
    <comment ref="AZ1" authorId="2" shapeId="0" xr:uid="{747B9313-7877-43F2-A365-D876A535FE46}">
      <text>
        <r>
          <rPr>
            <b/>
            <sz val="9"/>
            <color indexed="81"/>
            <rFont val="Tahoma"/>
            <family val="2"/>
          </rPr>
          <t>excess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Klaus Steenberg Larsen</author>
  </authors>
  <commentList>
    <comment ref="E32" authorId="0" shapeId="0" xr:uid="{4ECF3898-BEEC-4CDC-9229-B4B66E31FA34}">
      <text>
        <r>
          <rPr>
            <sz val="8"/>
            <color indexed="81"/>
            <rFont val="Tahoma"/>
            <family val="2"/>
          </rPr>
          <t>Here you insert the calculated atm% from your natural abundance samples.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andersm</author>
    <author>Kristine Dyrnum</author>
  </authors>
  <commentList>
    <comment ref="T1" authorId="0" shapeId="0" xr:uid="{765CF613-39D8-455C-AE99-D7CAD587D803}">
      <text>
        <r>
          <rPr>
            <b/>
            <sz val="9"/>
            <color indexed="81"/>
            <rFont val="Tahoma"/>
            <family val="2"/>
          </rPr>
          <t>excess</t>
        </r>
      </text>
    </comment>
    <comment ref="U1" authorId="1" shapeId="0" xr:uid="{1DB45A21-0224-4BF7-A25F-50B0D020314B}">
      <text>
        <r>
          <rPr>
            <b/>
            <sz val="9"/>
            <color indexed="81"/>
            <rFont val="Tahoma"/>
            <family val="2"/>
          </rPr>
          <t>excess</t>
        </r>
      </text>
    </comment>
    <comment ref="AA1" authorId="1" shapeId="0" xr:uid="{2085B8EE-BB91-4F3B-B287-D2A1B12189F2}">
      <text>
        <r>
          <rPr>
            <b/>
            <sz val="9"/>
            <color indexed="81"/>
            <rFont val="Tahoma"/>
            <family val="2"/>
          </rPr>
          <t>excess</t>
        </r>
      </text>
    </comment>
    <comment ref="AB1" authorId="1" shapeId="0" xr:uid="{EAB8C3A0-E483-445A-BC63-BAB4FB4C0C86}">
      <text>
        <r>
          <rPr>
            <b/>
            <sz val="9"/>
            <color indexed="81"/>
            <rFont val="Tahoma"/>
            <family val="2"/>
          </rPr>
          <t>excess</t>
        </r>
      </text>
    </comment>
  </commentList>
</comments>
</file>

<file path=xl/sharedStrings.xml><?xml version="1.0" encoding="utf-8"?>
<sst xmlns="http://schemas.openxmlformats.org/spreadsheetml/2006/main" count="2806" uniqueCount="510">
  <si>
    <t>Sample Number</t>
  </si>
  <si>
    <t>Name</t>
  </si>
  <si>
    <t>Height (nA)</t>
  </si>
  <si>
    <t>N15</t>
  </si>
  <si>
    <t>13C</t>
  </si>
  <si>
    <t>PEAnA</t>
  </si>
  <si>
    <t>PEA15N</t>
  </si>
  <si>
    <t>PEA13C</t>
  </si>
  <si>
    <t>gnsnSTD N weight</t>
  </si>
  <si>
    <t>gnsnSTD C weight</t>
  </si>
  <si>
    <t>1nA to x mgN STD</t>
  </si>
  <si>
    <t>1nA to x mgC STD</t>
  </si>
  <si>
    <t>mg N in sample</t>
  </si>
  <si>
    <t>mg C in sample</t>
  </si>
  <si>
    <t>%N</t>
  </si>
  <si>
    <t>%C</t>
  </si>
  <si>
    <t>C/N</t>
  </si>
  <si>
    <t>d15Nkorr</t>
  </si>
  <si>
    <t>d13Ckorr</t>
  </si>
  <si>
    <t>Weight</t>
  </si>
  <si>
    <t>nr</t>
  </si>
  <si>
    <t>run</t>
  </si>
  <si>
    <t>treatment</t>
  </si>
  <si>
    <t>layer</t>
  </si>
  <si>
    <t>tray</t>
  </si>
  <si>
    <t>BCD</t>
  </si>
  <si>
    <t>top</t>
  </si>
  <si>
    <t>A1</t>
  </si>
  <si>
    <t>middle</t>
  </si>
  <si>
    <t>A2</t>
  </si>
  <si>
    <t>bottom</t>
  </si>
  <si>
    <t>A3</t>
  </si>
  <si>
    <t>BCW</t>
  </si>
  <si>
    <t>A4</t>
  </si>
  <si>
    <t>A5</t>
  </si>
  <si>
    <t>A6</t>
  </si>
  <si>
    <t>BUD</t>
  </si>
  <si>
    <t>A7</t>
  </si>
  <si>
    <t>A8</t>
  </si>
  <si>
    <t>A9</t>
  </si>
  <si>
    <t>BUW</t>
  </si>
  <si>
    <t>A10</t>
  </si>
  <si>
    <t>A11</t>
  </si>
  <si>
    <t>A12</t>
  </si>
  <si>
    <t>SCD</t>
  </si>
  <si>
    <t>B1</t>
  </si>
  <si>
    <t>B2</t>
  </si>
  <si>
    <t>B3</t>
  </si>
  <si>
    <t>SCW</t>
  </si>
  <si>
    <t>B4</t>
  </si>
  <si>
    <t>B5</t>
  </si>
  <si>
    <t>B6</t>
  </si>
  <si>
    <t>SUD</t>
  </si>
  <si>
    <t>B7</t>
  </si>
  <si>
    <t>B8</t>
  </si>
  <si>
    <t>B9</t>
  </si>
  <si>
    <t>SUW</t>
  </si>
  <si>
    <t>B10</t>
  </si>
  <si>
    <t>B11</t>
  </si>
  <si>
    <t>B12</t>
  </si>
  <si>
    <t>C1</t>
  </si>
  <si>
    <t>C2</t>
  </si>
  <si>
    <t>C3</t>
  </si>
  <si>
    <t>C4</t>
  </si>
  <si>
    <t>C5</t>
  </si>
  <si>
    <t>C6</t>
  </si>
  <si>
    <t>C7</t>
  </si>
  <si>
    <t>C8</t>
  </si>
  <si>
    <t>C9</t>
  </si>
  <si>
    <t>C10</t>
  </si>
  <si>
    <t>C11</t>
  </si>
  <si>
    <t>C12</t>
  </si>
  <si>
    <t>D4</t>
  </si>
  <si>
    <t>D5</t>
  </si>
  <si>
    <t>D6</t>
  </si>
  <si>
    <t>D7</t>
  </si>
  <si>
    <t>D8</t>
  </si>
  <si>
    <t>D9</t>
  </si>
  <si>
    <t>D10</t>
  </si>
  <si>
    <t>D11</t>
  </si>
  <si>
    <t>D12</t>
  </si>
  <si>
    <t>E1</t>
  </si>
  <si>
    <t>E2</t>
  </si>
  <si>
    <t>E3</t>
  </si>
  <si>
    <t>E4</t>
  </si>
  <si>
    <t>E5</t>
  </si>
  <si>
    <t>E6</t>
  </si>
  <si>
    <t>E10</t>
  </si>
  <si>
    <t>E11</t>
  </si>
  <si>
    <t>E12</t>
  </si>
  <si>
    <t>F1</t>
  </si>
  <si>
    <t>F2</t>
  </si>
  <si>
    <t>F3</t>
  </si>
  <si>
    <t>F4</t>
  </si>
  <si>
    <t>F5</t>
  </si>
  <si>
    <t>F6</t>
  </si>
  <si>
    <t>F7</t>
  </si>
  <si>
    <t>F8</t>
  </si>
  <si>
    <t>F9</t>
  </si>
  <si>
    <t>F10</t>
  </si>
  <si>
    <t>F11</t>
  </si>
  <si>
    <t>F12</t>
  </si>
  <si>
    <t>G4</t>
  </si>
  <si>
    <t>G5</t>
  </si>
  <si>
    <t>G6</t>
  </si>
  <si>
    <t>G7</t>
  </si>
  <si>
    <t>G8</t>
  </si>
  <si>
    <t>G9</t>
  </si>
  <si>
    <t>G10</t>
  </si>
  <si>
    <t>G11</t>
  </si>
  <si>
    <t>G12</t>
  </si>
  <si>
    <t>H1</t>
  </si>
  <si>
    <t>H2</t>
  </si>
  <si>
    <t>H3</t>
  </si>
  <si>
    <t>H4</t>
  </si>
  <si>
    <t>H5</t>
  </si>
  <si>
    <t>H6</t>
  </si>
  <si>
    <t>H10</t>
  </si>
  <si>
    <t>H11</t>
  </si>
  <si>
    <t>H12</t>
  </si>
  <si>
    <t>D1</t>
  </si>
  <si>
    <t>D2</t>
  </si>
  <si>
    <t>D3</t>
  </si>
  <si>
    <t>EliseLabRoots_1.raw</t>
  </si>
  <si>
    <t>EliseLabRoots_2.raw</t>
  </si>
  <si>
    <t>EliseLabRoots_3.raw</t>
  </si>
  <si>
    <t>EliseLabRoots_4.raw</t>
  </si>
  <si>
    <t>EliseLabRoots_5.raw</t>
  </si>
  <si>
    <t>EliseLabRoots_6.raw</t>
  </si>
  <si>
    <t>EliseLabRoots_7.raw</t>
  </si>
  <si>
    <t>EliseLabRoots_8.raw</t>
  </si>
  <si>
    <t>EliseLabRoots_9.raw</t>
  </si>
  <si>
    <t>EliseLabRoots_10.raw</t>
  </si>
  <si>
    <t>EliseLabRoots_11.raw</t>
  </si>
  <si>
    <t>EliseLabRoots_12.raw</t>
  </si>
  <si>
    <t>peach2816u.raw</t>
  </si>
  <si>
    <t>EliseLabRoots_13.raw</t>
  </si>
  <si>
    <t>EliseLabRoots_14.raw</t>
  </si>
  <si>
    <t>EliseLabRoots_15.raw</t>
  </si>
  <si>
    <t>EliseLabRoots_16.raw</t>
  </si>
  <si>
    <t>EliseLabRoots_17.raw</t>
  </si>
  <si>
    <t>EliseLabRoots_18.raw</t>
  </si>
  <si>
    <t>EliseLabRoots_19.raw</t>
  </si>
  <si>
    <t>EliseLabRoots_20.raw</t>
  </si>
  <si>
    <t>EliseLabRoots_21.raw</t>
  </si>
  <si>
    <t>EliseLabRoots_22.raw</t>
  </si>
  <si>
    <t>EliseLabRoots_23.raw</t>
  </si>
  <si>
    <t>EliseLabRoots_24.raw</t>
  </si>
  <si>
    <t>peach 1733u.raw</t>
  </si>
  <si>
    <t>peach 2238u eft ash red.raw</t>
  </si>
  <si>
    <t>EliseLabRoots_25.raw</t>
  </si>
  <si>
    <t>EliseLabRoots_26.raw</t>
  </si>
  <si>
    <t>EliseLabRoots_27.raw</t>
  </si>
  <si>
    <t>EliseLabRoots_28.raw</t>
  </si>
  <si>
    <t>EliseLabRoots_29.raw</t>
  </si>
  <si>
    <t>EliseLabRoots_30.raw</t>
  </si>
  <si>
    <t>EliseLabRoots_31.raw</t>
  </si>
  <si>
    <t>EliseLabRoots_32.raw</t>
  </si>
  <si>
    <t>EliseLabRoots_33.raw</t>
  </si>
  <si>
    <t>EliseLabRoots_34.raw</t>
  </si>
  <si>
    <t>EliseLabRoots_35.raw</t>
  </si>
  <si>
    <t>EliseLabRoots_36.raw</t>
  </si>
  <si>
    <t>peach 2628u.raw</t>
  </si>
  <si>
    <t>EliseLabRoots_37.raw</t>
  </si>
  <si>
    <t>EliseLabRoots_38.raw</t>
  </si>
  <si>
    <t>EliseLabRoots_39.raw</t>
  </si>
  <si>
    <t>EliseLabRoots_40.raw</t>
  </si>
  <si>
    <t>EliseLabRoots_41.raw</t>
  </si>
  <si>
    <t>EliseLabRoots_42.raw</t>
  </si>
  <si>
    <t>EliseLabRoots_43.raw</t>
  </si>
  <si>
    <t>EliseLabRoots_44.raw</t>
  </si>
  <si>
    <t>EliseLabRoots_45.raw</t>
  </si>
  <si>
    <t>EliseLabRoots_46.raw</t>
  </si>
  <si>
    <t>EliseLabRoots_47.raw</t>
  </si>
  <si>
    <t>EliseLabRoots_48.raw</t>
  </si>
  <si>
    <t>peach 1969u.raw</t>
  </si>
  <si>
    <t>EliseLabRoots_49.raw</t>
  </si>
  <si>
    <t>EliseLabRoots_50.raw</t>
  </si>
  <si>
    <t>EliseLabRoots_51.raw</t>
  </si>
  <si>
    <t>EliseLabRoots_52.raw</t>
  </si>
  <si>
    <t>EliseLabRoots_53.raw</t>
  </si>
  <si>
    <t>EliseLabRoots_54.raw</t>
  </si>
  <si>
    <t>EliseLabRoots_55.raw</t>
  </si>
  <si>
    <t>EliseLabRoots_56.raw</t>
  </si>
  <si>
    <t>EliseLabRoots_57.raw</t>
  </si>
  <si>
    <t>EliseLabRoots_58.raw</t>
  </si>
  <si>
    <t>EliseLabRoots_59.raw</t>
  </si>
  <si>
    <t>EliseLabRoots_60.raw</t>
  </si>
  <si>
    <t>peach 2157u.raw</t>
  </si>
  <si>
    <t>EliseLabRoots_61.raw</t>
  </si>
  <si>
    <t>EliseLabRoots_62.raw</t>
  </si>
  <si>
    <t>EliseLabRoots_63.raw</t>
  </si>
  <si>
    <t>EliseLabRoots_64.raw</t>
  </si>
  <si>
    <t>EliseLabRoots_65.raw</t>
  </si>
  <si>
    <t>EliseLabRoots_66.raw</t>
  </si>
  <si>
    <t>EliseLabRoots_67.raw</t>
  </si>
  <si>
    <t>EliseLabRoots_68.raw</t>
  </si>
  <si>
    <t>EliseLabRoots_69.raw</t>
  </si>
  <si>
    <t>EliseLabRoots_70.raw</t>
  </si>
  <si>
    <t>EliseLabRoots_71.raw</t>
  </si>
  <si>
    <t>EliseLabRoots_72.raw</t>
  </si>
  <si>
    <t>peach 3939u.raw</t>
  </si>
  <si>
    <t>EliseLabRoots_73.raw</t>
  </si>
  <si>
    <t>EliseLabRoots_74.raw</t>
  </si>
  <si>
    <t>EliseLabRoots_75.raw</t>
  </si>
  <si>
    <t>EliseLabRoots_76.raw</t>
  </si>
  <si>
    <t>EliseLabRoots_77.raw</t>
  </si>
  <si>
    <t>EliseLabRoots_78.raw</t>
  </si>
  <si>
    <t>EliseLabRoots_79.raw</t>
  </si>
  <si>
    <t>EliseLabRoots_80.raw</t>
  </si>
  <si>
    <t>EliseLabRoots_81.raw</t>
  </si>
  <si>
    <t>EliseLabRoots_82.raw</t>
  </si>
  <si>
    <t>EliseLabRoots_83.raw</t>
  </si>
  <si>
    <t>EliseLabRoots_84.raw</t>
  </si>
  <si>
    <t>peach 2734u.raw</t>
  </si>
  <si>
    <t>EliseLabRoots_85.raw</t>
  </si>
  <si>
    <t>EliseLabRoots_86.raw</t>
  </si>
  <si>
    <t>EliseLabRoots_87.raw</t>
  </si>
  <si>
    <t>EliseLabRoots_88.raw</t>
  </si>
  <si>
    <t>EliseLabRoots_89.raw</t>
  </si>
  <si>
    <t>EliseLabRoots_90.raw</t>
  </si>
  <si>
    <t>EliseLabRoots_91.raw</t>
  </si>
  <si>
    <t>EliseLabRoots_92.raw</t>
  </si>
  <si>
    <t>EliseLabRoots_93.raw</t>
  </si>
  <si>
    <t>EliseLabRoots_94.raw</t>
  </si>
  <si>
    <t>EliseLabRoots_95.raw</t>
  </si>
  <si>
    <t>EliseLabRoots_96.raw</t>
  </si>
  <si>
    <t>peach 2762u.raw</t>
  </si>
  <si>
    <t>EliseLabRootsTray2_1.raw</t>
  </si>
  <si>
    <t>EliseLabRootsTray2_2.raw</t>
  </si>
  <si>
    <t>EliseLabRootsTray2_3.raw</t>
  </si>
  <si>
    <t>EliseLabRootsTray2_4.raw</t>
  </si>
  <si>
    <t>EliseLabRootsTray2_5.raw</t>
  </si>
  <si>
    <t>EliseLabRootsTray2_6.raw</t>
  </si>
  <si>
    <t>EliseLabRootsTray2_7.raw</t>
  </si>
  <si>
    <t>EliseLabRootsTray2_8.raw</t>
  </si>
  <si>
    <t>EliseLabRootsTray2_9.raw</t>
  </si>
  <si>
    <t>EliseLabRootsTray2_10.raw</t>
  </si>
  <si>
    <t>EliseLabRootsTray2_11.raw</t>
  </si>
  <si>
    <t>EliseLabRootsTray2_12.raw</t>
  </si>
  <si>
    <t>peach 3201u.raw</t>
  </si>
  <si>
    <t>EliseLabRootsTray2_13.raw</t>
  </si>
  <si>
    <t>EliseLabRootsTray2_14.raw</t>
  </si>
  <si>
    <t>EliseLabRootsTray2_15.raw</t>
  </si>
  <si>
    <t>EliseLabRootsTray2_16.raw</t>
  </si>
  <si>
    <t>EliseLabRootsTray2_17.raw</t>
  </si>
  <si>
    <t>EliseLabRootsTray2_18.raw</t>
  </si>
  <si>
    <t>EliseLabRootsTray2_19.raw</t>
  </si>
  <si>
    <t>EliseLabRootsTray2_20.raw</t>
  </si>
  <si>
    <t>EliseLabRootsTray2_21.raw</t>
  </si>
  <si>
    <t>EliseLabRootsTray2_22.raw</t>
  </si>
  <si>
    <t>EliseLabRootsTray2_23.raw</t>
  </si>
  <si>
    <t>EliseLabRootsTray2_24.raw</t>
  </si>
  <si>
    <t>peach 2095u.raw</t>
  </si>
  <si>
    <t>EliseLabRootsTray2_25.raw</t>
  </si>
  <si>
    <t>EliseLabRootsTray2_26.raw</t>
  </si>
  <si>
    <t>EliseLabRootsTray2_27.raw</t>
  </si>
  <si>
    <t>EliseLabRootsTray2_28.raw</t>
  </si>
  <si>
    <t>EliseLabRootsTray2_29.raw</t>
  </si>
  <si>
    <t>EliseLabRootsTray2_30.raw</t>
  </si>
  <si>
    <t>EliseLabRootsTray2_31.raw</t>
  </si>
  <si>
    <t>EliseLabRootsTray2_32.raw</t>
  </si>
  <si>
    <t>EliseLabRootsTray2_33.raw</t>
  </si>
  <si>
    <t>EliseLabRootsTray2_34.raw</t>
  </si>
  <si>
    <t>EliseLabRootsTray2_35.raw</t>
  </si>
  <si>
    <t>EliseLabRootsTray2_36.raw</t>
  </si>
  <si>
    <t>peach 1823u.raw</t>
  </si>
  <si>
    <t>EliseLabRootsTray2_37.raw</t>
  </si>
  <si>
    <t>EliseLabRootsTray2_38.raw</t>
  </si>
  <si>
    <t>EliseLabRootsTray2_39.raw</t>
  </si>
  <si>
    <t>EliseLabRootsTray2_40.raw</t>
  </si>
  <si>
    <t>EliseLabRootsTray2_41.raw</t>
  </si>
  <si>
    <t>EliseLabRootsTray2_42.raw</t>
  </si>
  <si>
    <t>EliseLabRootsTray2_43.raw</t>
  </si>
  <si>
    <t>EliseLabRootsTray2_44.raw</t>
  </si>
  <si>
    <t>EliseLabRootsTray2_45.raw</t>
  </si>
  <si>
    <t>EliseLabRootsTray2_46.raw</t>
  </si>
  <si>
    <t>EliseLabRootsTray2_47.raw</t>
  </si>
  <si>
    <t>EliseLabRootsTray2_48.raw</t>
  </si>
  <si>
    <t>peach 2469u.raw</t>
  </si>
  <si>
    <t>EliseLabRootsTray2_49.raw</t>
  </si>
  <si>
    <t>EliseLabRootsTray2_50.raw</t>
  </si>
  <si>
    <t>EliseLabRootsTray2_51.raw</t>
  </si>
  <si>
    <t>EliseLabRootsTray2_52.raw</t>
  </si>
  <si>
    <t>EliseLabRootsTray2_53.raw</t>
  </si>
  <si>
    <t>EliseLabRootsTray2_54.raw</t>
  </si>
  <si>
    <t>EliseLabRootsTray2_55.raw</t>
  </si>
  <si>
    <t>EliseLabRootsTray2_56.raw</t>
  </si>
  <si>
    <t>EliseLabRootsTray2_57korrekt.raw</t>
  </si>
  <si>
    <t>EliseLabRootsTray2_58.raw</t>
  </si>
  <si>
    <t>EliseLabRootsTray2_59.raw</t>
  </si>
  <si>
    <t>EliseLabRootsTray2_60.raw</t>
  </si>
  <si>
    <t>EliseLabRootsTray2_61.raw</t>
  </si>
  <si>
    <t>EliseLabRootsTray2_62.raw</t>
  </si>
  <si>
    <t>EliseLabRootsTray2_63.raw</t>
  </si>
  <si>
    <t>EliseLabRootsTray2_64.raw</t>
  </si>
  <si>
    <t>EliseLabRootsTray2_65.raw</t>
  </si>
  <si>
    <t>EliseLabRootsTray2_66.raw</t>
  </si>
  <si>
    <t>EliseLabRootsTray2_67.raw</t>
  </si>
  <si>
    <t>EliseLabRootsTray2_68.raw</t>
  </si>
  <si>
    <t>EliseLabRootsTray2_69.raw</t>
  </si>
  <si>
    <t>EliseLabRootsTray2_70.raw</t>
  </si>
  <si>
    <t>EliseLabRootsTray2_71.raw</t>
  </si>
  <si>
    <t>EliseLabRootsTray2_72.raw</t>
  </si>
  <si>
    <t>EliseLabRootsTray2_73.raw</t>
  </si>
  <si>
    <t>EliseLabRootsTray2_74.raw</t>
  </si>
  <si>
    <t>EliseLabRootsTray2_75.raw</t>
  </si>
  <si>
    <t>EliseLabRootsTray2_76.raw</t>
  </si>
  <si>
    <t>EliseLabRootsTray2_77.raw</t>
  </si>
  <si>
    <t>EliseLabRootsTray2_78.raw</t>
  </si>
  <si>
    <t>EliseLabRootsTray2_79.raw</t>
  </si>
  <si>
    <t>EliseLabRootsTray2_80.raw</t>
  </si>
  <si>
    <t>EliseLabRootsTray2_81.raw</t>
  </si>
  <si>
    <t>EliseLabRootsTray2_82.raw</t>
  </si>
  <si>
    <t>EliseLabRootsTray2_83.raw</t>
  </si>
  <si>
    <t>EliseLabRootsTray2_84.raw</t>
  </si>
  <si>
    <t>EliseLabRootsTray2_85.raw</t>
  </si>
  <si>
    <t>EliseLabRootsTray2_86.raw</t>
  </si>
  <si>
    <t>EliseLabRootsTray2_87.raw</t>
  </si>
  <si>
    <t>EliseLabRootsTray2_88.raw</t>
  </si>
  <si>
    <t>EliseLabRootsTray2_89.raw</t>
  </si>
  <si>
    <t>EliseLabRootsTray2_90.raw</t>
  </si>
  <si>
    <t>EliseLabRootsTray2_91.raw</t>
  </si>
  <si>
    <t>EliseLabRootsTray2_92.raw</t>
  </si>
  <si>
    <t>EliseLabRootsTray2_93.raw</t>
  </si>
  <si>
    <t>EliseLabRootsTray2_94.raw</t>
  </si>
  <si>
    <t>EliseLabRootsTray2_95.raw</t>
  </si>
  <si>
    <t>EliseLabRootsTray2_96.raw</t>
  </si>
  <si>
    <t>peach 2368uu.raw</t>
  </si>
  <si>
    <t>peach 2017uu.raw</t>
  </si>
  <si>
    <t>EliseLabRootsTray3_1.raw</t>
  </si>
  <si>
    <t>EliseLabRootsTray3_2.raw</t>
  </si>
  <si>
    <t>EliseLabRootsTray3_3.raw</t>
  </si>
  <si>
    <t>EliseLabRootsTray3_4.raw</t>
  </si>
  <si>
    <t>EliseLabRootsTray3_5.raw</t>
  </si>
  <si>
    <t>EliseLabRootsTray3_6.raw</t>
  </si>
  <si>
    <t>EliseLabRootsTray3_7.raw</t>
  </si>
  <si>
    <t>EliseLabRootsTray3_8.raw</t>
  </si>
  <si>
    <t>EliseLabRootsTray3_9.raw</t>
  </si>
  <si>
    <t>EliseLabRootsTray3_10.raw</t>
  </si>
  <si>
    <t>EliseLabRootsTray3_11.raw</t>
  </si>
  <si>
    <t>EliseLabRootsTray3_12.raw</t>
  </si>
  <si>
    <t>peach 2125u.raw</t>
  </si>
  <si>
    <t>EliseLabRootsTray3_13.raw</t>
  </si>
  <si>
    <t>EliseLabRootsTray3_14.raw</t>
  </si>
  <si>
    <t>EliseLabRootsTray3_15.raw</t>
  </si>
  <si>
    <t>EliseLabRootsTray3_16.raw</t>
  </si>
  <si>
    <t>EliseLabRootsTray3_17.raw</t>
  </si>
  <si>
    <t>EliseLabRootsTray3_18.raw</t>
  </si>
  <si>
    <t>EliseLabRootsTray3_19.raw</t>
  </si>
  <si>
    <t>EliseLabRootsTray3_20.raw</t>
  </si>
  <si>
    <t>EliseLabRootsTray3_21.raw</t>
  </si>
  <si>
    <t>EliseLabRootsTray3_22.raw</t>
  </si>
  <si>
    <t>EliseLabRootsTray3_23.raw</t>
  </si>
  <si>
    <t>EliseLabRootsTray3_24.raw</t>
  </si>
  <si>
    <t>peach 2262u.raw</t>
  </si>
  <si>
    <t>EliseLabRootsTray3_25.raw</t>
  </si>
  <si>
    <t>EliseLabRootsTray3_26.raw</t>
  </si>
  <si>
    <t>EliseLabRootsTray3_27.raw</t>
  </si>
  <si>
    <t>EliseLabRootsTray3_28.raw</t>
  </si>
  <si>
    <t>EliseLabRootsTray3_29.raw</t>
  </si>
  <si>
    <t>EliseLabRootsTray3_30.raw</t>
  </si>
  <si>
    <t>EliseLabRootsTray3_31.raw</t>
  </si>
  <si>
    <t>EliseLabRootsTray3_32.raw</t>
  </si>
  <si>
    <t>EliseLabRootsTray3_33.raw</t>
  </si>
  <si>
    <t>EliseLabRootsTray3_34.raw</t>
  </si>
  <si>
    <t>EliseLabRootsTray3_35.raw</t>
  </si>
  <si>
    <t>EliseLabRootsTray3_36.raw</t>
  </si>
  <si>
    <t>peach 2483u.raw</t>
  </si>
  <si>
    <t>EliseLabRootsTray3_37.raw</t>
  </si>
  <si>
    <t>EliseLabRootsTray3_38.raw</t>
  </si>
  <si>
    <t>EliseLabRootsTray3_39.raw</t>
  </si>
  <si>
    <t>EliseLabRootsTray3_40.raw</t>
  </si>
  <si>
    <t>EliseLabRootsTray3_41.raw</t>
  </si>
  <si>
    <t>EliseLabRootsTray3_42.raw</t>
  </si>
  <si>
    <t>EliseLabRootsTray3_43.raw</t>
  </si>
  <si>
    <t>EliseLabRootsTray3_44.raw</t>
  </si>
  <si>
    <t>EliseLabRootsTray3_45.raw</t>
  </si>
  <si>
    <t>EliseLabRootsTray3_46.raw</t>
  </si>
  <si>
    <t>EliseLabRootsTray3_47.raw</t>
  </si>
  <si>
    <t>EliseLabRootsTray3_48.raw</t>
  </si>
  <si>
    <t>peach 1983korrekt.raw</t>
  </si>
  <si>
    <t>EliseLabRootsTray3_49.raw</t>
  </si>
  <si>
    <t>EliseLabRootsTray3_50.raw</t>
  </si>
  <si>
    <t>EliseLabRootsTray3_51.raw</t>
  </si>
  <si>
    <t>EliseLabRootsTray3_52.raw</t>
  </si>
  <si>
    <t>EliseLabRootsTray3_53.raw</t>
  </si>
  <si>
    <t>EliseLabRootsTray3_54.raw</t>
  </si>
  <si>
    <t>EliseLabRootsTray3_55.raw</t>
  </si>
  <si>
    <t>EliseLabRootsTray3_56.raw</t>
  </si>
  <si>
    <t>EliseLabRootsTray3_57.raw</t>
  </si>
  <si>
    <t>EliseLabRootsTray3_58.raw</t>
  </si>
  <si>
    <t>EliseLabRootsTray3_59.raw</t>
  </si>
  <si>
    <t>EliseLabRootsTray3_60.raw</t>
  </si>
  <si>
    <t>peach 2833korrekt.raw</t>
  </si>
  <si>
    <t>EliseLabRootsTray3_61.raw</t>
  </si>
  <si>
    <t>EliseLabRootsTray3_62.raw</t>
  </si>
  <si>
    <t>EliseLabRootsTray3_63.raw</t>
  </si>
  <si>
    <t>EliseLabRootsTray3_64.raw</t>
  </si>
  <si>
    <t>EliseLabRootsTray3_65.raw</t>
  </si>
  <si>
    <t>EliseLabRootsTray3_66.raw</t>
  </si>
  <si>
    <t>EliseLabRootsTray3_67.raw</t>
  </si>
  <si>
    <t>EliseLabRootsTray3_68.raw</t>
  </si>
  <si>
    <t>EliseLabRootsTray3_69.raw</t>
  </si>
  <si>
    <t>EliseLabRootsTray3_70.raw</t>
  </si>
  <si>
    <t>EliseLabRootsTray3_71.raw</t>
  </si>
  <si>
    <t>EliseLabRootsTray3_72.raw</t>
  </si>
  <si>
    <t>peach2125korrekt.raw</t>
  </si>
  <si>
    <t>EliseLabRootsTray3_73.raw</t>
  </si>
  <si>
    <t>EliseLabRootsTray3_74.raw</t>
  </si>
  <si>
    <t>EliseLabRootsTray3_75.raw</t>
  </si>
  <si>
    <t>EliseLabRootsTray3_76.raw</t>
  </si>
  <si>
    <t>EliseLabRootsTray3_77.raw</t>
  </si>
  <si>
    <t>EliseLabRootsTray3_78.raw</t>
  </si>
  <si>
    <t>EliseLabRootsTray3_79.raw</t>
  </si>
  <si>
    <t>EliseLabRootsTray3_80.raw</t>
  </si>
  <si>
    <t>EliseLabRootsTray3_81.raw</t>
  </si>
  <si>
    <t>EliseLabRootsTray3_82.raw</t>
  </si>
  <si>
    <t>EliseLabRootsTray3_83.raw</t>
  </si>
  <si>
    <t>EliseLabRootsTray3_84.raw</t>
  </si>
  <si>
    <t>EliseLabRootsTray3_85.raw</t>
  </si>
  <si>
    <t>EliseLabRootsTray3_86.raw</t>
  </si>
  <si>
    <t>EliseLabRootsTray3_87.raw</t>
  </si>
  <si>
    <t>diameter</t>
  </si>
  <si>
    <t>position</t>
  </si>
  <si>
    <t>4-5mg</t>
  </si>
  <si>
    <t>comment</t>
  </si>
  <si>
    <t>fine</t>
  </si>
  <si>
    <t>coarse</t>
  </si>
  <si>
    <t>E7</t>
  </si>
  <si>
    <t>E8</t>
  </si>
  <si>
    <t>E9</t>
  </si>
  <si>
    <t>du er lidt usikker på om den blev lagt korrekt</t>
  </si>
  <si>
    <t>G1</t>
  </si>
  <si>
    <t>G2</t>
  </si>
  <si>
    <t>G3</t>
  </si>
  <si>
    <t>H7</t>
  </si>
  <si>
    <t>H8</t>
  </si>
  <si>
    <t>H9</t>
  </si>
  <si>
    <t>ca. herfra og ned til 142 blev du distraheret og det er muligt, men ikke sikkert at du har målt den samme prøve to gange, så fks 128 er replikat af 127.</t>
  </si>
  <si>
    <t>Her opdagede du at den prøve du tror du har lagt som den næste var den forrige. Det kan også være du bare glemte at tage en ny prøve klar til den næste.</t>
  </si>
  <si>
    <t>herfra er det med sikkerhed korrekt</t>
  </si>
  <si>
    <t>dobbel tin</t>
  </si>
  <si>
    <t>korrekt vægt?</t>
  </si>
  <si>
    <t>ikke flere rødder</t>
  </si>
  <si>
    <t>peach 1851u.raw</t>
  </si>
  <si>
    <r>
      <t>Nat abun (</t>
    </r>
    <r>
      <rPr>
        <vertAlign val="superscript"/>
        <sz val="12"/>
        <color theme="1"/>
        <rFont val="Arial"/>
        <family val="2"/>
      </rPr>
      <t>15</t>
    </r>
    <r>
      <rPr>
        <sz val="12"/>
        <color theme="1"/>
        <rFont val="Arial"/>
        <family val="2"/>
      </rPr>
      <t>N)</t>
    </r>
  </si>
  <si>
    <r>
      <t>δ15N</t>
    </r>
    <r>
      <rPr>
        <b/>
        <vertAlign val="subscript"/>
        <sz val="12"/>
        <rFont val="Arial"/>
        <family val="2"/>
      </rPr>
      <t>korr</t>
    </r>
  </si>
  <si>
    <r>
      <t>atom% (</t>
    </r>
    <r>
      <rPr>
        <vertAlign val="superscript"/>
        <sz val="12"/>
        <color theme="1"/>
        <rFont val="Arial"/>
        <family val="2"/>
      </rPr>
      <t>15</t>
    </r>
    <r>
      <rPr>
        <sz val="12"/>
        <color theme="1"/>
        <rFont val="Arial"/>
        <family val="2"/>
      </rPr>
      <t>N)</t>
    </r>
  </si>
  <si>
    <t>APE%</t>
  </si>
  <si>
    <t>N pr DW</t>
  </si>
  <si>
    <t>15N pr DW</t>
  </si>
  <si>
    <r>
      <rPr>
        <b/>
        <vertAlign val="superscript"/>
        <sz val="12"/>
        <color theme="0"/>
        <rFont val="Arial"/>
        <family val="2"/>
      </rPr>
      <t>15</t>
    </r>
    <r>
      <rPr>
        <b/>
        <sz val="12"/>
        <color theme="0"/>
        <rFont val="Arial"/>
        <family val="2"/>
      </rPr>
      <t xml:space="preserve">N pr N </t>
    </r>
  </si>
  <si>
    <r>
      <t>Nat abun (</t>
    </r>
    <r>
      <rPr>
        <b/>
        <vertAlign val="superscript"/>
        <sz val="12"/>
        <rFont val="Arial"/>
        <family val="2"/>
      </rPr>
      <t>13</t>
    </r>
    <r>
      <rPr>
        <b/>
        <sz val="12"/>
        <rFont val="Arial"/>
        <family val="2"/>
      </rPr>
      <t>C)</t>
    </r>
  </si>
  <si>
    <r>
      <t>δ13C</t>
    </r>
    <r>
      <rPr>
        <b/>
        <vertAlign val="subscript"/>
        <sz val="12"/>
        <rFont val="Arial"/>
        <family val="2"/>
      </rPr>
      <t>korr</t>
    </r>
  </si>
  <si>
    <r>
      <t>atom% (</t>
    </r>
    <r>
      <rPr>
        <b/>
        <vertAlign val="superscript"/>
        <sz val="12"/>
        <rFont val="Arial"/>
        <family val="2"/>
      </rPr>
      <t>13</t>
    </r>
    <r>
      <rPr>
        <b/>
        <sz val="12"/>
        <rFont val="Arial"/>
        <family val="2"/>
      </rPr>
      <t>C)</t>
    </r>
  </si>
  <si>
    <t>C pr DW</t>
  </si>
  <si>
    <r>
      <rPr>
        <b/>
        <vertAlign val="superscript"/>
        <sz val="12"/>
        <rFont val="Arial"/>
        <family val="2"/>
      </rPr>
      <t>13</t>
    </r>
    <r>
      <rPr>
        <b/>
        <sz val="12"/>
        <rFont val="Arial"/>
        <family val="2"/>
      </rPr>
      <t xml:space="preserve">C pr DW  </t>
    </r>
  </si>
  <si>
    <r>
      <rPr>
        <b/>
        <vertAlign val="superscript"/>
        <sz val="12"/>
        <rFont val="Arial"/>
        <family val="2"/>
      </rPr>
      <t>13</t>
    </r>
    <r>
      <rPr>
        <b/>
        <sz val="12"/>
        <rFont val="Arial"/>
        <family val="2"/>
      </rPr>
      <t xml:space="preserve">C pr C </t>
    </r>
  </si>
  <si>
    <t>(ATM%)</t>
  </si>
  <si>
    <t>(δ)</t>
  </si>
  <si>
    <t>(% of N)</t>
  </si>
  <si>
    <t>(% excess)</t>
  </si>
  <si>
    <t>(mgN/g DW)</t>
  </si>
  <si>
    <t>(μg/g DW)</t>
  </si>
  <si>
    <t>(μg/g N)</t>
  </si>
  <si>
    <t>(% of C)</t>
  </si>
  <si>
    <t>(mg/g DW)</t>
  </si>
  <si>
    <t>(μg/g C)</t>
  </si>
  <si>
    <t>PEACH</t>
  </si>
  <si>
    <t>Calculations</t>
  </si>
  <si>
    <t>delta=1/((100/at%-1)*Rst-1))*1000</t>
  </si>
  <si>
    <t>at%=100*Rst*(d15Nsa/1000+1)/(1+Rst*(d15Nsa/1000+1))</t>
  </si>
  <si>
    <t>Nair Rst =</t>
  </si>
  <si>
    <t>PDB Rst =</t>
  </si>
  <si>
    <t>From atm% to delta</t>
  </si>
  <si>
    <t>From delta to atm%</t>
  </si>
  <si>
    <t>15N</t>
  </si>
  <si>
    <t>ATM%</t>
  </si>
  <si>
    <t>Delta</t>
  </si>
  <si>
    <t>and</t>
  </si>
  <si>
    <t>bet</t>
  </si>
  <si>
    <t>Calculation of 15N excess in plant matter</t>
  </si>
  <si>
    <t>example:</t>
  </si>
  <si>
    <t>if plant has 1% N = 10 mg N/g</t>
  </si>
  <si>
    <t>and enrichment is 100 delta units</t>
  </si>
  <si>
    <t>(15N is 15 g/mol)</t>
  </si>
  <si>
    <t>delta 15N</t>
  </si>
  <si>
    <t>atm%</t>
  </si>
  <si>
    <t>nat ab</t>
  </si>
  <si>
    <t>enrich in atom%</t>
  </si>
  <si>
    <t>enrich in mass%</t>
  </si>
  <si>
    <t>mgN/g</t>
  </si>
  <si>
    <t>mg15N/g DW</t>
  </si>
  <si>
    <t>ug 15N / g DW</t>
  </si>
  <si>
    <t>umol 15N / g DW</t>
  </si>
  <si>
    <t>Average ROOT nat abun</t>
  </si>
  <si>
    <t>Av</t>
  </si>
  <si>
    <t>Nat abund</t>
  </si>
  <si>
    <t>Nat abun (15N)</t>
  </si>
  <si>
    <t>δ15Nkorr</t>
  </si>
  <si>
    <t>atom% (15N)</t>
  </si>
  <si>
    <t xml:space="preserve">15N pr N </t>
  </si>
  <si>
    <t>Nat abun (13C)</t>
  </si>
  <si>
    <t>δ13Ckorr</t>
  </si>
  <si>
    <t>atom% (13C)</t>
  </si>
  <si>
    <t xml:space="preserve">13C pr DW  </t>
  </si>
  <si>
    <t xml:space="preserve">13C pr C </t>
  </si>
  <si>
    <t>Elise</t>
  </si>
  <si>
    <t>new15N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</si>
</sst>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0.000"/>
    <numFmt numFmtId="166" formatCode="0.000000"/>
    <numFmt numFmtId="167" formatCode="0.000000000000"/>
    <numFmt numFmtId="168" formatCode="0.0000000000000000"/>
  </numFmts>
  <fonts count="74" x14ac:knownFonts="1">
    <font>
      <sz val="11"/>
      <color theme="1"/>
      <name val="Calibri"/>
      <family val="2"/>
      <scheme val="minor"/>
    </font>
    <font>
      <sz val="11"/>
      <color theme="1"/>
      <name val="Calibri"/>
      <family val="2"/>
      <scheme val="minor"/>
    </font>
    <font>
      <sz val="11"/>
      <color rgb="FF9C0006"/>
      <name val="Calibri"/>
      <family val="2"/>
      <scheme val="minor"/>
    </font>
    <font>
      <b/>
      <sz val="11"/>
      <color rgb="FF7030A0"/>
      <name val="Calibri"/>
      <family val="2"/>
      <scheme val="minor"/>
    </font>
    <font>
      <b/>
      <sz val="11"/>
      <color rgb="FF0070C0"/>
      <name val="Calibri"/>
      <family val="2"/>
      <scheme val="minor"/>
    </font>
    <font>
      <b/>
      <sz val="14"/>
      <color theme="1"/>
      <name val="Arial"/>
      <family val="2"/>
    </font>
    <font>
      <sz val="10"/>
      <color theme="0" tint="-0.34998626667073579"/>
      <name val="Arial"/>
      <family val="2"/>
    </font>
    <font>
      <sz val="10"/>
      <name val="Arial"/>
      <family val="2"/>
    </font>
    <font>
      <b/>
      <sz val="12"/>
      <color theme="1"/>
      <name val="Calibri"/>
      <family val="2"/>
      <scheme val="minor"/>
    </font>
    <font>
      <b/>
      <sz val="12"/>
      <name val="Calibri"/>
      <family val="2"/>
      <scheme val="minor"/>
    </font>
    <font>
      <b/>
      <sz val="12"/>
      <color theme="1"/>
      <name val="Calibri"/>
      <family val="2"/>
    </font>
    <font>
      <b/>
      <sz val="12"/>
      <color theme="1"/>
      <name val="Arial"/>
      <family val="2"/>
    </font>
    <font>
      <b/>
      <sz val="12"/>
      <color theme="0" tint="-0.34998626667073579"/>
      <name val="Arial"/>
      <family val="2"/>
    </font>
    <font>
      <sz val="8"/>
      <color indexed="8"/>
      <name val="Arial"/>
      <family val="2"/>
    </font>
    <font>
      <b/>
      <sz val="11"/>
      <color theme="1"/>
      <name val="Calibri"/>
      <family val="2"/>
      <scheme val="minor"/>
    </font>
    <font>
      <b/>
      <sz val="10"/>
      <color theme="0" tint="-0.34998626667073579"/>
      <name val="Arial"/>
      <family val="2"/>
    </font>
    <font>
      <b/>
      <sz val="14"/>
      <color theme="0" tint="-0.34998626667073579"/>
      <name val="Arial"/>
      <family val="2"/>
    </font>
    <font>
      <sz val="11"/>
      <color theme="0" tint="-0.34998626667073579"/>
      <name val="Calibri"/>
      <family val="2"/>
      <scheme val="minor"/>
    </font>
    <font>
      <b/>
      <sz val="12"/>
      <color theme="0" tint="-0.34998626667073579"/>
      <name val="Calibri"/>
      <family val="2"/>
    </font>
    <font>
      <b/>
      <sz val="14"/>
      <name val="Arial"/>
      <family val="2"/>
    </font>
    <font>
      <b/>
      <sz val="12"/>
      <name val="Arial"/>
      <family val="2"/>
    </font>
    <font>
      <sz val="8"/>
      <color indexed="81"/>
      <name val="Tahoma"/>
      <family val="2"/>
    </font>
    <font>
      <sz val="12"/>
      <color theme="0" tint="-0.34998626667073579"/>
      <name val="Calibri"/>
      <family val="2"/>
    </font>
    <font>
      <sz val="12"/>
      <color theme="0" tint="-0.34998626667073579"/>
      <name val="Arial"/>
      <family val="2"/>
    </font>
    <font>
      <sz val="14"/>
      <color theme="0" tint="-0.34998626667073579"/>
      <name val="Arial"/>
      <family val="2"/>
    </font>
    <font>
      <sz val="11"/>
      <color rgb="FF006100"/>
      <name val="Calibri"/>
      <family val="2"/>
      <scheme val="minor"/>
    </font>
    <font>
      <sz val="11"/>
      <color rgb="FFFF0000"/>
      <name val="Calibri"/>
      <family val="2"/>
      <scheme val="minor"/>
    </font>
    <font>
      <sz val="11"/>
      <color theme="0"/>
      <name val="Calibri"/>
      <family val="2"/>
      <scheme val="minor"/>
    </font>
    <font>
      <sz val="12"/>
      <color theme="1"/>
      <name val="Arial"/>
      <family val="2"/>
    </font>
    <font>
      <vertAlign val="superscript"/>
      <sz val="12"/>
      <color theme="1"/>
      <name val="Arial"/>
      <family val="2"/>
    </font>
    <font>
      <b/>
      <vertAlign val="subscript"/>
      <sz val="12"/>
      <name val="Arial"/>
      <family val="2"/>
    </font>
    <font>
      <sz val="12"/>
      <color theme="0"/>
      <name val="Arial"/>
      <family val="2"/>
    </font>
    <font>
      <b/>
      <sz val="12"/>
      <color theme="0"/>
      <name val="Arial"/>
      <family val="2"/>
    </font>
    <font>
      <b/>
      <vertAlign val="superscript"/>
      <sz val="12"/>
      <color theme="0"/>
      <name val="Arial"/>
      <family val="2"/>
    </font>
    <font>
      <b/>
      <vertAlign val="superscript"/>
      <sz val="12"/>
      <name val="Arial"/>
      <family val="2"/>
    </font>
    <font>
      <sz val="10"/>
      <color theme="1"/>
      <name val="Arial"/>
      <family val="2"/>
    </font>
    <font>
      <b/>
      <sz val="10"/>
      <name val="Arial"/>
      <family val="2"/>
    </font>
    <font>
      <sz val="10"/>
      <color theme="0"/>
      <name val="Arial"/>
      <family val="2"/>
    </font>
    <font>
      <b/>
      <sz val="10"/>
      <color theme="0"/>
      <name val="Arial"/>
      <family val="2"/>
    </font>
    <font>
      <sz val="11"/>
      <color theme="6" tint="-0.499984740745262"/>
      <name val="Calibri"/>
      <family val="2"/>
      <scheme val="minor"/>
    </font>
    <font>
      <b/>
      <sz val="10"/>
      <color theme="0" tint="-0.499984740745262"/>
      <name val="Arial"/>
      <family val="2"/>
    </font>
    <font>
      <sz val="10"/>
      <color theme="0" tint="-0.499984740745262"/>
      <name val="Arial"/>
      <family val="2"/>
    </font>
    <font>
      <b/>
      <sz val="9"/>
      <color indexed="81"/>
      <name val="Tahoma"/>
      <family val="2"/>
    </font>
    <font>
      <sz val="8"/>
      <color theme="0" tint="-0.34998626667073579"/>
      <name val="Arial"/>
      <family val="2"/>
    </font>
    <font>
      <sz val="18"/>
      <color rgb="FFFF0000"/>
      <name val="Arial"/>
      <family val="2"/>
    </font>
    <font>
      <sz val="10"/>
      <color rgb="FFFF0000"/>
      <name val="Arial"/>
      <family val="2"/>
    </font>
    <font>
      <b/>
      <sz val="11"/>
      <color rgb="FFFF0000"/>
      <name val="Calibri"/>
      <family val="2"/>
      <scheme val="minor"/>
    </font>
    <font>
      <b/>
      <sz val="10"/>
      <color rgb="FFFF0000"/>
      <name val="Arial"/>
      <family val="2"/>
    </font>
    <font>
      <sz val="10"/>
      <color theme="6" tint="-0.499984740745262"/>
      <name val="Arial"/>
      <family val="2"/>
    </font>
    <font>
      <b/>
      <sz val="10"/>
      <color rgb="FF7030A0"/>
      <name val="Arial"/>
      <family val="2"/>
    </font>
    <font>
      <sz val="14"/>
      <name val="Arial"/>
      <family val="2"/>
    </font>
    <font>
      <sz val="18"/>
      <name val="Arial"/>
      <family val="2"/>
    </font>
    <font>
      <b/>
      <sz val="11"/>
      <color theme="6" tint="-0.499984740745262"/>
      <name val="Calibri"/>
      <family val="2"/>
      <scheme val="minor"/>
    </font>
    <font>
      <b/>
      <sz val="8"/>
      <name val="Arial"/>
      <family val="2"/>
    </font>
    <font>
      <sz val="8"/>
      <color theme="1"/>
      <name val="Calibri"/>
      <family val="2"/>
      <scheme val="minor"/>
    </font>
    <font>
      <b/>
      <sz val="8"/>
      <color theme="1"/>
      <name val="Arial"/>
      <family val="2"/>
    </font>
    <font>
      <b/>
      <sz val="8"/>
      <color theme="1"/>
      <name val="Calibri"/>
      <family val="2"/>
      <scheme val="minor"/>
    </font>
    <font>
      <b/>
      <sz val="14"/>
      <color theme="1"/>
      <name val="Calibri"/>
      <family val="2"/>
      <scheme val="minor"/>
    </font>
    <font>
      <b/>
      <sz val="9"/>
      <color theme="1"/>
      <name val="Calibri"/>
      <family val="2"/>
      <scheme val="minor"/>
    </font>
    <font>
      <b/>
      <sz val="9"/>
      <name val="Calibri"/>
      <family val="2"/>
      <scheme val="minor"/>
    </font>
    <font>
      <b/>
      <sz val="9"/>
      <color rgb="FF7030A0"/>
      <name val="Calibri"/>
      <family val="2"/>
      <scheme val="minor"/>
    </font>
    <font>
      <b/>
      <sz val="9"/>
      <color rgb="FF0070C0"/>
      <name val="Calibri"/>
      <family val="2"/>
      <scheme val="minor"/>
    </font>
    <font>
      <sz val="9"/>
      <color theme="1"/>
      <name val="Arial"/>
      <family val="2"/>
    </font>
    <font>
      <b/>
      <sz val="9"/>
      <name val="Arial"/>
      <family val="2"/>
    </font>
    <font>
      <sz val="9"/>
      <color theme="0"/>
      <name val="Arial"/>
      <family val="2"/>
    </font>
    <font>
      <b/>
      <sz val="9"/>
      <color theme="0"/>
      <name val="Arial"/>
      <family val="2"/>
    </font>
    <font>
      <b/>
      <sz val="11"/>
      <color theme="1"/>
      <name val="Calibri"/>
      <family val="2"/>
    </font>
    <font>
      <b/>
      <sz val="11"/>
      <color theme="1"/>
      <name val="Arial"/>
      <family val="2"/>
    </font>
    <font>
      <b/>
      <sz val="11"/>
      <color theme="0" tint="-0.499984740745262"/>
      <name val="Arial"/>
      <family val="2"/>
    </font>
    <font>
      <sz val="11"/>
      <color theme="0" tint="-0.499984740745262"/>
      <name val="Arial"/>
      <family val="2"/>
    </font>
    <font>
      <b/>
      <sz val="11"/>
      <name val="Arial"/>
      <family val="2"/>
    </font>
    <font>
      <b/>
      <sz val="11"/>
      <color rgb="FF7030A0"/>
      <name val="Arial"/>
      <family val="2"/>
    </font>
    <font>
      <sz val="11"/>
      <color rgb="FF7030A0"/>
      <name val="Calibri"/>
      <family val="2"/>
      <scheme val="minor"/>
    </font>
    <font>
      <b/>
      <sz val="12"/>
      <color rgb="FF7030A0"/>
      <name val="Arial"/>
      <family val="2"/>
    </font>
  </fonts>
  <fills count="30">
    <fill>
      <patternFill patternType="none"/>
    </fill>
    <fill>
      <patternFill patternType="gray125"/>
    </fill>
    <fill>
      <patternFill patternType="solid">
        <fgColor rgb="FFFFC7CE"/>
      </patternFill>
    </fill>
    <fill>
      <patternFill patternType="solid">
        <fgColor theme="9" tint="0.79998168889431442"/>
        <bgColor indexed="65"/>
      </patternFill>
    </fill>
    <fill>
      <patternFill patternType="solid">
        <fgColor rgb="FF92D050"/>
        <bgColor indexed="64"/>
      </patternFill>
    </fill>
    <fill>
      <patternFill patternType="solid">
        <fgColor theme="0"/>
        <bgColor indexed="64"/>
      </patternFill>
    </fill>
    <fill>
      <patternFill patternType="solid">
        <fgColor indexed="41"/>
        <bgColor indexed="64"/>
      </patternFill>
    </fill>
    <fill>
      <patternFill patternType="solid">
        <fgColor theme="6" tint="0.39997558519241921"/>
        <bgColor indexed="64"/>
      </patternFill>
    </fill>
    <fill>
      <patternFill patternType="solid">
        <fgColor indexed="42"/>
        <bgColor indexed="64"/>
      </patternFill>
    </fill>
    <fill>
      <patternFill patternType="solid">
        <fgColor theme="0" tint="-0.499984740745262"/>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C6EFCE"/>
      </patternFill>
    </fill>
    <fill>
      <patternFill patternType="solid">
        <fgColor theme="6"/>
      </patternFill>
    </fill>
    <fill>
      <patternFill patternType="solid">
        <fgColor rgb="FFFFFF00"/>
        <bgColor indexed="64"/>
      </patternFill>
    </fill>
    <fill>
      <patternFill patternType="solid">
        <fgColor theme="6" tint="-0.249977111117893"/>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rgb="FFFFC000"/>
        <bgColor indexed="64"/>
      </patternFill>
    </fill>
    <fill>
      <patternFill patternType="solid">
        <fgColor theme="2" tint="-0.49998474074526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rgb="FF00B050"/>
        <bgColor indexed="64"/>
      </patternFill>
    </fill>
    <fill>
      <patternFill patternType="solid">
        <fgColor theme="5" tint="0.79998168889431442"/>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indexed="64"/>
      </left>
      <right/>
      <top/>
      <bottom style="thin">
        <color indexed="64"/>
      </bottom>
      <diagonal/>
    </border>
    <border>
      <left style="thin">
        <color auto="1"/>
      </left>
      <right/>
      <top style="thin">
        <color auto="1"/>
      </top>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8">
    <xf numFmtId="0" fontId="0" fillId="0" borderId="0"/>
    <xf numFmtId="0" fontId="1" fillId="3" borderId="0" applyNumberFormat="0" applyBorder="0" applyAlignment="0" applyProtection="0"/>
    <xf numFmtId="0" fontId="1" fillId="0" borderId="0"/>
    <xf numFmtId="0" fontId="2" fillId="2" borderId="0" applyNumberFormat="0" applyBorder="0" applyAlignment="0" applyProtection="0"/>
    <xf numFmtId="0" fontId="7" fillId="0" borderId="0"/>
    <xf numFmtId="0" fontId="7" fillId="0" borderId="0"/>
    <xf numFmtId="0" fontId="25" fillId="17" borderId="0" applyNumberFormat="0" applyBorder="0" applyAlignment="0" applyProtection="0"/>
    <xf numFmtId="0" fontId="27" fillId="18" borderId="0" applyNumberFormat="0" applyBorder="0" applyAlignment="0" applyProtection="0"/>
  </cellStyleXfs>
  <cellXfs count="181">
    <xf numFmtId="0" fontId="0" fillId="0" borderId="0" xfId="0"/>
    <xf numFmtId="164" fontId="6" fillId="5" borderId="0" xfId="0" applyNumberFormat="1" applyFont="1" applyFill="1" applyAlignment="1">
      <alignment wrapText="1"/>
    </xf>
    <xf numFmtId="165" fontId="12" fillId="5" borderId="1" xfId="0" applyNumberFormat="1" applyFont="1" applyFill="1" applyBorder="1" applyAlignment="1">
      <alignment wrapText="1"/>
    </xf>
    <xf numFmtId="2" fontId="12" fillId="5" borderId="1" xfId="0" applyNumberFormat="1" applyFont="1" applyFill="1" applyBorder="1" applyAlignment="1">
      <alignment wrapText="1"/>
    </xf>
    <xf numFmtId="2" fontId="16" fillId="5" borderId="1" xfId="0" applyNumberFormat="1" applyFont="1" applyFill="1" applyBorder="1" applyAlignment="1">
      <alignment wrapText="1"/>
    </xf>
    <xf numFmtId="165" fontId="18" fillId="5" borderId="1" xfId="3" applyNumberFormat="1" applyFont="1" applyFill="1" applyBorder="1"/>
    <xf numFmtId="2" fontId="18" fillId="5" borderId="1" xfId="3" applyNumberFormat="1" applyFont="1" applyFill="1" applyBorder="1"/>
    <xf numFmtId="2" fontId="17" fillId="10" borderId="0" xfId="0" applyNumberFormat="1" applyFont="1" applyFill="1"/>
    <xf numFmtId="0" fontId="7" fillId="0" borderId="0" xfId="4"/>
    <xf numFmtId="0" fontId="0" fillId="0" borderId="0" xfId="0" applyAlignment="1">
      <alignment horizontal="right"/>
    </xf>
    <xf numFmtId="0" fontId="14" fillId="0" borderId="0" xfId="0" applyFont="1" applyAlignment="1">
      <alignment horizontal="center"/>
    </xf>
    <xf numFmtId="0" fontId="14" fillId="0" borderId="0" xfId="0" applyFont="1" applyAlignment="1">
      <alignment horizontal="right"/>
    </xf>
    <xf numFmtId="2" fontId="0" fillId="0" borderId="0" xfId="0" applyNumberFormat="1"/>
    <xf numFmtId="0" fontId="0" fillId="12" borderId="0" xfId="0" applyFill="1"/>
    <xf numFmtId="0" fontId="0" fillId="14" borderId="0" xfId="0" applyFill="1"/>
    <xf numFmtId="2" fontId="17" fillId="14" borderId="0" xfId="0" applyNumberFormat="1" applyFont="1" applyFill="1"/>
    <xf numFmtId="0" fontId="17" fillId="15" borderId="0" xfId="0" applyFont="1" applyFill="1"/>
    <xf numFmtId="2" fontId="17" fillId="15" borderId="0" xfId="0" applyNumberFormat="1" applyFont="1" applyFill="1"/>
    <xf numFmtId="2" fontId="17" fillId="16" borderId="0" xfId="0" applyNumberFormat="1" applyFont="1" applyFill="1"/>
    <xf numFmtId="165" fontId="22" fillId="5" borderId="1" xfId="3" applyNumberFormat="1" applyFont="1" applyFill="1" applyBorder="1"/>
    <xf numFmtId="2" fontId="22" fillId="5" borderId="1" xfId="3" applyNumberFormat="1" applyFont="1" applyFill="1" applyBorder="1"/>
    <xf numFmtId="2" fontId="23" fillId="5" borderId="1" xfId="0" applyNumberFormat="1" applyFont="1" applyFill="1" applyBorder="1" applyAlignment="1">
      <alignment wrapText="1"/>
    </xf>
    <xf numFmtId="2" fontId="24" fillId="5" borderId="1" xfId="0" applyNumberFormat="1" applyFont="1" applyFill="1" applyBorder="1" applyAlignment="1">
      <alignment wrapText="1"/>
    </xf>
    <xf numFmtId="0" fontId="17" fillId="0" borderId="0" xfId="0" applyFont="1"/>
    <xf numFmtId="0" fontId="39" fillId="22" borderId="0" xfId="2" applyFont="1" applyFill="1"/>
    <xf numFmtId="0" fontId="26" fillId="23" borderId="0" xfId="0" applyFont="1" applyFill="1"/>
    <xf numFmtId="0" fontId="43" fillId="0" borderId="2" xfId="4" applyFont="1" applyBorder="1" applyAlignment="1">
      <alignment horizontal="center" vertical="top"/>
    </xf>
    <xf numFmtId="2" fontId="43" fillId="0" borderId="2" xfId="4" applyNumberFormat="1" applyFont="1" applyBorder="1" applyAlignment="1">
      <alignment horizontal="center" vertical="top"/>
    </xf>
    <xf numFmtId="0" fontId="43" fillId="6" borderId="2" xfId="4" applyFont="1" applyFill="1" applyBorder="1" applyAlignment="1">
      <alignment horizontal="center" vertical="top"/>
    </xf>
    <xf numFmtId="2" fontId="43" fillId="6" borderId="2" xfId="4" applyNumberFormat="1" applyFont="1" applyFill="1" applyBorder="1" applyAlignment="1">
      <alignment horizontal="center" vertical="top"/>
    </xf>
    <xf numFmtId="0" fontId="17" fillId="13" borderId="0" xfId="0" applyFont="1" applyFill="1"/>
    <xf numFmtId="0" fontId="43" fillId="6" borderId="3" xfId="4" applyFont="1" applyFill="1" applyBorder="1" applyAlignment="1">
      <alignment horizontal="center" vertical="top"/>
    </xf>
    <xf numFmtId="2" fontId="43" fillId="6" borderId="3" xfId="4" applyNumberFormat="1" applyFont="1" applyFill="1" applyBorder="1" applyAlignment="1">
      <alignment horizontal="center" vertical="top"/>
    </xf>
    <xf numFmtId="0" fontId="17" fillId="14" borderId="0" xfId="0" applyFont="1" applyFill="1"/>
    <xf numFmtId="0" fontId="17" fillId="16" borderId="0" xfId="0" applyFont="1" applyFill="1"/>
    <xf numFmtId="0" fontId="44" fillId="23" borderId="0" xfId="0" applyFont="1" applyFill="1"/>
    <xf numFmtId="0" fontId="45" fillId="23" borderId="0" xfId="0" applyFont="1" applyFill="1"/>
    <xf numFmtId="0" fontId="0" fillId="23" borderId="0" xfId="0" applyFill="1"/>
    <xf numFmtId="0" fontId="36" fillId="23" borderId="0" xfId="0" applyFont="1" applyFill="1"/>
    <xf numFmtId="0" fontId="46" fillId="23" borderId="0" xfId="6" applyFont="1" applyFill="1"/>
    <xf numFmtId="0" fontId="26" fillId="23" borderId="0" xfId="6" applyFont="1" applyFill="1"/>
    <xf numFmtId="0" fontId="47" fillId="19" borderId="0" xfId="0" applyFont="1" applyFill="1" applyAlignment="1">
      <alignment horizontal="right"/>
    </xf>
    <xf numFmtId="0" fontId="45" fillId="19" borderId="0" xfId="0" applyFont="1" applyFill="1" applyAlignment="1">
      <alignment horizontal="right"/>
    </xf>
    <xf numFmtId="0" fontId="46" fillId="19" borderId="0" xfId="6" applyFont="1" applyFill="1" applyAlignment="1">
      <alignment horizontal="right"/>
    </xf>
    <xf numFmtId="0" fontId="47" fillId="11" borderId="0" xfId="0" applyFont="1" applyFill="1" applyAlignment="1">
      <alignment horizontal="right"/>
    </xf>
    <xf numFmtId="0" fontId="46" fillId="7" borderId="0" xfId="6" applyFont="1" applyFill="1" applyAlignment="1">
      <alignment horizontal="right"/>
    </xf>
    <xf numFmtId="0" fontId="0" fillId="11" borderId="0" xfId="0" applyFill="1"/>
    <xf numFmtId="1" fontId="0" fillId="11" borderId="0" xfId="0" applyNumberFormat="1" applyFill="1"/>
    <xf numFmtId="0" fontId="39" fillId="7" borderId="0" xfId="6" applyFont="1" applyFill="1"/>
    <xf numFmtId="2" fontId="14" fillId="0" borderId="0" xfId="2" applyNumberFormat="1" applyFont="1"/>
    <xf numFmtId="1" fontId="48" fillId="7" borderId="0" xfId="0" applyNumberFormat="1" applyFont="1" applyFill="1" applyAlignment="1">
      <alignment horizontal="right"/>
    </xf>
    <xf numFmtId="0" fontId="39" fillId="13" borderId="0" xfId="6" applyFont="1" applyFill="1"/>
    <xf numFmtId="0" fontId="0" fillId="0" borderId="4" xfId="0" applyBorder="1"/>
    <xf numFmtId="0" fontId="0" fillId="0" borderId="6" xfId="0" applyBorder="1"/>
    <xf numFmtId="0" fontId="39" fillId="13" borderId="6" xfId="6" applyFont="1" applyFill="1" applyBorder="1"/>
    <xf numFmtId="2" fontId="0" fillId="0" borderId="6" xfId="0" applyNumberFormat="1" applyBorder="1"/>
    <xf numFmtId="2" fontId="0" fillId="0" borderId="7" xfId="0" applyNumberFormat="1" applyBorder="1"/>
    <xf numFmtId="0" fontId="1" fillId="14" borderId="0" xfId="2" applyFill="1"/>
    <xf numFmtId="0" fontId="39" fillId="22" borderId="0" xfId="6" applyFont="1" applyFill="1"/>
    <xf numFmtId="0" fontId="0" fillId="0" borderId="2" xfId="0" applyBorder="1"/>
    <xf numFmtId="2" fontId="0" fillId="0" borderId="8" xfId="0" applyNumberFormat="1" applyBorder="1"/>
    <xf numFmtId="2" fontId="0" fillId="14" borderId="0" xfId="0" applyNumberFormat="1" applyFill="1"/>
    <xf numFmtId="0" fontId="39" fillId="24" borderId="0" xfId="2" applyFont="1" applyFill="1"/>
    <xf numFmtId="0" fontId="39" fillId="24" borderId="0" xfId="6" applyFont="1" applyFill="1"/>
    <xf numFmtId="0" fontId="0" fillId="14" borderId="2" xfId="0" applyFill="1" applyBorder="1"/>
    <xf numFmtId="0" fontId="7" fillId="14" borderId="0" xfId="0" applyFont="1" applyFill="1" applyAlignment="1">
      <alignment horizontal="center"/>
    </xf>
    <xf numFmtId="2" fontId="0" fillId="14" borderId="8" xfId="0" applyNumberFormat="1" applyFill="1" applyBorder="1"/>
    <xf numFmtId="0" fontId="39" fillId="25" borderId="0" xfId="6" applyFont="1" applyFill="1"/>
    <xf numFmtId="0" fontId="39" fillId="25" borderId="0" xfId="6" applyFont="1" applyFill="1" applyBorder="1"/>
    <xf numFmtId="0" fontId="39" fillId="26" borderId="0" xfId="6" applyFont="1" applyFill="1"/>
    <xf numFmtId="0" fontId="39" fillId="26" borderId="0" xfId="6" applyFont="1" applyFill="1" applyBorder="1"/>
    <xf numFmtId="0" fontId="39" fillId="27" borderId="0" xfId="6" applyFont="1" applyFill="1"/>
    <xf numFmtId="0" fontId="0" fillId="14" borderId="3" xfId="0" applyFill="1" applyBorder="1"/>
    <xf numFmtId="0" fontId="0" fillId="14" borderId="9" xfId="0" applyFill="1" applyBorder="1"/>
    <xf numFmtId="0" fontId="39" fillId="27" borderId="9" xfId="6" applyFont="1" applyFill="1" applyBorder="1"/>
    <xf numFmtId="2" fontId="0" fillId="14" borderId="9" xfId="0" applyNumberFormat="1" applyFill="1" applyBorder="1"/>
    <xf numFmtId="2" fontId="0" fillId="14" borderId="10" xfId="0" applyNumberFormat="1" applyFill="1" applyBorder="1"/>
    <xf numFmtId="0" fontId="36" fillId="0" borderId="0" xfId="0" applyFont="1"/>
    <xf numFmtId="2" fontId="49" fillId="0" borderId="0" xfId="0" applyNumberFormat="1" applyFont="1"/>
    <xf numFmtId="0" fontId="41" fillId="0" borderId="0" xfId="0" applyFont="1"/>
    <xf numFmtId="0" fontId="36" fillId="14" borderId="0" xfId="0" applyFont="1" applyFill="1"/>
    <xf numFmtId="0" fontId="50" fillId="26" borderId="0" xfId="0" applyFont="1" applyFill="1"/>
    <xf numFmtId="0" fontId="0" fillId="26" borderId="0" xfId="0" applyFill="1"/>
    <xf numFmtId="0" fontId="51" fillId="26" borderId="0" xfId="0" applyFont="1" applyFill="1"/>
    <xf numFmtId="0" fontId="36" fillId="26" borderId="0" xfId="0" applyFont="1" applyFill="1"/>
    <xf numFmtId="0" fontId="36" fillId="26" borderId="0" xfId="0" applyFont="1" applyFill="1" applyAlignment="1">
      <alignment horizontal="right"/>
    </xf>
    <xf numFmtId="0" fontId="36" fillId="26" borderId="0" xfId="0" applyFont="1" applyFill="1" applyAlignment="1">
      <alignment horizontal="left"/>
    </xf>
    <xf numFmtId="0" fontId="0" fillId="26" borderId="0" xfId="0" applyFill="1" applyAlignment="1">
      <alignment horizontal="right"/>
    </xf>
    <xf numFmtId="166" fontId="0" fillId="26" borderId="0" xfId="0" applyNumberFormat="1" applyFill="1" applyAlignment="1">
      <alignment horizontal="right"/>
    </xf>
    <xf numFmtId="166" fontId="36" fillId="26" borderId="0" xfId="0" applyNumberFormat="1" applyFont="1" applyFill="1" applyAlignment="1">
      <alignment horizontal="right"/>
    </xf>
    <xf numFmtId="0" fontId="52" fillId="7" borderId="0" xfId="6" applyFont="1" applyFill="1"/>
    <xf numFmtId="0" fontId="53" fillId="14" borderId="0" xfId="0" applyFont="1" applyFill="1"/>
    <xf numFmtId="0" fontId="54" fillId="0" borderId="0" xfId="0" applyFont="1"/>
    <xf numFmtId="2" fontId="55" fillId="5" borderId="1" xfId="0" applyNumberFormat="1" applyFont="1" applyFill="1" applyBorder="1" applyAlignment="1">
      <alignment wrapText="1"/>
    </xf>
    <xf numFmtId="2" fontId="53" fillId="5" borderId="1" xfId="0" applyNumberFormat="1" applyFont="1" applyFill="1" applyBorder="1" applyAlignment="1">
      <alignment wrapText="1"/>
    </xf>
    <xf numFmtId="0" fontId="57" fillId="28" borderId="0" xfId="0" applyFont="1" applyFill="1"/>
    <xf numFmtId="2" fontId="57" fillId="28" borderId="0" xfId="0" applyNumberFormat="1" applyFont="1" applyFill="1"/>
    <xf numFmtId="2" fontId="14" fillId="28" borderId="0" xfId="0" applyNumberFormat="1" applyFont="1" applyFill="1"/>
    <xf numFmtId="0" fontId="14" fillId="29" borderId="0" xfId="0" applyFont="1" applyFill="1"/>
    <xf numFmtId="0" fontId="56" fillId="29" borderId="0" xfId="0" applyFont="1" applyFill="1"/>
    <xf numFmtId="167" fontId="14" fillId="0" borderId="0" xfId="0" applyNumberFormat="1" applyFont="1" applyAlignment="1">
      <alignment horizontal="center"/>
    </xf>
    <xf numFmtId="167" fontId="14" fillId="0" borderId="0" xfId="0" applyNumberFormat="1" applyFont="1" applyAlignment="1">
      <alignment horizontal="right"/>
    </xf>
    <xf numFmtId="167" fontId="58" fillId="4" borderId="1" xfId="1" applyNumberFormat="1" applyFont="1" applyFill="1" applyBorder="1" applyAlignment="1">
      <alignment horizontal="center" vertical="top" wrapText="1"/>
    </xf>
    <xf numFmtId="167" fontId="59" fillId="4" borderId="1" xfId="1" applyNumberFormat="1" applyFont="1" applyFill="1" applyBorder="1" applyAlignment="1">
      <alignment horizontal="center" vertical="top" wrapText="1"/>
    </xf>
    <xf numFmtId="167" fontId="60" fillId="4" borderId="1" xfId="1" applyNumberFormat="1" applyFont="1" applyFill="1" applyBorder="1" applyAlignment="1">
      <alignment vertical="top" wrapText="1"/>
    </xf>
    <xf numFmtId="167" fontId="61" fillId="4" borderId="1" xfId="1" applyNumberFormat="1" applyFont="1" applyFill="1" applyBorder="1" applyAlignment="1">
      <alignment horizontal="center" vertical="top" wrapText="1"/>
    </xf>
    <xf numFmtId="167" fontId="62" fillId="10" borderId="0" xfId="1" applyNumberFormat="1" applyFont="1" applyFill="1" applyBorder="1" applyAlignment="1">
      <alignment horizontal="center" vertical="center" wrapText="1"/>
    </xf>
    <xf numFmtId="167" fontId="63" fillId="10" borderId="0" xfId="1" applyNumberFormat="1" applyFont="1" applyFill="1" applyBorder="1" applyAlignment="1">
      <alignment horizontal="center" vertical="center" wrapText="1"/>
    </xf>
    <xf numFmtId="167" fontId="64" fillId="20" borderId="0" xfId="7" applyNumberFormat="1" applyFont="1" applyFill="1" applyBorder="1" applyAlignment="1">
      <alignment horizontal="center" vertical="center" wrapText="1"/>
    </xf>
    <xf numFmtId="167" fontId="65" fillId="20" borderId="0" xfId="7" applyNumberFormat="1" applyFont="1" applyFill="1" applyBorder="1" applyAlignment="1">
      <alignment horizontal="center" vertical="center" wrapText="1"/>
    </xf>
    <xf numFmtId="167" fontId="63" fillId="15" borderId="0" xfId="0" applyNumberFormat="1" applyFont="1" applyFill="1" applyAlignment="1">
      <alignment horizontal="center" vertical="center" wrapText="1"/>
    </xf>
    <xf numFmtId="167" fontId="63" fillId="3" borderId="0" xfId="1" applyNumberFormat="1" applyFont="1" applyBorder="1" applyAlignment="1">
      <alignment horizontal="center" vertical="center" wrapText="1"/>
    </xf>
    <xf numFmtId="167" fontId="63" fillId="21" borderId="0" xfId="7" applyNumberFormat="1" applyFont="1" applyFill="1" applyBorder="1" applyAlignment="1">
      <alignment horizontal="center" vertical="center" wrapText="1"/>
    </xf>
    <xf numFmtId="167" fontId="0" fillId="0" borderId="0" xfId="0" applyNumberFormat="1"/>
    <xf numFmtId="167" fontId="0" fillId="0" borderId="0" xfId="0" applyNumberFormat="1" applyAlignment="1">
      <alignment horizontal="right"/>
    </xf>
    <xf numFmtId="167" fontId="72" fillId="0" borderId="0" xfId="0" applyNumberFormat="1" applyFont="1"/>
    <xf numFmtId="167" fontId="66" fillId="5" borderId="1" xfId="3" applyNumberFormat="1" applyFont="1" applyFill="1" applyBorder="1"/>
    <xf numFmtId="167" fontId="67" fillId="5" borderId="1" xfId="0" applyNumberFormat="1" applyFont="1" applyFill="1" applyBorder="1" applyAlignment="1">
      <alignment wrapText="1"/>
    </xf>
    <xf numFmtId="167" fontId="71" fillId="5" borderId="1" xfId="0" applyNumberFormat="1" applyFont="1" applyFill="1" applyBorder="1" applyAlignment="1">
      <alignment wrapText="1"/>
    </xf>
    <xf numFmtId="167" fontId="39" fillId="22" borderId="0" xfId="2" applyNumberFormat="1" applyFont="1" applyFill="1"/>
    <xf numFmtId="167" fontId="68" fillId="0" borderId="0" xfId="0" applyNumberFormat="1" applyFont="1" applyAlignment="1">
      <alignment horizontal="center" wrapText="1"/>
    </xf>
    <xf numFmtId="167" fontId="69" fillId="0" borderId="0" xfId="0" applyNumberFormat="1" applyFont="1" applyAlignment="1">
      <alignment horizontal="center" wrapText="1"/>
    </xf>
    <xf numFmtId="167" fontId="70" fillId="0" borderId="0" xfId="0" applyNumberFormat="1" applyFont="1" applyAlignment="1">
      <alignment horizontal="center" wrapText="1"/>
    </xf>
    <xf numFmtId="167" fontId="73" fillId="0" borderId="0" xfId="0" applyNumberFormat="1" applyFont="1" applyAlignment="1">
      <alignment horizontal="center" wrapText="1"/>
    </xf>
    <xf numFmtId="167" fontId="26" fillId="23" borderId="0" xfId="0" applyNumberFormat="1" applyFont="1" applyFill="1"/>
    <xf numFmtId="167" fontId="70" fillId="5" borderId="1" xfId="0" applyNumberFormat="1" applyFont="1" applyFill="1" applyBorder="1" applyAlignment="1">
      <alignment wrapText="1"/>
    </xf>
    <xf numFmtId="167" fontId="0" fillId="12" borderId="0" xfId="0" applyNumberFormat="1" applyFill="1"/>
    <xf numFmtId="167" fontId="7" fillId="0" borderId="0" xfId="4" applyNumberFormat="1"/>
    <xf numFmtId="168" fontId="7" fillId="8" borderId="5" xfId="4" applyNumberFormat="1" applyFill="1" applyBorder="1" applyAlignment="1">
      <alignment horizontal="center" wrapText="1"/>
    </xf>
    <xf numFmtId="168" fontId="7" fillId="8" borderId="6" xfId="4" applyNumberFormat="1" applyFill="1" applyBorder="1" applyAlignment="1">
      <alignment horizontal="center" wrapText="1"/>
    </xf>
    <xf numFmtId="168" fontId="7" fillId="8" borderId="4" xfId="4" applyNumberFormat="1" applyFill="1" applyBorder="1" applyAlignment="1">
      <alignment horizontal="center" wrapText="1"/>
    </xf>
    <xf numFmtId="168" fontId="14" fillId="11" borderId="0" xfId="0" applyNumberFormat="1" applyFont="1" applyFill="1"/>
    <xf numFmtId="168" fontId="15" fillId="9" borderId="0" xfId="0" applyNumberFormat="1" applyFont="1" applyFill="1" applyAlignment="1">
      <alignment horizontal="center" vertical="top" wrapText="1"/>
    </xf>
    <xf numFmtId="168" fontId="12" fillId="7" borderId="1" xfId="0" applyNumberFormat="1" applyFont="1" applyFill="1" applyBorder="1" applyAlignment="1">
      <alignment horizontal="center" vertical="top" wrapText="1"/>
    </xf>
    <xf numFmtId="168" fontId="8" fillId="4" borderId="1" xfId="1" applyNumberFormat="1" applyFont="1" applyFill="1" applyBorder="1" applyAlignment="1">
      <alignment horizontal="center" vertical="top" wrapText="1"/>
    </xf>
    <xf numFmtId="168" fontId="9" fillId="4" borderId="1" xfId="1" applyNumberFormat="1" applyFont="1" applyFill="1" applyBorder="1" applyAlignment="1">
      <alignment horizontal="center" vertical="top" wrapText="1"/>
    </xf>
    <xf numFmtId="168" fontId="3" fillId="4" borderId="1" xfId="1" applyNumberFormat="1" applyFont="1" applyFill="1" applyBorder="1" applyAlignment="1">
      <alignment vertical="top" wrapText="1"/>
    </xf>
    <xf numFmtId="168" fontId="4" fillId="4" borderId="1" xfId="1" applyNumberFormat="1" applyFont="1" applyFill="1" applyBorder="1" applyAlignment="1">
      <alignment horizontal="center" vertical="top" wrapText="1"/>
    </xf>
    <xf numFmtId="168" fontId="28" fillId="10" borderId="0" xfId="1" applyNumberFormat="1" applyFont="1" applyFill="1" applyBorder="1" applyAlignment="1">
      <alignment horizontal="center" vertical="center" wrapText="1"/>
    </xf>
    <xf numFmtId="168" fontId="20" fillId="10" borderId="0" xfId="1" applyNumberFormat="1" applyFont="1" applyFill="1" applyBorder="1" applyAlignment="1">
      <alignment horizontal="center" vertical="center" wrapText="1"/>
    </xf>
    <xf numFmtId="168" fontId="31" fillId="20" borderId="0" xfId="7" applyNumberFormat="1" applyFont="1" applyFill="1" applyBorder="1" applyAlignment="1">
      <alignment horizontal="center" vertical="center" wrapText="1"/>
    </xf>
    <xf numFmtId="168" fontId="32" fillId="20" borderId="0" xfId="7" applyNumberFormat="1" applyFont="1" applyFill="1" applyBorder="1" applyAlignment="1">
      <alignment horizontal="center" vertical="center" wrapText="1"/>
    </xf>
    <xf numFmtId="168" fontId="20" fillId="15" borderId="0" xfId="0" applyNumberFormat="1" applyFont="1" applyFill="1" applyAlignment="1">
      <alignment horizontal="center" vertical="center" wrapText="1"/>
    </xf>
    <xf numFmtId="168" fontId="20" fillId="3" borderId="0" xfId="1" applyNumberFormat="1" applyFont="1" applyBorder="1" applyAlignment="1">
      <alignment horizontal="center" vertical="center" wrapText="1"/>
    </xf>
    <xf numFmtId="168" fontId="20" fillId="21" borderId="0" xfId="7" applyNumberFormat="1" applyFont="1" applyFill="1" applyBorder="1" applyAlignment="1">
      <alignment horizontal="center" vertical="center" wrapText="1"/>
    </xf>
    <xf numFmtId="168" fontId="7" fillId="8" borderId="2" xfId="4" applyNumberFormat="1" applyFill="1" applyBorder="1" applyAlignment="1">
      <alignment horizontal="center" wrapText="1"/>
    </xf>
    <xf numFmtId="168" fontId="7" fillId="8" borderId="0" xfId="4" applyNumberFormat="1" applyFill="1" applyAlignment="1">
      <alignment horizontal="center" wrapText="1"/>
    </xf>
    <xf numFmtId="168" fontId="35" fillId="10" borderId="0" xfId="1" applyNumberFormat="1" applyFont="1" applyFill="1" applyBorder="1" applyAlignment="1">
      <alignment horizontal="center" vertical="center" wrapText="1"/>
    </xf>
    <xf numFmtId="168" fontId="36" fillId="10" borderId="0" xfId="1" applyNumberFormat="1" applyFont="1" applyFill="1" applyBorder="1" applyAlignment="1">
      <alignment horizontal="center" vertical="center" wrapText="1"/>
    </xf>
    <xf numFmtId="168" fontId="37" fillId="20" borderId="0" xfId="7" applyNumberFormat="1" applyFont="1" applyFill="1" applyBorder="1" applyAlignment="1">
      <alignment horizontal="center" vertical="center" wrapText="1"/>
    </xf>
    <xf numFmtId="168" fontId="38" fillId="20" borderId="0" xfId="7" applyNumberFormat="1" applyFont="1" applyFill="1" applyBorder="1" applyAlignment="1">
      <alignment horizontal="center" vertical="center" wrapText="1"/>
    </xf>
    <xf numFmtId="168" fontId="36" fillId="15" borderId="0" xfId="0" applyNumberFormat="1" applyFont="1" applyFill="1" applyAlignment="1">
      <alignment horizontal="center" vertical="center" wrapText="1"/>
    </xf>
    <xf numFmtId="168" fontId="36" fillId="3" borderId="0" xfId="1" applyNumberFormat="1" applyFont="1" applyBorder="1" applyAlignment="1">
      <alignment horizontal="center" vertical="center" wrapText="1"/>
    </xf>
    <xf numFmtId="168" fontId="36" fillId="21" borderId="0" xfId="7" applyNumberFormat="1" applyFont="1" applyFill="1" applyBorder="1" applyAlignment="1">
      <alignment horizontal="center" vertical="center" wrapText="1"/>
    </xf>
    <xf numFmtId="168" fontId="13" fillId="6" borderId="2" xfId="4" applyNumberFormat="1" applyFont="1" applyFill="1" applyBorder="1" applyAlignment="1">
      <alignment horizontal="center" vertical="top"/>
    </xf>
    <xf numFmtId="168" fontId="71" fillId="5" borderId="1" xfId="0" applyNumberFormat="1" applyFont="1" applyFill="1" applyBorder="1" applyAlignment="1">
      <alignment wrapText="1"/>
    </xf>
    <xf numFmtId="168" fontId="0" fillId="0" borderId="0" xfId="0" applyNumberFormat="1"/>
    <xf numFmtId="168" fontId="17" fillId="10" borderId="0" xfId="0" applyNumberFormat="1" applyFont="1" applyFill="1"/>
    <xf numFmtId="168" fontId="6" fillId="5" borderId="0" xfId="0" applyNumberFormat="1" applyFont="1" applyFill="1" applyAlignment="1">
      <alignment wrapText="1"/>
    </xf>
    <xf numFmtId="168" fontId="12" fillId="5" borderId="1" xfId="0" applyNumberFormat="1" applyFont="1" applyFill="1" applyBorder="1" applyAlignment="1">
      <alignment wrapText="1"/>
    </xf>
    <xf numFmtId="168" fontId="10" fillId="5" borderId="1" xfId="3" applyNumberFormat="1" applyFont="1" applyFill="1" applyBorder="1"/>
    <xf numFmtId="168" fontId="11" fillId="5" borderId="1" xfId="0" applyNumberFormat="1" applyFont="1" applyFill="1" applyBorder="1" applyAlignment="1">
      <alignment wrapText="1"/>
    </xf>
    <xf numFmtId="168" fontId="5" fillId="5" borderId="1" xfId="0" applyNumberFormat="1" applyFont="1" applyFill="1" applyBorder="1" applyAlignment="1">
      <alignment wrapText="1"/>
    </xf>
    <xf numFmtId="168" fontId="39" fillId="22" borderId="0" xfId="2" applyNumberFormat="1" applyFont="1" applyFill="1"/>
    <xf numFmtId="168" fontId="40" fillId="0" borderId="0" xfId="0" applyNumberFormat="1" applyFont="1" applyAlignment="1">
      <alignment horizontal="center" wrapText="1"/>
    </xf>
    <xf numFmtId="168" fontId="41" fillId="0" borderId="0" xfId="0" applyNumberFormat="1" applyFont="1" applyAlignment="1">
      <alignment horizontal="center" wrapText="1"/>
    </xf>
    <xf numFmtId="168" fontId="20" fillId="0" borderId="0" xfId="0" applyNumberFormat="1" applyFont="1" applyAlignment="1">
      <alignment horizontal="center" wrapText="1"/>
    </xf>
    <xf numFmtId="168" fontId="73" fillId="0" borderId="0" xfId="0" applyNumberFormat="1" applyFont="1" applyAlignment="1">
      <alignment horizontal="center" wrapText="1"/>
    </xf>
    <xf numFmtId="168" fontId="36" fillId="0" borderId="0" xfId="0" applyNumberFormat="1" applyFont="1" applyAlignment="1">
      <alignment horizontal="center" wrapText="1"/>
    </xf>
    <xf numFmtId="168" fontId="13" fillId="0" borderId="2" xfId="4" applyNumberFormat="1" applyFont="1" applyBorder="1" applyAlignment="1">
      <alignment horizontal="center" vertical="top"/>
    </xf>
    <xf numFmtId="168" fontId="17" fillId="14" borderId="0" xfId="0" applyNumberFormat="1" applyFont="1" applyFill="1"/>
    <xf numFmtId="168" fontId="19" fillId="5" borderId="1" xfId="0" applyNumberFormat="1" applyFont="1" applyFill="1" applyBorder="1" applyAlignment="1">
      <alignment wrapText="1"/>
    </xf>
    <xf numFmtId="168" fontId="13" fillId="6" borderId="3" xfId="4" applyNumberFormat="1" applyFont="1" applyFill="1" applyBorder="1" applyAlignment="1">
      <alignment horizontal="center" vertical="top"/>
    </xf>
    <xf numFmtId="168" fontId="17" fillId="16" borderId="0" xfId="0" applyNumberFormat="1" applyFont="1" applyFill="1"/>
    <xf numFmtId="168" fontId="17" fillId="15" borderId="0" xfId="0" applyNumberFormat="1" applyFont="1" applyFill="1"/>
    <xf numFmtId="168" fontId="43" fillId="0" borderId="2" xfId="4" applyNumberFormat="1" applyFont="1" applyBorder="1" applyAlignment="1">
      <alignment horizontal="center" vertical="top"/>
    </xf>
    <xf numFmtId="168" fontId="17" fillId="0" borderId="0" xfId="0" applyNumberFormat="1" applyFont="1"/>
    <xf numFmtId="168" fontId="22" fillId="5" borderId="1" xfId="3" applyNumberFormat="1" applyFont="1" applyFill="1" applyBorder="1"/>
    <xf numFmtId="168" fontId="23" fillId="5" borderId="1" xfId="0" applyNumberFormat="1" applyFont="1" applyFill="1" applyBorder="1" applyAlignment="1">
      <alignment wrapText="1"/>
    </xf>
    <xf numFmtId="168" fontId="24" fillId="5" borderId="1" xfId="0" applyNumberFormat="1" applyFont="1" applyFill="1" applyBorder="1" applyAlignment="1">
      <alignment wrapText="1"/>
    </xf>
    <xf numFmtId="168" fontId="43" fillId="6" borderId="2" xfId="4" applyNumberFormat="1" applyFont="1" applyFill="1" applyBorder="1" applyAlignment="1">
      <alignment horizontal="center" vertical="top"/>
    </xf>
  </cellXfs>
  <cellStyles count="8">
    <cellStyle name="20% - Accent6" xfId="1" builtinId="50"/>
    <cellStyle name="Accent3" xfId="7" builtinId="37"/>
    <cellStyle name="Bad 2" xfId="3" xr:uid="{00000000-0005-0000-0000-000001000000}"/>
    <cellStyle name="Good" xfId="6" builtinId="26"/>
    <cellStyle name="Normal" xfId="0" builtinId="0"/>
    <cellStyle name="Normal 2" xfId="4" xr:uid="{00000000-0005-0000-0000-000003000000}"/>
    <cellStyle name="Normal 2 2" xfId="2" xr:uid="{00000000-0005-0000-0000-000004000000}"/>
    <cellStyle name="Normal 3"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335"/>
  <sheetViews>
    <sheetView tabSelected="1" topLeftCell="AQ1" zoomScaleNormal="100" workbookViewId="0">
      <selection activeCell="AT10" sqref="AT10"/>
    </sheetView>
  </sheetViews>
  <sheetFormatPr defaultRowHeight="15" x14ac:dyDescent="0.25"/>
  <cols>
    <col min="1" max="1" width="6.5703125" customWidth="1"/>
    <col min="2" max="2" width="7.7109375" customWidth="1"/>
    <col min="3" max="3" width="11.85546875" customWidth="1"/>
    <col min="4" max="4" width="10.85546875" customWidth="1"/>
    <col min="5" max="6" width="7.7109375" customWidth="1"/>
    <col min="7" max="7" width="8.42578125" customWidth="1"/>
    <col min="8" max="8" width="9.7109375" customWidth="1"/>
    <col min="9" max="9" width="10.7109375" customWidth="1"/>
    <col min="10" max="10" width="5.7109375" customWidth="1"/>
    <col min="11" max="11" width="5.85546875" customWidth="1"/>
    <col min="12" max="12" width="5.140625" customWidth="1"/>
    <col min="13" max="14" width="5.5703125" customWidth="1"/>
    <col min="15" max="15" width="3.5703125" customWidth="1"/>
    <col min="16" max="16" width="4.85546875" customWidth="1"/>
    <col min="17" max="17" width="19.140625" bestFit="1" customWidth="1"/>
    <col min="18" max="18" width="21.28515625" customWidth="1"/>
    <col min="19" max="19" width="18.28515625" bestFit="1" customWidth="1"/>
    <col min="20" max="20" width="30.5703125" bestFit="1" customWidth="1"/>
    <col min="21" max="21" width="17.42578125" bestFit="1" customWidth="1"/>
    <col min="22" max="22" width="18.85546875" bestFit="1" customWidth="1"/>
    <col min="23" max="23" width="9.42578125" customWidth="1"/>
    <col min="24" max="24" width="22.7109375" bestFit="1" customWidth="1"/>
    <col min="25" max="25" width="23" bestFit="1" customWidth="1"/>
    <col min="26" max="26" width="22.7109375" bestFit="1" customWidth="1"/>
    <col min="27" max="27" width="24.5703125" bestFit="1" customWidth="1"/>
    <col min="28" max="29" width="22.7109375" bestFit="1" customWidth="1"/>
    <col min="30" max="31" width="18.85546875" bestFit="1" customWidth="1"/>
    <col min="32" max="32" width="12.7109375" customWidth="1"/>
    <col min="33" max="33" width="11.28515625" customWidth="1"/>
    <col min="34" max="34" width="13" customWidth="1"/>
    <col min="35" max="35" width="12.140625" customWidth="1"/>
    <col min="36" max="36" width="12.28515625" customWidth="1"/>
    <col min="37" max="37" width="12.140625" customWidth="1"/>
    <col min="38" max="38" width="13.7109375" customWidth="1"/>
    <col min="39" max="39" width="22.7109375" bestFit="1" customWidth="1"/>
    <col min="40" max="40" width="27.5703125" bestFit="1" customWidth="1"/>
    <col min="41" max="41" width="18.85546875" bestFit="1" customWidth="1"/>
    <col min="42" max="42" width="35.85546875" bestFit="1" customWidth="1"/>
    <col min="43" max="44" width="36.140625" bestFit="1" customWidth="1"/>
    <col min="45" max="45" width="40.28515625" bestFit="1" customWidth="1"/>
    <col min="46" max="46" width="22.42578125" bestFit="1" customWidth="1"/>
    <col min="47" max="47" width="25.7109375" bestFit="1" customWidth="1"/>
    <col min="48" max="48" width="23.7109375" bestFit="1" customWidth="1"/>
    <col min="49" max="49" width="24.5703125" bestFit="1" customWidth="1"/>
    <col min="50" max="52" width="26.28515625" bestFit="1" customWidth="1"/>
  </cols>
  <sheetData>
    <row r="1" spans="1:52" ht="31.5" x14ac:dyDescent="0.25">
      <c r="A1" s="10" t="s">
        <v>21</v>
      </c>
      <c r="B1" s="10" t="s">
        <v>22</v>
      </c>
      <c r="C1" s="10" t="s">
        <v>23</v>
      </c>
      <c r="D1" s="10" t="s">
        <v>423</v>
      </c>
      <c r="E1" s="10" t="s">
        <v>24</v>
      </c>
      <c r="F1" s="11" t="s">
        <v>424</v>
      </c>
      <c r="G1" s="10" t="s">
        <v>20</v>
      </c>
      <c r="H1" s="10" t="s">
        <v>425</v>
      </c>
      <c r="I1" s="10" t="s">
        <v>426</v>
      </c>
      <c r="J1" s="10"/>
      <c r="K1" s="10"/>
      <c r="L1" s="10"/>
      <c r="M1" s="10"/>
      <c r="N1" s="10"/>
      <c r="O1" s="10"/>
      <c r="P1" s="10"/>
      <c r="Q1" s="128" t="s">
        <v>0</v>
      </c>
      <c r="R1" s="129" t="s">
        <v>1</v>
      </c>
      <c r="S1" s="128" t="s">
        <v>2</v>
      </c>
      <c r="T1" s="130" t="s">
        <v>3</v>
      </c>
      <c r="U1" s="128" t="s">
        <v>2</v>
      </c>
      <c r="V1" s="130" t="s">
        <v>4</v>
      </c>
      <c r="W1" s="131" t="s">
        <v>19</v>
      </c>
      <c r="X1" s="132" t="s">
        <v>5</v>
      </c>
      <c r="Y1" s="132" t="s">
        <v>6</v>
      </c>
      <c r="Z1" s="132" t="s">
        <v>5</v>
      </c>
      <c r="AA1" s="132" t="s">
        <v>7</v>
      </c>
      <c r="AB1" s="132" t="s">
        <v>8</v>
      </c>
      <c r="AC1" s="132" t="s">
        <v>9</v>
      </c>
      <c r="AD1" s="132" t="s">
        <v>10</v>
      </c>
      <c r="AE1" s="132" t="s">
        <v>11</v>
      </c>
      <c r="AF1" s="133" t="s">
        <v>12</v>
      </c>
      <c r="AG1" s="133" t="s">
        <v>13</v>
      </c>
      <c r="AH1" s="134" t="s">
        <v>14</v>
      </c>
      <c r="AI1" s="135" t="s">
        <v>15</v>
      </c>
      <c r="AJ1" s="135" t="s">
        <v>16</v>
      </c>
      <c r="AK1" s="136" t="s">
        <v>17</v>
      </c>
      <c r="AL1" s="137" t="s">
        <v>18</v>
      </c>
      <c r="AM1" s="138" t="s">
        <v>446</v>
      </c>
      <c r="AN1" s="139" t="s">
        <v>447</v>
      </c>
      <c r="AO1" s="138" t="s">
        <v>448</v>
      </c>
      <c r="AP1" s="140" t="s">
        <v>449</v>
      </c>
      <c r="AQ1" s="140" t="s">
        <v>450</v>
      </c>
      <c r="AR1" s="141" t="s">
        <v>451</v>
      </c>
      <c r="AS1" s="141" t="s">
        <v>452</v>
      </c>
      <c r="AT1" s="142" t="s">
        <v>453</v>
      </c>
      <c r="AU1" s="143" t="s">
        <v>454</v>
      </c>
      <c r="AV1" s="142" t="s">
        <v>455</v>
      </c>
      <c r="AW1" s="144" t="s">
        <v>449</v>
      </c>
      <c r="AX1" s="144" t="s">
        <v>456</v>
      </c>
      <c r="AY1" s="144" t="s">
        <v>457</v>
      </c>
      <c r="AZ1" s="144" t="s">
        <v>458</v>
      </c>
    </row>
    <row r="2" spans="1:52" ht="15.75" x14ac:dyDescent="0.25">
      <c r="A2" s="10"/>
      <c r="B2" s="10"/>
      <c r="C2" s="10"/>
      <c r="D2" s="10"/>
      <c r="E2" s="10"/>
      <c r="F2" s="11"/>
      <c r="G2" s="10"/>
      <c r="H2" s="10"/>
      <c r="I2" s="10"/>
      <c r="J2" s="10"/>
      <c r="K2" s="10"/>
      <c r="L2" s="10"/>
      <c r="M2" s="10"/>
      <c r="N2" s="10"/>
      <c r="O2" s="10"/>
      <c r="P2" s="10"/>
      <c r="Q2" s="145"/>
      <c r="R2" s="146"/>
      <c r="S2" s="145"/>
      <c r="T2" s="145"/>
      <c r="U2" s="145"/>
      <c r="V2" s="145"/>
      <c r="W2" s="131"/>
      <c r="X2" s="132"/>
      <c r="Y2" s="132"/>
      <c r="Z2" s="132"/>
      <c r="AA2" s="132"/>
      <c r="AB2" s="132"/>
      <c r="AC2" s="132"/>
      <c r="AD2" s="132"/>
      <c r="AE2" s="132"/>
      <c r="AF2" s="133"/>
      <c r="AG2" s="133"/>
      <c r="AH2" s="134"/>
      <c r="AI2" s="135"/>
      <c r="AJ2" s="135"/>
      <c r="AK2" s="136"/>
      <c r="AL2" s="137"/>
      <c r="AM2" s="147" t="s">
        <v>459</v>
      </c>
      <c r="AN2" s="148" t="s">
        <v>460</v>
      </c>
      <c r="AO2" s="147" t="s">
        <v>461</v>
      </c>
      <c r="AP2" s="149" t="s">
        <v>462</v>
      </c>
      <c r="AQ2" s="150" t="s">
        <v>463</v>
      </c>
      <c r="AR2" s="150" t="s">
        <v>464</v>
      </c>
      <c r="AS2" s="150" t="s">
        <v>465</v>
      </c>
      <c r="AT2" s="151" t="s">
        <v>459</v>
      </c>
      <c r="AU2" s="152" t="s">
        <v>460</v>
      </c>
      <c r="AV2" s="151" t="s">
        <v>466</v>
      </c>
      <c r="AW2" s="153" t="s">
        <v>462</v>
      </c>
      <c r="AX2" s="153" t="s">
        <v>467</v>
      </c>
      <c r="AY2" s="153" t="s">
        <v>464</v>
      </c>
      <c r="AZ2" s="153" t="s">
        <v>468</v>
      </c>
    </row>
    <row r="3" spans="1:52" ht="18" x14ac:dyDescent="0.25">
      <c r="A3">
        <v>1</v>
      </c>
      <c r="B3" t="s">
        <v>25</v>
      </c>
      <c r="C3" t="s">
        <v>26</v>
      </c>
      <c r="D3" t="s">
        <v>427</v>
      </c>
      <c r="E3">
        <v>1</v>
      </c>
      <c r="F3" s="9" t="s">
        <v>27</v>
      </c>
      <c r="G3">
        <v>1</v>
      </c>
      <c r="H3">
        <v>4.18</v>
      </c>
      <c r="Q3" s="154">
        <v>445</v>
      </c>
      <c r="R3" s="154" t="s">
        <v>123</v>
      </c>
      <c r="S3" s="154">
        <v>3.7327805000000001</v>
      </c>
      <c r="T3" s="155">
        <v>0.2</v>
      </c>
      <c r="U3" s="154">
        <v>6.0388320000000002</v>
      </c>
      <c r="V3" s="154">
        <v>-27.270668168582539</v>
      </c>
      <c r="W3" s="156">
        <v>4.18</v>
      </c>
      <c r="X3" s="157">
        <v>4.9097924166666678</v>
      </c>
      <c r="Y3" s="157">
        <v>-1.9262930930694058</v>
      </c>
      <c r="Z3" s="157">
        <v>3.543452666666667</v>
      </c>
      <c r="AA3" s="157">
        <v>-24.420378060012961</v>
      </c>
      <c r="AB3" s="157">
        <v>2.1333333333333333</v>
      </c>
      <c r="AC3" s="157">
        <v>2.1333333333333333</v>
      </c>
      <c r="AD3" s="158">
        <f t="shared" ref="AD3:AD150" si="0">((2.82/100)*AB3)/X3</f>
        <v>1.2253063855771632E-2</v>
      </c>
      <c r="AE3" s="158">
        <f t="shared" ref="AE3:AE150" si="1">((46.01/100)*AC3)/Z3</f>
        <v>0.27700290056082771</v>
      </c>
      <c r="AF3" s="159">
        <f t="shared" ref="AF3:AF150" si="2">S3*AD3</f>
        <v>4.5737997826079159E-2</v>
      </c>
      <c r="AG3" s="159">
        <f t="shared" ref="AG3:AG150" si="3">U3*AE3</f>
        <v>1.6727739799995445</v>
      </c>
      <c r="AH3" s="160">
        <f t="shared" ref="AH3:AH150" si="4">100*AF3/W3</f>
        <v>1.0942104743081138</v>
      </c>
      <c r="AI3" s="160">
        <f t="shared" ref="AI3:AI150" si="5">100*AG3/W3</f>
        <v>40.018516267931687</v>
      </c>
      <c r="AJ3" s="161">
        <f t="shared" ref="AJ3:AJ150" si="6">AG3/AF3</f>
        <v>36.572960328529128</v>
      </c>
      <c r="AK3" s="155">
        <v>0.2</v>
      </c>
      <c r="AL3" s="162">
        <f t="shared" ref="AL3:AL150" si="7">V3+(-26.03-AA3)</f>
        <v>-28.880290108569579</v>
      </c>
      <c r="AM3" s="163">
        <v>0.36599999999999999</v>
      </c>
      <c r="AN3" s="164">
        <f t="shared" ref="AN3" si="8">T3+(1.98-Y3)</f>
        <v>4.1062930930694055</v>
      </c>
      <c r="AO3" s="165">
        <f>100*0.003676*(AN3/1000+1)/(1+0.003676*(AN3/1000+1))</f>
        <v>0.36775206562837065</v>
      </c>
      <c r="AP3" s="166">
        <f t="shared" ref="AP3" si="9">AO3-AM3</f>
        <v>1.7520656283706582E-3</v>
      </c>
      <c r="AQ3" s="166">
        <f t="shared" ref="AQ3" si="10">(AH3%*W3)/W3*1000</f>
        <v>10.942104743081138</v>
      </c>
      <c r="AR3" s="167">
        <f>(AQ3*AP3%)*1000</f>
        <v>0.19171285622384013</v>
      </c>
      <c r="AS3" s="167">
        <f t="shared" ref="AS3" si="11">(((AF3*AP3%)/AF3)*1000)*1000</f>
        <v>17.520656283706582</v>
      </c>
      <c r="AT3" s="163">
        <v>1.08</v>
      </c>
      <c r="AU3" s="164">
        <f t="shared" ref="AU3" si="12">V3+(-26.03-AA3)</f>
        <v>-28.880290108569579</v>
      </c>
      <c r="AV3" s="164">
        <f t="shared" ref="AV3" si="13">100*0.011237*(AU3/1000+1)/(1+0.011237*(AU3/1000+1))</f>
        <v>1.0794675583057227</v>
      </c>
      <c r="AW3" s="168">
        <f t="shared" ref="AW3" si="14">AV3-AT3</f>
        <v>-5.3244169427735244E-4</v>
      </c>
      <c r="AX3" s="168">
        <f>(AI3%*W3)/W3*1000</f>
        <v>400.18516267931687</v>
      </c>
      <c r="AY3" s="168">
        <f>(AX3*AW3%)*1000</f>
        <v>-2.1307526604163338</v>
      </c>
      <c r="AZ3" s="168">
        <f>(((AG3*AW3%)/AG3)*1000)*1000</f>
        <v>-5.3244169427735253</v>
      </c>
    </row>
    <row r="4" spans="1:52" ht="18" x14ac:dyDescent="0.25">
      <c r="A4">
        <v>1</v>
      </c>
      <c r="B4" t="s">
        <v>25</v>
      </c>
      <c r="C4" t="s">
        <v>26</v>
      </c>
      <c r="D4" t="s">
        <v>428</v>
      </c>
      <c r="E4">
        <v>1</v>
      </c>
      <c r="F4" s="9" t="s">
        <v>29</v>
      </c>
      <c r="G4">
        <v>2</v>
      </c>
      <c r="H4">
        <v>5.109</v>
      </c>
      <c r="Q4" s="169">
        <v>446</v>
      </c>
      <c r="R4" s="169" t="s">
        <v>124</v>
      </c>
      <c r="S4" s="169">
        <v>5.9324089999999998</v>
      </c>
      <c r="T4" s="155">
        <v>2.9</v>
      </c>
      <c r="U4" s="169">
        <v>6.9197199999999999</v>
      </c>
      <c r="V4" s="169">
        <v>-26.106501087772173</v>
      </c>
      <c r="W4" s="156">
        <v>5.109</v>
      </c>
      <c r="X4" s="157">
        <v>4.9097924166666678</v>
      </c>
      <c r="Y4" s="157">
        <v>-1.9262930930694058</v>
      </c>
      <c r="Z4" s="157">
        <v>3.543452666666667</v>
      </c>
      <c r="AA4" s="157">
        <v>-24.420378060012961</v>
      </c>
      <c r="AB4" s="157">
        <v>2.1333333333333333</v>
      </c>
      <c r="AC4" s="157">
        <v>2.1333333333333333</v>
      </c>
      <c r="AD4" s="158">
        <f t="shared" ref="AD4:AD107" si="15">((2.82/100)*AB4)/X4</f>
        <v>1.2253063855771632E-2</v>
      </c>
      <c r="AE4" s="158">
        <f t="shared" ref="AE4:AE107" si="16">((46.01/100)*AC4)/Z4</f>
        <v>0.27700290056082771</v>
      </c>
      <c r="AF4" s="159">
        <f t="shared" ref="AF4:AF107" si="17">S4*AD4</f>
        <v>7.2690186295554335E-2</v>
      </c>
      <c r="AG4" s="159">
        <f t="shared" ref="AG4:AG107" si="18">U4*AE4</f>
        <v>1.9167825110687706</v>
      </c>
      <c r="AH4" s="160">
        <f t="shared" ref="AH4:AH107" si="19">100*AF4/W4</f>
        <v>1.4227869699658315</v>
      </c>
      <c r="AI4" s="160">
        <f t="shared" ref="AI4:AI107" si="20">100*AG4/W4</f>
        <v>37.517762988231958</v>
      </c>
      <c r="AJ4" s="161">
        <f t="shared" ref="AJ4:AJ107" si="21">AG4/AF4</f>
        <v>26.36920619896663</v>
      </c>
      <c r="AK4" s="155">
        <v>2.9</v>
      </c>
      <c r="AL4" s="162">
        <f t="shared" ref="AL4:AL83" si="22">V4+(-26.03-AA4)</f>
        <v>-27.716123027759213</v>
      </c>
      <c r="AM4" s="163">
        <v>0.36599999999999999</v>
      </c>
      <c r="AN4" s="164">
        <f t="shared" ref="AN4:AN67" si="23">T4+(1.98-Y4)</f>
        <v>6.8062930930694057</v>
      </c>
      <c r="AO4" s="165">
        <f t="shared" ref="AO4:AO67" si="24">100*0.003676*(AN4/1000+1)/(1+0.003676*(AN4/1000+1))</f>
        <v>0.36873728928318356</v>
      </c>
      <c r="AP4" s="166">
        <f t="shared" ref="AP4:AP67" si="25">AO4-AM4</f>
        <v>2.7372892831835638E-3</v>
      </c>
      <c r="AQ4" s="166">
        <f t="shared" ref="AQ4:AQ67" si="26">(AH4%*W4)/W4*1000</f>
        <v>14.227869699658317</v>
      </c>
      <c r="AR4" s="167">
        <f t="shared" ref="AR4:AR67" si="27">(AQ4*AP4%)*1000</f>
        <v>0.38945795251406867</v>
      </c>
      <c r="AS4" s="167">
        <f t="shared" ref="AS4:AS67" si="28">(((AF4*AP4%)/AF4)*1000)*1000</f>
        <v>27.372892831835639</v>
      </c>
      <c r="AT4" s="163">
        <v>1.08</v>
      </c>
      <c r="AU4" s="164">
        <f t="shared" ref="AU4:AU67" si="29">V4+(-26.03-AA4)</f>
        <v>-27.716123027759213</v>
      </c>
      <c r="AV4" s="164">
        <f t="shared" ref="AV4:AV67" si="30">100*0.011237*(AU4/1000+1)/(1+0.011237*(AU4/1000+1))</f>
        <v>1.0807476260850193</v>
      </c>
      <c r="AW4" s="168">
        <f t="shared" ref="AW4:AW67" si="31">AV4-AT4</f>
        <v>7.4762608501921513E-4</v>
      </c>
      <c r="AX4" s="168">
        <f t="shared" ref="AX4:AX67" si="32">(AI4%*W4)/W4*1000</f>
        <v>375.17762988231954</v>
      </c>
      <c r="AY4" s="168">
        <f t="shared" ref="AY4:AY67" si="33">(AX4*AW4%)*1000</f>
        <v>2.8049258261570666</v>
      </c>
      <c r="AZ4" s="168">
        <f t="shared" ref="AZ4:AZ67" si="34">(((AG4*AW4%)/AG4)*1000)*1000</f>
        <v>7.4762608501921513</v>
      </c>
    </row>
    <row r="5" spans="1:52" ht="18" x14ac:dyDescent="0.25">
      <c r="A5">
        <v>1</v>
      </c>
      <c r="B5" t="s">
        <v>25</v>
      </c>
      <c r="C5" t="s">
        <v>28</v>
      </c>
      <c r="D5" t="s">
        <v>427</v>
      </c>
      <c r="E5">
        <v>1</v>
      </c>
      <c r="F5" s="9" t="s">
        <v>31</v>
      </c>
      <c r="G5">
        <v>3</v>
      </c>
      <c r="H5">
        <v>5.1550000000000002</v>
      </c>
      <c r="Q5" s="154">
        <v>447</v>
      </c>
      <c r="R5" s="154" t="s">
        <v>125</v>
      </c>
      <c r="S5" s="154">
        <v>6.9474095</v>
      </c>
      <c r="T5" s="155">
        <v>-0.18</v>
      </c>
      <c r="U5" s="154">
        <v>6.8761985000000001</v>
      </c>
      <c r="V5" s="154">
        <v>-26.150243545802681</v>
      </c>
      <c r="W5" s="156">
        <v>5.1550000000000002</v>
      </c>
      <c r="X5" s="157">
        <v>4.9097924166666678</v>
      </c>
      <c r="Y5" s="157">
        <v>-1.9262930930694058</v>
      </c>
      <c r="Z5" s="157">
        <v>3.543452666666667</v>
      </c>
      <c r="AA5" s="157">
        <v>-24.420378060012961</v>
      </c>
      <c r="AB5" s="157">
        <v>2.1333333333333333</v>
      </c>
      <c r="AC5" s="157">
        <v>2.1333333333333333</v>
      </c>
      <c r="AD5" s="158">
        <f t="shared" si="15"/>
        <v>1.2253063855771632E-2</v>
      </c>
      <c r="AE5" s="158">
        <f t="shared" si="16"/>
        <v>0.27700290056082771</v>
      </c>
      <c r="AF5" s="159">
        <f t="shared" si="17"/>
        <v>8.5127052235694473E-2</v>
      </c>
      <c r="AG5" s="159">
        <f t="shared" si="18"/>
        <v>1.9047269293320128</v>
      </c>
      <c r="AH5" s="160">
        <f t="shared" si="19"/>
        <v>1.6513492189271479</v>
      </c>
      <c r="AI5" s="160">
        <f t="shared" si="20"/>
        <v>36.949115990921683</v>
      </c>
      <c r="AJ5" s="161">
        <f t="shared" si="21"/>
        <v>22.375107316747251</v>
      </c>
      <c r="AK5" s="155">
        <v>-0.18</v>
      </c>
      <c r="AL5" s="162">
        <f t="shared" si="22"/>
        <v>-27.759865485789721</v>
      </c>
      <c r="AM5" s="163">
        <v>0.36599999999999999</v>
      </c>
      <c r="AN5" s="164">
        <f t="shared" si="23"/>
        <v>3.7262930930694056</v>
      </c>
      <c r="AO5" s="165">
        <f t="shared" si="24"/>
        <v>0.36761340295723616</v>
      </c>
      <c r="AP5" s="166">
        <f t="shared" si="25"/>
        <v>1.6134029572361652E-3</v>
      </c>
      <c r="AQ5" s="166">
        <f t="shared" si="26"/>
        <v>16.513492189271478</v>
      </c>
      <c r="AR5" s="167">
        <f t="shared" si="27"/>
        <v>0.2664291713246692</v>
      </c>
      <c r="AS5" s="167">
        <f t="shared" si="28"/>
        <v>16.134029572361651</v>
      </c>
      <c r="AT5" s="163">
        <v>1.08</v>
      </c>
      <c r="AU5" s="164">
        <f t="shared" si="29"/>
        <v>-27.759865485789721</v>
      </c>
      <c r="AV5" s="164">
        <f t="shared" si="30"/>
        <v>1.0806995293687607</v>
      </c>
      <c r="AW5" s="168">
        <f t="shared" si="31"/>
        <v>6.9952936876060967E-4</v>
      </c>
      <c r="AX5" s="168">
        <f t="shared" si="32"/>
        <v>369.49115990921683</v>
      </c>
      <c r="AY5" s="168">
        <f t="shared" si="33"/>
        <v>2.5846991785391991</v>
      </c>
      <c r="AZ5" s="168">
        <f t="shared" si="34"/>
        <v>6.9952936876060967</v>
      </c>
    </row>
    <row r="6" spans="1:52" ht="18" x14ac:dyDescent="0.25">
      <c r="A6">
        <v>1</v>
      </c>
      <c r="B6" t="s">
        <v>25</v>
      </c>
      <c r="C6" t="s">
        <v>28</v>
      </c>
      <c r="D6" t="s">
        <v>428</v>
      </c>
      <c r="E6">
        <v>1</v>
      </c>
      <c r="F6" s="9" t="s">
        <v>33</v>
      </c>
      <c r="G6">
        <v>4</v>
      </c>
      <c r="H6">
        <v>4.6829999999999998</v>
      </c>
      <c r="Q6" s="169">
        <v>448</v>
      </c>
      <c r="R6" s="169" t="s">
        <v>126</v>
      </c>
      <c r="S6" s="169">
        <v>4.375095</v>
      </c>
      <c r="T6" s="155">
        <v>2.86</v>
      </c>
      <c r="U6" s="169">
        <v>6.4676400000000003</v>
      </c>
      <c r="V6" s="169">
        <v>-25.922745147384635</v>
      </c>
      <c r="W6" s="156">
        <v>4.6829999999999998</v>
      </c>
      <c r="X6" s="157">
        <v>4.9097924166666678</v>
      </c>
      <c r="Y6" s="157">
        <v>-1.9262930930694058</v>
      </c>
      <c r="Z6" s="157">
        <v>3.543452666666667</v>
      </c>
      <c r="AA6" s="157">
        <v>-24.420378060012961</v>
      </c>
      <c r="AB6" s="157">
        <v>2.1333333333333333</v>
      </c>
      <c r="AC6" s="157">
        <v>2.1333333333333333</v>
      </c>
      <c r="AD6" s="158">
        <f t="shared" si="15"/>
        <v>1.2253063855771632E-2</v>
      </c>
      <c r="AE6" s="158">
        <f t="shared" si="16"/>
        <v>0.27700290056082771</v>
      </c>
      <c r="AF6" s="159">
        <f t="shared" si="17"/>
        <v>5.3608318410067191E-2</v>
      </c>
      <c r="AG6" s="159">
        <f t="shared" si="18"/>
        <v>1.7915550397832318</v>
      </c>
      <c r="AH6" s="160">
        <f t="shared" si="19"/>
        <v>1.1447430794376938</v>
      </c>
      <c r="AI6" s="160">
        <f t="shared" si="20"/>
        <v>38.256567153176</v>
      </c>
      <c r="AJ6" s="161">
        <f t="shared" si="21"/>
        <v>33.41934783477172</v>
      </c>
      <c r="AK6" s="155">
        <v>2.86</v>
      </c>
      <c r="AL6" s="162">
        <f t="shared" si="22"/>
        <v>-27.532367087371675</v>
      </c>
      <c r="AM6" s="163">
        <v>0.36599999999999999</v>
      </c>
      <c r="AN6" s="164">
        <f t="shared" si="23"/>
        <v>6.7662930930694056</v>
      </c>
      <c r="AO6" s="165">
        <f t="shared" si="24"/>
        <v>0.36872269351938131</v>
      </c>
      <c r="AP6" s="166">
        <f t="shared" si="25"/>
        <v>2.722693519381314E-3</v>
      </c>
      <c r="AQ6" s="166">
        <f t="shared" si="26"/>
        <v>11.447430794376938</v>
      </c>
      <c r="AR6" s="167">
        <f t="shared" si="27"/>
        <v>0.31167845637416181</v>
      </c>
      <c r="AS6" s="167">
        <f t="shared" si="28"/>
        <v>27.226935193813141</v>
      </c>
      <c r="AT6" s="163">
        <v>1.08</v>
      </c>
      <c r="AU6" s="164">
        <f t="shared" si="29"/>
        <v>-27.532367087371675</v>
      </c>
      <c r="AV6" s="164">
        <f t="shared" si="30"/>
        <v>1.08094967314351</v>
      </c>
      <c r="AW6" s="168">
        <f t="shared" si="31"/>
        <v>9.4967314350991039E-4</v>
      </c>
      <c r="AX6" s="168">
        <f t="shared" si="32"/>
        <v>382.56567153176002</v>
      </c>
      <c r="AY6" s="168">
        <f t="shared" si="33"/>
        <v>3.6331234388254638</v>
      </c>
      <c r="AZ6" s="168">
        <f t="shared" si="34"/>
        <v>9.4967314350991057</v>
      </c>
    </row>
    <row r="7" spans="1:52" ht="18" x14ac:dyDescent="0.25">
      <c r="A7">
        <v>1</v>
      </c>
      <c r="B7" t="s">
        <v>25</v>
      </c>
      <c r="C7" t="s">
        <v>30</v>
      </c>
      <c r="D7" t="s">
        <v>427</v>
      </c>
      <c r="E7">
        <v>1</v>
      </c>
      <c r="F7" s="9" t="s">
        <v>34</v>
      </c>
      <c r="G7">
        <v>5</v>
      </c>
      <c r="H7">
        <v>4.6959999999999997</v>
      </c>
      <c r="Q7" s="154">
        <v>449</v>
      </c>
      <c r="R7" s="154" t="s">
        <v>127</v>
      </c>
      <c r="S7" s="154">
        <v>5.1756535000000001</v>
      </c>
      <c r="T7" s="154">
        <v>-2.3332973317746197</v>
      </c>
      <c r="U7" s="154">
        <v>5.9709085000000002</v>
      </c>
      <c r="V7" s="154">
        <v>-25.388978997664118</v>
      </c>
      <c r="W7" s="156">
        <v>4.6959999999999997</v>
      </c>
      <c r="X7" s="157">
        <v>4.9097924166666678</v>
      </c>
      <c r="Y7" s="157">
        <v>-1.9262930930694058</v>
      </c>
      <c r="Z7" s="157">
        <v>3.543452666666667</v>
      </c>
      <c r="AA7" s="157">
        <v>-24.420378060012961</v>
      </c>
      <c r="AB7" s="157">
        <v>2.1333333333333333</v>
      </c>
      <c r="AC7" s="157">
        <v>2.1333333333333333</v>
      </c>
      <c r="AD7" s="158">
        <f t="shared" si="15"/>
        <v>1.2253063855771632E-2</v>
      </c>
      <c r="AE7" s="158">
        <f t="shared" si="16"/>
        <v>0.27700290056082771</v>
      </c>
      <c r="AF7" s="159">
        <f t="shared" si="17"/>
        <v>6.3417612830847944E-2</v>
      </c>
      <c r="AG7" s="159">
        <f t="shared" si="18"/>
        <v>1.6539589734833011</v>
      </c>
      <c r="AH7" s="160">
        <f t="shared" si="19"/>
        <v>1.3504602391577503</v>
      </c>
      <c r="AI7" s="160">
        <f t="shared" si="20"/>
        <v>35.220591428520045</v>
      </c>
      <c r="AJ7" s="161">
        <f t="shared" si="21"/>
        <v>26.080435696860121</v>
      </c>
      <c r="AK7" s="162">
        <f t="shared" ref="AK7:AK83" si="35">T7+(1.98-Y7)</f>
        <v>1.572995761294786</v>
      </c>
      <c r="AL7" s="162">
        <f t="shared" si="22"/>
        <v>-26.998600937651158</v>
      </c>
      <c r="AM7" s="163">
        <v>0.36599999999999999</v>
      </c>
      <c r="AN7" s="164">
        <f t="shared" si="23"/>
        <v>1.572995761294786</v>
      </c>
      <c r="AO7" s="165">
        <f t="shared" si="24"/>
        <v>0.36682765366753634</v>
      </c>
      <c r="AP7" s="166">
        <f t="shared" si="25"/>
        <v>8.2765366753634328E-4</v>
      </c>
      <c r="AQ7" s="166">
        <f t="shared" si="26"/>
        <v>13.504602391577503</v>
      </c>
      <c r="AR7" s="166">
        <f t="shared" si="27"/>
        <v>0.11177133698009192</v>
      </c>
      <c r="AS7" s="166">
        <f t="shared" si="28"/>
        <v>8.2765366753634328</v>
      </c>
      <c r="AT7" s="163">
        <v>1.08</v>
      </c>
      <c r="AU7" s="164">
        <f t="shared" si="29"/>
        <v>-26.998600937651158</v>
      </c>
      <c r="AV7" s="164">
        <f t="shared" si="30"/>
        <v>1.0815365658453764</v>
      </c>
      <c r="AW7" s="168">
        <f t="shared" si="31"/>
        <v>1.5365658453763142E-3</v>
      </c>
      <c r="AX7" s="168">
        <f t="shared" si="32"/>
        <v>352.20591428520044</v>
      </c>
      <c r="AY7" s="168">
        <f t="shared" si="33"/>
        <v>5.4118757843017669</v>
      </c>
      <c r="AZ7" s="168">
        <f t="shared" si="34"/>
        <v>15.365658453763142</v>
      </c>
    </row>
    <row r="8" spans="1:52" ht="18" x14ac:dyDescent="0.25">
      <c r="A8">
        <v>1</v>
      </c>
      <c r="B8" t="s">
        <v>25</v>
      </c>
      <c r="C8" t="s">
        <v>30</v>
      </c>
      <c r="D8" t="s">
        <v>428</v>
      </c>
      <c r="E8">
        <v>1</v>
      </c>
      <c r="F8" s="9" t="s">
        <v>35</v>
      </c>
      <c r="G8">
        <v>6</v>
      </c>
      <c r="H8">
        <v>4.7229999999999999</v>
      </c>
      <c r="Q8" s="169">
        <v>450</v>
      </c>
      <c r="R8" s="169" t="s">
        <v>128</v>
      </c>
      <c r="S8" s="169">
        <v>4.9219280000000003</v>
      </c>
      <c r="T8" s="169">
        <v>-1.3876948903018049</v>
      </c>
      <c r="U8" s="169">
        <v>6.4662784999999996</v>
      </c>
      <c r="V8" s="169">
        <v>-25.310318840660727</v>
      </c>
      <c r="W8" s="156">
        <v>4.7229999999999999</v>
      </c>
      <c r="X8" s="157">
        <v>4.9097924166666678</v>
      </c>
      <c r="Y8" s="157">
        <v>-1.9262930930694058</v>
      </c>
      <c r="Z8" s="157">
        <v>3.543452666666667</v>
      </c>
      <c r="AA8" s="157">
        <v>-24.420378060012961</v>
      </c>
      <c r="AB8" s="157">
        <v>2.1333333333333333</v>
      </c>
      <c r="AC8" s="157">
        <v>2.1333333333333333</v>
      </c>
      <c r="AD8" s="158">
        <f t="shared" si="15"/>
        <v>1.2253063855771632E-2</v>
      </c>
      <c r="AE8" s="158">
        <f t="shared" si="16"/>
        <v>0.27700290056082771</v>
      </c>
      <c r="AF8" s="159">
        <f t="shared" si="17"/>
        <v>6.030869807751036E-2</v>
      </c>
      <c r="AG8" s="159">
        <f t="shared" si="18"/>
        <v>1.7911779003341182</v>
      </c>
      <c r="AH8" s="160">
        <f t="shared" si="19"/>
        <v>1.2769150556322328</v>
      </c>
      <c r="AI8" s="160">
        <f t="shared" si="20"/>
        <v>37.924579723356302</v>
      </c>
      <c r="AJ8" s="161">
        <f t="shared" si="21"/>
        <v>29.700158640998154</v>
      </c>
      <c r="AK8" s="162">
        <f t="shared" si="35"/>
        <v>2.5185982027676008</v>
      </c>
      <c r="AL8" s="162">
        <f t="shared" si="22"/>
        <v>-26.919940780647767</v>
      </c>
      <c r="AM8" s="163">
        <v>0.36599999999999999</v>
      </c>
      <c r="AN8" s="164">
        <f t="shared" si="23"/>
        <v>2.5185982027676008</v>
      </c>
      <c r="AO8" s="165">
        <f t="shared" si="24"/>
        <v>0.36717271039621807</v>
      </c>
      <c r="AP8" s="166">
        <f t="shared" si="25"/>
        <v>1.1727103962180796E-3</v>
      </c>
      <c r="AQ8" s="166">
        <f t="shared" si="26"/>
        <v>12.769150556322328</v>
      </c>
      <c r="AR8" s="166">
        <f t="shared" si="27"/>
        <v>0.1497451560827307</v>
      </c>
      <c r="AS8" s="166">
        <f t="shared" si="28"/>
        <v>11.727103962180795</v>
      </c>
      <c r="AT8" s="163">
        <v>1.08</v>
      </c>
      <c r="AU8" s="164">
        <f t="shared" si="29"/>
        <v>-26.919940780647767</v>
      </c>
      <c r="AV8" s="164">
        <f t="shared" si="30"/>
        <v>1.0816230545780043</v>
      </c>
      <c r="AW8" s="168">
        <f t="shared" si="31"/>
        <v>1.6230545780042682E-3</v>
      </c>
      <c r="AX8" s="168">
        <f t="shared" si="32"/>
        <v>379.245797233563</v>
      </c>
      <c r="AY8" s="168">
        <f t="shared" si="33"/>
        <v>6.155366273888129</v>
      </c>
      <c r="AZ8" s="168">
        <f t="shared" si="34"/>
        <v>16.230545780042682</v>
      </c>
    </row>
    <row r="9" spans="1:52" ht="18" x14ac:dyDescent="0.25">
      <c r="A9">
        <v>1</v>
      </c>
      <c r="B9" t="s">
        <v>32</v>
      </c>
      <c r="C9" t="s">
        <v>26</v>
      </c>
      <c r="D9" t="s">
        <v>427</v>
      </c>
      <c r="E9">
        <v>1</v>
      </c>
      <c r="F9" s="9" t="s">
        <v>37</v>
      </c>
      <c r="G9">
        <v>7</v>
      </c>
      <c r="H9">
        <v>4.7930000000000001</v>
      </c>
      <c r="Q9" s="154">
        <v>451</v>
      </c>
      <c r="R9" s="154" t="s">
        <v>129</v>
      </c>
      <c r="S9" s="154">
        <v>6.0870505000000001</v>
      </c>
      <c r="T9" s="154">
        <v>-5.4551878604048367</v>
      </c>
      <c r="U9" s="154">
        <v>6.3492100000000002</v>
      </c>
      <c r="V9" s="154">
        <v>-26.895853893030786</v>
      </c>
      <c r="W9" s="156">
        <v>4.7930000000000001</v>
      </c>
      <c r="X9" s="157">
        <v>4.9097924166666678</v>
      </c>
      <c r="Y9" s="157">
        <v>-1.9262930930694058</v>
      </c>
      <c r="Z9" s="157">
        <v>3.543452666666667</v>
      </c>
      <c r="AA9" s="157">
        <v>-24.420378060012961</v>
      </c>
      <c r="AB9" s="157">
        <v>2.1333333333333333</v>
      </c>
      <c r="AC9" s="157">
        <v>2.1333333333333333</v>
      </c>
      <c r="AD9" s="158">
        <f t="shared" si="15"/>
        <v>1.2253063855771632E-2</v>
      </c>
      <c r="AE9" s="158">
        <f t="shared" si="16"/>
        <v>0.27700290056082771</v>
      </c>
      <c r="AF9" s="159">
        <f t="shared" si="17"/>
        <v>7.4585018469806641E-2</v>
      </c>
      <c r="AG9" s="159">
        <f t="shared" si="18"/>
        <v>1.758749586269813</v>
      </c>
      <c r="AH9" s="160">
        <f t="shared" si="19"/>
        <v>1.5561238988067314</v>
      </c>
      <c r="AI9" s="160">
        <f t="shared" si="20"/>
        <v>36.694128651571312</v>
      </c>
      <c r="AJ9" s="161">
        <f t="shared" si="21"/>
        <v>23.580467262092139</v>
      </c>
      <c r="AK9" s="162">
        <f t="shared" si="35"/>
        <v>-1.548894767335431</v>
      </c>
      <c r="AL9" s="162">
        <f t="shared" si="22"/>
        <v>-28.505475833017826</v>
      </c>
      <c r="AM9" s="163">
        <v>0.36599999999999999</v>
      </c>
      <c r="AN9" s="164">
        <f t="shared" si="23"/>
        <v>-1.548894767335431</v>
      </c>
      <c r="AO9" s="165">
        <f t="shared" si="24"/>
        <v>0.36568843772031606</v>
      </c>
      <c r="AP9" s="166">
        <f t="shared" si="25"/>
        <v>-3.1156227968393013E-4</v>
      </c>
      <c r="AQ9" s="166">
        <f t="shared" si="26"/>
        <v>15.561238988067315</v>
      </c>
      <c r="AR9" s="166">
        <f t="shared" si="27"/>
        <v>-4.8482950938287063E-2</v>
      </c>
      <c r="AS9" s="166">
        <f t="shared" si="28"/>
        <v>-3.1156227968393013</v>
      </c>
      <c r="AT9" s="163">
        <v>1.08</v>
      </c>
      <c r="AU9" s="164">
        <f t="shared" si="29"/>
        <v>-28.505475833017826</v>
      </c>
      <c r="AV9" s="164">
        <f t="shared" si="30"/>
        <v>1.079879691490901</v>
      </c>
      <c r="AW9" s="168">
        <f t="shared" si="31"/>
        <v>-1.2030850909905411E-4</v>
      </c>
      <c r="AX9" s="168">
        <f t="shared" si="32"/>
        <v>366.9412865157131</v>
      </c>
      <c r="AY9" s="168">
        <f t="shared" si="33"/>
        <v>-0.44146159107594285</v>
      </c>
      <c r="AZ9" s="168">
        <f t="shared" si="34"/>
        <v>-1.2030850909905413</v>
      </c>
    </row>
    <row r="10" spans="1:52" ht="18" x14ac:dyDescent="0.25">
      <c r="A10">
        <v>1</v>
      </c>
      <c r="B10" t="s">
        <v>32</v>
      </c>
      <c r="C10" t="s">
        <v>26</v>
      </c>
      <c r="D10" t="s">
        <v>428</v>
      </c>
      <c r="E10">
        <v>1</v>
      </c>
      <c r="F10" s="9" t="s">
        <v>38</v>
      </c>
      <c r="G10">
        <v>8</v>
      </c>
      <c r="H10">
        <v>5.0730000000000004</v>
      </c>
      <c r="Q10" s="169">
        <v>452</v>
      </c>
      <c r="R10" s="169" t="s">
        <v>130</v>
      </c>
      <c r="S10" s="169">
        <v>7.8768960000000003</v>
      </c>
      <c r="T10" s="169">
        <v>-5.7985518537053551</v>
      </c>
      <c r="U10" s="169">
        <v>6.7503000000000002</v>
      </c>
      <c r="V10" s="169">
        <v>-24.754992306451335</v>
      </c>
      <c r="W10" s="156">
        <v>5.0730000000000004</v>
      </c>
      <c r="X10" s="157">
        <v>4.9097924166666678</v>
      </c>
      <c r="Y10" s="157">
        <v>-1.9262930930694058</v>
      </c>
      <c r="Z10" s="157">
        <v>3.543452666666667</v>
      </c>
      <c r="AA10" s="157">
        <v>-24.420378060012961</v>
      </c>
      <c r="AB10" s="157">
        <v>2.1333333333333333</v>
      </c>
      <c r="AC10" s="157">
        <v>2.1333333333333333</v>
      </c>
      <c r="AD10" s="158">
        <f t="shared" si="15"/>
        <v>1.2253063855771632E-2</v>
      </c>
      <c r="AE10" s="158">
        <f t="shared" si="16"/>
        <v>0.27700290056082771</v>
      </c>
      <c r="AF10" s="159">
        <f t="shared" si="17"/>
        <v>9.6516109673272149E-2</v>
      </c>
      <c r="AG10" s="159">
        <f t="shared" si="18"/>
        <v>1.8698526796557553</v>
      </c>
      <c r="AH10" s="160">
        <f t="shared" si="19"/>
        <v>1.9025450359407086</v>
      </c>
      <c r="AI10" s="160">
        <f t="shared" si="20"/>
        <v>36.85891345664804</v>
      </c>
      <c r="AJ10" s="161">
        <f t="shared" si="21"/>
        <v>19.373477505316057</v>
      </c>
      <c r="AK10" s="162">
        <f t="shared" si="35"/>
        <v>-1.8922587606359493</v>
      </c>
      <c r="AL10" s="162">
        <f t="shared" si="22"/>
        <v>-26.364614246438375</v>
      </c>
      <c r="AM10" s="163">
        <v>0.36599999999999999</v>
      </c>
      <c r="AN10" s="164">
        <f t="shared" si="23"/>
        <v>-1.8922587606359493</v>
      </c>
      <c r="AO10" s="165">
        <f t="shared" si="24"/>
        <v>0.36556313841918964</v>
      </c>
      <c r="AP10" s="166">
        <f t="shared" si="25"/>
        <v>-4.3686158081035487E-4</v>
      </c>
      <c r="AQ10" s="166">
        <f t="shared" si="26"/>
        <v>19.025450359407088</v>
      </c>
      <c r="AR10" s="166">
        <f t="shared" si="27"/>
        <v>-8.3114883196395151E-2</v>
      </c>
      <c r="AS10" s="166">
        <f t="shared" si="28"/>
        <v>-4.3686158081035487</v>
      </c>
      <c r="AT10" s="163">
        <v>1.08</v>
      </c>
      <c r="AU10" s="164">
        <f t="shared" si="29"/>
        <v>-26.364614246438375</v>
      </c>
      <c r="AV10" s="164">
        <f t="shared" si="30"/>
        <v>1.0822336451425769</v>
      </c>
      <c r="AW10" s="168">
        <f t="shared" si="31"/>
        <v>2.2336451425768455E-3</v>
      </c>
      <c r="AX10" s="168">
        <f t="shared" si="32"/>
        <v>368.58913456648042</v>
      </c>
      <c r="AY10" s="168">
        <f t="shared" si="33"/>
        <v>8.2329733003102223</v>
      </c>
      <c r="AZ10" s="168">
        <f t="shared" si="34"/>
        <v>22.336451425768455</v>
      </c>
    </row>
    <row r="11" spans="1:52" ht="18" x14ac:dyDescent="0.25">
      <c r="A11">
        <v>1</v>
      </c>
      <c r="B11" t="s">
        <v>32</v>
      </c>
      <c r="C11" t="s">
        <v>28</v>
      </c>
      <c r="D11" t="s">
        <v>427</v>
      </c>
      <c r="E11">
        <v>1</v>
      </c>
      <c r="F11" s="9" t="s">
        <v>39</v>
      </c>
      <c r="G11">
        <v>9</v>
      </c>
      <c r="H11">
        <v>4.1550000000000002</v>
      </c>
      <c r="Q11" s="154">
        <v>453</v>
      </c>
      <c r="R11" s="154" t="s">
        <v>131</v>
      </c>
      <c r="S11" s="154">
        <v>4.3550684999999998</v>
      </c>
      <c r="T11" s="154">
        <v>-7.5151745595125909</v>
      </c>
      <c r="U11" s="154">
        <v>5.2776800000000001</v>
      </c>
      <c r="V11" s="154">
        <v>-26.186248465614369</v>
      </c>
      <c r="W11" s="156">
        <v>4.1550000000000002</v>
      </c>
      <c r="X11" s="157">
        <v>4.9097924166666678</v>
      </c>
      <c r="Y11" s="157">
        <v>-1.9262930930694058</v>
      </c>
      <c r="Z11" s="157">
        <v>3.543452666666667</v>
      </c>
      <c r="AA11" s="157">
        <v>-24.420378060012961</v>
      </c>
      <c r="AB11" s="157">
        <v>2.1333333333333333</v>
      </c>
      <c r="AC11" s="157">
        <v>2.1333333333333333</v>
      </c>
      <c r="AD11" s="158">
        <f t="shared" si="15"/>
        <v>1.2253063855771632E-2</v>
      </c>
      <c r="AE11" s="158">
        <f t="shared" si="16"/>
        <v>0.27700290056082771</v>
      </c>
      <c r="AF11" s="159">
        <f t="shared" si="17"/>
        <v>5.3362932426759574E-2</v>
      </c>
      <c r="AG11" s="159">
        <f t="shared" si="18"/>
        <v>1.4619326682318692</v>
      </c>
      <c r="AH11" s="160">
        <f t="shared" si="19"/>
        <v>1.2843064362637682</v>
      </c>
      <c r="AI11" s="160">
        <f t="shared" si="20"/>
        <v>35.184901762499855</v>
      </c>
      <c r="AJ11" s="161">
        <f t="shared" si="21"/>
        <v>27.396033196608268</v>
      </c>
      <c r="AK11" s="162">
        <f t="shared" si="35"/>
        <v>-3.6088814664431852</v>
      </c>
      <c r="AL11" s="162">
        <f t="shared" si="22"/>
        <v>-27.795870405601409</v>
      </c>
      <c r="AM11" s="163">
        <v>0.36599999999999999</v>
      </c>
      <c r="AN11" s="164">
        <f t="shared" si="23"/>
        <v>-3.6088814664431852</v>
      </c>
      <c r="AO11" s="165">
        <f t="shared" si="24"/>
        <v>0.36493670917100973</v>
      </c>
      <c r="AP11" s="166">
        <f t="shared" si="25"/>
        <v>-1.0632908289902598E-3</v>
      </c>
      <c r="AQ11" s="166">
        <f t="shared" si="26"/>
        <v>12.843064362637682</v>
      </c>
      <c r="AR11" s="166">
        <f t="shared" si="27"/>
        <v>-0.13655912552924285</v>
      </c>
      <c r="AS11" s="166">
        <f t="shared" si="28"/>
        <v>-10.632908289902598</v>
      </c>
      <c r="AT11" s="163">
        <v>1.08</v>
      </c>
      <c r="AU11" s="164">
        <f t="shared" si="29"/>
        <v>-27.795870405601409</v>
      </c>
      <c r="AV11" s="164">
        <f t="shared" si="30"/>
        <v>1.0806599403738775</v>
      </c>
      <c r="AW11" s="168">
        <f t="shared" si="31"/>
        <v>6.5994037387739901E-4</v>
      </c>
      <c r="AX11" s="168">
        <f t="shared" si="32"/>
        <v>351.84901762499857</v>
      </c>
      <c r="AY11" s="168">
        <f t="shared" si="33"/>
        <v>2.3219937223983713</v>
      </c>
      <c r="AZ11" s="168">
        <f t="shared" si="34"/>
        <v>6.5994037387739901</v>
      </c>
    </row>
    <row r="12" spans="1:52" ht="18" x14ac:dyDescent="0.25">
      <c r="A12">
        <v>1</v>
      </c>
      <c r="B12" t="s">
        <v>32</v>
      </c>
      <c r="C12" t="s">
        <v>28</v>
      </c>
      <c r="D12" t="s">
        <v>428</v>
      </c>
      <c r="E12">
        <v>1</v>
      </c>
      <c r="F12" s="9" t="s">
        <v>41</v>
      </c>
      <c r="G12">
        <v>10</v>
      </c>
      <c r="H12">
        <v>4.8869999999999996</v>
      </c>
      <c r="Q12" s="169">
        <v>454</v>
      </c>
      <c r="R12" s="169" t="s">
        <v>132</v>
      </c>
      <c r="S12" s="169">
        <v>5.4167645000000002</v>
      </c>
      <c r="T12" s="169">
        <v>-5.3814133887574469</v>
      </c>
      <c r="U12" s="169">
        <v>6.3869325000000003</v>
      </c>
      <c r="V12" s="169">
        <v>-25.099555233558487</v>
      </c>
      <c r="W12" s="156">
        <v>4.8869999999999996</v>
      </c>
      <c r="X12" s="157">
        <v>4.9097924166666678</v>
      </c>
      <c r="Y12" s="157">
        <v>-1.9262930930694058</v>
      </c>
      <c r="Z12" s="157">
        <v>3.543452666666667</v>
      </c>
      <c r="AA12" s="157">
        <v>-24.420378060012961</v>
      </c>
      <c r="AB12" s="157">
        <v>2.1333333333333333</v>
      </c>
      <c r="AC12" s="157">
        <v>2.1333333333333333</v>
      </c>
      <c r="AD12" s="158">
        <f t="shared" si="15"/>
        <v>1.2253063855771632E-2</v>
      </c>
      <c r="AE12" s="158">
        <f t="shared" si="16"/>
        <v>0.27700290056082771</v>
      </c>
      <c r="AF12" s="159">
        <f t="shared" si="17"/>
        <v>6.6371961310176905E-2</v>
      </c>
      <c r="AG12" s="159">
        <f t="shared" si="18"/>
        <v>1.7691988281862188</v>
      </c>
      <c r="AH12" s="160">
        <f t="shared" si="19"/>
        <v>1.3581330327435421</v>
      </c>
      <c r="AI12" s="160">
        <f t="shared" si="20"/>
        <v>36.202145041666036</v>
      </c>
      <c r="AJ12" s="161">
        <f t="shared" si="21"/>
        <v>26.655816601805693</v>
      </c>
      <c r="AK12" s="162">
        <f t="shared" si="35"/>
        <v>-1.4751202956880411</v>
      </c>
      <c r="AL12" s="162">
        <f t="shared" si="22"/>
        <v>-26.709177173545527</v>
      </c>
      <c r="AM12" s="163">
        <v>0.36599999999999999</v>
      </c>
      <c r="AN12" s="164">
        <f t="shared" si="23"/>
        <v>-1.4751202956880411</v>
      </c>
      <c r="AO12" s="165">
        <f t="shared" si="24"/>
        <v>0.36571535922576232</v>
      </c>
      <c r="AP12" s="166">
        <f t="shared" si="25"/>
        <v>-2.8464077423767664E-4</v>
      </c>
      <c r="AQ12" s="166">
        <f t="shared" si="26"/>
        <v>13.581330327435424</v>
      </c>
      <c r="AR12" s="166">
        <f t="shared" si="27"/>
        <v>-3.8658003795788577E-2</v>
      </c>
      <c r="AS12" s="166">
        <f t="shared" si="28"/>
        <v>-2.8464077423767664</v>
      </c>
      <c r="AT12" s="163">
        <v>1.08</v>
      </c>
      <c r="AU12" s="164">
        <f t="shared" si="29"/>
        <v>-26.709177173545527</v>
      </c>
      <c r="AV12" s="164">
        <f t="shared" si="30"/>
        <v>1.0818547934826013</v>
      </c>
      <c r="AW12" s="168">
        <f t="shared" si="31"/>
        <v>1.8547934826012025E-3</v>
      </c>
      <c r="AX12" s="168">
        <f t="shared" si="32"/>
        <v>362.02145041666034</v>
      </c>
      <c r="AY12" s="168">
        <f t="shared" si="33"/>
        <v>6.7147502679465596</v>
      </c>
      <c r="AZ12" s="168">
        <f t="shared" si="34"/>
        <v>18.547934826012025</v>
      </c>
    </row>
    <row r="13" spans="1:52" ht="18" x14ac:dyDescent="0.25">
      <c r="A13">
        <v>1</v>
      </c>
      <c r="B13" t="s">
        <v>32</v>
      </c>
      <c r="C13" t="s">
        <v>30</v>
      </c>
      <c r="D13" t="s">
        <v>427</v>
      </c>
      <c r="E13">
        <v>1</v>
      </c>
      <c r="F13" s="9" t="s">
        <v>42</v>
      </c>
      <c r="G13">
        <v>11</v>
      </c>
      <c r="H13">
        <v>4.3380000000000001</v>
      </c>
      <c r="Q13" s="154">
        <v>455</v>
      </c>
      <c r="R13" s="154" t="s">
        <v>133</v>
      </c>
      <c r="S13" s="154">
        <v>4.8754125000000004</v>
      </c>
      <c r="T13" s="154">
        <v>-4.5186291413694457</v>
      </c>
      <c r="U13" s="154">
        <v>5.9359295000000003</v>
      </c>
      <c r="V13" s="154">
        <v>-26.119708904138474</v>
      </c>
      <c r="W13" s="156">
        <v>4.3380000000000001</v>
      </c>
      <c r="X13" s="157">
        <v>4.9097924166666678</v>
      </c>
      <c r="Y13" s="157">
        <v>-1.9262930930694058</v>
      </c>
      <c r="Z13" s="157">
        <v>3.543452666666667</v>
      </c>
      <c r="AA13" s="157">
        <v>-24.420378060012961</v>
      </c>
      <c r="AB13" s="157">
        <v>2.1333333333333333</v>
      </c>
      <c r="AC13" s="157">
        <v>2.1333333333333333</v>
      </c>
      <c r="AD13" s="158">
        <f t="shared" si="15"/>
        <v>1.2253063855771632E-2</v>
      </c>
      <c r="AE13" s="158">
        <f t="shared" si="16"/>
        <v>0.27700290056082771</v>
      </c>
      <c r="AF13" s="159">
        <f t="shared" si="17"/>
        <v>5.9738740685727217E-2</v>
      </c>
      <c r="AG13" s="159">
        <f t="shared" si="18"/>
        <v>1.6442696890245838</v>
      </c>
      <c r="AH13" s="160">
        <f t="shared" si="19"/>
        <v>1.3771032892053301</v>
      </c>
      <c r="AI13" s="160">
        <f t="shared" si="20"/>
        <v>37.903865583784778</v>
      </c>
      <c r="AJ13" s="161">
        <f t="shared" si="21"/>
        <v>27.524344673998673</v>
      </c>
      <c r="AK13" s="162">
        <f t="shared" si="35"/>
        <v>-0.61233604830003996</v>
      </c>
      <c r="AL13" s="162">
        <f t="shared" si="22"/>
        <v>-27.729330844125514</v>
      </c>
      <c r="AM13" s="163">
        <v>0.36599999999999999</v>
      </c>
      <c r="AN13" s="164">
        <f t="shared" si="23"/>
        <v>-0.61233604830003996</v>
      </c>
      <c r="AO13" s="165">
        <f t="shared" si="24"/>
        <v>0.36603020216020427</v>
      </c>
      <c r="AP13" s="166">
        <f t="shared" si="25"/>
        <v>3.0202160204273465E-5</v>
      </c>
      <c r="AQ13" s="166">
        <f t="shared" si="26"/>
        <v>13.771032892053302</v>
      </c>
      <c r="AR13" s="166">
        <f t="shared" si="27"/>
        <v>4.1591494158411315E-3</v>
      </c>
      <c r="AS13" s="166">
        <f t="shared" si="28"/>
        <v>0.30202160204273465</v>
      </c>
      <c r="AT13" s="163">
        <v>1.08</v>
      </c>
      <c r="AU13" s="164">
        <f t="shared" si="29"/>
        <v>-27.729330844125514</v>
      </c>
      <c r="AV13" s="164">
        <f t="shared" si="30"/>
        <v>1.0807331035270933</v>
      </c>
      <c r="AW13" s="168">
        <f t="shared" si="31"/>
        <v>7.3310352709321513E-4</v>
      </c>
      <c r="AX13" s="168">
        <f t="shared" si="32"/>
        <v>379.03865583784778</v>
      </c>
      <c r="AY13" s="168">
        <f t="shared" si="33"/>
        <v>2.7787457549939747</v>
      </c>
      <c r="AZ13" s="168">
        <f t="shared" si="34"/>
        <v>7.3310352709321505</v>
      </c>
    </row>
    <row r="14" spans="1:52" ht="18" x14ac:dyDescent="0.25">
      <c r="A14">
        <v>1</v>
      </c>
      <c r="B14" t="s">
        <v>32</v>
      </c>
      <c r="C14" t="s">
        <v>30</v>
      </c>
      <c r="D14" t="s">
        <v>428</v>
      </c>
      <c r="E14">
        <v>1</v>
      </c>
      <c r="F14" s="9" t="s">
        <v>43</v>
      </c>
      <c r="G14">
        <v>12</v>
      </c>
      <c r="H14">
        <v>4.6970000000000001</v>
      </c>
      <c r="Q14" s="169">
        <v>456</v>
      </c>
      <c r="R14" s="169" t="s">
        <v>134</v>
      </c>
      <c r="S14" s="169">
        <v>4.6674445000000002</v>
      </c>
      <c r="T14" s="169">
        <v>-4.6623708945347984</v>
      </c>
      <c r="U14" s="169">
        <v>6.3019309999999997</v>
      </c>
      <c r="V14" s="169">
        <v>-24.760517382074116</v>
      </c>
      <c r="W14" s="156">
        <v>4.6970000000000001</v>
      </c>
      <c r="X14" s="157">
        <v>4.9097924166666678</v>
      </c>
      <c r="Y14" s="157">
        <v>-1.9262930930694058</v>
      </c>
      <c r="Z14" s="157">
        <v>3.543452666666667</v>
      </c>
      <c r="AA14" s="157">
        <v>-24.420378060012961</v>
      </c>
      <c r="AB14" s="157">
        <v>2.1333333333333333</v>
      </c>
      <c r="AC14" s="157">
        <v>2.1333333333333333</v>
      </c>
      <c r="AD14" s="158">
        <f t="shared" si="15"/>
        <v>1.2253063855771632E-2</v>
      </c>
      <c r="AE14" s="158">
        <f t="shared" si="16"/>
        <v>0.27700290056082771</v>
      </c>
      <c r="AF14" s="159">
        <f t="shared" si="17"/>
        <v>5.7190495501770099E-2</v>
      </c>
      <c r="AG14" s="159">
        <f t="shared" si="18"/>
        <v>1.7456531661341974</v>
      </c>
      <c r="AH14" s="160">
        <f t="shared" si="19"/>
        <v>1.2175962423199935</v>
      </c>
      <c r="AI14" s="160">
        <f t="shared" si="20"/>
        <v>37.165279244926495</v>
      </c>
      <c r="AJ14" s="161">
        <f t="shared" si="21"/>
        <v>30.5234838554628</v>
      </c>
      <c r="AK14" s="162">
        <f t="shared" si="35"/>
        <v>-0.75607780146539261</v>
      </c>
      <c r="AL14" s="162">
        <f t="shared" si="22"/>
        <v>-26.370139322061156</v>
      </c>
      <c r="AM14" s="163">
        <v>0.36599999999999999</v>
      </c>
      <c r="AN14" s="164">
        <f t="shared" si="23"/>
        <v>-0.75607780146539261</v>
      </c>
      <c r="AO14" s="165">
        <f t="shared" si="24"/>
        <v>0.36597774877301925</v>
      </c>
      <c r="AP14" s="166">
        <f t="shared" si="25"/>
        <v>-2.2251226980740668E-5</v>
      </c>
      <c r="AQ14" s="166">
        <f t="shared" si="26"/>
        <v>12.175962423199936</v>
      </c>
      <c r="AR14" s="166">
        <f t="shared" si="27"/>
        <v>-2.7093010358759093E-3</v>
      </c>
      <c r="AS14" s="166">
        <f t="shared" si="28"/>
        <v>-0.22251226980740668</v>
      </c>
      <c r="AT14" s="163">
        <v>1.08</v>
      </c>
      <c r="AU14" s="164">
        <f t="shared" si="29"/>
        <v>-26.370139322061156</v>
      </c>
      <c r="AV14" s="164">
        <f t="shared" si="30"/>
        <v>1.0822275702691122</v>
      </c>
      <c r="AW14" s="168">
        <f t="shared" si="31"/>
        <v>2.2275702691121335E-3</v>
      </c>
      <c r="AX14" s="168">
        <f t="shared" si="32"/>
        <v>371.65279244926495</v>
      </c>
      <c r="AY14" s="168">
        <f t="shared" si="33"/>
        <v>8.2788271089248493</v>
      </c>
      <c r="AZ14" s="168">
        <f t="shared" si="34"/>
        <v>22.275702691121335</v>
      </c>
    </row>
    <row r="15" spans="1:52" ht="18" x14ac:dyDescent="0.25">
      <c r="I15" s="25" t="s">
        <v>469</v>
      </c>
      <c r="Q15" s="154">
        <v>457</v>
      </c>
      <c r="R15" s="154" t="s">
        <v>135</v>
      </c>
      <c r="S15" s="154">
        <v>6.4775200000000002</v>
      </c>
      <c r="T15" s="154">
        <v>-3.6428245390065701</v>
      </c>
      <c r="U15" s="154">
        <v>4.5556464999999999</v>
      </c>
      <c r="V15" s="154">
        <v>-24.227840026546946</v>
      </c>
      <c r="W15" s="154">
        <v>2.8159999999999998</v>
      </c>
      <c r="X15" s="157">
        <v>4.9097924166666678</v>
      </c>
      <c r="Y15" s="157">
        <v>-1.9262930930694058</v>
      </c>
      <c r="Z15" s="157">
        <v>3.543452666666667</v>
      </c>
      <c r="AA15" s="157">
        <v>-24.420378060012961</v>
      </c>
      <c r="AB15" s="157">
        <v>2.1333333333333333</v>
      </c>
      <c r="AC15" s="157">
        <v>2.1333333333333333</v>
      </c>
      <c r="AD15" s="158">
        <f t="shared" si="15"/>
        <v>1.2253063855771632E-2</v>
      </c>
      <c r="AE15" s="158">
        <f t="shared" si="16"/>
        <v>0.27700290056082771</v>
      </c>
      <c r="AF15" s="159">
        <f t="shared" si="17"/>
        <v>7.9369466187037871E-2</v>
      </c>
      <c r="AG15" s="159">
        <f t="shared" si="18"/>
        <v>1.2619272944297828</v>
      </c>
      <c r="AH15" s="160">
        <f t="shared" si="19"/>
        <v>2.8185179753919698</v>
      </c>
      <c r="AI15" s="160">
        <f t="shared" si="20"/>
        <v>44.812759035148538</v>
      </c>
      <c r="AJ15" s="161">
        <f t="shared" si="21"/>
        <v>15.899405086787302</v>
      </c>
      <c r="AK15" s="162">
        <f t="shared" si="35"/>
        <v>0.26346855406283565</v>
      </c>
      <c r="AL15" s="162">
        <f t="shared" si="22"/>
        <v>-25.837461966533986</v>
      </c>
      <c r="AM15" s="163">
        <v>0.36599999999999999</v>
      </c>
      <c r="AN15" s="164">
        <f t="shared" si="23"/>
        <v>0.26346855406283565</v>
      </c>
      <c r="AO15" s="165">
        <f t="shared" si="24"/>
        <v>0.36634979438273485</v>
      </c>
      <c r="AP15" s="166">
        <f t="shared" si="25"/>
        <v>3.4979438273485819E-4</v>
      </c>
      <c r="AQ15" s="166">
        <f t="shared" si="26"/>
        <v>28.185179753919698</v>
      </c>
      <c r="AR15" s="166">
        <f t="shared" si="27"/>
        <v>9.8590175542933631E-2</v>
      </c>
      <c r="AS15" s="166">
        <f t="shared" si="28"/>
        <v>3.4979438273485819</v>
      </c>
      <c r="AT15" s="163">
        <v>1.08</v>
      </c>
      <c r="AU15" s="164">
        <f t="shared" si="29"/>
        <v>-25.837461966533986</v>
      </c>
      <c r="AV15" s="164">
        <f t="shared" si="30"/>
        <v>1.0828132506819328</v>
      </c>
      <c r="AW15" s="168">
        <f t="shared" si="31"/>
        <v>2.8132506819327219E-3</v>
      </c>
      <c r="AX15" s="168">
        <f t="shared" si="32"/>
        <v>448.12759035148542</v>
      </c>
      <c r="AY15" s="168">
        <f t="shared" si="33"/>
        <v>12.606952491491837</v>
      </c>
      <c r="AZ15" s="168">
        <f t="shared" si="34"/>
        <v>28.132506819327215</v>
      </c>
    </row>
    <row r="16" spans="1:52" ht="18" x14ac:dyDescent="0.25">
      <c r="A16">
        <v>1</v>
      </c>
      <c r="B16" t="s">
        <v>36</v>
      </c>
      <c r="C16" t="s">
        <v>26</v>
      </c>
      <c r="D16" t="s">
        <v>427</v>
      </c>
      <c r="E16">
        <v>1</v>
      </c>
      <c r="F16" s="9" t="s">
        <v>45</v>
      </c>
      <c r="G16">
        <v>13</v>
      </c>
      <c r="H16">
        <v>4.0839999999999996</v>
      </c>
      <c r="Q16" s="169">
        <v>458</v>
      </c>
      <c r="R16" s="169" t="s">
        <v>136</v>
      </c>
      <c r="S16" s="169">
        <v>4.1982074999999996</v>
      </c>
      <c r="T16" s="169">
        <v>-6.4794740552767429</v>
      </c>
      <c r="U16" s="169">
        <v>5.4742329999999999</v>
      </c>
      <c r="V16" s="169">
        <v>-26.325407990263976</v>
      </c>
      <c r="W16" s="156">
        <v>4.0839999999999996</v>
      </c>
      <c r="X16" s="157">
        <v>4.9097924166666678</v>
      </c>
      <c r="Y16" s="157">
        <v>-1.9262930930694058</v>
      </c>
      <c r="Z16" s="157">
        <v>3.543452666666667</v>
      </c>
      <c r="AA16" s="157">
        <v>-24.420378060012961</v>
      </c>
      <c r="AB16" s="157">
        <v>2.1333333333333333</v>
      </c>
      <c r="AC16" s="157">
        <v>2.1333333333333333</v>
      </c>
      <c r="AD16" s="158">
        <f t="shared" si="15"/>
        <v>1.2253063855771632E-2</v>
      </c>
      <c r="AE16" s="158">
        <f t="shared" si="16"/>
        <v>0.27700290056082771</v>
      </c>
      <c r="AF16" s="159">
        <f t="shared" si="17"/>
        <v>5.144090457727938E-2</v>
      </c>
      <c r="AG16" s="159">
        <f t="shared" si="18"/>
        <v>1.5163784193458016</v>
      </c>
      <c r="AH16" s="160">
        <f t="shared" si="19"/>
        <v>1.2595716106091914</v>
      </c>
      <c r="AI16" s="160">
        <f t="shared" si="20"/>
        <v>37.12973602707644</v>
      </c>
      <c r="AJ16" s="161">
        <f t="shared" si="21"/>
        <v>29.478066760427101</v>
      </c>
      <c r="AK16" s="162">
        <f t="shared" si="35"/>
        <v>-2.5731809622073372</v>
      </c>
      <c r="AL16" s="162">
        <f t="shared" si="22"/>
        <v>-27.935029930251016</v>
      </c>
      <c r="AM16" s="163">
        <v>0.36599999999999999</v>
      </c>
      <c r="AN16" s="164">
        <f t="shared" si="23"/>
        <v>-2.5731809622073372</v>
      </c>
      <c r="AO16" s="165">
        <f t="shared" si="24"/>
        <v>0.36531465751344699</v>
      </c>
      <c r="AP16" s="166">
        <f t="shared" si="25"/>
        <v>-6.8534248655299779E-4</v>
      </c>
      <c r="AQ16" s="166">
        <f t="shared" si="26"/>
        <v>12.595716106091915</v>
      </c>
      <c r="AR16" s="166">
        <f t="shared" si="27"/>
        <v>-8.6323793960646766E-2</v>
      </c>
      <c r="AS16" s="166">
        <f t="shared" si="28"/>
        <v>-6.8534248655299779</v>
      </c>
      <c r="AT16" s="163">
        <v>1.08</v>
      </c>
      <c r="AU16" s="164">
        <f t="shared" si="29"/>
        <v>-27.935029930251016</v>
      </c>
      <c r="AV16" s="164">
        <f t="shared" si="30"/>
        <v>1.0805069280504285</v>
      </c>
      <c r="AW16" s="168">
        <f t="shared" si="31"/>
        <v>5.0692805042840128E-4</v>
      </c>
      <c r="AX16" s="168">
        <f t="shared" si="32"/>
        <v>371.29736027076439</v>
      </c>
      <c r="AY16" s="168">
        <f t="shared" si="33"/>
        <v>1.8822104697127033</v>
      </c>
      <c r="AZ16" s="168">
        <f t="shared" si="34"/>
        <v>5.0692805042840128</v>
      </c>
    </row>
    <row r="17" spans="1:52" ht="18" x14ac:dyDescent="0.25">
      <c r="A17">
        <v>1</v>
      </c>
      <c r="B17" t="s">
        <v>36</v>
      </c>
      <c r="C17" t="s">
        <v>26</v>
      </c>
      <c r="D17" t="s">
        <v>428</v>
      </c>
      <c r="E17">
        <v>1</v>
      </c>
      <c r="F17" s="9" t="s">
        <v>46</v>
      </c>
      <c r="G17">
        <v>14</v>
      </c>
      <c r="H17">
        <v>4.1829999999999998</v>
      </c>
      <c r="Q17" s="154">
        <v>459</v>
      </c>
      <c r="R17" s="154" t="s">
        <v>137</v>
      </c>
      <c r="S17" s="154">
        <v>4.4860360000000004</v>
      </c>
      <c r="T17" s="154">
        <v>-7.0057823246069684E-2</v>
      </c>
      <c r="U17" s="154">
        <v>5.6803714999999997</v>
      </c>
      <c r="V17" s="154">
        <v>-23.491286122905525</v>
      </c>
      <c r="W17" s="156">
        <v>4.1829999999999998</v>
      </c>
      <c r="X17" s="157">
        <v>4.9097924166666678</v>
      </c>
      <c r="Y17" s="157">
        <v>-1.9262930930694058</v>
      </c>
      <c r="Z17" s="157">
        <v>3.543452666666667</v>
      </c>
      <c r="AA17" s="157">
        <v>-24.420378060012961</v>
      </c>
      <c r="AB17" s="157">
        <v>2.1333333333333333</v>
      </c>
      <c r="AC17" s="157">
        <v>2.1333333333333333</v>
      </c>
      <c r="AD17" s="158">
        <f t="shared" si="15"/>
        <v>1.2253063855771632E-2</v>
      </c>
      <c r="AE17" s="158">
        <f t="shared" si="16"/>
        <v>0.27700290056082771</v>
      </c>
      <c r="AF17" s="159">
        <f t="shared" si="17"/>
        <v>5.4967685567290356E-2</v>
      </c>
      <c r="AG17" s="159">
        <f t="shared" si="18"/>
        <v>1.5734793817630597</v>
      </c>
      <c r="AH17" s="160">
        <f t="shared" si="19"/>
        <v>1.3140732863325451</v>
      </c>
      <c r="AI17" s="160">
        <f t="shared" si="20"/>
        <v>37.616050245351659</v>
      </c>
      <c r="AJ17" s="161">
        <f t="shared" si="21"/>
        <v>28.625534539503892</v>
      </c>
      <c r="AK17" s="162">
        <f t="shared" si="35"/>
        <v>3.836235269823336</v>
      </c>
      <c r="AL17" s="162">
        <f t="shared" si="22"/>
        <v>-25.100908062892564</v>
      </c>
      <c r="AM17" s="163">
        <v>0.36599999999999999</v>
      </c>
      <c r="AN17" s="164">
        <f t="shared" si="23"/>
        <v>3.836235269823336</v>
      </c>
      <c r="AO17" s="165">
        <f t="shared" si="24"/>
        <v>0.36765352109138744</v>
      </c>
      <c r="AP17" s="166">
        <f t="shared" si="25"/>
        <v>1.6535210913874443E-3</v>
      </c>
      <c r="AQ17" s="166">
        <f t="shared" si="26"/>
        <v>13.14073286332545</v>
      </c>
      <c r="AR17" s="166">
        <f t="shared" si="27"/>
        <v>0.21728478945796756</v>
      </c>
      <c r="AS17" s="166">
        <f t="shared" si="28"/>
        <v>16.535210913874444</v>
      </c>
      <c r="AT17" s="163">
        <v>1.08</v>
      </c>
      <c r="AU17" s="164">
        <f t="shared" si="29"/>
        <v>-25.100908062892564</v>
      </c>
      <c r="AV17" s="164">
        <f t="shared" si="30"/>
        <v>1.0836230825698043</v>
      </c>
      <c r="AW17" s="168">
        <f t="shared" si="31"/>
        <v>3.623082569804259E-3</v>
      </c>
      <c r="AX17" s="168">
        <f t="shared" si="32"/>
        <v>376.16050245351659</v>
      </c>
      <c r="AY17" s="168">
        <f t="shared" si="33"/>
        <v>13.628605598881482</v>
      </c>
      <c r="AZ17" s="168">
        <f t="shared" si="34"/>
        <v>36.230825698042594</v>
      </c>
    </row>
    <row r="18" spans="1:52" ht="18" x14ac:dyDescent="0.25">
      <c r="A18">
        <v>1</v>
      </c>
      <c r="B18" t="s">
        <v>36</v>
      </c>
      <c r="C18" t="s">
        <v>28</v>
      </c>
      <c r="D18" t="s">
        <v>427</v>
      </c>
      <c r="E18">
        <v>1</v>
      </c>
      <c r="F18" s="9" t="s">
        <v>47</v>
      </c>
      <c r="G18">
        <v>15</v>
      </c>
      <c r="H18">
        <v>4.9960000000000004</v>
      </c>
      <c r="Q18" s="169">
        <v>460</v>
      </c>
      <c r="R18" s="169" t="s">
        <v>138</v>
      </c>
      <c r="S18" s="169">
        <v>5.3107775000000004</v>
      </c>
      <c r="T18" s="169">
        <v>-4.2987921350898901</v>
      </c>
      <c r="U18" s="169">
        <v>6.4881060000000002</v>
      </c>
      <c r="V18" s="169">
        <v>-25.524117167576065</v>
      </c>
      <c r="W18" s="156">
        <v>4.9960000000000004</v>
      </c>
      <c r="X18" s="157">
        <v>4.9097924166666678</v>
      </c>
      <c r="Y18" s="157">
        <v>-1.9262930930694058</v>
      </c>
      <c r="Z18" s="157">
        <v>3.543452666666667</v>
      </c>
      <c r="AA18" s="157">
        <v>-24.420378060012961</v>
      </c>
      <c r="AB18" s="157">
        <v>2.1333333333333333</v>
      </c>
      <c r="AC18" s="157">
        <v>2.1333333333333333</v>
      </c>
      <c r="AD18" s="158">
        <f t="shared" si="15"/>
        <v>1.2253063855771632E-2</v>
      </c>
      <c r="AE18" s="158">
        <f t="shared" si="16"/>
        <v>0.27700290056082771</v>
      </c>
      <c r="AF18" s="159">
        <f t="shared" si="17"/>
        <v>6.507329583129523E-2</v>
      </c>
      <c r="AG18" s="159">
        <f t="shared" si="18"/>
        <v>1.7972241811461096</v>
      </c>
      <c r="AH18" s="160">
        <f t="shared" si="19"/>
        <v>1.302507922964276</v>
      </c>
      <c r="AI18" s="160">
        <f t="shared" si="20"/>
        <v>35.97326223270835</v>
      </c>
      <c r="AJ18" s="161">
        <f t="shared" si="21"/>
        <v>27.61845943388937</v>
      </c>
      <c r="AK18" s="162">
        <f t="shared" si="35"/>
        <v>-0.39249904202048436</v>
      </c>
      <c r="AL18" s="162">
        <f t="shared" si="22"/>
        <v>-27.133739107563105</v>
      </c>
      <c r="AM18" s="163">
        <v>0.36599999999999999</v>
      </c>
      <c r="AN18" s="164">
        <f t="shared" si="23"/>
        <v>-0.39249904202048436</v>
      </c>
      <c r="AO18" s="165">
        <f t="shared" si="24"/>
        <v>0.36611042366856095</v>
      </c>
      <c r="AP18" s="166">
        <f t="shared" si="25"/>
        <v>1.1042366856095498E-4</v>
      </c>
      <c r="AQ18" s="166">
        <f t="shared" si="26"/>
        <v>13.02507922964276</v>
      </c>
      <c r="AR18" s="166">
        <f t="shared" si="27"/>
        <v>1.438277031834251E-2</v>
      </c>
      <c r="AS18" s="166">
        <f t="shared" si="28"/>
        <v>1.1042366856095498</v>
      </c>
      <c r="AT18" s="163">
        <v>1.08</v>
      </c>
      <c r="AU18" s="164">
        <f t="shared" si="29"/>
        <v>-27.133739107563105</v>
      </c>
      <c r="AV18" s="164">
        <f t="shared" si="30"/>
        <v>1.0813879778274191</v>
      </c>
      <c r="AW18" s="168">
        <f t="shared" si="31"/>
        <v>1.3879778274190624E-3</v>
      </c>
      <c r="AX18" s="168">
        <f t="shared" si="32"/>
        <v>359.7326223270835</v>
      </c>
      <c r="AY18" s="168">
        <f t="shared" si="33"/>
        <v>4.993009035893075</v>
      </c>
      <c r="AZ18" s="168">
        <f t="shared" si="34"/>
        <v>13.879778274190624</v>
      </c>
    </row>
    <row r="19" spans="1:52" ht="18" x14ac:dyDescent="0.25">
      <c r="A19">
        <v>1</v>
      </c>
      <c r="B19" t="s">
        <v>36</v>
      </c>
      <c r="C19" t="s">
        <v>28</v>
      </c>
      <c r="D19" t="s">
        <v>428</v>
      </c>
      <c r="E19">
        <v>1</v>
      </c>
      <c r="F19" s="9" t="s">
        <v>49</v>
      </c>
      <c r="G19">
        <v>16</v>
      </c>
      <c r="H19">
        <v>4.5270000000000001</v>
      </c>
      <c r="Q19" s="154">
        <v>461</v>
      </c>
      <c r="R19" s="154" t="s">
        <v>139</v>
      </c>
      <c r="S19" s="154">
        <v>4.3321889999999996</v>
      </c>
      <c r="T19" s="154">
        <v>-5.1776556408578198</v>
      </c>
      <c r="U19" s="154">
        <v>6.1832190000000002</v>
      </c>
      <c r="V19" s="154">
        <v>-24.999162821816764</v>
      </c>
      <c r="W19" s="156">
        <v>4.5270000000000001</v>
      </c>
      <c r="X19" s="157">
        <v>4.9097924166666678</v>
      </c>
      <c r="Y19" s="157">
        <v>-1.9262930930694058</v>
      </c>
      <c r="Z19" s="157">
        <v>3.543452666666667</v>
      </c>
      <c r="AA19" s="157">
        <v>-24.420378060012961</v>
      </c>
      <c r="AB19" s="157">
        <v>2.1333333333333333</v>
      </c>
      <c r="AC19" s="157">
        <v>2.1333333333333333</v>
      </c>
      <c r="AD19" s="158">
        <f t="shared" si="15"/>
        <v>1.2253063855771632E-2</v>
      </c>
      <c r="AE19" s="158">
        <f t="shared" si="16"/>
        <v>0.27700290056082771</v>
      </c>
      <c r="AF19" s="159">
        <f t="shared" si="17"/>
        <v>5.3082588452271449E-2</v>
      </c>
      <c r="AG19" s="159">
        <f t="shared" si="18"/>
        <v>1.7127695978028206</v>
      </c>
      <c r="AH19" s="160">
        <f t="shared" si="19"/>
        <v>1.1725776110508381</v>
      </c>
      <c r="AI19" s="160">
        <f t="shared" si="20"/>
        <v>37.834539381551146</v>
      </c>
      <c r="AJ19" s="161">
        <f t="shared" si="21"/>
        <v>32.26612807969672</v>
      </c>
      <c r="AK19" s="162">
        <f t="shared" si="35"/>
        <v>-1.2713625477884141</v>
      </c>
      <c r="AL19" s="162">
        <f t="shared" si="22"/>
        <v>-26.608784761803804</v>
      </c>
      <c r="AM19" s="163">
        <v>0.36599999999999999</v>
      </c>
      <c r="AN19" s="164">
        <f t="shared" si="23"/>
        <v>-1.2713625477884141</v>
      </c>
      <c r="AO19" s="165">
        <f t="shared" si="24"/>
        <v>0.36578971366872109</v>
      </c>
      <c r="AP19" s="166">
        <f t="shared" si="25"/>
        <v>-2.1028633127889718E-4</v>
      </c>
      <c r="AQ19" s="166">
        <f t="shared" si="26"/>
        <v>11.725776110508381</v>
      </c>
      <c r="AR19" s="166">
        <f t="shared" si="27"/>
        <v>-2.4657704396765439E-2</v>
      </c>
      <c r="AS19" s="166">
        <f t="shared" si="28"/>
        <v>-2.1028633127889718</v>
      </c>
      <c r="AT19" s="163">
        <v>1.08</v>
      </c>
      <c r="AU19" s="164">
        <f t="shared" si="29"/>
        <v>-26.608784761803804</v>
      </c>
      <c r="AV19" s="164">
        <f t="shared" si="30"/>
        <v>1.0819651766145959</v>
      </c>
      <c r="AW19" s="168">
        <f t="shared" si="31"/>
        <v>1.9651766145958316E-3</v>
      </c>
      <c r="AX19" s="168">
        <f t="shared" si="32"/>
        <v>378.34539381551144</v>
      </c>
      <c r="AY19" s="168">
        <f t="shared" si="33"/>
        <v>7.4351552016629343</v>
      </c>
      <c r="AZ19" s="168">
        <f t="shared" si="34"/>
        <v>19.651766145958316</v>
      </c>
    </row>
    <row r="20" spans="1:52" ht="18" x14ac:dyDescent="0.25">
      <c r="A20">
        <v>1</v>
      </c>
      <c r="B20" t="s">
        <v>36</v>
      </c>
      <c r="C20" t="s">
        <v>30</v>
      </c>
      <c r="D20" t="s">
        <v>427</v>
      </c>
      <c r="E20">
        <v>1</v>
      </c>
      <c r="F20" s="9" t="s">
        <v>50</v>
      </c>
      <c r="G20">
        <v>17</v>
      </c>
      <c r="H20">
        <v>4.2489999999999997</v>
      </c>
      <c r="Q20" s="169">
        <v>462</v>
      </c>
      <c r="R20" s="169" t="s">
        <v>140</v>
      </c>
      <c r="S20" s="169">
        <v>3.9117172500000001</v>
      </c>
      <c r="T20" s="169">
        <v>-6.2973022112916857</v>
      </c>
      <c r="U20" s="169">
        <v>5.6611719999999996</v>
      </c>
      <c r="V20" s="169">
        <v>-25.436515283063144</v>
      </c>
      <c r="W20" s="156">
        <v>4.2489999999999997</v>
      </c>
      <c r="X20" s="157">
        <v>4.9097924166666678</v>
      </c>
      <c r="Y20" s="157">
        <v>-1.9262930930694058</v>
      </c>
      <c r="Z20" s="157">
        <v>3.543452666666667</v>
      </c>
      <c r="AA20" s="157">
        <v>-24.420378060012961</v>
      </c>
      <c r="AB20" s="157">
        <v>2.1333333333333333</v>
      </c>
      <c r="AC20" s="157">
        <v>2.1333333333333333</v>
      </c>
      <c r="AD20" s="158">
        <f t="shared" si="15"/>
        <v>1.2253063855771632E-2</v>
      </c>
      <c r="AE20" s="158">
        <f t="shared" si="16"/>
        <v>0.27700290056082771</v>
      </c>
      <c r="AF20" s="159">
        <f t="shared" si="17"/>
        <v>4.7930521249973407E-2</v>
      </c>
      <c r="AG20" s="159">
        <f t="shared" si="18"/>
        <v>1.568161064573742</v>
      </c>
      <c r="AH20" s="160">
        <f t="shared" si="19"/>
        <v>1.1280423923269807</v>
      </c>
      <c r="AI20" s="160">
        <f t="shared" si="20"/>
        <v>36.906591305571716</v>
      </c>
      <c r="AJ20" s="161">
        <f t="shared" si="21"/>
        <v>32.717379733787311</v>
      </c>
      <c r="AK20" s="162">
        <f t="shared" si="35"/>
        <v>-2.3910091182222799</v>
      </c>
      <c r="AL20" s="162">
        <f t="shared" si="22"/>
        <v>-27.046137223050184</v>
      </c>
      <c r="AM20" s="163">
        <v>0.36599999999999999</v>
      </c>
      <c r="AN20" s="164">
        <f t="shared" si="23"/>
        <v>-2.3910091182222799</v>
      </c>
      <c r="AO20" s="165">
        <f t="shared" si="24"/>
        <v>0.36538113545670964</v>
      </c>
      <c r="AP20" s="166">
        <f t="shared" si="25"/>
        <v>-6.188645432903539E-4</v>
      </c>
      <c r="AQ20" s="166">
        <f t="shared" si="26"/>
        <v>11.280423923269808</v>
      </c>
      <c r="AR20" s="166">
        <f t="shared" si="27"/>
        <v>-6.9810543993959528E-2</v>
      </c>
      <c r="AS20" s="166">
        <f t="shared" si="28"/>
        <v>-6.188645432903539</v>
      </c>
      <c r="AT20" s="163">
        <v>1.08</v>
      </c>
      <c r="AU20" s="164">
        <f t="shared" si="29"/>
        <v>-27.046137223050184</v>
      </c>
      <c r="AV20" s="164">
        <f t="shared" si="30"/>
        <v>1.0814842984840878</v>
      </c>
      <c r="AW20" s="168">
        <f t="shared" si="31"/>
        <v>1.4842984840877094E-3</v>
      </c>
      <c r="AX20" s="168">
        <f t="shared" si="32"/>
        <v>369.0659130557172</v>
      </c>
      <c r="AY20" s="168">
        <f t="shared" si="33"/>
        <v>5.4780397527704743</v>
      </c>
      <c r="AZ20" s="168">
        <f t="shared" si="34"/>
        <v>14.842984840877095</v>
      </c>
    </row>
    <row r="21" spans="1:52" ht="18" x14ac:dyDescent="0.25">
      <c r="A21">
        <v>1</v>
      </c>
      <c r="B21" t="s">
        <v>36</v>
      </c>
      <c r="C21" t="s">
        <v>30</v>
      </c>
      <c r="D21" t="s">
        <v>428</v>
      </c>
      <c r="E21">
        <v>1</v>
      </c>
      <c r="F21" s="9" t="s">
        <v>51</v>
      </c>
      <c r="G21">
        <v>18</v>
      </c>
      <c r="H21">
        <v>4.6710000000000003</v>
      </c>
      <c r="Q21" s="154">
        <v>463</v>
      </c>
      <c r="R21" s="154" t="s">
        <v>141</v>
      </c>
      <c r="S21" s="154">
        <v>2.5609072500000001</v>
      </c>
      <c r="T21" s="154">
        <v>-5.4707745338966527</v>
      </c>
      <c r="U21" s="154">
        <v>6.3209885000000003</v>
      </c>
      <c r="V21" s="154">
        <v>-25.00828419381541</v>
      </c>
      <c r="W21" s="156">
        <v>4.6710000000000003</v>
      </c>
      <c r="X21" s="157">
        <v>4.9097924166666678</v>
      </c>
      <c r="Y21" s="157">
        <v>-1.9262930930694058</v>
      </c>
      <c r="Z21" s="157">
        <v>3.543452666666667</v>
      </c>
      <c r="AA21" s="157">
        <v>-24.420378060012961</v>
      </c>
      <c r="AB21" s="157">
        <v>2.1333333333333333</v>
      </c>
      <c r="AC21" s="157">
        <v>2.1333333333333333</v>
      </c>
      <c r="AD21" s="158">
        <f t="shared" si="15"/>
        <v>1.2253063855771632E-2</v>
      </c>
      <c r="AE21" s="158">
        <f t="shared" si="16"/>
        <v>0.27700290056082771</v>
      </c>
      <c r="AF21" s="159">
        <f t="shared" si="17"/>
        <v>3.1378960062958532E-2</v>
      </c>
      <c r="AG21" s="159">
        <f t="shared" si="18"/>
        <v>1.7509321489116356</v>
      </c>
      <c r="AH21" s="160">
        <f t="shared" si="19"/>
        <v>0.67178248903786186</v>
      </c>
      <c r="AI21" s="160">
        <f t="shared" si="20"/>
        <v>37.485166964496585</v>
      </c>
      <c r="AJ21" s="161">
        <f t="shared" si="21"/>
        <v>55.799559494596927</v>
      </c>
      <c r="AK21" s="162">
        <f t="shared" si="35"/>
        <v>-1.5644814408272469</v>
      </c>
      <c r="AL21" s="162">
        <f t="shared" si="22"/>
        <v>-26.61790613380245</v>
      </c>
      <c r="AM21" s="163">
        <v>0.36599999999999999</v>
      </c>
      <c r="AN21" s="164">
        <f t="shared" si="23"/>
        <v>-1.5644814408272469</v>
      </c>
      <c r="AO21" s="165">
        <f t="shared" si="24"/>
        <v>0.36568274988761112</v>
      </c>
      <c r="AP21" s="166">
        <f t="shared" si="25"/>
        <v>-3.1725011238886713E-4</v>
      </c>
      <c r="AQ21" s="166">
        <f t="shared" si="26"/>
        <v>6.7178248903786191</v>
      </c>
      <c r="AR21" s="166">
        <f t="shared" si="27"/>
        <v>-2.1312307014813459E-2</v>
      </c>
      <c r="AS21" s="166">
        <f t="shared" si="28"/>
        <v>-3.1725011238886713</v>
      </c>
      <c r="AT21" s="163">
        <v>1.08</v>
      </c>
      <c r="AU21" s="164">
        <f t="shared" si="29"/>
        <v>-26.61790613380245</v>
      </c>
      <c r="AV21" s="164">
        <f t="shared" si="30"/>
        <v>1.0819551475240465</v>
      </c>
      <c r="AW21" s="168">
        <f t="shared" si="31"/>
        <v>1.9551475240464633E-3</v>
      </c>
      <c r="AX21" s="168">
        <f t="shared" si="32"/>
        <v>374.85166964496585</v>
      </c>
      <c r="AY21" s="168">
        <f t="shared" si="33"/>
        <v>7.3289031379103777</v>
      </c>
      <c r="AZ21" s="168">
        <f t="shared" si="34"/>
        <v>19.551475240464633</v>
      </c>
    </row>
    <row r="22" spans="1:52" ht="18" x14ac:dyDescent="0.25">
      <c r="A22">
        <v>1</v>
      </c>
      <c r="B22" t="s">
        <v>40</v>
      </c>
      <c r="C22" t="s">
        <v>26</v>
      </c>
      <c r="D22" t="s">
        <v>427</v>
      </c>
      <c r="E22">
        <v>1</v>
      </c>
      <c r="F22" s="9" t="s">
        <v>53</v>
      </c>
      <c r="G22">
        <v>19</v>
      </c>
      <c r="H22">
        <v>4.54</v>
      </c>
      <c r="Q22" s="169">
        <v>464</v>
      </c>
      <c r="R22" s="169" t="s">
        <v>142</v>
      </c>
      <c r="S22" s="169">
        <v>5.4205639999999997</v>
      </c>
      <c r="T22" s="169">
        <v>-5.1070714515105333</v>
      </c>
      <c r="U22" s="169">
        <v>6.4058820000000001</v>
      </c>
      <c r="V22" s="169">
        <v>-26.645981036411854</v>
      </c>
      <c r="W22" s="156">
        <v>4.54</v>
      </c>
      <c r="X22" s="157">
        <v>4.9097924166666678</v>
      </c>
      <c r="Y22" s="157">
        <v>-1.9262930930694058</v>
      </c>
      <c r="Z22" s="157">
        <v>3.543452666666667</v>
      </c>
      <c r="AA22" s="157">
        <v>-24.420378060012961</v>
      </c>
      <c r="AB22" s="157">
        <v>2.1333333333333333</v>
      </c>
      <c r="AC22" s="157">
        <v>2.1333333333333333</v>
      </c>
      <c r="AD22" s="158">
        <f t="shared" si="15"/>
        <v>1.2253063855771632E-2</v>
      </c>
      <c r="AE22" s="158">
        <f t="shared" si="16"/>
        <v>0.27700290056082771</v>
      </c>
      <c r="AF22" s="159">
        <f t="shared" si="17"/>
        <v>6.6418516826296903E-2</v>
      </c>
      <c r="AG22" s="159">
        <f t="shared" si="18"/>
        <v>1.7744478946503961</v>
      </c>
      <c r="AH22" s="160">
        <f t="shared" si="19"/>
        <v>1.462962925689359</v>
      </c>
      <c r="AI22" s="160">
        <f t="shared" si="20"/>
        <v>39.084755388775243</v>
      </c>
      <c r="AJ22" s="161">
        <f t="shared" si="21"/>
        <v>26.716162591993378</v>
      </c>
      <c r="AK22" s="162">
        <f t="shared" si="35"/>
        <v>-1.2007783584411276</v>
      </c>
      <c r="AL22" s="162">
        <f t="shared" si="22"/>
        <v>-28.255602976398894</v>
      </c>
      <c r="AM22" s="163">
        <v>0.36599999999999999</v>
      </c>
      <c r="AN22" s="164">
        <f t="shared" si="23"/>
        <v>-1.2007783584411276</v>
      </c>
      <c r="AO22" s="165">
        <f t="shared" si="24"/>
        <v>0.36581547093616901</v>
      </c>
      <c r="AP22" s="166">
        <f t="shared" si="25"/>
        <v>-1.8452906383098489E-4</v>
      </c>
      <c r="AQ22" s="166">
        <f t="shared" si="26"/>
        <v>14.629629256893592</v>
      </c>
      <c r="AR22" s="166">
        <f t="shared" si="27"/>
        <v>-2.6995917909689617E-2</v>
      </c>
      <c r="AS22" s="166">
        <f t="shared" si="28"/>
        <v>-1.8452906383098489</v>
      </c>
      <c r="AT22" s="163">
        <v>1.08</v>
      </c>
      <c r="AU22" s="164">
        <f t="shared" si="29"/>
        <v>-28.255602976398894</v>
      </c>
      <c r="AV22" s="164">
        <f t="shared" si="30"/>
        <v>1.0801544413815207</v>
      </c>
      <c r="AW22" s="168">
        <f t="shared" si="31"/>
        <v>1.5444138152065356E-4</v>
      </c>
      <c r="AX22" s="168">
        <f t="shared" si="32"/>
        <v>390.84755388775244</v>
      </c>
      <c r="AY22" s="168">
        <f t="shared" si="33"/>
        <v>0.60363036186392582</v>
      </c>
      <c r="AZ22" s="168">
        <f t="shared" si="34"/>
        <v>1.5444138152065356</v>
      </c>
    </row>
    <row r="23" spans="1:52" ht="18" x14ac:dyDescent="0.25">
      <c r="A23">
        <v>1</v>
      </c>
      <c r="B23" t="s">
        <v>40</v>
      </c>
      <c r="C23" t="s">
        <v>26</v>
      </c>
      <c r="D23" t="s">
        <v>428</v>
      </c>
      <c r="E23">
        <v>1</v>
      </c>
      <c r="F23" s="9" t="s">
        <v>54</v>
      </c>
      <c r="G23">
        <v>20</v>
      </c>
      <c r="H23">
        <v>4.1589999999999998</v>
      </c>
      <c r="Q23" s="154">
        <v>465</v>
      </c>
      <c r="R23" s="154" t="s">
        <v>143</v>
      </c>
      <c r="S23" s="154">
        <v>5.7523495000000002</v>
      </c>
      <c r="T23" s="154">
        <v>-4.5177426464282879</v>
      </c>
      <c r="U23" s="154">
        <v>5.7986050000000002</v>
      </c>
      <c r="V23" s="154">
        <v>-24.10691955325046</v>
      </c>
      <c r="W23" s="156">
        <v>4.1589999999999998</v>
      </c>
      <c r="X23" s="157">
        <v>4.9097924166666678</v>
      </c>
      <c r="Y23" s="157">
        <v>-1.9262930930694058</v>
      </c>
      <c r="Z23" s="157">
        <v>3.543452666666667</v>
      </c>
      <c r="AA23" s="157">
        <v>-24.420378060012961</v>
      </c>
      <c r="AB23" s="157">
        <v>2.1333333333333333</v>
      </c>
      <c r="AC23" s="157">
        <v>2.1333333333333333</v>
      </c>
      <c r="AD23" s="158">
        <f t="shared" si="15"/>
        <v>1.2253063855771632E-2</v>
      </c>
      <c r="AE23" s="158">
        <f t="shared" si="16"/>
        <v>0.27700290056082771</v>
      </c>
      <c r="AF23" s="159">
        <f t="shared" si="17"/>
        <v>7.0483905744216022E-2</v>
      </c>
      <c r="AG23" s="159">
        <f t="shared" si="18"/>
        <v>1.6062304042065185</v>
      </c>
      <c r="AH23" s="160">
        <f t="shared" si="19"/>
        <v>1.6947320448236602</v>
      </c>
      <c r="AI23" s="160">
        <f t="shared" si="20"/>
        <v>38.620591589481087</v>
      </c>
      <c r="AJ23" s="161">
        <f t="shared" si="21"/>
        <v>22.788612339893316</v>
      </c>
      <c r="AK23" s="162">
        <f t="shared" si="35"/>
        <v>-0.61144955335888218</v>
      </c>
      <c r="AL23" s="162">
        <f t="shared" si="22"/>
        <v>-25.7165414932375</v>
      </c>
      <c r="AM23" s="163">
        <v>0.36599999999999999</v>
      </c>
      <c r="AN23" s="164">
        <f t="shared" si="23"/>
        <v>-0.61144955335888218</v>
      </c>
      <c r="AO23" s="165">
        <f t="shared" si="24"/>
        <v>0.36603052565450372</v>
      </c>
      <c r="AP23" s="166">
        <f t="shared" si="25"/>
        <v>3.0525654503732458E-5</v>
      </c>
      <c r="AQ23" s="166">
        <f t="shared" si="26"/>
        <v>16.947320448236603</v>
      </c>
      <c r="AR23" s="166">
        <f t="shared" si="27"/>
        <v>5.1732804876691088E-3</v>
      </c>
      <c r="AS23" s="166">
        <f t="shared" si="28"/>
        <v>0.30525654503732458</v>
      </c>
      <c r="AT23" s="163">
        <v>1.08</v>
      </c>
      <c r="AU23" s="164">
        <f t="shared" si="29"/>
        <v>-25.7165414932375</v>
      </c>
      <c r="AV23" s="164">
        <f t="shared" si="30"/>
        <v>1.0829462021533542</v>
      </c>
      <c r="AW23" s="168">
        <f t="shared" si="31"/>
        <v>2.9462021533541716E-3</v>
      </c>
      <c r="AX23" s="168">
        <f t="shared" si="32"/>
        <v>386.20591589481086</v>
      </c>
      <c r="AY23" s="168">
        <f t="shared" si="33"/>
        <v>11.378407010474119</v>
      </c>
      <c r="AZ23" s="168">
        <f t="shared" si="34"/>
        <v>29.462021533541719</v>
      </c>
    </row>
    <row r="24" spans="1:52" ht="18" x14ac:dyDescent="0.25">
      <c r="A24">
        <v>1</v>
      </c>
      <c r="B24" t="s">
        <v>40</v>
      </c>
      <c r="C24" t="s">
        <v>28</v>
      </c>
      <c r="D24" t="s">
        <v>427</v>
      </c>
      <c r="E24">
        <v>1</v>
      </c>
      <c r="F24" s="9" t="s">
        <v>55</v>
      </c>
      <c r="G24">
        <v>21</v>
      </c>
      <c r="H24">
        <v>5.0309999999999997</v>
      </c>
      <c r="Q24" s="169">
        <v>466</v>
      </c>
      <c r="R24" s="169" t="s">
        <v>144</v>
      </c>
      <c r="S24" s="169">
        <v>4.6273869999999997</v>
      </c>
      <c r="T24" s="169">
        <v>-7.2944361260511155</v>
      </c>
      <c r="U24" s="169">
        <v>6.3810520000000004</v>
      </c>
      <c r="V24" s="169">
        <v>-25.465176776130285</v>
      </c>
      <c r="W24" s="156">
        <v>5.0309999999999997</v>
      </c>
      <c r="X24" s="157">
        <v>4.9097924166666678</v>
      </c>
      <c r="Y24" s="157">
        <v>-1.9262930930694058</v>
      </c>
      <c r="Z24" s="157">
        <v>3.543452666666667</v>
      </c>
      <c r="AA24" s="157">
        <v>-24.420378060012961</v>
      </c>
      <c r="AB24" s="157">
        <v>2.1333333333333333</v>
      </c>
      <c r="AC24" s="157">
        <v>2.1333333333333333</v>
      </c>
      <c r="AD24" s="158">
        <f t="shared" si="15"/>
        <v>1.2253063855771632E-2</v>
      </c>
      <c r="AE24" s="158">
        <f t="shared" si="16"/>
        <v>0.27700290056082771</v>
      </c>
      <c r="AF24" s="159">
        <f t="shared" si="17"/>
        <v>5.6699668396367524E-2</v>
      </c>
      <c r="AG24" s="159">
        <f t="shared" si="18"/>
        <v>1.7675699126294708</v>
      </c>
      <c r="AH24" s="160">
        <f t="shared" si="19"/>
        <v>1.1270059311541947</v>
      </c>
      <c r="AI24" s="160">
        <f t="shared" si="20"/>
        <v>35.133570117858696</v>
      </c>
      <c r="AJ24" s="161">
        <f t="shared" si="21"/>
        <v>31.174254852303697</v>
      </c>
      <c r="AK24" s="162">
        <f t="shared" si="35"/>
        <v>-3.3881430329817097</v>
      </c>
      <c r="AL24" s="162">
        <f t="shared" si="22"/>
        <v>-27.074798716117325</v>
      </c>
      <c r="AM24" s="163">
        <v>0.36599999999999999</v>
      </c>
      <c r="AN24" s="164">
        <f t="shared" si="23"/>
        <v>-3.3881430329817097</v>
      </c>
      <c r="AO24" s="165">
        <f t="shared" si="24"/>
        <v>0.36501726139022583</v>
      </c>
      <c r="AP24" s="166">
        <f t="shared" si="25"/>
        <v>-9.8273860977415861E-4</v>
      </c>
      <c r="AQ24" s="166">
        <f t="shared" si="26"/>
        <v>11.270059311541948</v>
      </c>
      <c r="AR24" s="166">
        <f t="shared" si="27"/>
        <v>-0.11075522419897045</v>
      </c>
      <c r="AS24" s="166">
        <f t="shared" si="28"/>
        <v>-9.8273860977415861</v>
      </c>
      <c r="AT24" s="163">
        <v>1.08</v>
      </c>
      <c r="AU24" s="164">
        <f t="shared" si="29"/>
        <v>-27.074798716117325</v>
      </c>
      <c r="AV24" s="164">
        <f t="shared" si="30"/>
        <v>1.0814527844129007</v>
      </c>
      <c r="AW24" s="168">
        <f t="shared" si="31"/>
        <v>1.4527844129006429E-3</v>
      </c>
      <c r="AX24" s="168">
        <f t="shared" si="32"/>
        <v>351.33570117858699</v>
      </c>
      <c r="AY24" s="168">
        <f t="shared" si="33"/>
        <v>5.1041503036776916</v>
      </c>
      <c r="AZ24" s="168">
        <f t="shared" si="34"/>
        <v>14.527844129006429</v>
      </c>
    </row>
    <row r="25" spans="1:52" ht="18" x14ac:dyDescent="0.25">
      <c r="A25">
        <v>1</v>
      </c>
      <c r="B25" t="s">
        <v>40</v>
      </c>
      <c r="C25" t="s">
        <v>28</v>
      </c>
      <c r="D25" t="s">
        <v>428</v>
      </c>
      <c r="E25">
        <v>1</v>
      </c>
      <c r="F25" s="9" t="s">
        <v>57</v>
      </c>
      <c r="G25">
        <v>22</v>
      </c>
      <c r="H25">
        <v>4.867</v>
      </c>
      <c r="Q25" s="154">
        <v>467</v>
      </c>
      <c r="R25" s="154" t="s">
        <v>145</v>
      </c>
      <c r="S25" s="154">
        <v>5.0419134999999997</v>
      </c>
      <c r="T25" s="154">
        <v>-4.6150522416881667</v>
      </c>
      <c r="U25" s="154">
        <v>6.6273194999999996</v>
      </c>
      <c r="V25" s="154">
        <v>-25.34190803902683</v>
      </c>
      <c r="W25" s="156">
        <v>4.867</v>
      </c>
      <c r="X25" s="157">
        <v>4.9097924166666678</v>
      </c>
      <c r="Y25" s="157">
        <v>-1.9262930930694058</v>
      </c>
      <c r="Z25" s="157">
        <v>3.543452666666667</v>
      </c>
      <c r="AA25" s="157">
        <v>-24.420378060012961</v>
      </c>
      <c r="AB25" s="157">
        <v>2.1333333333333333</v>
      </c>
      <c r="AC25" s="157">
        <v>2.1333333333333333</v>
      </c>
      <c r="AD25" s="158">
        <f t="shared" si="15"/>
        <v>1.2253063855771632E-2</v>
      </c>
      <c r="AE25" s="158">
        <f t="shared" si="16"/>
        <v>0.27700290056082771</v>
      </c>
      <c r="AF25" s="159">
        <f t="shared" si="17"/>
        <v>6.1778888070777041E-2</v>
      </c>
      <c r="AG25" s="159">
        <f t="shared" si="18"/>
        <v>1.8357867244433344</v>
      </c>
      <c r="AH25" s="160">
        <f t="shared" si="19"/>
        <v>1.2693422656827007</v>
      </c>
      <c r="AI25" s="160">
        <f t="shared" si="20"/>
        <v>37.719061525443486</v>
      </c>
      <c r="AJ25" s="161">
        <f t="shared" si="21"/>
        <v>29.715438101445976</v>
      </c>
      <c r="AK25" s="162">
        <f t="shared" si="35"/>
        <v>-0.70875914861876099</v>
      </c>
      <c r="AL25" s="162">
        <f t="shared" si="22"/>
        <v>-26.95152997901387</v>
      </c>
      <c r="AM25" s="163">
        <v>0.36599999999999999</v>
      </c>
      <c r="AN25" s="164">
        <f t="shared" si="23"/>
        <v>-0.70875914861876099</v>
      </c>
      <c r="AO25" s="165">
        <f t="shared" si="24"/>
        <v>0.36599501602098805</v>
      </c>
      <c r="AP25" s="166">
        <f t="shared" si="25"/>
        <v>-4.983979011941031E-6</v>
      </c>
      <c r="AQ25" s="166">
        <f t="shared" si="26"/>
        <v>12.693422656827007</v>
      </c>
      <c r="AR25" s="166">
        <f t="shared" si="27"/>
        <v>-6.3263752111322573E-4</v>
      </c>
      <c r="AS25" s="166">
        <f t="shared" si="28"/>
        <v>-4.983979011941031E-2</v>
      </c>
      <c r="AT25" s="163">
        <v>1.08</v>
      </c>
      <c r="AU25" s="164">
        <f t="shared" si="29"/>
        <v>-26.95152997901387</v>
      </c>
      <c r="AV25" s="164">
        <f t="shared" si="30"/>
        <v>1.081588321513566</v>
      </c>
      <c r="AW25" s="168">
        <f t="shared" si="31"/>
        <v>1.5883215135659157E-3</v>
      </c>
      <c r="AX25" s="168">
        <f t="shared" si="32"/>
        <v>377.19061525443487</v>
      </c>
      <c r="AY25" s="168">
        <f t="shared" si="33"/>
        <v>5.9909996892378299</v>
      </c>
      <c r="AZ25" s="168">
        <f t="shared" si="34"/>
        <v>15.883215135659157</v>
      </c>
    </row>
    <row r="26" spans="1:52" ht="18" x14ac:dyDescent="0.25">
      <c r="A26">
        <v>1</v>
      </c>
      <c r="B26" t="s">
        <v>40</v>
      </c>
      <c r="C26" t="s">
        <v>30</v>
      </c>
      <c r="D26" t="s">
        <v>427</v>
      </c>
      <c r="E26">
        <v>1</v>
      </c>
      <c r="F26" s="9" t="s">
        <v>58</v>
      </c>
      <c r="G26">
        <v>23</v>
      </c>
      <c r="H26">
        <v>4.306</v>
      </c>
      <c r="Q26" s="169">
        <v>468</v>
      </c>
      <c r="R26" s="169" t="s">
        <v>146</v>
      </c>
      <c r="S26" s="169">
        <v>4.1229389999999997</v>
      </c>
      <c r="T26" s="169">
        <v>-7.0976914021160686</v>
      </c>
      <c r="U26" s="169">
        <v>5.6182565000000002</v>
      </c>
      <c r="V26" s="169">
        <v>-26.654593235050427</v>
      </c>
      <c r="W26" s="156">
        <v>4.306</v>
      </c>
      <c r="X26" s="157">
        <v>4.9097924166666678</v>
      </c>
      <c r="Y26" s="157">
        <v>-1.9262930930694058</v>
      </c>
      <c r="Z26" s="157">
        <v>3.543452666666667</v>
      </c>
      <c r="AA26" s="157">
        <v>-24.420378060012961</v>
      </c>
      <c r="AB26" s="157">
        <v>2.1333333333333333</v>
      </c>
      <c r="AC26" s="157">
        <v>2.1333333333333333</v>
      </c>
      <c r="AD26" s="158">
        <f t="shared" si="15"/>
        <v>1.2253063855771632E-2</v>
      </c>
      <c r="AE26" s="158">
        <f t="shared" si="16"/>
        <v>0.27700290056082771</v>
      </c>
      <c r="AF26" s="159">
        <f t="shared" si="17"/>
        <v>5.0518634840451236E-2</v>
      </c>
      <c r="AG26" s="159">
        <f t="shared" si="18"/>
        <v>1.556273346594724</v>
      </c>
      <c r="AH26" s="160">
        <f t="shared" si="19"/>
        <v>1.1732149289468472</v>
      </c>
      <c r="AI26" s="160">
        <f t="shared" si="20"/>
        <v>36.141972749529124</v>
      </c>
      <c r="AJ26" s="161">
        <f t="shared" si="21"/>
        <v>30.805926397452573</v>
      </c>
      <c r="AK26" s="162">
        <f t="shared" si="35"/>
        <v>-3.1913983090466629</v>
      </c>
      <c r="AL26" s="162">
        <f t="shared" si="22"/>
        <v>-28.264215175037467</v>
      </c>
      <c r="AM26" s="163">
        <v>0.36599999999999999</v>
      </c>
      <c r="AN26" s="164">
        <f t="shared" si="23"/>
        <v>-3.1913983090466629</v>
      </c>
      <c r="AO26" s="165">
        <f t="shared" si="24"/>
        <v>0.36508905767712774</v>
      </c>
      <c r="AP26" s="166">
        <f t="shared" si="25"/>
        <v>-9.1094232287225463E-4</v>
      </c>
      <c r="AQ26" s="166">
        <f t="shared" si="26"/>
        <v>11.732149289468472</v>
      </c>
      <c r="AR26" s="166">
        <f t="shared" si="27"/>
        <v>-0.10687311326032481</v>
      </c>
      <c r="AS26" s="166">
        <f t="shared" si="28"/>
        <v>-9.1094232287225463</v>
      </c>
      <c r="AT26" s="163">
        <v>1.08</v>
      </c>
      <c r="AU26" s="164">
        <f t="shared" si="29"/>
        <v>-28.264215175037467</v>
      </c>
      <c r="AV26" s="164">
        <f t="shared" si="30"/>
        <v>1.0801449717883831</v>
      </c>
      <c r="AW26" s="168">
        <f t="shared" si="31"/>
        <v>1.4497178838301927E-4</v>
      </c>
      <c r="AX26" s="168">
        <f t="shared" si="32"/>
        <v>361.41972749529123</v>
      </c>
      <c r="AY26" s="168">
        <f t="shared" si="33"/>
        <v>0.52395664251895846</v>
      </c>
      <c r="AZ26" s="168">
        <f t="shared" si="34"/>
        <v>1.4497178838301927</v>
      </c>
    </row>
    <row r="27" spans="1:52" ht="18" x14ac:dyDescent="0.25">
      <c r="A27">
        <v>1</v>
      </c>
      <c r="B27" t="s">
        <v>40</v>
      </c>
      <c r="C27" t="s">
        <v>30</v>
      </c>
      <c r="D27" t="s">
        <v>428</v>
      </c>
      <c r="E27">
        <v>1</v>
      </c>
      <c r="F27" s="9" t="s">
        <v>59</v>
      </c>
      <c r="G27">
        <v>24</v>
      </c>
      <c r="H27">
        <v>5.0309999999999997</v>
      </c>
      <c r="Q27" s="154">
        <v>469</v>
      </c>
      <c r="R27" s="154" t="s">
        <v>147</v>
      </c>
      <c r="S27" s="154">
        <v>3.76417775</v>
      </c>
      <c r="T27" s="154">
        <v>-5.2216681963433711</v>
      </c>
      <c r="U27" s="154">
        <v>6.5977110000000003</v>
      </c>
      <c r="V27" s="154">
        <v>-24.841572995244004</v>
      </c>
      <c r="W27" s="156">
        <v>5.0309999999999997</v>
      </c>
      <c r="X27" s="157">
        <v>4.9097924166666678</v>
      </c>
      <c r="Y27" s="157">
        <v>-1.9262930930694058</v>
      </c>
      <c r="Z27" s="157">
        <v>3.543452666666667</v>
      </c>
      <c r="AA27" s="157">
        <v>-24.420378060012961</v>
      </c>
      <c r="AB27" s="157">
        <v>2.1333333333333333</v>
      </c>
      <c r="AC27" s="157">
        <v>2.1333333333333333</v>
      </c>
      <c r="AD27" s="158">
        <f t="shared" si="15"/>
        <v>1.2253063855771632E-2</v>
      </c>
      <c r="AE27" s="158">
        <f t="shared" si="16"/>
        <v>0.27700290056082771</v>
      </c>
      <c r="AF27" s="159">
        <f t="shared" si="17"/>
        <v>4.612271033522479E-2</v>
      </c>
      <c r="AG27" s="159">
        <f t="shared" si="18"/>
        <v>1.8275850840620793</v>
      </c>
      <c r="AH27" s="160">
        <f t="shared" si="19"/>
        <v>0.91677023127061796</v>
      </c>
      <c r="AI27" s="160">
        <f t="shared" si="20"/>
        <v>36.326477520613786</v>
      </c>
      <c r="AJ27" s="161">
        <f t="shared" si="21"/>
        <v>39.624407819466711</v>
      </c>
      <c r="AK27" s="162">
        <f t="shared" si="35"/>
        <v>-1.3153751032739653</v>
      </c>
      <c r="AL27" s="162">
        <f t="shared" si="22"/>
        <v>-26.451194935231044</v>
      </c>
      <c r="AM27" s="163">
        <v>0.36599999999999999</v>
      </c>
      <c r="AN27" s="164">
        <f t="shared" si="23"/>
        <v>-1.3153751032739653</v>
      </c>
      <c r="AO27" s="165">
        <f t="shared" si="24"/>
        <v>0.36577365279660523</v>
      </c>
      <c r="AP27" s="166">
        <f t="shared" si="25"/>
        <v>-2.2634720339476111E-4</v>
      </c>
      <c r="AQ27" s="166">
        <f t="shared" si="26"/>
        <v>9.1677023127061794</v>
      </c>
      <c r="AR27" s="166">
        <f t="shared" si="27"/>
        <v>-2.0750837800367274E-2</v>
      </c>
      <c r="AS27" s="166">
        <f t="shared" si="28"/>
        <v>-2.2634720339476111</v>
      </c>
      <c r="AT27" s="163">
        <v>1.08</v>
      </c>
      <c r="AU27" s="164">
        <f t="shared" si="29"/>
        <v>-26.451194935231044</v>
      </c>
      <c r="AV27" s="164">
        <f t="shared" si="30"/>
        <v>1.0821384487617991</v>
      </c>
      <c r="AW27" s="168">
        <f t="shared" si="31"/>
        <v>2.1384487617990278E-3</v>
      </c>
      <c r="AX27" s="168">
        <f t="shared" si="32"/>
        <v>363.26477520613787</v>
      </c>
      <c r="AY27" s="168">
        <f t="shared" si="33"/>
        <v>7.7682310874476768</v>
      </c>
      <c r="AZ27" s="168">
        <f t="shared" si="34"/>
        <v>21.384487617990278</v>
      </c>
    </row>
    <row r="28" spans="1:52" ht="18" x14ac:dyDescent="0.25">
      <c r="I28" s="25" t="s">
        <v>469</v>
      </c>
      <c r="Q28" s="169">
        <v>470</v>
      </c>
      <c r="R28" s="169" t="s">
        <v>148</v>
      </c>
      <c r="S28" s="169">
        <v>3.8918572500000002</v>
      </c>
      <c r="T28" s="169">
        <v>-3.8060547402016476</v>
      </c>
      <c r="U28" s="169">
        <v>2.9147115000000001</v>
      </c>
      <c r="V28" s="169">
        <v>-24.353294153491934</v>
      </c>
      <c r="W28" s="169">
        <v>1.7330000000000001</v>
      </c>
      <c r="X28" s="157">
        <v>4.9097924166666678</v>
      </c>
      <c r="Y28" s="157">
        <v>-1.9262930930694058</v>
      </c>
      <c r="Z28" s="157">
        <v>3.543452666666667</v>
      </c>
      <c r="AA28" s="157">
        <v>-24.420378060012961</v>
      </c>
      <c r="AB28" s="157">
        <v>2.1333333333333333</v>
      </c>
      <c r="AC28" s="157">
        <v>2.1333333333333333</v>
      </c>
      <c r="AD28" s="158">
        <f t="shared" si="15"/>
        <v>1.2253063855771632E-2</v>
      </c>
      <c r="AE28" s="158">
        <f t="shared" si="16"/>
        <v>0.27700290056082771</v>
      </c>
      <c r="AF28" s="159">
        <f t="shared" si="17"/>
        <v>4.7687175401797781E-2</v>
      </c>
      <c r="AG28" s="159">
        <f t="shared" si="18"/>
        <v>0.80738353979800104</v>
      </c>
      <c r="AH28" s="160">
        <f t="shared" si="19"/>
        <v>2.7517123717136629</v>
      </c>
      <c r="AI28" s="160">
        <f t="shared" si="20"/>
        <v>46.588778984304732</v>
      </c>
      <c r="AJ28" s="161">
        <f t="shared" si="21"/>
        <v>16.93083167529279</v>
      </c>
      <c r="AK28" s="162">
        <f t="shared" si="35"/>
        <v>0.10023835286775817</v>
      </c>
      <c r="AL28" s="162">
        <f t="shared" si="22"/>
        <v>-25.962916093478974</v>
      </c>
      <c r="AM28" s="163">
        <v>0.36599999999999999</v>
      </c>
      <c r="AN28" s="164">
        <f t="shared" si="23"/>
        <v>0.10023835286775817</v>
      </c>
      <c r="AO28" s="165">
        <f t="shared" si="24"/>
        <v>0.36629022976467268</v>
      </c>
      <c r="AP28" s="166">
        <f t="shared" si="25"/>
        <v>2.9022976467268924E-4</v>
      </c>
      <c r="AQ28" s="166">
        <f t="shared" si="26"/>
        <v>27.517123717136627</v>
      </c>
      <c r="AR28" s="166">
        <f t="shared" si="27"/>
        <v>7.9862883408938379E-2</v>
      </c>
      <c r="AS28" s="166">
        <f t="shared" si="28"/>
        <v>2.9022976467268928</v>
      </c>
      <c r="AT28" s="163">
        <v>1.08</v>
      </c>
      <c r="AU28" s="164">
        <f t="shared" si="29"/>
        <v>-25.962916093478974</v>
      </c>
      <c r="AV28" s="164">
        <f t="shared" si="30"/>
        <v>1.0826753141026637</v>
      </c>
      <c r="AW28" s="168">
        <f t="shared" si="31"/>
        <v>2.6753141026636396E-3</v>
      </c>
      <c r="AX28" s="168">
        <f t="shared" si="32"/>
        <v>465.8877898430473</v>
      </c>
      <c r="AY28" s="168">
        <f t="shared" si="33"/>
        <v>12.463961744258983</v>
      </c>
      <c r="AZ28" s="168">
        <f t="shared" si="34"/>
        <v>26.753141026636396</v>
      </c>
    </row>
    <row r="29" spans="1:52" ht="18" x14ac:dyDescent="0.25">
      <c r="I29" s="25" t="s">
        <v>469</v>
      </c>
      <c r="Q29" s="154">
        <v>471</v>
      </c>
      <c r="R29" s="154" t="s">
        <v>149</v>
      </c>
      <c r="S29" s="154">
        <v>5.6079745000000001</v>
      </c>
      <c r="T29" s="154">
        <v>-1.5782362940853418</v>
      </c>
      <c r="U29" s="154">
        <v>3.7588925</v>
      </c>
      <c r="V29" s="154">
        <v>-25.085165764032372</v>
      </c>
      <c r="W29" s="154">
        <v>2.238</v>
      </c>
      <c r="X29" s="170">
        <v>6.0891198571428573</v>
      </c>
      <c r="Y29" s="170">
        <v>1.937853204676379</v>
      </c>
      <c r="Z29" s="170">
        <v>4.0229087857142849</v>
      </c>
      <c r="AA29" s="170">
        <v>-25.881361430956051</v>
      </c>
      <c r="AB29" s="170">
        <v>2.7697142857142856</v>
      </c>
      <c r="AC29" s="170">
        <v>2.7697142857142856</v>
      </c>
      <c r="AD29" s="158">
        <f t="shared" si="15"/>
        <v>1.2827131784164255E-2</v>
      </c>
      <c r="AE29" s="158">
        <f t="shared" si="16"/>
        <v>0.3167721692777275</v>
      </c>
      <c r="AF29" s="159">
        <f t="shared" si="17"/>
        <v>7.1934227953732652E-2</v>
      </c>
      <c r="AG29" s="159">
        <f t="shared" si="18"/>
        <v>1.1907125313067803</v>
      </c>
      <c r="AH29" s="160">
        <f t="shared" si="19"/>
        <v>3.2142193008817093</v>
      </c>
      <c r="AI29" s="160">
        <f t="shared" si="20"/>
        <v>53.204313284485266</v>
      </c>
      <c r="AJ29" s="161">
        <f t="shared" si="21"/>
        <v>16.55279503482868</v>
      </c>
      <c r="AK29" s="162">
        <f t="shared" si="35"/>
        <v>-1.5360894987617209</v>
      </c>
      <c r="AL29" s="162">
        <f t="shared" si="22"/>
        <v>-25.233804333076321</v>
      </c>
      <c r="AM29" s="163">
        <v>0.36599999999999999</v>
      </c>
      <c r="AN29" s="164">
        <f t="shared" si="23"/>
        <v>-1.5360894987617209</v>
      </c>
      <c r="AO29" s="165">
        <f t="shared" si="24"/>
        <v>0.36569311057227871</v>
      </c>
      <c r="AP29" s="166">
        <f t="shared" si="25"/>
        <v>-3.068894277212797E-4</v>
      </c>
      <c r="AQ29" s="166">
        <f t="shared" si="26"/>
        <v>32.142193008817095</v>
      </c>
      <c r="AR29" s="166">
        <f t="shared" si="27"/>
        <v>-9.8640992181827952E-2</v>
      </c>
      <c r="AS29" s="166">
        <f t="shared" si="28"/>
        <v>-3.068894277212797</v>
      </c>
      <c r="AT29" s="163">
        <v>1.08</v>
      </c>
      <c r="AU29" s="164">
        <f t="shared" si="29"/>
        <v>-25.233804333076321</v>
      </c>
      <c r="AV29" s="164">
        <f t="shared" si="30"/>
        <v>1.0834769657483359</v>
      </c>
      <c r="AW29" s="168">
        <f t="shared" si="31"/>
        <v>3.4769657483357808E-3</v>
      </c>
      <c r="AX29" s="168">
        <f t="shared" si="32"/>
        <v>532.04313284485272</v>
      </c>
      <c r="AY29" s="168">
        <f t="shared" si="33"/>
        <v>18.498957495388169</v>
      </c>
      <c r="AZ29" s="168">
        <f t="shared" si="34"/>
        <v>34.769657483357804</v>
      </c>
    </row>
    <row r="30" spans="1:52" ht="18" x14ac:dyDescent="0.25">
      <c r="A30">
        <v>1</v>
      </c>
      <c r="B30" t="s">
        <v>44</v>
      </c>
      <c r="C30" t="s">
        <v>26</v>
      </c>
      <c r="D30" t="s">
        <v>427</v>
      </c>
      <c r="E30">
        <v>1</v>
      </c>
      <c r="F30" s="9" t="s">
        <v>60</v>
      </c>
      <c r="G30">
        <v>25</v>
      </c>
      <c r="H30">
        <v>4.093</v>
      </c>
      <c r="Q30" s="169">
        <v>472</v>
      </c>
      <c r="R30" s="169" t="s">
        <v>150</v>
      </c>
      <c r="S30" s="169">
        <v>3.8631047500000002</v>
      </c>
      <c r="T30" s="169">
        <v>-2.2114429275528451</v>
      </c>
      <c r="U30" s="169">
        <v>6.1055830000000002</v>
      </c>
      <c r="V30" s="169">
        <v>-29.657768010242172</v>
      </c>
      <c r="W30" s="156">
        <v>4.093</v>
      </c>
      <c r="X30" s="170">
        <v>6.0891198571428573</v>
      </c>
      <c r="Y30" s="170">
        <v>1.937853204676379</v>
      </c>
      <c r="Z30" s="170">
        <v>4.0229087857142849</v>
      </c>
      <c r="AA30" s="170">
        <v>-25.881361430956051</v>
      </c>
      <c r="AB30" s="170">
        <v>2.7697142857142856</v>
      </c>
      <c r="AC30" s="170">
        <v>2.7697142857142856</v>
      </c>
      <c r="AD30" s="158">
        <f t="shared" si="15"/>
        <v>1.2827131784164255E-2</v>
      </c>
      <c r="AE30" s="158">
        <f t="shared" si="16"/>
        <v>0.3167721692777275</v>
      </c>
      <c r="AF30" s="159">
        <f t="shared" si="17"/>
        <v>4.9552553724280912E-2</v>
      </c>
      <c r="AG30" s="159">
        <f t="shared" si="18"/>
        <v>1.9340787716152155</v>
      </c>
      <c r="AH30" s="160">
        <f t="shared" si="19"/>
        <v>1.2106658618197144</v>
      </c>
      <c r="AI30" s="160">
        <f t="shared" si="20"/>
        <v>47.253329382243237</v>
      </c>
      <c r="AJ30" s="161">
        <f t="shared" si="21"/>
        <v>39.030859688418246</v>
      </c>
      <c r="AK30" s="162">
        <f t="shared" si="35"/>
        <v>-2.1692961322292241</v>
      </c>
      <c r="AL30" s="162">
        <f t="shared" si="22"/>
        <v>-29.806406579286122</v>
      </c>
      <c r="AM30" s="163">
        <v>0.36599999999999999</v>
      </c>
      <c r="AN30" s="164">
        <f t="shared" si="23"/>
        <v>-2.1692961322292241</v>
      </c>
      <c r="AO30" s="165">
        <f t="shared" si="24"/>
        <v>0.36546204258910864</v>
      </c>
      <c r="AP30" s="166">
        <f t="shared" si="25"/>
        <v>-5.3795741089135429E-4</v>
      </c>
      <c r="AQ30" s="166">
        <f t="shared" si="26"/>
        <v>12.106658618197145</v>
      </c>
      <c r="AR30" s="166">
        <f t="shared" si="27"/>
        <v>-6.5128667247908362E-2</v>
      </c>
      <c r="AS30" s="166">
        <f t="shared" si="28"/>
        <v>-5.3795741089135429</v>
      </c>
      <c r="AT30" s="163">
        <v>1.08</v>
      </c>
      <c r="AU30" s="164">
        <f t="shared" si="29"/>
        <v>-29.806406579286122</v>
      </c>
      <c r="AV30" s="164">
        <f t="shared" si="30"/>
        <v>1.0784492170223048</v>
      </c>
      <c r="AW30" s="168">
        <f t="shared" si="31"/>
        <v>-1.5507829776952864E-3</v>
      </c>
      <c r="AX30" s="168">
        <f t="shared" si="32"/>
        <v>472.53329382243237</v>
      </c>
      <c r="AY30" s="168">
        <f t="shared" si="33"/>
        <v>-7.3279658845411335</v>
      </c>
      <c r="AZ30" s="168">
        <f t="shared" si="34"/>
        <v>-15.507829776952864</v>
      </c>
    </row>
    <row r="31" spans="1:52" ht="18" x14ac:dyDescent="0.25">
      <c r="A31">
        <v>1</v>
      </c>
      <c r="B31" t="s">
        <v>44</v>
      </c>
      <c r="C31" t="s">
        <v>26</v>
      </c>
      <c r="D31" t="s">
        <v>428</v>
      </c>
      <c r="E31">
        <v>1</v>
      </c>
      <c r="F31" s="9" t="s">
        <v>61</v>
      </c>
      <c r="G31">
        <v>26</v>
      </c>
      <c r="H31">
        <v>4.2889999999999997</v>
      </c>
      <c r="Q31" s="154">
        <v>473</v>
      </c>
      <c r="R31" s="154" t="s">
        <v>151</v>
      </c>
      <c r="S31" s="154">
        <v>3.00713725</v>
      </c>
      <c r="T31" s="154">
        <v>-5.4079284672087526</v>
      </c>
      <c r="U31" s="154">
        <v>6.5424600000000002</v>
      </c>
      <c r="V31" s="154">
        <v>-30.239929147132059</v>
      </c>
      <c r="W31" s="156">
        <v>4.2889999999999997</v>
      </c>
      <c r="X31" s="170">
        <v>6.0891198571428573</v>
      </c>
      <c r="Y31" s="170">
        <v>1.937853204676379</v>
      </c>
      <c r="Z31" s="170">
        <v>4.0229087857142849</v>
      </c>
      <c r="AA31" s="170">
        <v>-25.881361430956051</v>
      </c>
      <c r="AB31" s="170">
        <v>2.7697142857142856</v>
      </c>
      <c r="AC31" s="170">
        <v>2.7697142857142856</v>
      </c>
      <c r="AD31" s="158">
        <f t="shared" si="15"/>
        <v>1.2827131784164255E-2</v>
      </c>
      <c r="AE31" s="158">
        <f t="shared" si="16"/>
        <v>0.3167721692777275</v>
      </c>
      <c r="AF31" s="159">
        <f t="shared" si="17"/>
        <v>3.8572945798819293E-2</v>
      </c>
      <c r="AG31" s="159">
        <f t="shared" si="18"/>
        <v>2.0724692466127612</v>
      </c>
      <c r="AH31" s="160">
        <f t="shared" si="19"/>
        <v>0.89934590344647458</v>
      </c>
      <c r="AI31" s="160">
        <f t="shared" si="20"/>
        <v>48.320569983976718</v>
      </c>
      <c r="AJ31" s="161">
        <f t="shared" si="21"/>
        <v>53.728570729907773</v>
      </c>
      <c r="AK31" s="162">
        <f t="shared" si="35"/>
        <v>-5.3657816718851317</v>
      </c>
      <c r="AL31" s="162">
        <f t="shared" si="22"/>
        <v>-30.388567716176009</v>
      </c>
      <c r="AM31" s="163">
        <v>0.36599999999999999</v>
      </c>
      <c r="AN31" s="164">
        <f t="shared" si="23"/>
        <v>-5.3657816718851317</v>
      </c>
      <c r="AO31" s="165">
        <f t="shared" si="24"/>
        <v>0.36429557371779275</v>
      </c>
      <c r="AP31" s="166">
        <f t="shared" si="25"/>
        <v>-1.7044262822072387E-3</v>
      </c>
      <c r="AQ31" s="166">
        <f t="shared" si="26"/>
        <v>8.9934590344647454</v>
      </c>
      <c r="AR31" s="166">
        <f t="shared" si="27"/>
        <v>-0.15328687946295846</v>
      </c>
      <c r="AS31" s="166">
        <f t="shared" si="28"/>
        <v>-17.044262822072387</v>
      </c>
      <c r="AT31" s="163">
        <v>1.08</v>
      </c>
      <c r="AU31" s="164">
        <f t="shared" si="29"/>
        <v>-30.388567716176009</v>
      </c>
      <c r="AV31" s="164">
        <f t="shared" si="30"/>
        <v>1.0778090722052294</v>
      </c>
      <c r="AW31" s="168">
        <f t="shared" si="31"/>
        <v>-2.1909277947707029E-3</v>
      </c>
      <c r="AX31" s="168">
        <f t="shared" si="32"/>
        <v>483.20569983976719</v>
      </c>
      <c r="AY31" s="168">
        <f t="shared" si="33"/>
        <v>-10.586687983705753</v>
      </c>
      <c r="AZ31" s="168">
        <f t="shared" si="34"/>
        <v>-21.909277947707029</v>
      </c>
    </row>
    <row r="32" spans="1:52" ht="18" x14ac:dyDescent="0.25">
      <c r="A32">
        <v>1</v>
      </c>
      <c r="B32" t="s">
        <v>44</v>
      </c>
      <c r="C32" t="s">
        <v>28</v>
      </c>
      <c r="D32" t="s">
        <v>427</v>
      </c>
      <c r="E32">
        <v>1</v>
      </c>
      <c r="F32" s="9" t="s">
        <v>62</v>
      </c>
      <c r="G32">
        <v>27</v>
      </c>
      <c r="H32">
        <v>4.1859999999999999</v>
      </c>
      <c r="Q32" s="169">
        <v>474</v>
      </c>
      <c r="R32" s="169" t="s">
        <v>152</v>
      </c>
      <c r="S32" s="169">
        <v>4.8414929999999998</v>
      </c>
      <c r="T32" s="169">
        <v>1.1231726407578524</v>
      </c>
      <c r="U32" s="169">
        <v>5.4699925</v>
      </c>
      <c r="V32" s="169">
        <v>-28.851585675150634</v>
      </c>
      <c r="W32" s="156">
        <v>4.1859999999999999</v>
      </c>
      <c r="X32" s="170">
        <v>6.0891198571428573</v>
      </c>
      <c r="Y32" s="170">
        <v>1.937853204676379</v>
      </c>
      <c r="Z32" s="170">
        <v>4.0229087857142849</v>
      </c>
      <c r="AA32" s="170">
        <v>-25.881361430956051</v>
      </c>
      <c r="AB32" s="170">
        <v>2.7697142857142856</v>
      </c>
      <c r="AC32" s="170">
        <v>2.7697142857142856</v>
      </c>
      <c r="AD32" s="158">
        <f t="shared" si="15"/>
        <v>1.2827131784164255E-2</v>
      </c>
      <c r="AE32" s="158">
        <f t="shared" si="16"/>
        <v>0.3167721692777275</v>
      </c>
      <c r="AF32" s="159">
        <f t="shared" si="17"/>
        <v>6.2102468743108749E-2</v>
      </c>
      <c r="AG32" s="159">
        <f t="shared" si="18"/>
        <v>1.7327413901578999</v>
      </c>
      <c r="AH32" s="160">
        <f t="shared" si="19"/>
        <v>1.4835754597015947</v>
      </c>
      <c r="AI32" s="160">
        <f t="shared" si="20"/>
        <v>41.393726472955088</v>
      </c>
      <c r="AJ32" s="161">
        <f t="shared" si="21"/>
        <v>27.901328646458598</v>
      </c>
      <c r="AK32" s="162">
        <f t="shared" si="35"/>
        <v>1.1653194360814734</v>
      </c>
      <c r="AL32" s="162">
        <f t="shared" si="22"/>
        <v>-29.000224244194584</v>
      </c>
      <c r="AM32" s="163">
        <v>0.36599999999999999</v>
      </c>
      <c r="AN32" s="164">
        <f t="shared" si="23"/>
        <v>1.1653194360814734</v>
      </c>
      <c r="AO32" s="165">
        <f t="shared" si="24"/>
        <v>0.36667888908086099</v>
      </c>
      <c r="AP32" s="166">
        <f t="shared" si="25"/>
        <v>6.7888908086100042E-4</v>
      </c>
      <c r="AQ32" s="166">
        <f t="shared" si="26"/>
        <v>14.835754597015947</v>
      </c>
      <c r="AR32" s="166">
        <f t="shared" si="27"/>
        <v>0.10071831802247519</v>
      </c>
      <c r="AS32" s="166">
        <f t="shared" si="28"/>
        <v>6.7888908086100042</v>
      </c>
      <c r="AT32" s="163">
        <v>1.08</v>
      </c>
      <c r="AU32" s="164">
        <f t="shared" si="29"/>
        <v>-29.000224244194584</v>
      </c>
      <c r="AV32" s="164">
        <f t="shared" si="30"/>
        <v>1.0793356820342359</v>
      </c>
      <c r="AW32" s="168">
        <f t="shared" si="31"/>
        <v>-6.6431796576416069E-4</v>
      </c>
      <c r="AX32" s="168">
        <f t="shared" si="32"/>
        <v>413.93726472955092</v>
      </c>
      <c r="AY32" s="168">
        <f t="shared" si="33"/>
        <v>-2.7498596165911611</v>
      </c>
      <c r="AZ32" s="168">
        <f t="shared" si="34"/>
        <v>-6.6431796576416069</v>
      </c>
    </row>
    <row r="33" spans="1:52" ht="18" x14ac:dyDescent="0.25">
      <c r="A33">
        <v>1</v>
      </c>
      <c r="B33" t="s">
        <v>44</v>
      </c>
      <c r="C33" t="s">
        <v>28</v>
      </c>
      <c r="D33" t="s">
        <v>428</v>
      </c>
      <c r="E33">
        <v>1</v>
      </c>
      <c r="F33" s="9" t="s">
        <v>63</v>
      </c>
      <c r="G33">
        <v>28</v>
      </c>
      <c r="H33">
        <v>4.4630000000000001</v>
      </c>
      <c r="Q33" s="154">
        <v>475</v>
      </c>
      <c r="R33" s="154" t="s">
        <v>153</v>
      </c>
      <c r="S33" s="154">
        <v>3.2171215000000002</v>
      </c>
      <c r="T33" s="154">
        <v>-0.34671653779256018</v>
      </c>
      <c r="U33" s="154">
        <v>6.3149965000000003</v>
      </c>
      <c r="V33" s="154">
        <v>-28.261002590702113</v>
      </c>
      <c r="W33" s="156">
        <v>4.4630000000000001</v>
      </c>
      <c r="X33" s="170">
        <v>6.0891198571428573</v>
      </c>
      <c r="Y33" s="170">
        <v>1.937853204676379</v>
      </c>
      <c r="Z33" s="170">
        <v>4.0229087857142849</v>
      </c>
      <c r="AA33" s="170">
        <v>-25.881361430956051</v>
      </c>
      <c r="AB33" s="170">
        <v>2.7697142857142856</v>
      </c>
      <c r="AC33" s="170">
        <v>2.7697142857142856</v>
      </c>
      <c r="AD33" s="158">
        <f t="shared" si="15"/>
        <v>1.2827131784164255E-2</v>
      </c>
      <c r="AE33" s="158">
        <f t="shared" si="16"/>
        <v>0.3167721692777275</v>
      </c>
      <c r="AF33" s="159">
        <f t="shared" si="17"/>
        <v>4.1266441446168187E-2</v>
      </c>
      <c r="AG33" s="159">
        <f t="shared" si="18"/>
        <v>2.0004151402862567</v>
      </c>
      <c r="AH33" s="160">
        <f t="shared" si="19"/>
        <v>0.92463458315411573</v>
      </c>
      <c r="AI33" s="160">
        <f t="shared" si="20"/>
        <v>44.822207938298376</v>
      </c>
      <c r="AJ33" s="161">
        <f t="shared" si="21"/>
        <v>48.475591065824894</v>
      </c>
      <c r="AK33" s="162">
        <f t="shared" si="35"/>
        <v>-0.3045697424689392</v>
      </c>
      <c r="AL33" s="162">
        <f t="shared" si="22"/>
        <v>-28.409641159746062</v>
      </c>
      <c r="AM33" s="163">
        <v>0.36599999999999999</v>
      </c>
      <c r="AN33" s="164">
        <f t="shared" si="23"/>
        <v>-0.3045697424689392</v>
      </c>
      <c r="AO33" s="165">
        <f t="shared" si="24"/>
        <v>0.3661425102276305</v>
      </c>
      <c r="AP33" s="166">
        <f t="shared" si="25"/>
        <v>1.4251022763051013E-4</v>
      </c>
      <c r="AQ33" s="166">
        <f t="shared" si="26"/>
        <v>9.2463458315411575</v>
      </c>
      <c r="AR33" s="166">
        <f t="shared" si="27"/>
        <v>1.3176988492033489E-2</v>
      </c>
      <c r="AS33" s="166">
        <f t="shared" si="28"/>
        <v>1.4251022763051013</v>
      </c>
      <c r="AT33" s="163">
        <v>1.08</v>
      </c>
      <c r="AU33" s="164">
        <f t="shared" si="29"/>
        <v>-28.409641159746062</v>
      </c>
      <c r="AV33" s="164">
        <f t="shared" si="30"/>
        <v>1.0799850675266951</v>
      </c>
      <c r="AW33" s="168">
        <f t="shared" si="31"/>
        <v>-1.4932473304973826E-5</v>
      </c>
      <c r="AX33" s="168">
        <f t="shared" si="32"/>
        <v>448.22207938298379</v>
      </c>
      <c r="AY33" s="168">
        <f t="shared" si="33"/>
        <v>-6.6930642350862643E-2</v>
      </c>
      <c r="AZ33" s="168">
        <f t="shared" si="34"/>
        <v>-0.14932473304973826</v>
      </c>
    </row>
    <row r="34" spans="1:52" ht="18" x14ac:dyDescent="0.25">
      <c r="A34">
        <v>1</v>
      </c>
      <c r="B34" t="s">
        <v>44</v>
      </c>
      <c r="C34" t="s">
        <v>30</v>
      </c>
      <c r="D34" t="s">
        <v>427</v>
      </c>
      <c r="E34">
        <v>1</v>
      </c>
      <c r="F34" s="9" t="s">
        <v>64</v>
      </c>
      <c r="G34">
        <v>29</v>
      </c>
      <c r="H34">
        <v>4.1420000000000003</v>
      </c>
      <c r="Q34" s="169">
        <v>476</v>
      </c>
      <c r="R34" s="169" t="s">
        <v>154</v>
      </c>
      <c r="S34" s="169">
        <v>4.6957690000000003</v>
      </c>
      <c r="T34" s="169">
        <v>-0.68681037945549084</v>
      </c>
      <c r="U34" s="169">
        <v>5.5701964999999998</v>
      </c>
      <c r="V34" s="169">
        <v>-28.776049022582431</v>
      </c>
      <c r="W34" s="156">
        <v>4.1420000000000003</v>
      </c>
      <c r="X34" s="170">
        <v>6.0891198571428573</v>
      </c>
      <c r="Y34" s="170">
        <v>1.937853204676379</v>
      </c>
      <c r="Z34" s="170">
        <v>4.0229087857142849</v>
      </c>
      <c r="AA34" s="170">
        <v>-25.881361430956051</v>
      </c>
      <c r="AB34" s="170">
        <v>2.7697142857142856</v>
      </c>
      <c r="AC34" s="170">
        <v>2.7697142857142856</v>
      </c>
      <c r="AD34" s="158">
        <f t="shared" si="15"/>
        <v>1.2827131784164255E-2</v>
      </c>
      <c r="AE34" s="158">
        <f t="shared" si="16"/>
        <v>0.3167721692777275</v>
      </c>
      <c r="AF34" s="159">
        <f t="shared" si="17"/>
        <v>6.0233247790993205E-2</v>
      </c>
      <c r="AG34" s="159">
        <f t="shared" si="18"/>
        <v>1.7644832286082053</v>
      </c>
      <c r="AH34" s="160">
        <f t="shared" si="19"/>
        <v>1.4542068515449831</v>
      </c>
      <c r="AI34" s="160">
        <f t="shared" si="20"/>
        <v>42.5997882329359</v>
      </c>
      <c r="AJ34" s="161">
        <f t="shared" si="21"/>
        <v>29.294173788052849</v>
      </c>
      <c r="AK34" s="162">
        <f t="shared" si="35"/>
        <v>-0.64466358413186986</v>
      </c>
      <c r="AL34" s="162">
        <f t="shared" si="22"/>
        <v>-28.92468759162638</v>
      </c>
      <c r="AM34" s="163">
        <v>0.36599999999999999</v>
      </c>
      <c r="AN34" s="164">
        <f t="shared" si="23"/>
        <v>-0.64466358413186986</v>
      </c>
      <c r="AO34" s="165">
        <f t="shared" si="24"/>
        <v>0.36601840539256758</v>
      </c>
      <c r="AP34" s="166">
        <f t="shared" si="25"/>
        <v>1.8405392567588663E-5</v>
      </c>
      <c r="AQ34" s="166">
        <f t="shared" si="26"/>
        <v>14.542068515449831</v>
      </c>
      <c r="AR34" s="166">
        <f t="shared" si="27"/>
        <v>2.6765247977162542E-3</v>
      </c>
      <c r="AS34" s="166">
        <f t="shared" si="28"/>
        <v>0.18405392567588663</v>
      </c>
      <c r="AT34" s="163">
        <v>1.08</v>
      </c>
      <c r="AU34" s="164">
        <f t="shared" si="29"/>
        <v>-28.92468759162638</v>
      </c>
      <c r="AV34" s="164">
        <f t="shared" si="30"/>
        <v>1.0794187400974427</v>
      </c>
      <c r="AW34" s="168">
        <f t="shared" si="31"/>
        <v>-5.8125990255741833E-4</v>
      </c>
      <c r="AX34" s="168">
        <f t="shared" si="32"/>
        <v>425.99788232935896</v>
      </c>
      <c r="AY34" s="168">
        <f t="shared" si="33"/>
        <v>-2.4761548757242977</v>
      </c>
      <c r="AZ34" s="168">
        <f t="shared" si="34"/>
        <v>-5.8125990255741833</v>
      </c>
    </row>
    <row r="35" spans="1:52" ht="18" x14ac:dyDescent="0.25">
      <c r="A35">
        <v>1</v>
      </c>
      <c r="B35" t="s">
        <v>44</v>
      </c>
      <c r="C35" t="s">
        <v>30</v>
      </c>
      <c r="D35" t="s">
        <v>428</v>
      </c>
      <c r="E35">
        <v>1</v>
      </c>
      <c r="F35" s="9" t="s">
        <v>65</v>
      </c>
      <c r="G35">
        <v>30</v>
      </c>
      <c r="H35">
        <v>4.0449999999999999</v>
      </c>
      <c r="Q35" s="154">
        <v>477</v>
      </c>
      <c r="R35" s="154" t="s">
        <v>155</v>
      </c>
      <c r="S35" s="154">
        <v>3.0931709999999999</v>
      </c>
      <c r="T35" s="154">
        <v>0.48701028927126411</v>
      </c>
      <c r="U35" s="154">
        <v>5.5269874999999997</v>
      </c>
      <c r="V35" s="154">
        <v>-26.438798006278638</v>
      </c>
      <c r="W35" s="156">
        <v>4.0449999999999999</v>
      </c>
      <c r="X35" s="170">
        <v>6.0891198571428573</v>
      </c>
      <c r="Y35" s="170">
        <v>1.937853204676379</v>
      </c>
      <c r="Z35" s="170">
        <v>4.0229087857142849</v>
      </c>
      <c r="AA35" s="170">
        <v>-25.881361430956051</v>
      </c>
      <c r="AB35" s="170">
        <v>2.7697142857142856</v>
      </c>
      <c r="AC35" s="170">
        <v>2.7697142857142856</v>
      </c>
      <c r="AD35" s="158">
        <f t="shared" si="15"/>
        <v>1.2827131784164255E-2</v>
      </c>
      <c r="AE35" s="158">
        <f t="shared" si="16"/>
        <v>0.3167721692777275</v>
      </c>
      <c r="AF35" s="159">
        <f t="shared" si="17"/>
        <v>3.967651204795513E-2</v>
      </c>
      <c r="AG35" s="159">
        <f t="shared" si="18"/>
        <v>1.7507958199458837</v>
      </c>
      <c r="AH35" s="160">
        <f t="shared" si="19"/>
        <v>0.9808779245477165</v>
      </c>
      <c r="AI35" s="160">
        <f t="shared" si="20"/>
        <v>43.282962174187489</v>
      </c>
      <c r="AJ35" s="161">
        <f t="shared" si="21"/>
        <v>44.126757357848881</v>
      </c>
      <c r="AK35" s="162">
        <f t="shared" si="35"/>
        <v>0.52915708459488509</v>
      </c>
      <c r="AL35" s="162">
        <f t="shared" si="22"/>
        <v>-26.587436575322588</v>
      </c>
      <c r="AM35" s="163">
        <v>0.36599999999999999</v>
      </c>
      <c r="AN35" s="164">
        <f t="shared" si="23"/>
        <v>0.52915708459488509</v>
      </c>
      <c r="AO35" s="165">
        <f t="shared" si="24"/>
        <v>0.36644674709655783</v>
      </c>
      <c r="AP35" s="166">
        <f t="shared" si="25"/>
        <v>4.4674709655784239E-4</v>
      </c>
      <c r="AQ35" s="166">
        <f t="shared" si="26"/>
        <v>9.8087792454771652</v>
      </c>
      <c r="AR35" s="166">
        <f t="shared" si="27"/>
        <v>4.3820436486937481E-2</v>
      </c>
      <c r="AS35" s="166">
        <f t="shared" si="28"/>
        <v>4.4674709655784239</v>
      </c>
      <c r="AT35" s="163">
        <v>1.08</v>
      </c>
      <c r="AU35" s="164">
        <f t="shared" si="29"/>
        <v>-26.587436575322588</v>
      </c>
      <c r="AV35" s="164">
        <f t="shared" si="30"/>
        <v>1.0819886492701136</v>
      </c>
      <c r="AW35" s="168">
        <f t="shared" si="31"/>
        <v>1.9886492701135516E-3</v>
      </c>
      <c r="AX35" s="168">
        <f t="shared" si="32"/>
        <v>432.82962174187492</v>
      </c>
      <c r="AY35" s="168">
        <f t="shared" si="33"/>
        <v>8.607463113605041</v>
      </c>
      <c r="AZ35" s="168">
        <f t="shared" si="34"/>
        <v>19.886492701135516</v>
      </c>
    </row>
    <row r="36" spans="1:52" ht="18" x14ac:dyDescent="0.25">
      <c r="A36">
        <v>1</v>
      </c>
      <c r="B36" t="s">
        <v>48</v>
      </c>
      <c r="C36" t="s">
        <v>26</v>
      </c>
      <c r="D36" t="s">
        <v>427</v>
      </c>
      <c r="E36">
        <v>1</v>
      </c>
      <c r="F36" s="9" t="s">
        <v>66</v>
      </c>
      <c r="G36">
        <v>31</v>
      </c>
      <c r="H36">
        <v>4.7670000000000003</v>
      </c>
      <c r="Q36" s="169">
        <v>478</v>
      </c>
      <c r="R36" s="169" t="s">
        <v>156</v>
      </c>
      <c r="S36" s="169">
        <v>5.2839850000000004</v>
      </c>
      <c r="T36" s="169">
        <v>-2.1279088647248505</v>
      </c>
      <c r="U36" s="169">
        <v>6.7997015000000003</v>
      </c>
      <c r="V36" s="169">
        <v>-29.169152339889333</v>
      </c>
      <c r="W36" s="156">
        <v>4.7670000000000003</v>
      </c>
      <c r="X36" s="170">
        <v>6.0891198571428573</v>
      </c>
      <c r="Y36" s="170">
        <v>1.937853204676379</v>
      </c>
      <c r="Z36" s="170">
        <v>4.0229087857142849</v>
      </c>
      <c r="AA36" s="170">
        <v>-25.881361430956051</v>
      </c>
      <c r="AB36" s="170">
        <v>2.7697142857142856</v>
      </c>
      <c r="AC36" s="170">
        <v>2.7697142857142856</v>
      </c>
      <c r="AD36" s="158">
        <f t="shared" si="15"/>
        <v>1.2827131784164255E-2</v>
      </c>
      <c r="AE36" s="158">
        <f t="shared" si="16"/>
        <v>0.3167721692777275</v>
      </c>
      <c r="AF36" s="159">
        <f t="shared" si="17"/>
        <v>6.7778371940547158E-2</v>
      </c>
      <c r="AG36" s="159">
        <f t="shared" si="18"/>
        <v>2.1539561945960175</v>
      </c>
      <c r="AH36" s="160">
        <f t="shared" si="19"/>
        <v>1.4218244585808089</v>
      </c>
      <c r="AI36" s="160">
        <f t="shared" si="20"/>
        <v>45.184732422823942</v>
      </c>
      <c r="AJ36" s="161">
        <f t="shared" si="21"/>
        <v>31.779402970690906</v>
      </c>
      <c r="AK36" s="162">
        <f t="shared" si="35"/>
        <v>-2.0857620694012295</v>
      </c>
      <c r="AL36" s="162">
        <f t="shared" si="22"/>
        <v>-29.317790908933283</v>
      </c>
      <c r="AM36" s="163">
        <v>0.36599999999999999</v>
      </c>
      <c r="AN36" s="164">
        <f t="shared" si="23"/>
        <v>-2.0857620694012295</v>
      </c>
      <c r="AO36" s="165">
        <f t="shared" si="24"/>
        <v>0.36549252566566309</v>
      </c>
      <c r="AP36" s="166">
        <f t="shared" si="25"/>
        <v>-5.0747433433689926E-4</v>
      </c>
      <c r="AQ36" s="166">
        <f t="shared" si="26"/>
        <v>14.21824458580809</v>
      </c>
      <c r="AR36" s="166">
        <f t="shared" si="27"/>
        <v>-7.2153942066221818E-2</v>
      </c>
      <c r="AS36" s="166">
        <f t="shared" si="28"/>
        <v>-5.0747433433689926</v>
      </c>
      <c r="AT36" s="163">
        <v>1.08</v>
      </c>
      <c r="AU36" s="164">
        <f t="shared" si="29"/>
        <v>-29.317790908933283</v>
      </c>
      <c r="AV36" s="164">
        <f t="shared" si="30"/>
        <v>1.0789864927801316</v>
      </c>
      <c r="AW36" s="168">
        <f t="shared" si="31"/>
        <v>-1.0135072198684814E-3</v>
      </c>
      <c r="AX36" s="168">
        <f t="shared" si="32"/>
        <v>451.84732422823942</v>
      </c>
      <c r="AY36" s="168">
        <f t="shared" si="33"/>
        <v>-4.5795052538357526</v>
      </c>
      <c r="AZ36" s="168">
        <f t="shared" si="34"/>
        <v>-10.135072198684814</v>
      </c>
    </row>
    <row r="37" spans="1:52" ht="18" x14ac:dyDescent="0.25">
      <c r="A37">
        <v>1</v>
      </c>
      <c r="B37" t="s">
        <v>48</v>
      </c>
      <c r="C37" t="s">
        <v>26</v>
      </c>
      <c r="D37" t="s">
        <v>428</v>
      </c>
      <c r="E37">
        <v>1</v>
      </c>
      <c r="F37" s="9" t="s">
        <v>67</v>
      </c>
      <c r="G37">
        <v>32</v>
      </c>
      <c r="H37">
        <v>4.9029999999999996</v>
      </c>
      <c r="Q37" s="154">
        <v>479</v>
      </c>
      <c r="R37" s="154" t="s">
        <v>157</v>
      </c>
      <c r="S37" s="154">
        <v>5.1017169999999998</v>
      </c>
      <c r="T37" s="154">
        <v>-3.2720722626887744</v>
      </c>
      <c r="U37" s="154">
        <v>7.0680695</v>
      </c>
      <c r="V37" s="154">
        <v>-29.435506806948226</v>
      </c>
      <c r="W37" s="156">
        <v>4.9029999999999996</v>
      </c>
      <c r="X37" s="170">
        <v>6.0891198571428573</v>
      </c>
      <c r="Y37" s="170">
        <v>1.937853204676379</v>
      </c>
      <c r="Z37" s="170">
        <v>4.0229087857142849</v>
      </c>
      <c r="AA37" s="170">
        <v>-25.881361430956051</v>
      </c>
      <c r="AB37" s="170">
        <v>2.7697142857142856</v>
      </c>
      <c r="AC37" s="170">
        <v>2.7697142857142856</v>
      </c>
      <c r="AD37" s="158">
        <f t="shared" si="15"/>
        <v>1.2827131784164255E-2</v>
      </c>
      <c r="AE37" s="158">
        <f t="shared" si="16"/>
        <v>0.3167721692777275</v>
      </c>
      <c r="AF37" s="159">
        <f t="shared" si="17"/>
        <v>6.5440396284511107E-2</v>
      </c>
      <c r="AG37" s="159">
        <f t="shared" si="18"/>
        <v>2.2389677081207426</v>
      </c>
      <c r="AH37" s="160">
        <f t="shared" si="19"/>
        <v>1.3347011275649829</v>
      </c>
      <c r="AI37" s="160">
        <f t="shared" si="20"/>
        <v>45.665260210498531</v>
      </c>
      <c r="AJ37" s="161">
        <f t="shared" si="21"/>
        <v>34.213847030915325</v>
      </c>
      <c r="AK37" s="162">
        <f t="shared" si="35"/>
        <v>-3.2299254673651534</v>
      </c>
      <c r="AL37" s="162">
        <f t="shared" si="22"/>
        <v>-29.584145375992176</v>
      </c>
      <c r="AM37" s="163">
        <v>0.36599999999999999</v>
      </c>
      <c r="AN37" s="164">
        <f t="shared" si="23"/>
        <v>-3.2299254673651534</v>
      </c>
      <c r="AO37" s="165">
        <f t="shared" si="24"/>
        <v>0.36507499831505746</v>
      </c>
      <c r="AP37" s="166">
        <f t="shared" si="25"/>
        <v>-9.2500168494252799E-4</v>
      </c>
      <c r="AQ37" s="166">
        <f t="shared" si="26"/>
        <v>13.34701127564983</v>
      </c>
      <c r="AR37" s="166">
        <f t="shared" si="27"/>
        <v>-0.12346007918923013</v>
      </c>
      <c r="AS37" s="166">
        <f t="shared" si="28"/>
        <v>-9.250016849425279</v>
      </c>
      <c r="AT37" s="163">
        <v>1.08</v>
      </c>
      <c r="AU37" s="164">
        <f t="shared" si="29"/>
        <v>-29.584145375992176</v>
      </c>
      <c r="AV37" s="164">
        <f t="shared" si="30"/>
        <v>1.078693613420618</v>
      </c>
      <c r="AW37" s="168">
        <f t="shared" si="31"/>
        <v>-1.3063865793820906E-3</v>
      </c>
      <c r="AX37" s="168">
        <f t="shared" si="32"/>
        <v>456.65260210498525</v>
      </c>
      <c r="AY37" s="168">
        <f t="shared" si="33"/>
        <v>-5.9656483082986247</v>
      </c>
      <c r="AZ37" s="168">
        <f t="shared" si="34"/>
        <v>-13.063865793820906</v>
      </c>
    </row>
    <row r="38" spans="1:52" ht="18" x14ac:dyDescent="0.25">
      <c r="A38">
        <v>1</v>
      </c>
      <c r="B38" t="s">
        <v>48</v>
      </c>
      <c r="C38" t="s">
        <v>28</v>
      </c>
      <c r="D38" t="s">
        <v>427</v>
      </c>
      <c r="E38">
        <v>1</v>
      </c>
      <c r="F38" s="9" t="s">
        <v>68</v>
      </c>
      <c r="G38">
        <v>33</v>
      </c>
      <c r="H38">
        <v>4.3520000000000003</v>
      </c>
      <c r="Q38" s="169">
        <v>480</v>
      </c>
      <c r="R38" s="169" t="s">
        <v>158</v>
      </c>
      <c r="S38" s="169">
        <v>5.3376305000000004</v>
      </c>
      <c r="T38" s="169">
        <v>-0.61582604404608332</v>
      </c>
      <c r="U38" s="169">
        <v>6.0846974999999999</v>
      </c>
      <c r="V38" s="169">
        <v>-28.763275383788397</v>
      </c>
      <c r="W38" s="156">
        <v>4.3520000000000003</v>
      </c>
      <c r="X38" s="170">
        <v>6.0891198571428573</v>
      </c>
      <c r="Y38" s="170">
        <v>1.937853204676379</v>
      </c>
      <c r="Z38" s="170">
        <v>4.0229087857142849</v>
      </c>
      <c r="AA38" s="170">
        <v>-25.881361430956051</v>
      </c>
      <c r="AB38" s="170">
        <v>2.7697142857142856</v>
      </c>
      <c r="AC38" s="170">
        <v>2.7697142857142856</v>
      </c>
      <c r="AD38" s="158">
        <f t="shared" si="15"/>
        <v>1.2827131784164255E-2</v>
      </c>
      <c r="AE38" s="158">
        <f t="shared" si="16"/>
        <v>0.3167721692777275</v>
      </c>
      <c r="AF38" s="159">
        <f t="shared" si="17"/>
        <v>6.8466489838674552E-2</v>
      </c>
      <c r="AG38" s="159">
        <f t="shared" si="18"/>
        <v>1.9274628264737652</v>
      </c>
      <c r="AH38" s="160">
        <f t="shared" si="19"/>
        <v>1.5732189760724851</v>
      </c>
      <c r="AI38" s="160">
        <f t="shared" si="20"/>
        <v>44.289127446547909</v>
      </c>
      <c r="AJ38" s="161">
        <f t="shared" si="21"/>
        <v>28.151915353268226</v>
      </c>
      <c r="AK38" s="162">
        <f t="shared" si="35"/>
        <v>-0.57367924872246234</v>
      </c>
      <c r="AL38" s="162">
        <f t="shared" si="22"/>
        <v>-28.911913952832347</v>
      </c>
      <c r="AM38" s="163">
        <v>0.36599999999999999</v>
      </c>
      <c r="AN38" s="164">
        <f t="shared" si="23"/>
        <v>-0.57367924872246234</v>
      </c>
      <c r="AO38" s="165">
        <f t="shared" si="24"/>
        <v>0.36604430856058084</v>
      </c>
      <c r="AP38" s="166">
        <f t="shared" si="25"/>
        <v>4.4308560580852419E-5</v>
      </c>
      <c r="AQ38" s="166">
        <f t="shared" si="26"/>
        <v>15.732189760724852</v>
      </c>
      <c r="AR38" s="166">
        <f t="shared" si="27"/>
        <v>6.970706830825432E-3</v>
      </c>
      <c r="AS38" s="166">
        <f t="shared" si="28"/>
        <v>0.44308560580852419</v>
      </c>
      <c r="AT38" s="163">
        <v>1.08</v>
      </c>
      <c r="AU38" s="164">
        <f t="shared" si="29"/>
        <v>-28.911913952832347</v>
      </c>
      <c r="AV38" s="164">
        <f t="shared" si="30"/>
        <v>1.0794327856319057</v>
      </c>
      <c r="AW38" s="168">
        <f t="shared" si="31"/>
        <v>-5.6721436809437087E-4</v>
      </c>
      <c r="AX38" s="168">
        <f t="shared" si="32"/>
        <v>442.89127446547911</v>
      </c>
      <c r="AY38" s="168">
        <f t="shared" si="33"/>
        <v>-2.5121429438044731</v>
      </c>
      <c r="AZ38" s="168">
        <f t="shared" si="34"/>
        <v>-5.6721436809437087</v>
      </c>
    </row>
    <row r="39" spans="1:52" ht="18" x14ac:dyDescent="0.25">
      <c r="A39">
        <v>1</v>
      </c>
      <c r="B39" t="s">
        <v>48</v>
      </c>
      <c r="C39" t="s">
        <v>28</v>
      </c>
      <c r="D39" t="s">
        <v>428</v>
      </c>
      <c r="E39">
        <v>1</v>
      </c>
      <c r="F39" s="9" t="s">
        <v>69</v>
      </c>
      <c r="G39">
        <v>34</v>
      </c>
      <c r="H39">
        <v>4.88</v>
      </c>
      <c r="Q39" s="154">
        <v>481</v>
      </c>
      <c r="R39" s="154" t="s">
        <v>159</v>
      </c>
      <c r="S39" s="154">
        <v>5.2694305000000004</v>
      </c>
      <c r="T39" s="154">
        <v>-1.6083509317200568</v>
      </c>
      <c r="U39" s="154">
        <v>6.9885535000000001</v>
      </c>
      <c r="V39" s="154">
        <v>-29.034860000946356</v>
      </c>
      <c r="W39" s="156">
        <v>4.88</v>
      </c>
      <c r="X39" s="170">
        <v>6.0891198571428573</v>
      </c>
      <c r="Y39" s="170">
        <v>1.937853204676379</v>
      </c>
      <c r="Z39" s="170">
        <v>4.0229087857142849</v>
      </c>
      <c r="AA39" s="170">
        <v>-25.881361430956051</v>
      </c>
      <c r="AB39" s="170">
        <v>2.7697142857142856</v>
      </c>
      <c r="AC39" s="170">
        <v>2.7697142857142856</v>
      </c>
      <c r="AD39" s="158">
        <f t="shared" si="15"/>
        <v>1.2827131784164255E-2</v>
      </c>
      <c r="AE39" s="158">
        <f t="shared" si="16"/>
        <v>0.3167721692777275</v>
      </c>
      <c r="AF39" s="159">
        <f t="shared" si="17"/>
        <v>6.7591679450994549E-2</v>
      </c>
      <c r="AG39" s="159">
        <f t="shared" si="18"/>
        <v>2.2137792523084552</v>
      </c>
      <c r="AH39" s="160">
        <f t="shared" si="19"/>
        <v>1.3850753985859541</v>
      </c>
      <c r="AI39" s="160">
        <f t="shared" si="20"/>
        <v>45.364328940747029</v>
      </c>
      <c r="AJ39" s="161">
        <f t="shared" si="21"/>
        <v>32.752245103089855</v>
      </c>
      <c r="AK39" s="162">
        <f t="shared" si="35"/>
        <v>-1.5662041363964359</v>
      </c>
      <c r="AL39" s="162">
        <f t="shared" si="22"/>
        <v>-29.183498569990306</v>
      </c>
      <c r="AM39" s="163">
        <v>0.36599999999999999</v>
      </c>
      <c r="AN39" s="164">
        <f t="shared" si="23"/>
        <v>-1.5662041363964359</v>
      </c>
      <c r="AO39" s="165">
        <f t="shared" si="24"/>
        <v>0.36568212124771399</v>
      </c>
      <c r="AP39" s="166">
        <f t="shared" si="25"/>
        <v>-3.1787875228600493E-4</v>
      </c>
      <c r="AQ39" s="166">
        <f t="shared" si="26"/>
        <v>13.850753985859539</v>
      </c>
      <c r="AR39" s="166">
        <f t="shared" si="27"/>
        <v>-4.4028603952454393E-2</v>
      </c>
      <c r="AS39" s="166">
        <f t="shared" si="28"/>
        <v>-3.1787875228600493</v>
      </c>
      <c r="AT39" s="163">
        <v>1.08</v>
      </c>
      <c r="AU39" s="164">
        <f t="shared" si="29"/>
        <v>-29.183498569990306</v>
      </c>
      <c r="AV39" s="164">
        <f t="shared" si="30"/>
        <v>1.079134157955375</v>
      </c>
      <c r="AW39" s="168">
        <f t="shared" si="31"/>
        <v>-8.6584204462503145E-4</v>
      </c>
      <c r="AX39" s="168">
        <f t="shared" si="32"/>
        <v>453.64328940747021</v>
      </c>
      <c r="AY39" s="168">
        <f t="shared" si="33"/>
        <v>-3.9278343323098888</v>
      </c>
      <c r="AZ39" s="168">
        <f t="shared" si="34"/>
        <v>-8.6584204462503145</v>
      </c>
    </row>
    <row r="40" spans="1:52" ht="18" x14ac:dyDescent="0.25">
      <c r="A40">
        <v>1</v>
      </c>
      <c r="B40" t="s">
        <v>48</v>
      </c>
      <c r="C40" t="s">
        <v>30</v>
      </c>
      <c r="D40" t="s">
        <v>427</v>
      </c>
      <c r="E40">
        <v>1</v>
      </c>
      <c r="F40" s="9" t="s">
        <v>70</v>
      </c>
      <c r="G40">
        <v>35</v>
      </c>
      <c r="H40">
        <v>4.4930000000000003</v>
      </c>
      <c r="Q40" s="169">
        <v>482</v>
      </c>
      <c r="R40" s="169" t="s">
        <v>160</v>
      </c>
      <c r="S40" s="169">
        <v>4.8848644999999999</v>
      </c>
      <c r="T40" s="169">
        <v>2.5937859095141178</v>
      </c>
      <c r="U40" s="169">
        <v>5.8586210000000003</v>
      </c>
      <c r="V40" s="169">
        <v>-28.547262714213481</v>
      </c>
      <c r="W40" s="156">
        <v>4.4930000000000003</v>
      </c>
      <c r="X40" s="170">
        <v>6.0891198571428573</v>
      </c>
      <c r="Y40" s="170">
        <v>1.937853204676379</v>
      </c>
      <c r="Z40" s="170">
        <v>4.0229087857142849</v>
      </c>
      <c r="AA40" s="170">
        <v>-25.881361430956051</v>
      </c>
      <c r="AB40" s="170">
        <v>2.7697142857142856</v>
      </c>
      <c r="AC40" s="170">
        <v>2.7697142857142856</v>
      </c>
      <c r="AD40" s="158">
        <f t="shared" si="15"/>
        <v>1.2827131784164255E-2</v>
      </c>
      <c r="AE40" s="158">
        <f t="shared" si="16"/>
        <v>0.3167721692777275</v>
      </c>
      <c r="AF40" s="159">
        <f t="shared" si="17"/>
        <v>6.2658800689285629E-2</v>
      </c>
      <c r="AG40" s="159">
        <f t="shared" si="18"/>
        <v>1.8558480831460493</v>
      </c>
      <c r="AH40" s="160">
        <f t="shared" si="19"/>
        <v>1.3945871508855023</v>
      </c>
      <c r="AI40" s="160">
        <f t="shared" si="20"/>
        <v>41.305321236279752</v>
      </c>
      <c r="AJ40" s="161">
        <f t="shared" si="21"/>
        <v>29.618314789472038</v>
      </c>
      <c r="AK40" s="162">
        <f t="shared" si="35"/>
        <v>2.6359327048377388</v>
      </c>
      <c r="AL40" s="162">
        <f t="shared" si="22"/>
        <v>-28.695901283257431</v>
      </c>
      <c r="AM40" s="163">
        <v>0.36599999999999999</v>
      </c>
      <c r="AN40" s="164">
        <f t="shared" si="23"/>
        <v>2.6359327048377388</v>
      </c>
      <c r="AO40" s="165">
        <f t="shared" si="24"/>
        <v>0.36721552638320548</v>
      </c>
      <c r="AP40" s="166">
        <f t="shared" si="25"/>
        <v>1.2155263832054897E-3</v>
      </c>
      <c r="AQ40" s="166">
        <f t="shared" si="26"/>
        <v>13.945871508855021</v>
      </c>
      <c r="AR40" s="166">
        <f t="shared" si="27"/>
        <v>0.16951574755807028</v>
      </c>
      <c r="AS40" s="166">
        <f t="shared" si="28"/>
        <v>12.155263832054896</v>
      </c>
      <c r="AT40" s="163">
        <v>1.08</v>
      </c>
      <c r="AU40" s="164">
        <f t="shared" si="29"/>
        <v>-28.695901283257431</v>
      </c>
      <c r="AV40" s="164">
        <f t="shared" si="30"/>
        <v>1.0796703064924875</v>
      </c>
      <c r="AW40" s="168">
        <f t="shared" si="31"/>
        <v>-3.2969350751255178E-4</v>
      </c>
      <c r="AX40" s="168">
        <f t="shared" si="32"/>
        <v>413.05321236279752</v>
      </c>
      <c r="AY40" s="168">
        <f t="shared" si="33"/>
        <v>-1.3618096237321762</v>
      </c>
      <c r="AZ40" s="168">
        <f t="shared" si="34"/>
        <v>-3.2969350751255178</v>
      </c>
    </row>
    <row r="41" spans="1:52" ht="18" x14ac:dyDescent="0.25">
      <c r="A41">
        <v>1</v>
      </c>
      <c r="B41" t="s">
        <v>48</v>
      </c>
      <c r="C41" t="s">
        <v>30</v>
      </c>
      <c r="D41" t="s">
        <v>428</v>
      </c>
      <c r="E41">
        <v>1</v>
      </c>
      <c r="F41" s="9" t="s">
        <v>71</v>
      </c>
      <c r="G41">
        <v>36</v>
      </c>
      <c r="H41">
        <v>4.2839999999999998</v>
      </c>
      <c r="Q41" s="154">
        <v>483</v>
      </c>
      <c r="R41" s="154" t="s">
        <v>161</v>
      </c>
      <c r="S41" s="154">
        <v>3.6134077499999999</v>
      </c>
      <c r="T41" s="154">
        <v>3.7495385649552349</v>
      </c>
      <c r="U41" s="154">
        <v>5.8988224999999996</v>
      </c>
      <c r="V41" s="154">
        <v>-26.834038172016196</v>
      </c>
      <c r="W41" s="156">
        <v>4.2839999999999998</v>
      </c>
      <c r="X41" s="170">
        <v>6.0891198571428573</v>
      </c>
      <c r="Y41" s="170">
        <v>1.937853204676379</v>
      </c>
      <c r="Z41" s="170">
        <v>4.0229087857142849</v>
      </c>
      <c r="AA41" s="170">
        <v>-25.881361430956051</v>
      </c>
      <c r="AB41" s="170">
        <v>2.7697142857142856</v>
      </c>
      <c r="AC41" s="170">
        <v>2.7697142857142856</v>
      </c>
      <c r="AD41" s="158">
        <f t="shared" si="15"/>
        <v>1.2827131784164255E-2</v>
      </c>
      <c r="AE41" s="158">
        <f t="shared" si="16"/>
        <v>0.3167721692777275</v>
      </c>
      <c r="AF41" s="159">
        <f t="shared" si="17"/>
        <v>4.6349657399170442E-2</v>
      </c>
      <c r="AG41" s="159">
        <f t="shared" si="18"/>
        <v>1.8685827995092676</v>
      </c>
      <c r="AH41" s="160">
        <f t="shared" si="19"/>
        <v>1.0819247758910002</v>
      </c>
      <c r="AI41" s="160">
        <f t="shared" si="20"/>
        <v>43.617712406845655</v>
      </c>
      <c r="AJ41" s="161">
        <f t="shared" si="21"/>
        <v>40.314921498054289</v>
      </c>
      <c r="AK41" s="162">
        <f t="shared" si="35"/>
        <v>3.7916853602788558</v>
      </c>
      <c r="AL41" s="162">
        <f t="shared" si="22"/>
        <v>-26.982676741060146</v>
      </c>
      <c r="AM41" s="163">
        <v>0.36599999999999999</v>
      </c>
      <c r="AN41" s="164">
        <f t="shared" si="23"/>
        <v>3.7916853602788558</v>
      </c>
      <c r="AO41" s="165">
        <f t="shared" si="24"/>
        <v>0.3676372647385277</v>
      </c>
      <c r="AP41" s="166">
        <f t="shared" si="25"/>
        <v>1.6372647385277106E-3</v>
      </c>
      <c r="AQ41" s="166">
        <f t="shared" si="26"/>
        <v>10.819247758910002</v>
      </c>
      <c r="AR41" s="166">
        <f t="shared" si="27"/>
        <v>0.17713972853058302</v>
      </c>
      <c r="AS41" s="166">
        <f t="shared" si="28"/>
        <v>16.372647385277105</v>
      </c>
      <c r="AT41" s="163">
        <v>1.08</v>
      </c>
      <c r="AU41" s="164">
        <f t="shared" si="29"/>
        <v>-26.982676741060146</v>
      </c>
      <c r="AV41" s="164">
        <f t="shared" si="30"/>
        <v>1.0815540748943557</v>
      </c>
      <c r="AW41" s="168">
        <f t="shared" si="31"/>
        <v>1.5540748943556615E-3</v>
      </c>
      <c r="AX41" s="168">
        <f t="shared" si="32"/>
        <v>436.17712406845652</v>
      </c>
      <c r="AY41" s="168">
        <f t="shared" si="33"/>
        <v>6.7785191800704272</v>
      </c>
      <c r="AZ41" s="168">
        <f t="shared" si="34"/>
        <v>15.540748943556613</v>
      </c>
    </row>
    <row r="42" spans="1:52" ht="18" x14ac:dyDescent="0.25">
      <c r="I42" s="25" t="s">
        <v>469</v>
      </c>
      <c r="Q42" s="169">
        <v>484</v>
      </c>
      <c r="R42" s="169" t="s">
        <v>162</v>
      </c>
      <c r="S42" s="169">
        <v>6.5605935000000004</v>
      </c>
      <c r="T42" s="169">
        <v>2.014110250907017</v>
      </c>
      <c r="U42" s="169">
        <v>4.3010074999999999</v>
      </c>
      <c r="V42" s="169">
        <v>-25.928986763066831</v>
      </c>
      <c r="W42" s="169">
        <v>2.6259999999999999</v>
      </c>
      <c r="X42" s="170">
        <v>6.0891198571428573</v>
      </c>
      <c r="Y42" s="170">
        <v>1.937853204676379</v>
      </c>
      <c r="Z42" s="170">
        <v>4.0229087857142849</v>
      </c>
      <c r="AA42" s="170">
        <v>-25.881361430956051</v>
      </c>
      <c r="AB42" s="170">
        <v>2.7697142857142856</v>
      </c>
      <c r="AC42" s="170">
        <v>2.7697142857142856</v>
      </c>
      <c r="AD42" s="158">
        <f t="shared" si="15"/>
        <v>1.2827131784164255E-2</v>
      </c>
      <c r="AE42" s="158">
        <f t="shared" si="16"/>
        <v>0.3167721692777275</v>
      </c>
      <c r="AF42" s="159">
        <f t="shared" si="17"/>
        <v>8.4153597406831412E-2</v>
      </c>
      <c r="AG42" s="159">
        <f t="shared" si="18"/>
        <v>1.3624394758547755</v>
      </c>
      <c r="AH42" s="160">
        <f t="shared" si="19"/>
        <v>3.2046305181580892</v>
      </c>
      <c r="AI42" s="160">
        <f t="shared" si="20"/>
        <v>51.882691388224501</v>
      </c>
      <c r="AJ42" s="161">
        <f t="shared" si="21"/>
        <v>16.189913655957096</v>
      </c>
      <c r="AK42" s="162">
        <f t="shared" si="35"/>
        <v>2.056257046230638</v>
      </c>
      <c r="AL42" s="162">
        <f t="shared" si="22"/>
        <v>-26.077625332110781</v>
      </c>
      <c r="AM42" s="163">
        <v>0.36599999999999999</v>
      </c>
      <c r="AN42" s="164">
        <f t="shared" si="23"/>
        <v>2.056257046230638</v>
      </c>
      <c r="AO42" s="165">
        <f t="shared" si="24"/>
        <v>0.36700399927868516</v>
      </c>
      <c r="AP42" s="166">
        <f t="shared" si="25"/>
        <v>1.0039992786851637E-3</v>
      </c>
      <c r="AQ42" s="166">
        <f t="shared" si="26"/>
        <v>32.046305181580891</v>
      </c>
      <c r="AR42" s="166">
        <f t="shared" si="27"/>
        <v>0.32174467286831843</v>
      </c>
      <c r="AS42" s="166">
        <f t="shared" si="28"/>
        <v>10.039992786851638</v>
      </c>
      <c r="AT42" s="163">
        <v>1.08</v>
      </c>
      <c r="AU42" s="164">
        <f t="shared" si="29"/>
        <v>-26.077625332110781</v>
      </c>
      <c r="AV42" s="164">
        <f t="shared" si="30"/>
        <v>1.0825491911714284</v>
      </c>
      <c r="AW42" s="168">
        <f t="shared" si="31"/>
        <v>2.5491911714283777E-3</v>
      </c>
      <c r="AX42" s="168">
        <f t="shared" si="32"/>
        <v>518.82691388224498</v>
      </c>
      <c r="AY42" s="168">
        <f t="shared" si="33"/>
        <v>13.225889883680502</v>
      </c>
      <c r="AZ42" s="168">
        <f t="shared" si="34"/>
        <v>25.491911714283777</v>
      </c>
    </row>
    <row r="43" spans="1:52" ht="18" x14ac:dyDescent="0.25">
      <c r="A43">
        <v>1</v>
      </c>
      <c r="B43" t="s">
        <v>52</v>
      </c>
      <c r="C43" t="s">
        <v>26</v>
      </c>
      <c r="D43" t="s">
        <v>427</v>
      </c>
      <c r="E43">
        <v>1</v>
      </c>
      <c r="F43" s="9" t="s">
        <v>120</v>
      </c>
      <c r="G43">
        <v>37</v>
      </c>
      <c r="H43">
        <v>5.1669999999999998</v>
      </c>
      <c r="Q43" s="154">
        <v>485</v>
      </c>
      <c r="R43" s="154" t="s">
        <v>163</v>
      </c>
      <c r="S43" s="154">
        <v>5.6188184999999997</v>
      </c>
      <c r="T43" s="154">
        <v>-0.65787140642467323</v>
      </c>
      <c r="U43" s="154">
        <v>7.1314419999999998</v>
      </c>
      <c r="V43" s="154">
        <v>-30.408165964988402</v>
      </c>
      <c r="W43" s="156">
        <v>5.1669999999999998</v>
      </c>
      <c r="X43" s="170">
        <v>6.0891198571428573</v>
      </c>
      <c r="Y43" s="170">
        <v>1.937853204676379</v>
      </c>
      <c r="Z43" s="170">
        <v>4.0229087857142849</v>
      </c>
      <c r="AA43" s="170">
        <v>-25.881361430956051</v>
      </c>
      <c r="AB43" s="170">
        <v>2.7697142857142856</v>
      </c>
      <c r="AC43" s="170">
        <v>2.7697142857142856</v>
      </c>
      <c r="AD43" s="158">
        <f t="shared" si="15"/>
        <v>1.2827131784164255E-2</v>
      </c>
      <c r="AE43" s="158">
        <f t="shared" si="16"/>
        <v>0.3167721692777275</v>
      </c>
      <c r="AF43" s="159">
        <f t="shared" si="17"/>
        <v>7.207332537080012E-2</v>
      </c>
      <c r="AG43" s="159">
        <f t="shared" si="18"/>
        <v>2.2590423524182954</v>
      </c>
      <c r="AH43" s="160">
        <f t="shared" si="19"/>
        <v>1.3948775957189883</v>
      </c>
      <c r="AI43" s="160">
        <f t="shared" si="20"/>
        <v>43.720579686825928</v>
      </c>
      <c r="AJ43" s="161">
        <f t="shared" si="21"/>
        <v>31.343667588474094</v>
      </c>
      <c r="AK43" s="162">
        <f t="shared" si="35"/>
        <v>-0.61572461110105225</v>
      </c>
      <c r="AL43" s="162">
        <f t="shared" si="22"/>
        <v>-30.556804534032352</v>
      </c>
      <c r="AM43" s="163">
        <v>0.36599999999999999</v>
      </c>
      <c r="AN43" s="164">
        <f t="shared" si="23"/>
        <v>-0.61572461110105225</v>
      </c>
      <c r="AO43" s="165">
        <f t="shared" si="24"/>
        <v>0.36602896562662013</v>
      </c>
      <c r="AP43" s="166">
        <f t="shared" si="25"/>
        <v>2.8965626620136575E-5</v>
      </c>
      <c r="AQ43" s="166">
        <f t="shared" si="26"/>
        <v>13.948775957189882</v>
      </c>
      <c r="AR43" s="166">
        <f t="shared" si="27"/>
        <v>4.040350361839003E-3</v>
      </c>
      <c r="AS43" s="166">
        <f t="shared" si="28"/>
        <v>0.28965626620136575</v>
      </c>
      <c r="AT43" s="163">
        <v>1.08</v>
      </c>
      <c r="AU43" s="164">
        <f t="shared" si="29"/>
        <v>-30.556804534032352</v>
      </c>
      <c r="AV43" s="164">
        <f t="shared" si="30"/>
        <v>1.0776240773326802</v>
      </c>
      <c r="AW43" s="168">
        <f t="shared" si="31"/>
        <v>-2.3759226673198963E-3</v>
      </c>
      <c r="AX43" s="168">
        <f t="shared" si="32"/>
        <v>437.2057968682592</v>
      </c>
      <c r="AY43" s="168">
        <f t="shared" si="33"/>
        <v>-10.387671630629551</v>
      </c>
      <c r="AZ43" s="168">
        <f t="shared" si="34"/>
        <v>-23.759226673198963</v>
      </c>
    </row>
    <row r="44" spans="1:52" ht="18" x14ac:dyDescent="0.25">
      <c r="A44">
        <v>1</v>
      </c>
      <c r="B44" t="s">
        <v>52</v>
      </c>
      <c r="C44" t="s">
        <v>26</v>
      </c>
      <c r="D44" t="s">
        <v>428</v>
      </c>
      <c r="E44">
        <v>1</v>
      </c>
      <c r="F44" s="9" t="s">
        <v>121</v>
      </c>
      <c r="G44">
        <v>38</v>
      </c>
      <c r="H44">
        <v>4.2919999999999998</v>
      </c>
      <c r="Q44" s="169">
        <v>486</v>
      </c>
      <c r="R44" s="169" t="s">
        <v>164</v>
      </c>
      <c r="S44" s="169">
        <v>3.7691812499999999</v>
      </c>
      <c r="T44" s="169">
        <v>-3.6451610017468603</v>
      </c>
      <c r="U44" s="169">
        <v>6.3582215</v>
      </c>
      <c r="V44" s="169">
        <v>-30.430728040522713</v>
      </c>
      <c r="W44" s="156">
        <v>4.2919999999999998</v>
      </c>
      <c r="X44" s="170">
        <v>6.0891198571428573</v>
      </c>
      <c r="Y44" s="170">
        <v>1.937853204676379</v>
      </c>
      <c r="Z44" s="170">
        <v>4.0229087857142849</v>
      </c>
      <c r="AA44" s="170">
        <v>-25.881361430956051</v>
      </c>
      <c r="AB44" s="170">
        <v>2.7697142857142856</v>
      </c>
      <c r="AC44" s="170">
        <v>2.7697142857142856</v>
      </c>
      <c r="AD44" s="158">
        <f t="shared" si="15"/>
        <v>1.2827131784164255E-2</v>
      </c>
      <c r="AE44" s="158">
        <f t="shared" si="16"/>
        <v>0.3167721692777275</v>
      </c>
      <c r="AF44" s="159">
        <f t="shared" si="17"/>
        <v>4.8347784612150953E-2</v>
      </c>
      <c r="AG44" s="159">
        <f t="shared" si="18"/>
        <v>2.0141076173032864</v>
      </c>
      <c r="AH44" s="160">
        <f t="shared" si="19"/>
        <v>1.1264628288012803</v>
      </c>
      <c r="AI44" s="160">
        <f t="shared" si="20"/>
        <v>46.927018110514595</v>
      </c>
      <c r="AJ44" s="161">
        <f t="shared" si="21"/>
        <v>41.658736454226137</v>
      </c>
      <c r="AK44" s="162">
        <f t="shared" si="35"/>
        <v>-3.6030142064232393</v>
      </c>
      <c r="AL44" s="162">
        <f t="shared" si="22"/>
        <v>-30.579366609566662</v>
      </c>
      <c r="AM44" s="163">
        <v>0.36599999999999999</v>
      </c>
      <c r="AN44" s="164">
        <f t="shared" si="23"/>
        <v>-3.6030142064232393</v>
      </c>
      <c r="AO44" s="165">
        <f t="shared" si="24"/>
        <v>0.36493885026252632</v>
      </c>
      <c r="AP44" s="166">
        <f t="shared" si="25"/>
        <v>-1.0611497374736767E-3</v>
      </c>
      <c r="AQ44" s="166">
        <f t="shared" si="26"/>
        <v>11.264628288012803</v>
      </c>
      <c r="AR44" s="166">
        <f t="shared" si="27"/>
        <v>-0.11953457350563337</v>
      </c>
      <c r="AS44" s="166">
        <f t="shared" si="28"/>
        <v>-10.611497374736766</v>
      </c>
      <c r="AT44" s="163">
        <v>1.08</v>
      </c>
      <c r="AU44" s="164">
        <f t="shared" si="29"/>
        <v>-30.579366609566662</v>
      </c>
      <c r="AV44" s="164">
        <f t="shared" si="30"/>
        <v>1.0775992677981596</v>
      </c>
      <c r="AW44" s="168">
        <f t="shared" si="31"/>
        <v>-2.4007322018404498E-3</v>
      </c>
      <c r="AX44" s="168">
        <f t="shared" si="32"/>
        <v>469.27018110514598</v>
      </c>
      <c r="AY44" s="168">
        <f t="shared" si="33"/>
        <v>-11.265920351426237</v>
      </c>
      <c r="AZ44" s="168">
        <f t="shared" si="34"/>
        <v>-24.007322018404498</v>
      </c>
    </row>
    <row r="45" spans="1:52" ht="18" x14ac:dyDescent="0.25">
      <c r="A45">
        <v>1</v>
      </c>
      <c r="B45" t="s">
        <v>52</v>
      </c>
      <c r="C45" t="s">
        <v>28</v>
      </c>
      <c r="D45" t="s">
        <v>427</v>
      </c>
      <c r="E45">
        <v>1</v>
      </c>
      <c r="F45" s="9" t="s">
        <v>122</v>
      </c>
      <c r="G45">
        <v>39</v>
      </c>
      <c r="H45">
        <v>4.3250000000000002</v>
      </c>
      <c r="Q45" s="154">
        <v>487</v>
      </c>
      <c r="R45" s="154" t="s">
        <v>165</v>
      </c>
      <c r="S45" s="154">
        <v>4.9085760000000001</v>
      </c>
      <c r="T45" s="154">
        <v>-1.2988237073115831</v>
      </c>
      <c r="U45" s="154">
        <v>5.8130139999999999</v>
      </c>
      <c r="V45" s="154">
        <v>-29.423096488863102</v>
      </c>
      <c r="W45" s="156">
        <v>4.3250000000000002</v>
      </c>
      <c r="X45" s="170">
        <v>6.0891198571428573</v>
      </c>
      <c r="Y45" s="170">
        <v>1.937853204676379</v>
      </c>
      <c r="Z45" s="170">
        <v>4.0229087857142849</v>
      </c>
      <c r="AA45" s="170">
        <v>-25.881361430956051</v>
      </c>
      <c r="AB45" s="170">
        <v>2.7697142857142856</v>
      </c>
      <c r="AC45" s="170">
        <v>2.7697142857142856</v>
      </c>
      <c r="AD45" s="158">
        <f t="shared" si="15"/>
        <v>1.2827131784164255E-2</v>
      </c>
      <c r="AE45" s="158">
        <f t="shared" si="16"/>
        <v>0.3167721692777275</v>
      </c>
      <c r="AF45" s="159">
        <f t="shared" si="17"/>
        <v>6.2962951224585839E-2</v>
      </c>
      <c r="AG45" s="159">
        <f t="shared" si="18"/>
        <v>1.8414010548217998</v>
      </c>
      <c r="AH45" s="160">
        <f t="shared" si="19"/>
        <v>1.4557907797592102</v>
      </c>
      <c r="AI45" s="160">
        <f t="shared" si="20"/>
        <v>42.575746932295949</v>
      </c>
      <c r="AJ45" s="161">
        <f t="shared" si="21"/>
        <v>29.245786911315676</v>
      </c>
      <c r="AK45" s="162">
        <f t="shared" si="35"/>
        <v>-1.2566769119879622</v>
      </c>
      <c r="AL45" s="162">
        <f t="shared" si="22"/>
        <v>-29.571735057907052</v>
      </c>
      <c r="AM45" s="163">
        <v>0.36599999999999999</v>
      </c>
      <c r="AN45" s="164">
        <f t="shared" si="23"/>
        <v>-1.2566769119879622</v>
      </c>
      <c r="AO45" s="165">
        <f t="shared" si="24"/>
        <v>0.36579507268651101</v>
      </c>
      <c r="AP45" s="166">
        <f t="shared" si="25"/>
        <v>-2.0492731348897841E-4</v>
      </c>
      <c r="AQ45" s="166">
        <f t="shared" si="26"/>
        <v>14.557907797592101</v>
      </c>
      <c r="AR45" s="166">
        <f t="shared" si="27"/>
        <v>-2.9833129349807998E-2</v>
      </c>
      <c r="AS45" s="166">
        <f t="shared" si="28"/>
        <v>-2.0492731348897841</v>
      </c>
      <c r="AT45" s="163">
        <v>1.08</v>
      </c>
      <c r="AU45" s="164">
        <f t="shared" si="29"/>
        <v>-29.571735057907052</v>
      </c>
      <c r="AV45" s="164">
        <f t="shared" si="30"/>
        <v>1.078707259657951</v>
      </c>
      <c r="AW45" s="168">
        <f t="shared" si="31"/>
        <v>-1.2927403420490702E-3</v>
      </c>
      <c r="AX45" s="168">
        <f t="shared" si="32"/>
        <v>425.75746932295948</v>
      </c>
      <c r="AY45" s="168">
        <f t="shared" si="33"/>
        <v>-5.5039385652250914</v>
      </c>
      <c r="AZ45" s="168">
        <f t="shared" si="34"/>
        <v>-12.927403420490702</v>
      </c>
    </row>
    <row r="46" spans="1:52" ht="18" x14ac:dyDescent="0.25">
      <c r="A46">
        <v>1</v>
      </c>
      <c r="B46" t="s">
        <v>52</v>
      </c>
      <c r="C46" t="s">
        <v>28</v>
      </c>
      <c r="D46" t="s">
        <v>428</v>
      </c>
      <c r="E46">
        <v>1</v>
      </c>
      <c r="F46" s="9" t="s">
        <v>72</v>
      </c>
      <c r="G46">
        <v>40</v>
      </c>
      <c r="H46">
        <v>5.0019999999999998</v>
      </c>
      <c r="Q46" s="169">
        <v>488</v>
      </c>
      <c r="R46" s="169" t="s">
        <v>166</v>
      </c>
      <c r="S46" s="169">
        <v>4.4745309999999998</v>
      </c>
      <c r="T46" s="169">
        <v>-2.5834472932696082</v>
      </c>
      <c r="U46" s="169">
        <v>7.0885914999999997</v>
      </c>
      <c r="V46" s="169">
        <v>-30.033199556991104</v>
      </c>
      <c r="W46" s="156">
        <v>5.0019999999999998</v>
      </c>
      <c r="X46" s="170">
        <v>6.0891198571428573</v>
      </c>
      <c r="Y46" s="170">
        <v>1.937853204676379</v>
      </c>
      <c r="Z46" s="170">
        <v>4.0229087857142849</v>
      </c>
      <c r="AA46" s="170">
        <v>-25.881361430956051</v>
      </c>
      <c r="AB46" s="170">
        <v>2.7697142857142856</v>
      </c>
      <c r="AC46" s="170">
        <v>2.7697142857142856</v>
      </c>
      <c r="AD46" s="158">
        <f t="shared" si="15"/>
        <v>1.2827131784164255E-2</v>
      </c>
      <c r="AE46" s="158">
        <f t="shared" si="16"/>
        <v>0.3167721692777275</v>
      </c>
      <c r="AF46" s="159">
        <f t="shared" si="17"/>
        <v>5.7395398809328264E-2</v>
      </c>
      <c r="AG46" s="159">
        <f t="shared" si="18"/>
        <v>2.2454685065786602</v>
      </c>
      <c r="AH46" s="160">
        <f t="shared" si="19"/>
        <v>1.1474489965879302</v>
      </c>
      <c r="AI46" s="160">
        <f t="shared" si="20"/>
        <v>44.891413566146745</v>
      </c>
      <c r="AJ46" s="161">
        <f t="shared" si="21"/>
        <v>39.122796481269724</v>
      </c>
      <c r="AK46" s="171">
        <f t="shared" si="35"/>
        <v>-2.5413004979459872</v>
      </c>
      <c r="AL46" s="162">
        <f t="shared" si="22"/>
        <v>-30.181838126035053</v>
      </c>
      <c r="AM46" s="163">
        <v>0.36599999999999999</v>
      </c>
      <c r="AN46" s="164">
        <f t="shared" si="23"/>
        <v>-2.5413004979459872</v>
      </c>
      <c r="AO46" s="165">
        <f t="shared" si="24"/>
        <v>0.3653262913028108</v>
      </c>
      <c r="AP46" s="166">
        <f t="shared" si="25"/>
        <v>-6.7370869718919035E-4</v>
      </c>
      <c r="AQ46" s="166">
        <f t="shared" si="26"/>
        <v>11.474489965879302</v>
      </c>
      <c r="AR46" s="166">
        <f t="shared" si="27"/>
        <v>-7.7304636858229817E-2</v>
      </c>
      <c r="AS46" s="166">
        <f t="shared" si="28"/>
        <v>-6.7370869718919035</v>
      </c>
      <c r="AT46" s="163">
        <v>1.08</v>
      </c>
      <c r="AU46" s="164">
        <f t="shared" si="29"/>
        <v>-30.181838126035053</v>
      </c>
      <c r="AV46" s="164">
        <f t="shared" si="30"/>
        <v>1.078036393164244</v>
      </c>
      <c r="AW46" s="168">
        <f t="shared" si="31"/>
        <v>-1.9636068357560266E-3</v>
      </c>
      <c r="AX46" s="168">
        <f t="shared" si="32"/>
        <v>448.91413566146747</v>
      </c>
      <c r="AY46" s="168">
        <f t="shared" si="33"/>
        <v>-8.8149086545236592</v>
      </c>
      <c r="AZ46" s="168">
        <f t="shared" si="34"/>
        <v>-19.636068357560266</v>
      </c>
    </row>
    <row r="47" spans="1:52" ht="18" x14ac:dyDescent="0.25">
      <c r="A47">
        <v>1</v>
      </c>
      <c r="B47" t="s">
        <v>52</v>
      </c>
      <c r="C47" t="s">
        <v>30</v>
      </c>
      <c r="D47" t="s">
        <v>427</v>
      </c>
      <c r="E47">
        <v>1</v>
      </c>
      <c r="F47" s="9" t="s">
        <v>73</v>
      </c>
      <c r="G47">
        <v>41</v>
      </c>
      <c r="H47">
        <v>4.4279999999999999</v>
      </c>
      <c r="Q47" s="154">
        <v>489</v>
      </c>
      <c r="R47" s="154" t="s">
        <v>167</v>
      </c>
      <c r="S47" s="154">
        <v>4.7915785</v>
      </c>
      <c r="T47" s="154">
        <v>-1.2109644163648596</v>
      </c>
      <c r="U47" s="154">
        <v>5.211042</v>
      </c>
      <c r="V47" s="154">
        <v>-29.345383266145411</v>
      </c>
      <c r="W47" s="156">
        <v>4.4279999999999999</v>
      </c>
      <c r="X47" s="170">
        <v>6.0891198571428573</v>
      </c>
      <c r="Y47" s="170">
        <v>1.937853204676379</v>
      </c>
      <c r="Z47" s="170">
        <v>4.0229087857142849</v>
      </c>
      <c r="AA47" s="170">
        <v>-25.881361430956051</v>
      </c>
      <c r="AB47" s="170">
        <v>2.7697142857142856</v>
      </c>
      <c r="AC47" s="170">
        <v>2.7697142857142856</v>
      </c>
      <c r="AD47" s="158">
        <f t="shared" si="15"/>
        <v>1.2827131784164255E-2</v>
      </c>
      <c r="AE47" s="158">
        <f t="shared" si="16"/>
        <v>0.3167721692777275</v>
      </c>
      <c r="AF47" s="159">
        <f t="shared" si="17"/>
        <v>6.146220887366808E-2</v>
      </c>
      <c r="AG47" s="159">
        <f t="shared" si="18"/>
        <v>1.6507130785373476</v>
      </c>
      <c r="AH47" s="160">
        <f t="shared" si="19"/>
        <v>1.3880354307513116</v>
      </c>
      <c r="AI47" s="160">
        <f t="shared" si="20"/>
        <v>37.278976480066568</v>
      </c>
      <c r="AJ47" s="161">
        <f t="shared" si="21"/>
        <v>26.857366645092277</v>
      </c>
      <c r="AK47" s="171">
        <f t="shared" si="35"/>
        <v>-1.1688176210412387</v>
      </c>
      <c r="AL47" s="162">
        <f t="shared" si="22"/>
        <v>-29.494021835189361</v>
      </c>
      <c r="AM47" s="163">
        <v>0.36599999999999999</v>
      </c>
      <c r="AN47" s="164">
        <f t="shared" si="23"/>
        <v>-1.1688176210412387</v>
      </c>
      <c r="AO47" s="165">
        <f t="shared" si="24"/>
        <v>0.36582713390147986</v>
      </c>
      <c r="AP47" s="166">
        <f t="shared" si="25"/>
        <v>-1.7286609852013024E-4</v>
      </c>
      <c r="AQ47" s="166">
        <f t="shared" si="26"/>
        <v>13.880354307513116</v>
      </c>
      <c r="AR47" s="166">
        <f t="shared" si="27"/>
        <v>-2.3994426952168763E-2</v>
      </c>
      <c r="AS47" s="166">
        <f t="shared" si="28"/>
        <v>-1.7286609852013024</v>
      </c>
      <c r="AT47" s="163">
        <v>1.08</v>
      </c>
      <c r="AU47" s="164">
        <f t="shared" si="29"/>
        <v>-29.494021835189361</v>
      </c>
      <c r="AV47" s="164">
        <f t="shared" si="30"/>
        <v>1.0787927121025578</v>
      </c>
      <c r="AW47" s="168">
        <f t="shared" si="31"/>
        <v>-1.2072878974422885E-3</v>
      </c>
      <c r="AX47" s="168">
        <f t="shared" si="32"/>
        <v>372.78976480066569</v>
      </c>
      <c r="AY47" s="168">
        <f t="shared" si="33"/>
        <v>-4.500645713342009</v>
      </c>
      <c r="AZ47" s="168">
        <f t="shared" si="34"/>
        <v>-12.072878974422885</v>
      </c>
    </row>
    <row r="48" spans="1:52" ht="18" x14ac:dyDescent="0.25">
      <c r="A48" s="13">
        <v>1</v>
      </c>
      <c r="B48" t="s">
        <v>56</v>
      </c>
      <c r="C48" t="s">
        <v>26</v>
      </c>
      <c r="D48" t="s">
        <v>427</v>
      </c>
      <c r="E48">
        <v>1</v>
      </c>
      <c r="F48" s="9" t="s">
        <v>74</v>
      </c>
      <c r="G48">
        <v>43</v>
      </c>
      <c r="H48">
        <v>4.5419999999999998</v>
      </c>
      <c r="Q48" s="169">
        <v>490</v>
      </c>
      <c r="R48" s="169" t="s">
        <v>168</v>
      </c>
      <c r="S48" s="169">
        <v>4.0651857500000004</v>
      </c>
      <c r="T48" s="169">
        <v>-0.71211196332812421</v>
      </c>
      <c r="U48" s="169">
        <v>5.3664740000000002</v>
      </c>
      <c r="V48" s="169">
        <v>-30.125316445643485</v>
      </c>
      <c r="W48" s="156">
        <v>4.5419999999999998</v>
      </c>
      <c r="X48" s="170">
        <v>6.0891198571428573</v>
      </c>
      <c r="Y48" s="170">
        <v>1.937853204676379</v>
      </c>
      <c r="Z48" s="170">
        <v>4.0229087857142849</v>
      </c>
      <c r="AA48" s="170">
        <v>-25.881361430956051</v>
      </c>
      <c r="AB48" s="170">
        <v>2.7697142857142856</v>
      </c>
      <c r="AC48" s="170">
        <v>2.7697142857142856</v>
      </c>
      <c r="AD48" s="158">
        <f t="shared" si="15"/>
        <v>1.2827131784164255E-2</v>
      </c>
      <c r="AE48" s="158">
        <f t="shared" si="16"/>
        <v>0.3167721692777275</v>
      </c>
      <c r="AF48" s="159">
        <f t="shared" si="17"/>
        <v>5.2144673342356611E-2</v>
      </c>
      <c r="AG48" s="159">
        <f t="shared" si="18"/>
        <v>1.6999496103525236</v>
      </c>
      <c r="AH48" s="160">
        <f t="shared" si="19"/>
        <v>1.1480553355868917</v>
      </c>
      <c r="AI48" s="160">
        <f t="shared" si="20"/>
        <v>37.427336203270002</v>
      </c>
      <c r="AJ48" s="161">
        <f t="shared" si="21"/>
        <v>32.600637829131266</v>
      </c>
      <c r="AK48" s="171">
        <f t="shared" si="35"/>
        <v>-0.66996516800450323</v>
      </c>
      <c r="AL48" s="162">
        <f t="shared" si="22"/>
        <v>-30.273955014687434</v>
      </c>
      <c r="AM48" s="163">
        <v>0.36599999999999999</v>
      </c>
      <c r="AN48" s="164">
        <f t="shared" si="23"/>
        <v>-0.66996516800450323</v>
      </c>
      <c r="AO48" s="165">
        <f t="shared" si="24"/>
        <v>0.36600917249061243</v>
      </c>
      <c r="AP48" s="166">
        <f t="shared" si="25"/>
        <v>9.1724906124412975E-6</v>
      </c>
      <c r="AQ48" s="166">
        <f t="shared" si="26"/>
        <v>11.480553355868917</v>
      </c>
      <c r="AR48" s="166">
        <f t="shared" si="27"/>
        <v>1.0530526788233908E-3</v>
      </c>
      <c r="AS48" s="166">
        <f t="shared" si="28"/>
        <v>9.1724906124412975E-2</v>
      </c>
      <c r="AT48" s="163">
        <v>1.08</v>
      </c>
      <c r="AU48" s="164">
        <f t="shared" si="29"/>
        <v>-30.273955014687434</v>
      </c>
      <c r="AV48" s="164">
        <f t="shared" si="30"/>
        <v>1.0779351010716243</v>
      </c>
      <c r="AW48" s="168">
        <f t="shared" si="31"/>
        <v>-2.0648989283758024E-3</v>
      </c>
      <c r="AX48" s="168">
        <f t="shared" si="32"/>
        <v>374.27336203269999</v>
      </c>
      <c r="AY48" s="168">
        <f t="shared" si="33"/>
        <v>-7.7283666418093091</v>
      </c>
      <c r="AZ48" s="168">
        <f t="shared" si="34"/>
        <v>-20.648989283758024</v>
      </c>
    </row>
    <row r="49" spans="1:52" ht="18" x14ac:dyDescent="0.25">
      <c r="A49">
        <v>1</v>
      </c>
      <c r="B49" t="s">
        <v>56</v>
      </c>
      <c r="C49" t="s">
        <v>26</v>
      </c>
      <c r="D49" t="s">
        <v>428</v>
      </c>
      <c r="E49">
        <v>1</v>
      </c>
      <c r="F49" s="9" t="s">
        <v>75</v>
      </c>
      <c r="G49">
        <v>44</v>
      </c>
      <c r="H49">
        <v>4.8239999999999998</v>
      </c>
      <c r="Q49" s="154">
        <v>491</v>
      </c>
      <c r="R49" s="154" t="s">
        <v>169</v>
      </c>
      <c r="S49" s="154">
        <v>4.3674809999999997</v>
      </c>
      <c r="T49" s="154">
        <v>-0.8662790142401483</v>
      </c>
      <c r="U49" s="154">
        <v>6.8674600000000003</v>
      </c>
      <c r="V49" s="154">
        <v>-29.922431386799161</v>
      </c>
      <c r="W49" s="156">
        <v>4.8239999999999998</v>
      </c>
      <c r="X49" s="170">
        <v>6.0891198571428573</v>
      </c>
      <c r="Y49" s="170">
        <v>1.937853204676379</v>
      </c>
      <c r="Z49" s="170">
        <v>4.0229087857142849</v>
      </c>
      <c r="AA49" s="170">
        <v>-25.881361430956051</v>
      </c>
      <c r="AB49" s="170">
        <v>2.7697142857142856</v>
      </c>
      <c r="AC49" s="170">
        <v>2.7697142857142856</v>
      </c>
      <c r="AD49" s="158">
        <f t="shared" si="15"/>
        <v>1.2827131784164255E-2</v>
      </c>
      <c r="AE49" s="158">
        <f t="shared" si="16"/>
        <v>0.3167721692777275</v>
      </c>
      <c r="AF49" s="159">
        <f t="shared" si="17"/>
        <v>5.602225435183348E-2</v>
      </c>
      <c r="AG49" s="159">
        <f t="shared" si="18"/>
        <v>2.1754202016280226</v>
      </c>
      <c r="AH49" s="160">
        <f t="shared" si="19"/>
        <v>1.1613236805935629</v>
      </c>
      <c r="AI49" s="160">
        <f t="shared" si="20"/>
        <v>45.095775323963984</v>
      </c>
      <c r="AJ49" s="161">
        <f t="shared" si="21"/>
        <v>38.831357766609159</v>
      </c>
      <c r="AK49" s="171">
        <f t="shared" si="35"/>
        <v>-0.82413221891652733</v>
      </c>
      <c r="AL49" s="162">
        <f t="shared" si="22"/>
        <v>-30.071069955843111</v>
      </c>
      <c r="AM49" s="163">
        <v>0.36599999999999999</v>
      </c>
      <c r="AN49" s="164">
        <f t="shared" si="23"/>
        <v>-0.82413221891652733</v>
      </c>
      <c r="AO49" s="165">
        <f t="shared" si="24"/>
        <v>0.3659529147397711</v>
      </c>
      <c r="AP49" s="166">
        <f t="shared" si="25"/>
        <v>-4.7085260228896253E-5</v>
      </c>
      <c r="AQ49" s="166">
        <f t="shared" si="26"/>
        <v>11.61323680593563</v>
      </c>
      <c r="AR49" s="166">
        <f t="shared" si="27"/>
        <v>-5.4681227710727505E-3</v>
      </c>
      <c r="AS49" s="166">
        <f t="shared" si="28"/>
        <v>-0.47085260228896253</v>
      </c>
      <c r="AT49" s="163">
        <v>1.08</v>
      </c>
      <c r="AU49" s="164">
        <f t="shared" si="29"/>
        <v>-30.071069955843111</v>
      </c>
      <c r="AV49" s="164">
        <f t="shared" si="30"/>
        <v>1.078158194004621</v>
      </c>
      <c r="AW49" s="168">
        <f t="shared" si="31"/>
        <v>-1.8418059953790866E-3</v>
      </c>
      <c r="AX49" s="168">
        <f t="shared" si="32"/>
        <v>450.95775323963989</v>
      </c>
      <c r="AY49" s="168">
        <f t="shared" si="33"/>
        <v>-8.3057669357945141</v>
      </c>
      <c r="AZ49" s="168">
        <f t="shared" si="34"/>
        <v>-18.418059953790866</v>
      </c>
    </row>
    <row r="50" spans="1:52" ht="18" x14ac:dyDescent="0.25">
      <c r="A50">
        <v>1</v>
      </c>
      <c r="B50" t="s">
        <v>56</v>
      </c>
      <c r="C50" t="s">
        <v>28</v>
      </c>
      <c r="D50" t="s">
        <v>427</v>
      </c>
      <c r="E50">
        <v>1</v>
      </c>
      <c r="F50" s="9" t="s">
        <v>76</v>
      </c>
      <c r="G50">
        <v>45</v>
      </c>
      <c r="H50">
        <v>4.4859999999999998</v>
      </c>
      <c r="Q50" s="169">
        <v>492</v>
      </c>
      <c r="R50" s="169" t="s">
        <v>170</v>
      </c>
      <c r="S50" s="169">
        <v>4.9551080000000001</v>
      </c>
      <c r="T50" s="169">
        <v>0.13517651960302524</v>
      </c>
      <c r="U50" s="169">
        <v>6.2272365000000001</v>
      </c>
      <c r="V50" s="169">
        <v>-29.253413205286936</v>
      </c>
      <c r="W50" s="156">
        <v>4.4859999999999998</v>
      </c>
      <c r="X50" s="170">
        <v>6.0891198571428573</v>
      </c>
      <c r="Y50" s="170">
        <v>1.937853204676379</v>
      </c>
      <c r="Z50" s="170">
        <v>4.0229087857142849</v>
      </c>
      <c r="AA50" s="170">
        <v>-25.881361430956051</v>
      </c>
      <c r="AB50" s="170">
        <v>2.7697142857142856</v>
      </c>
      <c r="AC50" s="170">
        <v>2.7697142857142856</v>
      </c>
      <c r="AD50" s="158">
        <f t="shared" si="15"/>
        <v>1.2827131784164255E-2</v>
      </c>
      <c r="AE50" s="158">
        <f t="shared" si="16"/>
        <v>0.3167721692777275</v>
      </c>
      <c r="AF50" s="159">
        <f t="shared" si="17"/>
        <v>6.3559823320766567E-2</v>
      </c>
      <c r="AG50" s="159">
        <f t="shared" si="18"/>
        <v>1.9726152147104434</v>
      </c>
      <c r="AH50" s="160">
        <f t="shared" si="19"/>
        <v>1.4168484913233743</v>
      </c>
      <c r="AI50" s="160">
        <f t="shared" si="20"/>
        <v>43.972697608346934</v>
      </c>
      <c r="AJ50" s="161">
        <f t="shared" si="21"/>
        <v>31.035567936607862</v>
      </c>
      <c r="AK50" s="171">
        <f t="shared" si="35"/>
        <v>0.17732331492664621</v>
      </c>
      <c r="AL50" s="162">
        <f t="shared" si="22"/>
        <v>-29.402051774330886</v>
      </c>
      <c r="AM50" s="163">
        <v>0.36599999999999999</v>
      </c>
      <c r="AN50" s="164">
        <f t="shared" si="23"/>
        <v>0.17732331492664621</v>
      </c>
      <c r="AO50" s="165">
        <f t="shared" si="24"/>
        <v>0.36631835898180559</v>
      </c>
      <c r="AP50" s="166">
        <f t="shared" si="25"/>
        <v>3.1835898180559985E-4</v>
      </c>
      <c r="AQ50" s="166">
        <f t="shared" si="26"/>
        <v>14.168484913233742</v>
      </c>
      <c r="AR50" s="166">
        <f t="shared" si="27"/>
        <v>4.5106644307050969E-2</v>
      </c>
      <c r="AS50" s="166">
        <f t="shared" si="28"/>
        <v>3.1835898180559985</v>
      </c>
      <c r="AT50" s="163">
        <v>1.08</v>
      </c>
      <c r="AU50" s="164">
        <f t="shared" si="29"/>
        <v>-29.402051774330886</v>
      </c>
      <c r="AV50" s="164">
        <f t="shared" si="30"/>
        <v>1.0788938409894155</v>
      </c>
      <c r="AW50" s="168">
        <f t="shared" si="31"/>
        <v>-1.1061590105845287E-3</v>
      </c>
      <c r="AX50" s="168">
        <f t="shared" si="32"/>
        <v>439.72697608346931</v>
      </c>
      <c r="AY50" s="168">
        <f t="shared" si="33"/>
        <v>-4.8640795679181714</v>
      </c>
      <c r="AZ50" s="168">
        <f t="shared" si="34"/>
        <v>-11.061590105845287</v>
      </c>
    </row>
    <row r="51" spans="1:52" ht="18" x14ac:dyDescent="0.25">
      <c r="A51">
        <v>1</v>
      </c>
      <c r="B51" t="s">
        <v>56</v>
      </c>
      <c r="C51" t="s">
        <v>28</v>
      </c>
      <c r="D51" t="s">
        <v>428</v>
      </c>
      <c r="E51">
        <v>1</v>
      </c>
      <c r="F51" s="9" t="s">
        <v>77</v>
      </c>
      <c r="G51">
        <v>46</v>
      </c>
      <c r="H51">
        <v>4.758</v>
      </c>
      <c r="Q51" s="154">
        <v>493</v>
      </c>
      <c r="R51" s="154" t="s">
        <v>171</v>
      </c>
      <c r="S51" s="154">
        <v>4.5710635000000002</v>
      </c>
      <c r="T51" s="154">
        <v>3.6832602887818036</v>
      </c>
      <c r="U51" s="154">
        <v>6.4717180000000001</v>
      </c>
      <c r="V51" s="154">
        <v>-28.033988102622221</v>
      </c>
      <c r="W51" s="156">
        <v>4.758</v>
      </c>
      <c r="X51" s="170">
        <v>6.0891198571428573</v>
      </c>
      <c r="Y51" s="170">
        <v>1.937853204676379</v>
      </c>
      <c r="Z51" s="170">
        <v>4.0229087857142849</v>
      </c>
      <c r="AA51" s="170">
        <v>-25.881361430956051</v>
      </c>
      <c r="AB51" s="170">
        <v>2.7697142857142856</v>
      </c>
      <c r="AC51" s="170">
        <v>2.7697142857142856</v>
      </c>
      <c r="AD51" s="158">
        <f t="shared" si="15"/>
        <v>1.2827131784164255E-2</v>
      </c>
      <c r="AE51" s="158">
        <f t="shared" si="16"/>
        <v>0.3167721692777275</v>
      </c>
      <c r="AF51" s="159">
        <f t="shared" si="17"/>
        <v>5.8633633908283106E-2</v>
      </c>
      <c r="AG51" s="159">
        <f t="shared" si="18"/>
        <v>2.0500601498137159</v>
      </c>
      <c r="AH51" s="160">
        <f t="shared" si="19"/>
        <v>1.2323168118596701</v>
      </c>
      <c r="AI51" s="160">
        <f t="shared" si="20"/>
        <v>43.086594153293731</v>
      </c>
      <c r="AJ51" s="161">
        <f t="shared" si="21"/>
        <v>34.963893812559796</v>
      </c>
      <c r="AK51" s="171">
        <f t="shared" si="35"/>
        <v>3.7254070841054245</v>
      </c>
      <c r="AL51" s="162">
        <f t="shared" si="22"/>
        <v>-28.182626671666171</v>
      </c>
      <c r="AM51" s="163">
        <v>0.36599999999999999</v>
      </c>
      <c r="AN51" s="164">
        <f t="shared" si="23"/>
        <v>3.7254070841054245</v>
      </c>
      <c r="AO51" s="165">
        <f t="shared" si="24"/>
        <v>0.36761307965054946</v>
      </c>
      <c r="AP51" s="166">
        <f t="shared" si="25"/>
        <v>1.6130796505494649E-3</v>
      </c>
      <c r="AQ51" s="166">
        <f t="shared" si="26"/>
        <v>12.323168118596701</v>
      </c>
      <c r="AR51" s="166">
        <f t="shared" si="27"/>
        <v>0.19878251722408277</v>
      </c>
      <c r="AS51" s="166">
        <f t="shared" si="28"/>
        <v>16.130796505494651</v>
      </c>
      <c r="AT51" s="163">
        <v>1.08</v>
      </c>
      <c r="AU51" s="164">
        <f t="shared" si="29"/>
        <v>-28.182626671666171</v>
      </c>
      <c r="AV51" s="164">
        <f t="shared" si="30"/>
        <v>1.0802346828293548</v>
      </c>
      <c r="AW51" s="168">
        <f t="shared" si="31"/>
        <v>2.346828293546821E-4</v>
      </c>
      <c r="AX51" s="168">
        <f t="shared" si="32"/>
        <v>430.86594153293731</v>
      </c>
      <c r="AY51" s="168">
        <f t="shared" si="33"/>
        <v>1.0111683823151876</v>
      </c>
      <c r="AZ51" s="168">
        <f t="shared" si="34"/>
        <v>2.346828293546821</v>
      </c>
    </row>
    <row r="52" spans="1:52" ht="18" x14ac:dyDescent="0.25">
      <c r="A52">
        <v>1</v>
      </c>
      <c r="B52" t="s">
        <v>56</v>
      </c>
      <c r="C52" t="s">
        <v>30</v>
      </c>
      <c r="D52" t="s">
        <v>427</v>
      </c>
      <c r="E52">
        <v>1</v>
      </c>
      <c r="F52" s="9" t="s">
        <v>78</v>
      </c>
      <c r="G52">
        <v>47</v>
      </c>
      <c r="H52">
        <v>4.1719999999999997</v>
      </c>
      <c r="Q52" s="169">
        <v>494</v>
      </c>
      <c r="R52" s="169" t="s">
        <v>172</v>
      </c>
      <c r="S52" s="169">
        <v>4.4677034999999998</v>
      </c>
      <c r="T52" s="169">
        <v>0.72611367043377284</v>
      </c>
      <c r="U52" s="169">
        <v>5.5505550000000001</v>
      </c>
      <c r="V52" s="169">
        <v>-28.570273276011736</v>
      </c>
      <c r="W52" s="156">
        <v>4.1719999999999997</v>
      </c>
      <c r="X52" s="170">
        <v>6.0891198571428573</v>
      </c>
      <c r="Y52" s="170">
        <v>1.937853204676379</v>
      </c>
      <c r="Z52" s="170">
        <v>4.0229087857142849</v>
      </c>
      <c r="AA52" s="170">
        <v>-25.881361430956051</v>
      </c>
      <c r="AB52" s="170">
        <v>2.7697142857142856</v>
      </c>
      <c r="AC52" s="170">
        <v>2.7697142857142856</v>
      </c>
      <c r="AD52" s="158">
        <f t="shared" si="15"/>
        <v>1.2827131784164255E-2</v>
      </c>
      <c r="AE52" s="158">
        <f t="shared" si="16"/>
        <v>0.3167721692777275</v>
      </c>
      <c r="AF52" s="159">
        <f t="shared" si="17"/>
        <v>5.7307821567071884E-2</v>
      </c>
      <c r="AG52" s="159">
        <f t="shared" si="18"/>
        <v>1.7582613480453368</v>
      </c>
      <c r="AH52" s="160">
        <f t="shared" si="19"/>
        <v>1.3736294718857116</v>
      </c>
      <c r="AI52" s="160">
        <f t="shared" si="20"/>
        <v>42.144327613742497</v>
      </c>
      <c r="AJ52" s="161">
        <f t="shared" si="21"/>
        <v>30.681001300799828</v>
      </c>
      <c r="AK52" s="162">
        <f t="shared" si="35"/>
        <v>0.76826046575739382</v>
      </c>
      <c r="AL52" s="162">
        <f t="shared" si="22"/>
        <v>-28.718911845055686</v>
      </c>
      <c r="AM52" s="163">
        <v>0.36599999999999999</v>
      </c>
      <c r="AN52" s="164">
        <f t="shared" si="23"/>
        <v>0.76826046575739382</v>
      </c>
      <c r="AO52" s="165">
        <f t="shared" si="24"/>
        <v>0.36653399843097872</v>
      </c>
      <c r="AP52" s="166">
        <f t="shared" si="25"/>
        <v>5.3399843097873267E-4</v>
      </c>
      <c r="AQ52" s="166">
        <f t="shared" si="26"/>
        <v>13.736294718857115</v>
      </c>
      <c r="AR52" s="166">
        <f t="shared" si="27"/>
        <v>7.3351598273311516E-2</v>
      </c>
      <c r="AS52" s="166">
        <f t="shared" si="28"/>
        <v>5.3399843097873267</v>
      </c>
      <c r="AT52" s="163">
        <v>1.08</v>
      </c>
      <c r="AU52" s="164">
        <f t="shared" si="29"/>
        <v>-28.718911845055686</v>
      </c>
      <c r="AV52" s="164">
        <f t="shared" si="30"/>
        <v>1.0796450048436248</v>
      </c>
      <c r="AW52" s="168">
        <f t="shared" si="31"/>
        <v>-3.5499515637527068E-4</v>
      </c>
      <c r="AX52" s="168">
        <f t="shared" si="32"/>
        <v>421.44327613742502</v>
      </c>
      <c r="AY52" s="168">
        <f t="shared" si="33"/>
        <v>-1.4961032171571158</v>
      </c>
      <c r="AZ52" s="168">
        <f t="shared" si="34"/>
        <v>-3.5499515637527068</v>
      </c>
    </row>
    <row r="53" spans="1:52" ht="18" x14ac:dyDescent="0.25">
      <c r="A53">
        <v>1</v>
      </c>
      <c r="B53" t="s">
        <v>56</v>
      </c>
      <c r="C53" t="s">
        <v>30</v>
      </c>
      <c r="D53" t="s">
        <v>428</v>
      </c>
      <c r="E53">
        <v>1</v>
      </c>
      <c r="F53" s="9" t="s">
        <v>79</v>
      </c>
      <c r="G53">
        <v>48</v>
      </c>
      <c r="H53">
        <v>4.2889999999999997</v>
      </c>
      <c r="Q53" s="154">
        <v>495</v>
      </c>
      <c r="R53" s="154" t="s">
        <v>173</v>
      </c>
      <c r="S53" s="154">
        <v>2.9055522499999999</v>
      </c>
      <c r="T53" s="154">
        <v>4.4096957748788581</v>
      </c>
      <c r="U53" s="154">
        <v>5.7643000000000004</v>
      </c>
      <c r="V53" s="154">
        <v>-26.816409764321186</v>
      </c>
      <c r="W53" s="156">
        <v>4.2889999999999997</v>
      </c>
      <c r="X53" s="170">
        <v>6.0891198571428573</v>
      </c>
      <c r="Y53" s="170">
        <v>1.937853204676379</v>
      </c>
      <c r="Z53" s="170">
        <v>4.0229087857142849</v>
      </c>
      <c r="AA53" s="170">
        <v>-25.881361430956051</v>
      </c>
      <c r="AB53" s="170">
        <v>2.7697142857142856</v>
      </c>
      <c r="AC53" s="170">
        <v>2.7697142857142856</v>
      </c>
      <c r="AD53" s="158">
        <f t="shared" si="15"/>
        <v>1.2827131784164255E-2</v>
      </c>
      <c r="AE53" s="158">
        <f t="shared" si="16"/>
        <v>0.3167721692777275</v>
      </c>
      <c r="AF53" s="159">
        <f t="shared" si="17"/>
        <v>3.7269901616524964E-2</v>
      </c>
      <c r="AG53" s="159">
        <f t="shared" si="18"/>
        <v>1.8259698153676047</v>
      </c>
      <c r="AH53" s="160">
        <f t="shared" si="19"/>
        <v>0.86896483134821567</v>
      </c>
      <c r="AI53" s="160">
        <f t="shared" si="20"/>
        <v>42.573322811088943</v>
      </c>
      <c r="AJ53" s="161">
        <f t="shared" si="21"/>
        <v>48.993148255534827</v>
      </c>
      <c r="AK53" s="162">
        <f t="shared" si="35"/>
        <v>4.4518425702024791</v>
      </c>
      <c r="AL53" s="162">
        <f t="shared" si="22"/>
        <v>-26.965048333365136</v>
      </c>
      <c r="AM53" s="163">
        <v>0.36599999999999999</v>
      </c>
      <c r="AN53" s="164">
        <f t="shared" si="23"/>
        <v>4.4518425702024791</v>
      </c>
      <c r="AO53" s="165">
        <f t="shared" si="24"/>
        <v>0.36787815690780229</v>
      </c>
      <c r="AP53" s="166">
        <f t="shared" si="25"/>
        <v>1.8781569078022975E-3</v>
      </c>
      <c r="AQ53" s="166">
        <f t="shared" si="26"/>
        <v>8.6896483134821558</v>
      </c>
      <c r="AR53" s="166">
        <f t="shared" si="27"/>
        <v>0.16320523006339097</v>
      </c>
      <c r="AS53" s="166">
        <f t="shared" si="28"/>
        <v>18.781569078022976</v>
      </c>
      <c r="AT53" s="163">
        <v>1.08</v>
      </c>
      <c r="AU53" s="164">
        <f t="shared" si="29"/>
        <v>-26.965048333365136</v>
      </c>
      <c r="AV53" s="164">
        <f t="shared" si="30"/>
        <v>1.0815734577584695</v>
      </c>
      <c r="AW53" s="168">
        <f t="shared" si="31"/>
        <v>1.5734577584693987E-3</v>
      </c>
      <c r="AX53" s="168">
        <f t="shared" si="32"/>
        <v>425.7332281108894</v>
      </c>
      <c r="AY53" s="168">
        <f t="shared" si="33"/>
        <v>6.6987325080930118</v>
      </c>
      <c r="AZ53" s="168">
        <f t="shared" si="34"/>
        <v>15.734577584693987</v>
      </c>
    </row>
    <row r="54" spans="1:52" ht="18" x14ac:dyDescent="0.25">
      <c r="A54" s="13">
        <v>2</v>
      </c>
      <c r="B54" t="s">
        <v>25</v>
      </c>
      <c r="C54" t="s">
        <v>28</v>
      </c>
      <c r="D54" t="s">
        <v>427</v>
      </c>
      <c r="E54">
        <v>1</v>
      </c>
      <c r="F54" s="9" t="s">
        <v>80</v>
      </c>
      <c r="G54">
        <v>51</v>
      </c>
      <c r="H54">
        <v>4.2850000000000001</v>
      </c>
      <c r="Q54" s="169">
        <v>496</v>
      </c>
      <c r="R54" s="169" t="s">
        <v>174</v>
      </c>
      <c r="S54" s="169">
        <v>4.9640424999999997</v>
      </c>
      <c r="T54" s="169">
        <v>96.837677030644997</v>
      </c>
      <c r="U54" s="169">
        <v>5.1126754999999999</v>
      </c>
      <c r="V54" s="169">
        <v>-26.731776558154685</v>
      </c>
      <c r="W54" s="156">
        <v>4.2850000000000001</v>
      </c>
      <c r="X54" s="170">
        <v>6.0891198571428573</v>
      </c>
      <c r="Y54" s="170">
        <v>1.937853204676379</v>
      </c>
      <c r="Z54" s="170">
        <v>4.0229087857142849</v>
      </c>
      <c r="AA54" s="170">
        <v>-25.881361430956051</v>
      </c>
      <c r="AB54" s="170">
        <v>2.7697142857142856</v>
      </c>
      <c r="AC54" s="170">
        <v>2.7697142857142856</v>
      </c>
      <c r="AD54" s="158">
        <f t="shared" si="15"/>
        <v>1.2827131784164255E-2</v>
      </c>
      <c r="AE54" s="158">
        <f t="shared" si="16"/>
        <v>0.3167721692777275</v>
      </c>
      <c r="AF54" s="159">
        <f t="shared" si="17"/>
        <v>6.3674427329692182E-2</v>
      </c>
      <c r="AG54" s="159">
        <f t="shared" si="18"/>
        <v>1.61955330894809</v>
      </c>
      <c r="AH54" s="160">
        <f t="shared" si="19"/>
        <v>1.485984301743108</v>
      </c>
      <c r="AI54" s="160">
        <f t="shared" si="20"/>
        <v>37.795876521542361</v>
      </c>
      <c r="AJ54" s="161">
        <f t="shared" si="21"/>
        <v>25.434909694003199</v>
      </c>
      <c r="AK54" s="162">
        <f t="shared" si="35"/>
        <v>96.879823825968614</v>
      </c>
      <c r="AL54" s="162">
        <f t="shared" si="22"/>
        <v>-26.880415127198635</v>
      </c>
      <c r="AM54" s="163">
        <v>0.36599999999999999</v>
      </c>
      <c r="AN54" s="164">
        <f t="shared" si="23"/>
        <v>96.879823825968614</v>
      </c>
      <c r="AO54" s="165">
        <f t="shared" si="24"/>
        <v>0.40159374495824351</v>
      </c>
      <c r="AP54" s="166">
        <f t="shared" si="25"/>
        <v>3.5593744958243523E-2</v>
      </c>
      <c r="AQ54" s="166">
        <f t="shared" si="26"/>
        <v>14.85984301743108</v>
      </c>
      <c r="AR54" s="166">
        <f t="shared" si="27"/>
        <v>5.2891746248197773</v>
      </c>
      <c r="AS54" s="166">
        <f t="shared" si="28"/>
        <v>355.93744958243525</v>
      </c>
      <c r="AT54" s="163">
        <v>1.08</v>
      </c>
      <c r="AU54" s="164">
        <f t="shared" si="29"/>
        <v>-26.880415127198635</v>
      </c>
      <c r="AV54" s="164">
        <f t="shared" si="30"/>
        <v>1.08166651392658</v>
      </c>
      <c r="AW54" s="168">
        <f t="shared" si="31"/>
        <v>1.6665139265799045E-3</v>
      </c>
      <c r="AX54" s="168">
        <f t="shared" si="32"/>
        <v>377.95876521542363</v>
      </c>
      <c r="AY54" s="168">
        <f t="shared" si="33"/>
        <v>6.2987354590444786</v>
      </c>
      <c r="AZ54" s="168">
        <f t="shared" si="34"/>
        <v>16.665139265799045</v>
      </c>
    </row>
    <row r="55" spans="1:52" ht="18" x14ac:dyDescent="0.25">
      <c r="I55" s="25" t="s">
        <v>469</v>
      </c>
      <c r="Q55" s="154">
        <v>497</v>
      </c>
      <c r="R55" s="154" t="s">
        <v>175</v>
      </c>
      <c r="S55" s="154">
        <v>4.8555485000000003</v>
      </c>
      <c r="T55" s="154">
        <v>1.7497320712169335</v>
      </c>
      <c r="U55" s="154">
        <v>3.343858</v>
      </c>
      <c r="V55" s="154">
        <v>-25.869258752023509</v>
      </c>
      <c r="W55" s="154">
        <v>1.9690000000000001</v>
      </c>
      <c r="X55" s="170">
        <v>6.0891198571428573</v>
      </c>
      <c r="Y55" s="170">
        <v>1.937853204676379</v>
      </c>
      <c r="Z55" s="170">
        <v>4.0229087857142849</v>
      </c>
      <c r="AA55" s="170">
        <v>-25.881361430956051</v>
      </c>
      <c r="AB55" s="170">
        <v>2.7697142857142856</v>
      </c>
      <c r="AC55" s="170">
        <v>2.7697142857142856</v>
      </c>
      <c r="AD55" s="158">
        <f t="shared" si="15"/>
        <v>1.2827131784164255E-2</v>
      </c>
      <c r="AE55" s="158">
        <f t="shared" si="16"/>
        <v>0.3167721692777275</v>
      </c>
      <c r="AF55" s="159">
        <f t="shared" si="17"/>
        <v>6.2282760493901072E-2</v>
      </c>
      <c r="AG55" s="159">
        <f t="shared" si="18"/>
        <v>1.0592411524166834</v>
      </c>
      <c r="AH55" s="160">
        <f t="shared" si="19"/>
        <v>3.1631671149772003</v>
      </c>
      <c r="AI55" s="160">
        <f t="shared" si="20"/>
        <v>53.795893977485186</v>
      </c>
      <c r="AJ55" s="161">
        <f t="shared" si="21"/>
        <v>17.006971817191815</v>
      </c>
      <c r="AK55" s="162">
        <f t="shared" si="35"/>
        <v>1.7918788665405545</v>
      </c>
      <c r="AL55" s="162">
        <f t="shared" si="22"/>
        <v>-26.017897321067458</v>
      </c>
      <c r="AM55" s="163">
        <v>0.36599999999999999</v>
      </c>
      <c r="AN55" s="164">
        <f t="shared" si="23"/>
        <v>1.7918788665405545</v>
      </c>
      <c r="AO55" s="165">
        <f t="shared" si="24"/>
        <v>0.3669075258061556</v>
      </c>
      <c r="AP55" s="166">
        <f t="shared" si="25"/>
        <v>9.0752580615560685E-4</v>
      </c>
      <c r="AQ55" s="166">
        <f t="shared" si="26"/>
        <v>31.631671149772</v>
      </c>
      <c r="AR55" s="166">
        <f t="shared" si="27"/>
        <v>0.2870655786024589</v>
      </c>
      <c r="AS55" s="166">
        <f t="shared" si="28"/>
        <v>9.0752580615560685</v>
      </c>
      <c r="AT55" s="163">
        <v>1.08</v>
      </c>
      <c r="AU55" s="164">
        <f t="shared" si="29"/>
        <v>-26.017897321067458</v>
      </c>
      <c r="AV55" s="164">
        <f t="shared" si="30"/>
        <v>1.0826148622239367</v>
      </c>
      <c r="AW55" s="168">
        <f t="shared" si="31"/>
        <v>2.6148622239365871E-3</v>
      </c>
      <c r="AX55" s="168">
        <f t="shared" si="32"/>
        <v>537.95893977485184</v>
      </c>
      <c r="AY55" s="168">
        <f t="shared" si="33"/>
        <v>14.066885096462377</v>
      </c>
      <c r="AZ55" s="168">
        <f t="shared" si="34"/>
        <v>26.148622239365871</v>
      </c>
    </row>
    <row r="56" spans="1:52" ht="18" x14ac:dyDescent="0.25">
      <c r="A56">
        <v>2</v>
      </c>
      <c r="B56" t="s">
        <v>25</v>
      </c>
      <c r="C56" t="s">
        <v>28</v>
      </c>
      <c r="D56" t="s">
        <v>428</v>
      </c>
      <c r="E56">
        <v>1</v>
      </c>
      <c r="F56" s="9" t="s">
        <v>81</v>
      </c>
      <c r="G56">
        <v>52</v>
      </c>
      <c r="H56">
        <v>4.4109999999999996</v>
      </c>
      <c r="Q56" s="169">
        <v>498</v>
      </c>
      <c r="R56" s="169" t="s">
        <v>176</v>
      </c>
      <c r="S56" s="169">
        <v>4.7172714999999998</v>
      </c>
      <c r="T56" s="169">
        <v>14.73853806162278</v>
      </c>
      <c r="U56" s="169">
        <v>5.9830350000000001</v>
      </c>
      <c r="V56" s="169">
        <v>-26.629947112051699</v>
      </c>
      <c r="W56" s="156">
        <v>4.4109999999999996</v>
      </c>
      <c r="X56" s="170">
        <v>6.0891198571428573</v>
      </c>
      <c r="Y56" s="170">
        <v>1.937853204676379</v>
      </c>
      <c r="Z56" s="170">
        <v>4.0229087857142849</v>
      </c>
      <c r="AA56" s="170">
        <v>-25.881361430956051</v>
      </c>
      <c r="AB56" s="170">
        <v>2.7697142857142856</v>
      </c>
      <c r="AC56" s="170">
        <v>2.7697142857142856</v>
      </c>
      <c r="AD56" s="158">
        <f t="shared" si="15"/>
        <v>1.2827131784164255E-2</v>
      </c>
      <c r="AE56" s="158">
        <f t="shared" si="16"/>
        <v>0.3167721692777275</v>
      </c>
      <c r="AF56" s="159">
        <f t="shared" si="17"/>
        <v>6.0509063192182189E-2</v>
      </c>
      <c r="AG56" s="159">
        <f t="shared" si="18"/>
        <v>1.8952589758145684</v>
      </c>
      <c r="AH56" s="160">
        <f t="shared" si="19"/>
        <v>1.3717765402897801</v>
      </c>
      <c r="AI56" s="160">
        <f t="shared" si="20"/>
        <v>42.96665100463769</v>
      </c>
      <c r="AJ56" s="161">
        <f t="shared" si="21"/>
        <v>31.32190246930541</v>
      </c>
      <c r="AK56" s="162">
        <f t="shared" si="35"/>
        <v>14.780684856946401</v>
      </c>
      <c r="AL56" s="162">
        <f t="shared" si="22"/>
        <v>-26.778585681095649</v>
      </c>
      <c r="AM56" s="163">
        <v>0.36599999999999999</v>
      </c>
      <c r="AN56" s="164">
        <f t="shared" si="23"/>
        <v>14.780684856946401</v>
      </c>
      <c r="AO56" s="165">
        <f t="shared" si="24"/>
        <v>0.37164701234251962</v>
      </c>
      <c r="AP56" s="166">
        <f t="shared" si="25"/>
        <v>5.6470123425196306E-3</v>
      </c>
      <c r="AQ56" s="166">
        <f t="shared" si="26"/>
        <v>13.717765402897802</v>
      </c>
      <c r="AR56" s="166">
        <f t="shared" si="27"/>
        <v>0.77464390541952666</v>
      </c>
      <c r="AS56" s="166">
        <f t="shared" si="28"/>
        <v>56.470123425196306</v>
      </c>
      <c r="AT56" s="163">
        <v>1.08</v>
      </c>
      <c r="AU56" s="164">
        <f t="shared" si="29"/>
        <v>-26.778585681095649</v>
      </c>
      <c r="AV56" s="164">
        <f t="shared" si="30"/>
        <v>1.0817784775262653</v>
      </c>
      <c r="AW56" s="168">
        <f t="shared" si="31"/>
        <v>1.7784775262652541E-3</v>
      </c>
      <c r="AX56" s="168">
        <f t="shared" si="32"/>
        <v>429.66651004637691</v>
      </c>
      <c r="AY56" s="168">
        <f t="shared" si="33"/>
        <v>7.6415223190630535</v>
      </c>
      <c r="AZ56" s="168">
        <f t="shared" si="34"/>
        <v>17.784775262652541</v>
      </c>
    </row>
    <row r="57" spans="1:52" ht="18" x14ac:dyDescent="0.25">
      <c r="A57">
        <v>2</v>
      </c>
      <c r="B57" t="s">
        <v>25</v>
      </c>
      <c r="C57" t="s">
        <v>30</v>
      </c>
      <c r="D57" t="s">
        <v>427</v>
      </c>
      <c r="E57">
        <v>1</v>
      </c>
      <c r="F57" s="9" t="s">
        <v>82</v>
      </c>
      <c r="G57">
        <v>53</v>
      </c>
      <c r="H57">
        <v>4.3849999999999998</v>
      </c>
      <c r="Q57" s="154">
        <v>499</v>
      </c>
      <c r="R57" s="154" t="s">
        <v>177</v>
      </c>
      <c r="S57" s="154">
        <v>5.0890005</v>
      </c>
      <c r="T57" s="154">
        <v>72.523606381380048</v>
      </c>
      <c r="U57" s="154">
        <v>5.7338250000000004</v>
      </c>
      <c r="V57" s="154">
        <v>-26.86329634679932</v>
      </c>
      <c r="W57" s="156">
        <v>4.3849999999999998</v>
      </c>
      <c r="X57" s="170">
        <v>6.0891198571428573</v>
      </c>
      <c r="Y57" s="170">
        <v>1.937853204676379</v>
      </c>
      <c r="Z57" s="170">
        <v>4.0229087857142849</v>
      </c>
      <c r="AA57" s="170">
        <v>-25.881361430956051</v>
      </c>
      <c r="AB57" s="170">
        <v>2.7697142857142856</v>
      </c>
      <c r="AC57" s="170">
        <v>2.7697142857142856</v>
      </c>
      <c r="AD57" s="158">
        <f t="shared" si="15"/>
        <v>1.2827131784164255E-2</v>
      </c>
      <c r="AE57" s="158">
        <f t="shared" si="16"/>
        <v>0.3167721692777275</v>
      </c>
      <c r="AF57" s="159">
        <f t="shared" si="17"/>
        <v>6.5277280063177789E-2</v>
      </c>
      <c r="AG57" s="159">
        <f t="shared" si="18"/>
        <v>1.8163161835088659</v>
      </c>
      <c r="AH57" s="160">
        <f t="shared" si="19"/>
        <v>1.4886494883278858</v>
      </c>
      <c r="AI57" s="160">
        <f t="shared" si="20"/>
        <v>41.421121630760908</v>
      </c>
      <c r="AJ57" s="161">
        <f t="shared" si="21"/>
        <v>27.8246302810253</v>
      </c>
      <c r="AK57" s="162">
        <f t="shared" si="35"/>
        <v>72.565753176703666</v>
      </c>
      <c r="AL57" s="162">
        <f t="shared" si="22"/>
        <v>-27.01193491584327</v>
      </c>
      <c r="AM57" s="163">
        <v>0.36599999999999999</v>
      </c>
      <c r="AN57" s="164">
        <f t="shared" si="23"/>
        <v>72.565753176703666</v>
      </c>
      <c r="AO57" s="165">
        <f t="shared" si="24"/>
        <v>0.39272674681570524</v>
      </c>
      <c r="AP57" s="166">
        <f t="shared" si="25"/>
        <v>2.6726746815705249E-2</v>
      </c>
      <c r="AQ57" s="166">
        <f t="shared" si="26"/>
        <v>14.886494883278859</v>
      </c>
      <c r="AR57" s="166">
        <f t="shared" si="27"/>
        <v>3.9786757971868565</v>
      </c>
      <c r="AS57" s="166">
        <f t="shared" si="28"/>
        <v>267.26746815705246</v>
      </c>
      <c r="AT57" s="163">
        <v>1.08</v>
      </c>
      <c r="AU57" s="164">
        <f t="shared" si="29"/>
        <v>-27.01193491584327</v>
      </c>
      <c r="AV57" s="164">
        <f t="shared" si="30"/>
        <v>1.081521904800981</v>
      </c>
      <c r="AW57" s="168">
        <f t="shared" si="31"/>
        <v>1.5219048009809111E-3</v>
      </c>
      <c r="AX57" s="168">
        <f t="shared" si="32"/>
        <v>414.21121630760911</v>
      </c>
      <c r="AY57" s="168">
        <f t="shared" si="33"/>
        <v>6.3039003871869292</v>
      </c>
      <c r="AZ57" s="168">
        <f t="shared" si="34"/>
        <v>15.219048009809111</v>
      </c>
    </row>
    <row r="58" spans="1:52" ht="18" x14ac:dyDescent="0.25">
      <c r="A58">
        <v>2</v>
      </c>
      <c r="B58" t="s">
        <v>25</v>
      </c>
      <c r="C58" t="s">
        <v>30</v>
      </c>
      <c r="D58" t="s">
        <v>428</v>
      </c>
      <c r="E58">
        <v>1</v>
      </c>
      <c r="F58" s="9" t="s">
        <v>83</v>
      </c>
      <c r="G58">
        <v>54</v>
      </c>
      <c r="H58">
        <v>4.327</v>
      </c>
      <c r="Q58" s="169">
        <v>500</v>
      </c>
      <c r="R58" s="169" t="s">
        <v>178</v>
      </c>
      <c r="S58" s="169">
        <v>2.9932184999999998</v>
      </c>
      <c r="T58" s="169">
        <v>4.0312623214252881</v>
      </c>
      <c r="U58" s="169">
        <v>5.9797494999999996</v>
      </c>
      <c r="V58" s="169">
        <v>-27.046559965772527</v>
      </c>
      <c r="W58" s="156">
        <v>4.327</v>
      </c>
      <c r="X58" s="170">
        <v>6.0891198571428573</v>
      </c>
      <c r="Y58" s="170">
        <v>1.937853204676379</v>
      </c>
      <c r="Z58" s="170">
        <v>4.0229087857142849</v>
      </c>
      <c r="AA58" s="170">
        <v>-25.881361430956051</v>
      </c>
      <c r="AB58" s="170">
        <v>2.7697142857142856</v>
      </c>
      <c r="AC58" s="170">
        <v>2.7697142857142856</v>
      </c>
      <c r="AD58" s="158">
        <f t="shared" si="15"/>
        <v>1.2827131784164255E-2</v>
      </c>
      <c r="AE58" s="158">
        <f t="shared" si="16"/>
        <v>0.3167721692777275</v>
      </c>
      <c r="AF58" s="159">
        <f t="shared" si="17"/>
        <v>3.8394408158298449E-2</v>
      </c>
      <c r="AG58" s="159">
        <f t="shared" si="18"/>
        <v>1.8942182208524063</v>
      </c>
      <c r="AH58" s="160">
        <f t="shared" si="19"/>
        <v>0.88732165838452615</v>
      </c>
      <c r="AI58" s="160">
        <f t="shared" si="20"/>
        <v>43.776709518197507</v>
      </c>
      <c r="AJ58" s="161">
        <f t="shared" si="21"/>
        <v>49.335783821504116</v>
      </c>
      <c r="AK58" s="162">
        <f t="shared" si="35"/>
        <v>4.073409116748909</v>
      </c>
      <c r="AL58" s="162">
        <f t="shared" si="22"/>
        <v>-27.195198534816477</v>
      </c>
      <c r="AM58" s="163">
        <v>0.36599999999999999</v>
      </c>
      <c r="AN58" s="164">
        <f t="shared" si="23"/>
        <v>4.073409116748909</v>
      </c>
      <c r="AO58" s="165">
        <f t="shared" si="24"/>
        <v>0.36774006622258854</v>
      </c>
      <c r="AP58" s="166">
        <f t="shared" si="25"/>
        <v>1.7400662225885433E-3</v>
      </c>
      <c r="AQ58" s="166">
        <f t="shared" si="26"/>
        <v>8.8732165838452612</v>
      </c>
      <c r="AR58" s="166">
        <f t="shared" si="27"/>
        <v>0.15439984463261641</v>
      </c>
      <c r="AS58" s="166">
        <f t="shared" si="28"/>
        <v>17.400662225885434</v>
      </c>
      <c r="AT58" s="163">
        <v>1.08</v>
      </c>
      <c r="AU58" s="164">
        <f t="shared" si="29"/>
        <v>-27.195198534816477</v>
      </c>
      <c r="AV58" s="164">
        <f t="shared" si="30"/>
        <v>1.0813204014021753</v>
      </c>
      <c r="AW58" s="168">
        <f t="shared" si="31"/>
        <v>1.3204014021752641E-3</v>
      </c>
      <c r="AX58" s="168">
        <f t="shared" si="32"/>
        <v>437.76709518197504</v>
      </c>
      <c r="AY58" s="168">
        <f t="shared" si="33"/>
        <v>5.7802828630447216</v>
      </c>
      <c r="AZ58" s="168">
        <f t="shared" si="34"/>
        <v>13.204014021752641</v>
      </c>
    </row>
    <row r="59" spans="1:52" ht="18" x14ac:dyDescent="0.25">
      <c r="A59">
        <v>2</v>
      </c>
      <c r="B59" t="s">
        <v>32</v>
      </c>
      <c r="C59" t="s">
        <v>26</v>
      </c>
      <c r="D59" t="s">
        <v>427</v>
      </c>
      <c r="E59">
        <v>1</v>
      </c>
      <c r="F59" s="9" t="s">
        <v>84</v>
      </c>
      <c r="G59">
        <v>55</v>
      </c>
      <c r="H59">
        <v>4.5519999999999996</v>
      </c>
      <c r="Q59" s="154">
        <v>501</v>
      </c>
      <c r="R59" s="154" t="s">
        <v>179</v>
      </c>
      <c r="S59" s="154">
        <v>6.336163</v>
      </c>
      <c r="T59" s="154">
        <v>230.35228288435127</v>
      </c>
      <c r="U59" s="154">
        <v>6.2642815000000001</v>
      </c>
      <c r="V59" s="154">
        <v>-25.356393200140275</v>
      </c>
      <c r="W59" s="156">
        <v>4.5519999999999996</v>
      </c>
      <c r="X59" s="170">
        <v>6.0891198571428573</v>
      </c>
      <c r="Y59" s="170">
        <v>1.937853204676379</v>
      </c>
      <c r="Z59" s="170">
        <v>4.0229087857142849</v>
      </c>
      <c r="AA59" s="170">
        <v>-25.881361430956051</v>
      </c>
      <c r="AB59" s="170">
        <v>2.7697142857142856</v>
      </c>
      <c r="AC59" s="170">
        <v>2.7697142857142856</v>
      </c>
      <c r="AD59" s="158">
        <f t="shared" si="15"/>
        <v>1.2827131784164255E-2</v>
      </c>
      <c r="AE59" s="158">
        <f t="shared" si="16"/>
        <v>0.3167721692777275</v>
      </c>
      <c r="AF59" s="159">
        <f t="shared" si="17"/>
        <v>8.1274797806945534E-2</v>
      </c>
      <c r="AG59" s="159">
        <f t="shared" si="18"/>
        <v>1.9843500397213367</v>
      </c>
      <c r="AH59" s="160">
        <f t="shared" si="19"/>
        <v>1.7854744685181358</v>
      </c>
      <c r="AI59" s="160">
        <f t="shared" si="20"/>
        <v>43.592927058904586</v>
      </c>
      <c r="AJ59" s="161">
        <f t="shared" si="21"/>
        <v>24.41531807233557</v>
      </c>
      <c r="AK59" s="162">
        <f t="shared" si="35"/>
        <v>230.39442967967489</v>
      </c>
      <c r="AL59" s="162">
        <f t="shared" si="22"/>
        <v>-25.505031769184225</v>
      </c>
      <c r="AM59" s="163">
        <v>0.36599999999999999</v>
      </c>
      <c r="AN59" s="164">
        <f t="shared" si="23"/>
        <v>230.39442967967489</v>
      </c>
      <c r="AO59" s="165">
        <f t="shared" si="24"/>
        <v>0.45025651369122255</v>
      </c>
      <c r="AP59" s="166">
        <f t="shared" si="25"/>
        <v>8.4256513691222557E-2</v>
      </c>
      <c r="AQ59" s="166">
        <f t="shared" si="26"/>
        <v>17.854744685181359</v>
      </c>
      <c r="AR59" s="166">
        <f t="shared" si="27"/>
        <v>15.043785400202664</v>
      </c>
      <c r="AS59" s="166">
        <f t="shared" si="28"/>
        <v>842.56513691222551</v>
      </c>
      <c r="AT59" s="163">
        <v>1.08</v>
      </c>
      <c r="AU59" s="164">
        <f t="shared" si="29"/>
        <v>-25.505031769184225</v>
      </c>
      <c r="AV59" s="164">
        <f t="shared" si="30"/>
        <v>1.083178755205449</v>
      </c>
      <c r="AW59" s="168">
        <f t="shared" si="31"/>
        <v>3.1787552054489687E-3</v>
      </c>
      <c r="AX59" s="168">
        <f t="shared" si="32"/>
        <v>435.92927058904587</v>
      </c>
      <c r="AY59" s="168">
        <f t="shared" si="33"/>
        <v>13.857124380925015</v>
      </c>
      <c r="AZ59" s="168">
        <f t="shared" si="34"/>
        <v>31.787552054489687</v>
      </c>
    </row>
    <row r="60" spans="1:52" ht="18" x14ac:dyDescent="0.25">
      <c r="A60">
        <v>2</v>
      </c>
      <c r="B60" t="s">
        <v>32</v>
      </c>
      <c r="C60" t="s">
        <v>26</v>
      </c>
      <c r="D60" t="s">
        <v>428</v>
      </c>
      <c r="E60">
        <v>1</v>
      </c>
      <c r="F60" s="9" t="s">
        <v>85</v>
      </c>
      <c r="G60">
        <v>56</v>
      </c>
      <c r="H60">
        <v>4.4669999999999996</v>
      </c>
      <c r="Q60" s="169">
        <v>502</v>
      </c>
      <c r="R60" s="169" t="s">
        <v>180</v>
      </c>
      <c r="S60" s="169">
        <v>5.6634409999999997</v>
      </c>
      <c r="T60" s="169">
        <v>295.85150137071753</v>
      </c>
      <c r="U60" s="169">
        <v>6.2524790000000001</v>
      </c>
      <c r="V60" s="169">
        <v>-25.001496237065009</v>
      </c>
      <c r="W60" s="156">
        <v>4.4669999999999996</v>
      </c>
      <c r="X60" s="170">
        <v>6.0891198571428573</v>
      </c>
      <c r="Y60" s="170">
        <v>1.937853204676379</v>
      </c>
      <c r="Z60" s="170">
        <v>4.0229087857142849</v>
      </c>
      <c r="AA60" s="170">
        <v>-25.881361430956051</v>
      </c>
      <c r="AB60" s="170">
        <v>2.7697142857142856</v>
      </c>
      <c r="AC60" s="170">
        <v>2.7697142857142856</v>
      </c>
      <c r="AD60" s="158">
        <f t="shared" si="15"/>
        <v>1.2827131784164255E-2</v>
      </c>
      <c r="AE60" s="158">
        <f t="shared" si="16"/>
        <v>0.3167721692777275</v>
      </c>
      <c r="AF60" s="159">
        <f t="shared" si="17"/>
        <v>7.2645704058838981E-2</v>
      </c>
      <c r="AG60" s="159">
        <f t="shared" si="18"/>
        <v>1.9806113361934363</v>
      </c>
      <c r="AH60" s="160">
        <f t="shared" si="19"/>
        <v>1.6262749957205951</v>
      </c>
      <c r="AI60" s="160">
        <f t="shared" si="20"/>
        <v>44.338735979257585</v>
      </c>
      <c r="AJ60" s="161">
        <f t="shared" si="21"/>
        <v>27.263984317493176</v>
      </c>
      <c r="AK60" s="162">
        <f t="shared" si="35"/>
        <v>295.89364816604115</v>
      </c>
      <c r="AL60" s="162">
        <f t="shared" si="22"/>
        <v>-25.150134806108959</v>
      </c>
      <c r="AM60" s="163">
        <v>0.36599999999999999</v>
      </c>
      <c r="AN60" s="164">
        <f t="shared" si="23"/>
        <v>295.89364816604115</v>
      </c>
      <c r="AO60" s="165">
        <f t="shared" si="24"/>
        <v>0.47411197545378991</v>
      </c>
      <c r="AP60" s="166">
        <f t="shared" si="25"/>
        <v>0.10811197545378992</v>
      </c>
      <c r="AQ60" s="166">
        <f t="shared" si="26"/>
        <v>16.262749957205951</v>
      </c>
      <c r="AR60" s="166">
        <f t="shared" si="27"/>
        <v>17.581980241845727</v>
      </c>
      <c r="AS60" s="166">
        <f t="shared" si="28"/>
        <v>1081.1197545378993</v>
      </c>
      <c r="AT60" s="163">
        <v>1.08</v>
      </c>
      <c r="AU60" s="164">
        <f t="shared" si="29"/>
        <v>-25.150134806108959</v>
      </c>
      <c r="AV60" s="164">
        <f t="shared" si="30"/>
        <v>1.0835689587892747</v>
      </c>
      <c r="AW60" s="168">
        <f t="shared" si="31"/>
        <v>3.5689587892746566E-3</v>
      </c>
      <c r="AX60" s="168">
        <f t="shared" si="32"/>
        <v>443.38735979257586</v>
      </c>
      <c r="AY60" s="168">
        <f t="shared" si="33"/>
        <v>15.824312147849982</v>
      </c>
      <c r="AZ60" s="168">
        <f t="shared" si="34"/>
        <v>35.689587892746566</v>
      </c>
    </row>
    <row r="61" spans="1:52" ht="18" x14ac:dyDescent="0.25">
      <c r="A61">
        <v>2</v>
      </c>
      <c r="B61" t="s">
        <v>32</v>
      </c>
      <c r="C61" t="s">
        <v>28</v>
      </c>
      <c r="D61" t="s">
        <v>427</v>
      </c>
      <c r="E61">
        <v>1</v>
      </c>
      <c r="F61" s="9" t="s">
        <v>86</v>
      </c>
      <c r="G61">
        <v>57</v>
      </c>
      <c r="H61">
        <v>4.3760000000000003</v>
      </c>
      <c r="Q61" s="154">
        <v>503</v>
      </c>
      <c r="R61" s="154" t="s">
        <v>181</v>
      </c>
      <c r="S61" s="154">
        <v>5.1600789999999996</v>
      </c>
      <c r="T61" s="154">
        <v>79.895591328957437</v>
      </c>
      <c r="U61" s="154">
        <v>5.9200460000000001</v>
      </c>
      <c r="V61" s="154">
        <v>-28.00728841656283</v>
      </c>
      <c r="W61" s="156">
        <v>4.3760000000000003</v>
      </c>
      <c r="X61" s="170">
        <v>6.0891198571428573</v>
      </c>
      <c r="Y61" s="170">
        <v>1.937853204676379</v>
      </c>
      <c r="Z61" s="170">
        <v>4.0229087857142849</v>
      </c>
      <c r="AA61" s="170">
        <v>-25.881361430956051</v>
      </c>
      <c r="AB61" s="170">
        <v>2.7697142857142856</v>
      </c>
      <c r="AC61" s="170">
        <v>2.7697142857142856</v>
      </c>
      <c r="AD61" s="158">
        <f t="shared" si="15"/>
        <v>1.2827131784164255E-2</v>
      </c>
      <c r="AE61" s="158">
        <f t="shared" si="16"/>
        <v>0.3167721692777275</v>
      </c>
      <c r="AF61" s="159">
        <f t="shared" si="17"/>
        <v>6.6189013349698497E-2</v>
      </c>
      <c r="AG61" s="159">
        <f t="shared" si="18"/>
        <v>1.8753058136439336</v>
      </c>
      <c r="AH61" s="160">
        <f t="shared" si="19"/>
        <v>1.5125460089053586</v>
      </c>
      <c r="AI61" s="160">
        <f t="shared" si="20"/>
        <v>42.85433760612279</v>
      </c>
      <c r="AJ61" s="161">
        <f t="shared" si="21"/>
        <v>28.33258449912331</v>
      </c>
      <c r="AK61" s="162">
        <f t="shared" si="35"/>
        <v>79.937738124281054</v>
      </c>
      <c r="AL61" s="162">
        <f t="shared" si="22"/>
        <v>-28.155926985606779</v>
      </c>
      <c r="AM61" s="163">
        <v>0.36599999999999999</v>
      </c>
      <c r="AN61" s="164">
        <f t="shared" si="23"/>
        <v>79.937738124281054</v>
      </c>
      <c r="AO61" s="165">
        <f t="shared" si="24"/>
        <v>0.39541537237349011</v>
      </c>
      <c r="AP61" s="166">
        <f t="shared" si="25"/>
        <v>2.9415372373490123E-2</v>
      </c>
      <c r="AQ61" s="166">
        <f t="shared" si="26"/>
        <v>15.125460089053586</v>
      </c>
      <c r="AR61" s="166">
        <f t="shared" si="27"/>
        <v>4.4492104083987432</v>
      </c>
      <c r="AS61" s="166">
        <f t="shared" si="28"/>
        <v>294.15372373490123</v>
      </c>
      <c r="AT61" s="163">
        <v>1.08</v>
      </c>
      <c r="AU61" s="164">
        <f t="shared" si="29"/>
        <v>-28.155926985606779</v>
      </c>
      <c r="AV61" s="164">
        <f t="shared" si="30"/>
        <v>1.0802640405654069</v>
      </c>
      <c r="AW61" s="168">
        <f t="shared" si="31"/>
        <v>2.6404056540685339E-4</v>
      </c>
      <c r="AX61" s="168">
        <f t="shared" si="32"/>
        <v>428.54337606122789</v>
      </c>
      <c r="AY61" s="168">
        <f t="shared" si="33"/>
        <v>1.1315283531656841</v>
      </c>
      <c r="AZ61" s="168">
        <f t="shared" si="34"/>
        <v>2.6404056540685339</v>
      </c>
    </row>
    <row r="62" spans="1:52" ht="18" x14ac:dyDescent="0.25">
      <c r="A62">
        <v>2</v>
      </c>
      <c r="B62" t="s">
        <v>32</v>
      </c>
      <c r="C62" t="s">
        <v>28</v>
      </c>
      <c r="D62" t="s">
        <v>428</v>
      </c>
      <c r="E62">
        <v>1</v>
      </c>
      <c r="F62" s="9" t="s">
        <v>429</v>
      </c>
      <c r="G62">
        <v>58</v>
      </c>
      <c r="H62">
        <v>4.8470000000000004</v>
      </c>
      <c r="Q62" s="169">
        <v>504</v>
      </c>
      <c r="R62" s="169" t="s">
        <v>182</v>
      </c>
      <c r="S62" s="169">
        <v>4.2623790000000001</v>
      </c>
      <c r="T62" s="169">
        <v>277.07938578033378</v>
      </c>
      <c r="U62" s="169">
        <v>6.1951070000000001</v>
      </c>
      <c r="V62" s="169">
        <v>-25.648873059934878</v>
      </c>
      <c r="W62" s="156">
        <v>4.8470000000000004</v>
      </c>
      <c r="X62" s="170">
        <v>6.0891198571428573</v>
      </c>
      <c r="Y62" s="170">
        <v>1.937853204676379</v>
      </c>
      <c r="Z62" s="170">
        <v>4.0229087857142849</v>
      </c>
      <c r="AA62" s="170">
        <v>-25.881361430956051</v>
      </c>
      <c r="AB62" s="170">
        <v>2.7697142857142856</v>
      </c>
      <c r="AC62" s="170">
        <v>2.7697142857142856</v>
      </c>
      <c r="AD62" s="158">
        <f t="shared" si="15"/>
        <v>1.2827131784164255E-2</v>
      </c>
      <c r="AE62" s="158">
        <f t="shared" si="16"/>
        <v>0.3167721692777275</v>
      </c>
      <c r="AF62" s="159">
        <f t="shared" si="17"/>
        <v>5.4674097147054256E-2</v>
      </c>
      <c r="AG62" s="159">
        <f t="shared" si="18"/>
        <v>1.9624374832976346</v>
      </c>
      <c r="AH62" s="160">
        <f t="shared" si="19"/>
        <v>1.1279987032608676</v>
      </c>
      <c r="AI62" s="160">
        <f t="shared" si="20"/>
        <v>40.487672442699285</v>
      </c>
      <c r="AJ62" s="161">
        <f t="shared" si="21"/>
        <v>35.893367896306763</v>
      </c>
      <c r="AK62" s="162">
        <f t="shared" si="35"/>
        <v>277.1215325756574</v>
      </c>
      <c r="AL62" s="162">
        <f t="shared" si="22"/>
        <v>-25.797511628978828</v>
      </c>
      <c r="AM62" s="163">
        <v>0.36599999999999999</v>
      </c>
      <c r="AN62" s="164">
        <f t="shared" si="23"/>
        <v>277.1215325756574</v>
      </c>
      <c r="AO62" s="165">
        <f t="shared" si="24"/>
        <v>0.46727615459418209</v>
      </c>
      <c r="AP62" s="166">
        <f t="shared" si="25"/>
        <v>0.1012761545941821</v>
      </c>
      <c r="AQ62" s="166">
        <f t="shared" si="26"/>
        <v>11.279987032608677</v>
      </c>
      <c r="AR62" s="166">
        <f t="shared" si="27"/>
        <v>11.423937105348459</v>
      </c>
      <c r="AS62" s="166">
        <f t="shared" si="28"/>
        <v>1012.7615459418211</v>
      </c>
      <c r="AT62" s="163">
        <v>1.08</v>
      </c>
      <c r="AU62" s="164">
        <f t="shared" si="29"/>
        <v>-25.797511628978828</v>
      </c>
      <c r="AV62" s="164">
        <f t="shared" si="30"/>
        <v>1.0828571759230217</v>
      </c>
      <c r="AW62" s="168">
        <f t="shared" si="31"/>
        <v>2.8571759230215932E-3</v>
      </c>
      <c r="AX62" s="168">
        <f t="shared" si="32"/>
        <v>404.87672442699284</v>
      </c>
      <c r="AY62" s="168">
        <f t="shared" si="33"/>
        <v>11.568040288246525</v>
      </c>
      <c r="AZ62" s="168">
        <f t="shared" si="34"/>
        <v>28.571759230215932</v>
      </c>
    </row>
    <row r="63" spans="1:52" ht="18" x14ac:dyDescent="0.25">
      <c r="A63">
        <v>2</v>
      </c>
      <c r="B63" t="s">
        <v>32</v>
      </c>
      <c r="C63" t="s">
        <v>30</v>
      </c>
      <c r="D63" t="s">
        <v>427</v>
      </c>
      <c r="E63">
        <v>1</v>
      </c>
      <c r="F63" s="9" t="s">
        <v>430</v>
      </c>
      <c r="G63">
        <v>59</v>
      </c>
      <c r="H63">
        <v>4.0839999999999996</v>
      </c>
      <c r="Q63" s="154">
        <v>505</v>
      </c>
      <c r="R63" s="154" t="s">
        <v>183</v>
      </c>
      <c r="S63" s="154">
        <v>3.3785452500000002</v>
      </c>
      <c r="T63" s="154">
        <v>8.9643579541311684</v>
      </c>
      <c r="U63" s="154">
        <v>5.5308330000000003</v>
      </c>
      <c r="V63" s="154">
        <v>-27.52021886810105</v>
      </c>
      <c r="W63" s="156">
        <v>4.0839999999999996</v>
      </c>
      <c r="X63" s="170">
        <v>6.0891198571428573</v>
      </c>
      <c r="Y63" s="170">
        <v>1.937853204676379</v>
      </c>
      <c r="Z63" s="170">
        <v>4.0229087857142849</v>
      </c>
      <c r="AA63" s="170">
        <v>-25.881361430956051</v>
      </c>
      <c r="AB63" s="170">
        <v>2.7697142857142856</v>
      </c>
      <c r="AC63" s="170">
        <v>2.7697142857142856</v>
      </c>
      <c r="AD63" s="158">
        <f t="shared" si="15"/>
        <v>1.2827131784164255E-2</v>
      </c>
      <c r="AE63" s="158">
        <f t="shared" si="16"/>
        <v>0.3167721692777275</v>
      </c>
      <c r="AF63" s="159">
        <f t="shared" si="17"/>
        <v>4.3337045160512171E-2</v>
      </c>
      <c r="AG63" s="159">
        <f t="shared" si="18"/>
        <v>1.7520139673228414</v>
      </c>
      <c r="AH63" s="160">
        <f t="shared" si="19"/>
        <v>1.0611421439890345</v>
      </c>
      <c r="AI63" s="160">
        <f t="shared" si="20"/>
        <v>42.89946051231248</v>
      </c>
      <c r="AJ63" s="161">
        <f t="shared" si="21"/>
        <v>40.427628621972609</v>
      </c>
      <c r="AK63" s="162">
        <f t="shared" si="35"/>
        <v>9.0065047494547894</v>
      </c>
      <c r="AL63" s="162">
        <f t="shared" si="22"/>
        <v>-27.668857437145</v>
      </c>
      <c r="AM63" s="163">
        <v>0.36599999999999999</v>
      </c>
      <c r="AN63" s="164">
        <f t="shared" si="23"/>
        <v>9.0065047494547894</v>
      </c>
      <c r="AO63" s="165">
        <f t="shared" si="24"/>
        <v>0.36954012693747418</v>
      </c>
      <c r="AP63" s="166">
        <f t="shared" si="25"/>
        <v>3.5401269374741862E-3</v>
      </c>
      <c r="AQ63" s="166">
        <f t="shared" si="26"/>
        <v>10.611421439890346</v>
      </c>
      <c r="AR63" s="166">
        <f t="shared" si="27"/>
        <v>0.37565778884246931</v>
      </c>
      <c r="AS63" s="166">
        <f t="shared" si="28"/>
        <v>35.401269374741858</v>
      </c>
      <c r="AT63" s="163">
        <v>1.08</v>
      </c>
      <c r="AU63" s="164">
        <f t="shared" si="29"/>
        <v>-27.668857437145</v>
      </c>
      <c r="AV63" s="164">
        <f t="shared" si="30"/>
        <v>1.0807995965846942</v>
      </c>
      <c r="AW63" s="168">
        <f t="shared" si="31"/>
        <v>7.9959658469408446E-4</v>
      </c>
      <c r="AX63" s="168">
        <f t="shared" si="32"/>
        <v>428.99460512312481</v>
      </c>
      <c r="AY63" s="168">
        <f t="shared" si="33"/>
        <v>3.4302262110863797</v>
      </c>
      <c r="AZ63" s="168">
        <f t="shared" si="34"/>
        <v>7.9959658469408446</v>
      </c>
    </row>
    <row r="64" spans="1:52" ht="18" x14ac:dyDescent="0.25">
      <c r="A64">
        <v>2</v>
      </c>
      <c r="B64" t="s">
        <v>32</v>
      </c>
      <c r="C64" t="s">
        <v>30</v>
      </c>
      <c r="D64" t="s">
        <v>428</v>
      </c>
      <c r="E64">
        <v>1</v>
      </c>
      <c r="F64" s="9" t="s">
        <v>431</v>
      </c>
      <c r="G64">
        <v>60</v>
      </c>
      <c r="H64">
        <v>4.75</v>
      </c>
      <c r="Q64" s="169">
        <v>506</v>
      </c>
      <c r="R64" s="169" t="s">
        <v>184</v>
      </c>
      <c r="S64" s="169">
        <v>3.26124825</v>
      </c>
      <c r="T64" s="169">
        <v>6.8854771450523478</v>
      </c>
      <c r="U64" s="169">
        <v>6.3142155000000004</v>
      </c>
      <c r="V64" s="169">
        <v>-26.811254196791918</v>
      </c>
      <c r="W64" s="156">
        <v>4.75</v>
      </c>
      <c r="X64" s="170">
        <v>6.0891198571428573</v>
      </c>
      <c r="Y64" s="170">
        <v>1.937853204676379</v>
      </c>
      <c r="Z64" s="170">
        <v>4.0229087857142849</v>
      </c>
      <c r="AA64" s="170">
        <v>-25.881361430956051</v>
      </c>
      <c r="AB64" s="170">
        <v>2.7697142857142856</v>
      </c>
      <c r="AC64" s="170">
        <v>2.7697142857142856</v>
      </c>
      <c r="AD64" s="158">
        <f t="shared" si="15"/>
        <v>1.2827131784164255E-2</v>
      </c>
      <c r="AE64" s="158">
        <f t="shared" si="16"/>
        <v>0.3167721692777275</v>
      </c>
      <c r="AF64" s="159">
        <f t="shared" si="17"/>
        <v>4.1832461083625053E-2</v>
      </c>
      <c r="AG64" s="159">
        <f t="shared" si="18"/>
        <v>2.0001677412220511</v>
      </c>
      <c r="AH64" s="160">
        <f t="shared" si="19"/>
        <v>0.88068339123421158</v>
      </c>
      <c r="AI64" s="160">
        <f t="shared" si="20"/>
        <v>42.108794552043179</v>
      </c>
      <c r="AJ64" s="161">
        <f t="shared" si="21"/>
        <v>47.813771635946111</v>
      </c>
      <c r="AK64" s="162">
        <f t="shared" si="35"/>
        <v>6.9276239403759687</v>
      </c>
      <c r="AL64" s="162">
        <f t="shared" si="22"/>
        <v>-26.959892765835868</v>
      </c>
      <c r="AM64" s="163">
        <v>0.36599999999999999</v>
      </c>
      <c r="AN64" s="164">
        <f t="shared" si="23"/>
        <v>6.9276239403759687</v>
      </c>
      <c r="AO64" s="165">
        <f t="shared" si="24"/>
        <v>0.36878156216675501</v>
      </c>
      <c r="AP64" s="166">
        <f t="shared" si="25"/>
        <v>2.7815621667550139E-3</v>
      </c>
      <c r="AQ64" s="166">
        <f t="shared" si="26"/>
        <v>8.8068339123421158</v>
      </c>
      <c r="AR64" s="166">
        <f t="shared" si="27"/>
        <v>0.24496756019465868</v>
      </c>
      <c r="AS64" s="166">
        <f t="shared" si="28"/>
        <v>27.81562166755014</v>
      </c>
      <c r="AT64" s="163">
        <v>1.08</v>
      </c>
      <c r="AU64" s="164">
        <f t="shared" si="29"/>
        <v>-26.959892765835868</v>
      </c>
      <c r="AV64" s="164">
        <f t="shared" si="30"/>
        <v>1.0815791264292465</v>
      </c>
      <c r="AW64" s="168">
        <f t="shared" si="31"/>
        <v>1.5791264292464025E-3</v>
      </c>
      <c r="AX64" s="168">
        <f t="shared" si="32"/>
        <v>421.08794552043184</v>
      </c>
      <c r="AY64" s="168">
        <f t="shared" si="33"/>
        <v>6.6495110380838316</v>
      </c>
      <c r="AZ64" s="168">
        <f t="shared" si="34"/>
        <v>15.791264292464025</v>
      </c>
    </row>
    <row r="65" spans="1:52" ht="18" x14ac:dyDescent="0.25">
      <c r="A65">
        <v>2</v>
      </c>
      <c r="B65" t="s">
        <v>36</v>
      </c>
      <c r="C65" t="s">
        <v>26</v>
      </c>
      <c r="D65" t="s">
        <v>427</v>
      </c>
      <c r="E65">
        <v>1</v>
      </c>
      <c r="F65" s="9" t="s">
        <v>87</v>
      </c>
      <c r="G65">
        <v>61</v>
      </c>
      <c r="H65">
        <v>4.3890000000000002</v>
      </c>
      <c r="Q65" s="154">
        <v>507</v>
      </c>
      <c r="R65" s="154" t="s">
        <v>185</v>
      </c>
      <c r="S65" s="154">
        <v>3.9920957499999998</v>
      </c>
      <c r="T65" s="154">
        <v>686.92206855750476</v>
      </c>
      <c r="U65" s="154">
        <v>6.0784514999999999</v>
      </c>
      <c r="V65" s="154">
        <v>-27.275044077836601</v>
      </c>
      <c r="W65" s="156">
        <v>4.3890000000000002</v>
      </c>
      <c r="X65" s="170">
        <v>6.0891198571428573</v>
      </c>
      <c r="Y65" s="170">
        <v>1.937853204676379</v>
      </c>
      <c r="Z65" s="170">
        <v>4.0229087857142849</v>
      </c>
      <c r="AA65" s="170">
        <v>-25.881361430956051</v>
      </c>
      <c r="AB65" s="170">
        <v>2.7697142857142856</v>
      </c>
      <c r="AC65" s="170">
        <v>2.7697142857142856</v>
      </c>
      <c r="AD65" s="158">
        <f t="shared" si="15"/>
        <v>1.2827131784164255E-2</v>
      </c>
      <c r="AE65" s="158">
        <f t="shared" si="16"/>
        <v>0.3167721692777275</v>
      </c>
      <c r="AF65" s="159">
        <f t="shared" si="17"/>
        <v>5.1207138280252036E-2</v>
      </c>
      <c r="AG65" s="159">
        <f t="shared" si="18"/>
        <v>1.9254842675044566</v>
      </c>
      <c r="AH65" s="160">
        <f t="shared" si="19"/>
        <v>1.1667153857428123</v>
      </c>
      <c r="AI65" s="160">
        <f t="shared" si="20"/>
        <v>43.870682786613273</v>
      </c>
      <c r="AJ65" s="161">
        <f t="shared" si="21"/>
        <v>37.601872164120074</v>
      </c>
      <c r="AK65" s="162">
        <f t="shared" si="35"/>
        <v>686.96421535282843</v>
      </c>
      <c r="AL65" s="162">
        <f t="shared" si="22"/>
        <v>-27.42368264688055</v>
      </c>
      <c r="AM65" s="163">
        <v>0.36599999999999999</v>
      </c>
      <c r="AN65" s="164">
        <f t="shared" si="23"/>
        <v>686.96421535282843</v>
      </c>
      <c r="AO65" s="165">
        <f t="shared" si="24"/>
        <v>0.61630615822997936</v>
      </c>
      <c r="AP65" s="166">
        <f t="shared" si="25"/>
        <v>0.25030615822997937</v>
      </c>
      <c r="AQ65" s="166">
        <f t="shared" si="26"/>
        <v>11.667153857428122</v>
      </c>
      <c r="AR65" s="166">
        <f t="shared" si="27"/>
        <v>29.203604595309177</v>
      </c>
      <c r="AS65" s="166">
        <f t="shared" si="28"/>
        <v>2503.0615822997938</v>
      </c>
      <c r="AT65" s="163">
        <v>1.08</v>
      </c>
      <c r="AU65" s="164">
        <f t="shared" si="29"/>
        <v>-27.42368264688055</v>
      </c>
      <c r="AV65" s="164">
        <f t="shared" si="30"/>
        <v>1.0810691756753841</v>
      </c>
      <c r="AW65" s="168">
        <f t="shared" si="31"/>
        <v>1.0691756753840043E-3</v>
      </c>
      <c r="AX65" s="168">
        <f t="shared" si="32"/>
        <v>438.70682786613276</v>
      </c>
      <c r="AY65" s="168">
        <f t="shared" si="33"/>
        <v>4.6905466897934653</v>
      </c>
      <c r="AZ65" s="168">
        <f t="shared" si="34"/>
        <v>10.691756753840043</v>
      </c>
    </row>
    <row r="66" spans="1:52" ht="18" x14ac:dyDescent="0.25">
      <c r="A66">
        <v>2</v>
      </c>
      <c r="B66" t="s">
        <v>36</v>
      </c>
      <c r="C66" t="s">
        <v>26</v>
      </c>
      <c r="D66" t="s">
        <v>428</v>
      </c>
      <c r="E66">
        <v>1</v>
      </c>
      <c r="F66" s="9" t="s">
        <v>88</v>
      </c>
      <c r="G66">
        <v>62</v>
      </c>
      <c r="H66">
        <v>4.1150000000000002</v>
      </c>
      <c r="Q66" s="169">
        <v>508</v>
      </c>
      <c r="R66" s="169" t="s">
        <v>186</v>
      </c>
      <c r="S66" s="169">
        <v>3.6495137500000001</v>
      </c>
      <c r="T66" s="169">
        <v>261.5503154546011</v>
      </c>
      <c r="U66" s="169">
        <v>5.772894</v>
      </c>
      <c r="V66" s="169">
        <v>-24.719049418465342</v>
      </c>
      <c r="W66" s="156">
        <v>4.1150000000000002</v>
      </c>
      <c r="X66" s="170">
        <v>6.0891198571428573</v>
      </c>
      <c r="Y66" s="170">
        <v>1.937853204676379</v>
      </c>
      <c r="Z66" s="170">
        <v>4.0229087857142849</v>
      </c>
      <c r="AA66" s="170">
        <v>-25.881361430956051</v>
      </c>
      <c r="AB66" s="170">
        <v>2.7697142857142856</v>
      </c>
      <c r="AC66" s="170">
        <v>2.7697142857142856</v>
      </c>
      <c r="AD66" s="158">
        <f t="shared" si="15"/>
        <v>1.2827131784164255E-2</v>
      </c>
      <c r="AE66" s="158">
        <f t="shared" si="16"/>
        <v>0.3167721692777275</v>
      </c>
      <c r="AF66" s="159">
        <f t="shared" si="17"/>
        <v>4.681279381936948E-2</v>
      </c>
      <c r="AG66" s="159">
        <f t="shared" si="18"/>
        <v>1.8286921553903774</v>
      </c>
      <c r="AH66" s="160">
        <f t="shared" si="19"/>
        <v>1.1376134585508986</v>
      </c>
      <c r="AI66" s="160">
        <f t="shared" si="20"/>
        <v>44.439663557481836</v>
      </c>
      <c r="AJ66" s="161">
        <f t="shared" si="21"/>
        <v>39.063939709441762</v>
      </c>
      <c r="AK66" s="162">
        <f t="shared" si="35"/>
        <v>261.59246224992472</v>
      </c>
      <c r="AL66" s="162">
        <f t="shared" si="22"/>
        <v>-24.867687987509292</v>
      </c>
      <c r="AM66" s="163">
        <v>0.36599999999999999</v>
      </c>
      <c r="AN66" s="164">
        <f t="shared" si="23"/>
        <v>261.59246224992472</v>
      </c>
      <c r="AO66" s="165">
        <f t="shared" si="24"/>
        <v>0.46162057114983002</v>
      </c>
      <c r="AP66" s="166">
        <f t="shared" si="25"/>
        <v>9.5620571149830025E-2</v>
      </c>
      <c r="AQ66" s="166">
        <f t="shared" si="26"/>
        <v>11.376134585508986</v>
      </c>
      <c r="AR66" s="166">
        <f t="shared" si="27"/>
        <v>10.87792486543704</v>
      </c>
      <c r="AS66" s="166">
        <f t="shared" si="28"/>
        <v>956.20571149830027</v>
      </c>
      <c r="AT66" s="163">
        <v>1.08</v>
      </c>
      <c r="AU66" s="164">
        <f t="shared" si="29"/>
        <v>-24.867687987509292</v>
      </c>
      <c r="AV66" s="164">
        <f t="shared" si="30"/>
        <v>1.0838795023880134</v>
      </c>
      <c r="AW66" s="168">
        <f t="shared" si="31"/>
        <v>3.8795023880133783E-3</v>
      </c>
      <c r="AX66" s="168">
        <f t="shared" si="32"/>
        <v>444.39663557481833</v>
      </c>
      <c r="AY66" s="168">
        <f t="shared" si="33"/>
        <v>17.240378089376186</v>
      </c>
      <c r="AZ66" s="168">
        <f t="shared" si="34"/>
        <v>38.795023880133776</v>
      </c>
    </row>
    <row r="67" spans="1:52" ht="18" x14ac:dyDescent="0.25">
      <c r="A67">
        <v>2</v>
      </c>
      <c r="B67" t="s">
        <v>36</v>
      </c>
      <c r="C67" t="s">
        <v>28</v>
      </c>
      <c r="D67" t="s">
        <v>427</v>
      </c>
      <c r="E67">
        <v>1</v>
      </c>
      <c r="F67" s="9" t="s">
        <v>89</v>
      </c>
      <c r="G67">
        <v>63</v>
      </c>
      <c r="H67">
        <v>4.431</v>
      </c>
      <c r="I67" t="s">
        <v>432</v>
      </c>
      <c r="Q67" s="154">
        <v>509</v>
      </c>
      <c r="R67" s="154" t="s">
        <v>187</v>
      </c>
      <c r="S67" s="154">
        <v>5.1319109999999997</v>
      </c>
      <c r="T67" s="154">
        <v>479.83990507327559</v>
      </c>
      <c r="U67" s="154">
        <v>5.9226330000000003</v>
      </c>
      <c r="V67" s="154">
        <v>-23.107262274455962</v>
      </c>
      <c r="W67" s="156">
        <v>4.431</v>
      </c>
      <c r="X67" s="170">
        <v>6.0891198571428573</v>
      </c>
      <c r="Y67" s="170">
        <v>1.937853204676379</v>
      </c>
      <c r="Z67" s="170">
        <v>4.0229087857142849</v>
      </c>
      <c r="AA67" s="170">
        <v>-25.881361430956051</v>
      </c>
      <c r="AB67" s="170">
        <v>2.7697142857142856</v>
      </c>
      <c r="AC67" s="170">
        <v>2.7697142857142856</v>
      </c>
      <c r="AD67" s="158">
        <f t="shared" si="15"/>
        <v>1.2827131784164255E-2</v>
      </c>
      <c r="AE67" s="158">
        <f t="shared" si="16"/>
        <v>0.3167721692777275</v>
      </c>
      <c r="AF67" s="159">
        <f t="shared" si="17"/>
        <v>6.5827698701602155E-2</v>
      </c>
      <c r="AG67" s="159">
        <f t="shared" si="18"/>
        <v>1.8761253032458551</v>
      </c>
      <c r="AH67" s="160">
        <f t="shared" si="19"/>
        <v>1.4856172128549348</v>
      </c>
      <c r="AI67" s="160">
        <f t="shared" si="20"/>
        <v>42.340900547186983</v>
      </c>
      <c r="AJ67" s="161">
        <f t="shared" si="21"/>
        <v>28.500545215021969</v>
      </c>
      <c r="AK67" s="162">
        <f t="shared" si="35"/>
        <v>479.88205186859921</v>
      </c>
      <c r="AL67" s="162">
        <f t="shared" si="22"/>
        <v>-23.255900843499912</v>
      </c>
      <c r="AM67" s="163">
        <v>0.36599999999999999</v>
      </c>
      <c r="AN67" s="164">
        <f t="shared" si="23"/>
        <v>479.88205186859921</v>
      </c>
      <c r="AO67" s="165">
        <f t="shared" si="24"/>
        <v>0.54106124398212729</v>
      </c>
      <c r="AP67" s="166">
        <f t="shared" si="25"/>
        <v>0.1750612439821273</v>
      </c>
      <c r="AQ67" s="166">
        <f t="shared" si="26"/>
        <v>14.856172128549348</v>
      </c>
      <c r="AR67" s="166">
        <f t="shared" si="27"/>
        <v>26.007399736364569</v>
      </c>
      <c r="AS67" s="166">
        <f t="shared" si="28"/>
        <v>1750.612439821273</v>
      </c>
      <c r="AT67" s="163">
        <v>1.08</v>
      </c>
      <c r="AU67" s="164">
        <f t="shared" si="29"/>
        <v>-23.255900843499912</v>
      </c>
      <c r="AV67" s="164">
        <f t="shared" si="30"/>
        <v>1.0856515869319643</v>
      </c>
      <c r="AW67" s="168">
        <f t="shared" si="31"/>
        <v>5.6515869319642142E-3</v>
      </c>
      <c r="AX67" s="168">
        <f t="shared" si="32"/>
        <v>423.40900547186982</v>
      </c>
      <c r="AY67" s="168">
        <f t="shared" si="33"/>
        <v>23.929328022007841</v>
      </c>
      <c r="AZ67" s="168">
        <f t="shared" si="34"/>
        <v>56.515869319642142</v>
      </c>
    </row>
    <row r="68" spans="1:52" ht="18" x14ac:dyDescent="0.25">
      <c r="I68" s="25" t="s">
        <v>469</v>
      </c>
      <c r="Q68" s="169">
        <v>510</v>
      </c>
      <c r="R68" s="169" t="s">
        <v>188</v>
      </c>
      <c r="S68" s="169">
        <v>5.3113915</v>
      </c>
      <c r="T68" s="169">
        <v>1.7854395770402571</v>
      </c>
      <c r="U68" s="169">
        <v>3.6352787499999999</v>
      </c>
      <c r="V68" s="169">
        <v>-25.899229050672904</v>
      </c>
      <c r="W68" s="169">
        <v>2.157</v>
      </c>
      <c r="X68" s="170">
        <v>6.0891198571428573</v>
      </c>
      <c r="Y68" s="170">
        <v>1.937853204676379</v>
      </c>
      <c r="Z68" s="170">
        <v>4.0229087857142849</v>
      </c>
      <c r="AA68" s="170">
        <v>-25.881361430956051</v>
      </c>
      <c r="AB68" s="170">
        <v>2.7697142857142856</v>
      </c>
      <c r="AC68" s="170">
        <v>2.7697142857142856</v>
      </c>
      <c r="AD68" s="158">
        <f t="shared" si="15"/>
        <v>1.2827131784164255E-2</v>
      </c>
      <c r="AE68" s="158">
        <f t="shared" si="16"/>
        <v>0.3167721692777275</v>
      </c>
      <c r="AF68" s="159">
        <f t="shared" si="17"/>
        <v>6.8129918727789854E-2</v>
      </c>
      <c r="AG68" s="159">
        <f t="shared" si="18"/>
        <v>1.1515551355667255</v>
      </c>
      <c r="AH68" s="160">
        <f t="shared" si="19"/>
        <v>3.1585497787570631</v>
      </c>
      <c r="AI68" s="160">
        <f t="shared" si="20"/>
        <v>53.386886210789314</v>
      </c>
      <c r="AJ68" s="161">
        <f t="shared" si="21"/>
        <v>16.902341248456707</v>
      </c>
      <c r="AK68" s="162">
        <f t="shared" si="35"/>
        <v>1.8275863723638781</v>
      </c>
      <c r="AL68" s="162">
        <f t="shared" si="22"/>
        <v>-26.047867619716854</v>
      </c>
      <c r="AM68" s="163">
        <v>0.36599999999999999</v>
      </c>
      <c r="AN68" s="164">
        <f t="shared" ref="AN68:AN131" si="36">T68+(1.98-Y68)</f>
        <v>1.8275863723638781</v>
      </c>
      <c r="AO68" s="165">
        <f t="shared" ref="AO68:AO131" si="37">100*0.003676*(AN68/1000+1)/(1+0.003676*(AN68/1000+1))</f>
        <v>0.36692055573915261</v>
      </c>
      <c r="AP68" s="166">
        <f t="shared" ref="AP68:AP131" si="38">AO68-AM68</f>
        <v>9.2055573915261757E-4</v>
      </c>
      <c r="AQ68" s="166">
        <f t="shared" ref="AQ68:AQ131" si="39">(AH68%*W68)/W68*1000</f>
        <v>31.585497787570631</v>
      </c>
      <c r="AR68" s="166">
        <f t="shared" ref="AR68:AR131" si="40">(AQ68*AP68%)*1000</f>
        <v>0.29076211262340451</v>
      </c>
      <c r="AS68" s="166">
        <f t="shared" ref="AS68:AS131" si="41">(((AF68*AP68%)/AF68)*1000)*1000</f>
        <v>9.2055573915261757</v>
      </c>
      <c r="AT68" s="163">
        <v>1.08</v>
      </c>
      <c r="AU68" s="164">
        <f t="shared" ref="AU68:AU131" si="42">V68+(-26.03-AA68)</f>
        <v>-26.047867619716854</v>
      </c>
      <c r="AV68" s="164">
        <f t="shared" ref="AV68:AV131" si="43">100*0.011237*(AU68/1000+1)/(1+0.011237*(AU68/1000+1))</f>
        <v>1.0825819098391025</v>
      </c>
      <c r="AW68" s="168">
        <f t="shared" ref="AW68:AW131" si="44">AV68-AT68</f>
        <v>2.5819098391024475E-3</v>
      </c>
      <c r="AX68" s="168">
        <f t="shared" ref="AX68:AX131" si="45">(AI68%*W68)/W68*1000</f>
        <v>533.86886210789305</v>
      </c>
      <c r="AY68" s="168">
        <f t="shared" ref="AY68:AY131" si="46">(AX68*AW68%)*1000</f>
        <v>13.784012678667969</v>
      </c>
      <c r="AZ68" s="168">
        <f t="shared" ref="AZ68:AZ131" si="47">(((AG68*AW68%)/AG68)*1000)*1000</f>
        <v>25.819098391024475</v>
      </c>
    </row>
    <row r="69" spans="1:52" ht="18" x14ac:dyDescent="0.25">
      <c r="A69">
        <v>2</v>
      </c>
      <c r="B69" t="s">
        <v>36</v>
      </c>
      <c r="C69" t="s">
        <v>28</v>
      </c>
      <c r="D69" t="s">
        <v>428</v>
      </c>
      <c r="E69">
        <v>1</v>
      </c>
      <c r="F69" s="9" t="s">
        <v>90</v>
      </c>
      <c r="G69">
        <v>64</v>
      </c>
      <c r="H69">
        <v>4.5620000000000003</v>
      </c>
      <c r="I69" t="s">
        <v>432</v>
      </c>
      <c r="Q69" s="154">
        <v>511</v>
      </c>
      <c r="R69" s="154" t="s">
        <v>189</v>
      </c>
      <c r="S69" s="154">
        <v>3.1084312500000002</v>
      </c>
      <c r="T69" s="154">
        <v>438.37271479445297</v>
      </c>
      <c r="U69" s="154">
        <v>5.6732480000000001</v>
      </c>
      <c r="V69" s="154">
        <v>-22.758367916644158</v>
      </c>
      <c r="W69" s="156">
        <v>4.5620000000000003</v>
      </c>
      <c r="X69" s="170">
        <v>6.0891198571428573</v>
      </c>
      <c r="Y69" s="170">
        <v>1.937853204676379</v>
      </c>
      <c r="Z69" s="170">
        <v>4.0229087857142849</v>
      </c>
      <c r="AA69" s="170">
        <v>-25.881361430956051</v>
      </c>
      <c r="AB69" s="170">
        <v>2.7697142857142856</v>
      </c>
      <c r="AC69" s="170">
        <v>2.7697142857142856</v>
      </c>
      <c r="AD69" s="158">
        <f t="shared" si="15"/>
        <v>1.2827131784164255E-2</v>
      </c>
      <c r="AE69" s="158">
        <f t="shared" si="16"/>
        <v>0.3167721692777275</v>
      </c>
      <c r="AF69" s="159">
        <f t="shared" si="17"/>
        <v>3.9872257285764427E-2</v>
      </c>
      <c r="AG69" s="159">
        <f t="shared" si="18"/>
        <v>1.7971270758105291</v>
      </c>
      <c r="AH69" s="160">
        <f t="shared" si="19"/>
        <v>0.87400827018334992</v>
      </c>
      <c r="AI69" s="160">
        <f t="shared" si="20"/>
        <v>39.393403678442105</v>
      </c>
      <c r="AJ69" s="161">
        <f t="shared" si="21"/>
        <v>45.072117761743989</v>
      </c>
      <c r="AK69" s="162">
        <f t="shared" si="35"/>
        <v>438.41486158977659</v>
      </c>
      <c r="AL69" s="162">
        <f t="shared" si="22"/>
        <v>-22.907006485688107</v>
      </c>
      <c r="AM69" s="163">
        <v>0.36599999999999999</v>
      </c>
      <c r="AN69" s="164">
        <f t="shared" si="36"/>
        <v>438.41486158977659</v>
      </c>
      <c r="AO69" s="165">
        <f t="shared" si="37"/>
        <v>0.52598012376383396</v>
      </c>
      <c r="AP69" s="166">
        <f t="shared" si="38"/>
        <v>0.15998012376383397</v>
      </c>
      <c r="AQ69" s="166">
        <f t="shared" si="39"/>
        <v>8.740082701833499</v>
      </c>
      <c r="AR69" s="166">
        <f t="shared" si="40"/>
        <v>13.982395123454674</v>
      </c>
      <c r="AS69" s="166">
        <f t="shared" si="41"/>
        <v>1599.8012376383399</v>
      </c>
      <c r="AT69" s="163">
        <v>1.08</v>
      </c>
      <c r="AU69" s="164">
        <f t="shared" si="42"/>
        <v>-22.907006485688107</v>
      </c>
      <c r="AV69" s="164">
        <f t="shared" si="43"/>
        <v>1.0860351715928451</v>
      </c>
      <c r="AW69" s="168">
        <f t="shared" si="44"/>
        <v>6.0351715928450567E-3</v>
      </c>
      <c r="AX69" s="168">
        <f t="shared" si="45"/>
        <v>393.9340367844211</v>
      </c>
      <c r="AY69" s="168">
        <f t="shared" si="46"/>
        <v>23.774595082561181</v>
      </c>
      <c r="AZ69" s="168">
        <f t="shared" si="47"/>
        <v>60.351715928450567</v>
      </c>
    </row>
    <row r="70" spans="1:52" ht="18" x14ac:dyDescent="0.25">
      <c r="A70">
        <v>2</v>
      </c>
      <c r="B70" t="s">
        <v>36</v>
      </c>
      <c r="C70" t="s">
        <v>30</v>
      </c>
      <c r="D70" t="s">
        <v>427</v>
      </c>
      <c r="E70">
        <v>1</v>
      </c>
      <c r="F70" s="9" t="s">
        <v>91</v>
      </c>
      <c r="G70">
        <v>65</v>
      </c>
      <c r="H70">
        <v>4.93</v>
      </c>
      <c r="I70" t="s">
        <v>432</v>
      </c>
      <c r="Q70" s="169">
        <v>512</v>
      </c>
      <c r="R70" s="169" t="s">
        <v>190</v>
      </c>
      <c r="S70" s="169">
        <v>5.1918375000000001</v>
      </c>
      <c r="T70" s="169">
        <v>3.3624883580276044</v>
      </c>
      <c r="U70" s="169">
        <v>5.9949735000000004</v>
      </c>
      <c r="V70" s="169">
        <v>-27.886063301561077</v>
      </c>
      <c r="W70" s="156">
        <v>4.93</v>
      </c>
      <c r="X70" s="170">
        <v>6.0891198571428573</v>
      </c>
      <c r="Y70" s="170">
        <v>1.937853204676379</v>
      </c>
      <c r="Z70" s="170">
        <v>4.0229087857142849</v>
      </c>
      <c r="AA70" s="170">
        <v>-25.881361430956051</v>
      </c>
      <c r="AB70" s="170">
        <v>2.7697142857142856</v>
      </c>
      <c r="AC70" s="170">
        <v>2.7697142857142856</v>
      </c>
      <c r="AD70" s="158">
        <f t="shared" si="15"/>
        <v>1.2827131784164255E-2</v>
      </c>
      <c r="AE70" s="158">
        <f t="shared" si="16"/>
        <v>0.3167721692777275</v>
      </c>
      <c r="AF70" s="159">
        <f t="shared" si="17"/>
        <v>6.6596383814465879E-2</v>
      </c>
      <c r="AG70" s="159">
        <f t="shared" si="18"/>
        <v>1.8990407603574906</v>
      </c>
      <c r="AH70" s="160">
        <f t="shared" si="19"/>
        <v>1.350839428285312</v>
      </c>
      <c r="AI70" s="160">
        <f t="shared" si="20"/>
        <v>38.520096558975467</v>
      </c>
      <c r="AJ70" s="161">
        <f t="shared" si="21"/>
        <v>28.515673848720091</v>
      </c>
      <c r="AK70" s="162">
        <f t="shared" si="35"/>
        <v>3.4046351533512254</v>
      </c>
      <c r="AL70" s="162">
        <f t="shared" si="22"/>
        <v>-28.034701870605026</v>
      </c>
      <c r="AM70" s="163">
        <v>0.36599999999999999</v>
      </c>
      <c r="AN70" s="164">
        <f t="shared" si="36"/>
        <v>3.4046351533512254</v>
      </c>
      <c r="AO70" s="165">
        <f t="shared" si="37"/>
        <v>0.36749602910531054</v>
      </c>
      <c r="AP70" s="166">
        <f t="shared" si="38"/>
        <v>1.4960291053105479E-3</v>
      </c>
      <c r="AQ70" s="166">
        <f t="shared" si="39"/>
        <v>13.50839428285312</v>
      </c>
      <c r="AR70" s="166">
        <f t="shared" si="40"/>
        <v>0.20208951013158874</v>
      </c>
      <c r="AS70" s="166">
        <f t="shared" si="41"/>
        <v>14.960291053105479</v>
      </c>
      <c r="AT70" s="163">
        <v>1.08</v>
      </c>
      <c r="AU70" s="164">
        <f t="shared" si="42"/>
        <v>-28.034701870605026</v>
      </c>
      <c r="AV70" s="164">
        <f t="shared" si="43"/>
        <v>1.0803973338584218</v>
      </c>
      <c r="AW70" s="168">
        <f t="shared" si="44"/>
        <v>3.9733385842177782E-4</v>
      </c>
      <c r="AX70" s="168">
        <f t="shared" si="45"/>
        <v>385.20096558975467</v>
      </c>
      <c r="AY70" s="168">
        <f t="shared" si="46"/>
        <v>1.5305338592557169</v>
      </c>
      <c r="AZ70" s="168">
        <f t="shared" si="47"/>
        <v>3.9733385842177782</v>
      </c>
    </row>
    <row r="71" spans="1:52" ht="18" x14ac:dyDescent="0.25">
      <c r="A71">
        <v>2</v>
      </c>
      <c r="B71" t="s">
        <v>36</v>
      </c>
      <c r="C71" t="s">
        <v>30</v>
      </c>
      <c r="D71" t="s">
        <v>428</v>
      </c>
      <c r="E71">
        <v>1</v>
      </c>
      <c r="F71" s="9" t="s">
        <v>92</v>
      </c>
      <c r="G71">
        <v>66</v>
      </c>
      <c r="H71">
        <v>4.7889999999999997</v>
      </c>
      <c r="Q71" s="154">
        <v>513</v>
      </c>
      <c r="R71" s="154" t="s">
        <v>191</v>
      </c>
      <c r="S71" s="154">
        <v>2.9204302499999999</v>
      </c>
      <c r="T71" s="154">
        <v>5.1550360756699876</v>
      </c>
      <c r="U71" s="154">
        <v>6.243976</v>
      </c>
      <c r="V71" s="154">
        <v>-26.876074586572837</v>
      </c>
      <c r="W71" s="156">
        <v>4.7889999999999997</v>
      </c>
      <c r="X71" s="170">
        <v>6.0891198571428573</v>
      </c>
      <c r="Y71" s="170">
        <v>1.937853204676379</v>
      </c>
      <c r="Z71" s="170">
        <v>4.0229087857142849</v>
      </c>
      <c r="AA71" s="170">
        <v>-25.881361430956051</v>
      </c>
      <c r="AB71" s="170">
        <v>2.7697142857142856</v>
      </c>
      <c r="AC71" s="170">
        <v>2.7697142857142856</v>
      </c>
      <c r="AD71" s="158">
        <f t="shared" si="15"/>
        <v>1.2827131784164255E-2</v>
      </c>
      <c r="AE71" s="158">
        <f t="shared" si="16"/>
        <v>0.3167721692777275</v>
      </c>
      <c r="AF71" s="159">
        <f t="shared" si="17"/>
        <v>3.7460743683209757E-2</v>
      </c>
      <c r="AG71" s="159">
        <f t="shared" si="18"/>
        <v>1.9779178224380678</v>
      </c>
      <c r="AH71" s="160">
        <f t="shared" si="19"/>
        <v>0.78222475847170092</v>
      </c>
      <c r="AI71" s="160">
        <f t="shared" si="20"/>
        <v>41.301270044645392</v>
      </c>
      <c r="AJ71" s="161">
        <f t="shared" si="21"/>
        <v>52.799747895143589</v>
      </c>
      <c r="AK71" s="162">
        <f t="shared" si="35"/>
        <v>5.1971828709936085</v>
      </c>
      <c r="AL71" s="162">
        <f t="shared" si="22"/>
        <v>-27.024713155616787</v>
      </c>
      <c r="AM71" s="163">
        <v>0.36599999999999999</v>
      </c>
      <c r="AN71" s="164">
        <f t="shared" si="36"/>
        <v>5.1971828709936085</v>
      </c>
      <c r="AO71" s="165">
        <f t="shared" si="37"/>
        <v>0.36815013109057909</v>
      </c>
      <c r="AP71" s="166">
        <f t="shared" si="38"/>
        <v>2.1501310905790993E-3</v>
      </c>
      <c r="AQ71" s="166">
        <f t="shared" si="39"/>
        <v>7.8222475847170081</v>
      </c>
      <c r="AR71" s="166">
        <f t="shared" si="40"/>
        <v>0.16818857730107306</v>
      </c>
      <c r="AS71" s="166">
        <f t="shared" si="41"/>
        <v>21.501310905790994</v>
      </c>
      <c r="AT71" s="163">
        <v>1.08</v>
      </c>
      <c r="AU71" s="164">
        <f t="shared" si="42"/>
        <v>-27.024713155616787</v>
      </c>
      <c r="AV71" s="164">
        <f t="shared" si="43"/>
        <v>1.0815078548008767</v>
      </c>
      <c r="AW71" s="168">
        <f t="shared" si="44"/>
        <v>1.5078548008766735E-3</v>
      </c>
      <c r="AX71" s="168">
        <f t="shared" si="45"/>
        <v>413.01270044645395</v>
      </c>
      <c r="AY71" s="168">
        <f t="shared" si="46"/>
        <v>6.2276318319122499</v>
      </c>
      <c r="AZ71" s="168">
        <f t="shared" si="47"/>
        <v>15.078548008766735</v>
      </c>
    </row>
    <row r="72" spans="1:52" ht="18" x14ac:dyDescent="0.25">
      <c r="A72">
        <v>2</v>
      </c>
      <c r="B72" t="s">
        <v>40</v>
      </c>
      <c r="C72" t="s">
        <v>26</v>
      </c>
      <c r="D72" t="s">
        <v>427</v>
      </c>
      <c r="E72">
        <v>1</v>
      </c>
      <c r="F72" s="9" t="s">
        <v>93</v>
      </c>
      <c r="G72">
        <v>67</v>
      </c>
      <c r="H72">
        <v>4.4089999999999998</v>
      </c>
      <c r="Q72" s="169">
        <v>514</v>
      </c>
      <c r="R72" s="169" t="s">
        <v>192</v>
      </c>
      <c r="S72" s="169">
        <v>6.1977380000000002</v>
      </c>
      <c r="T72" s="169">
        <v>713.87675842392355</v>
      </c>
      <c r="U72" s="169">
        <v>6.1207180000000001</v>
      </c>
      <c r="V72" s="169">
        <v>-26.666375090595295</v>
      </c>
      <c r="W72" s="156">
        <v>4.4089999999999998</v>
      </c>
      <c r="X72" s="170">
        <v>6.0891198571428573</v>
      </c>
      <c r="Y72" s="170">
        <v>1.937853204676379</v>
      </c>
      <c r="Z72" s="170">
        <v>4.0229087857142849</v>
      </c>
      <c r="AA72" s="170">
        <v>-25.881361430956051</v>
      </c>
      <c r="AB72" s="170">
        <v>2.7697142857142856</v>
      </c>
      <c r="AC72" s="170">
        <v>2.7697142857142856</v>
      </c>
      <c r="AD72" s="158">
        <f t="shared" si="15"/>
        <v>1.2827131784164255E-2</v>
      </c>
      <c r="AE72" s="158">
        <f t="shared" si="16"/>
        <v>0.3167721692777275</v>
      </c>
      <c r="AF72" s="159">
        <f t="shared" si="17"/>
        <v>7.9499202089722595E-2</v>
      </c>
      <c r="AG72" s="159">
        <f t="shared" si="18"/>
        <v>1.9388731183972336</v>
      </c>
      <c r="AH72" s="160">
        <f t="shared" si="19"/>
        <v>1.8031118641352371</v>
      </c>
      <c r="AI72" s="160">
        <f t="shared" si="20"/>
        <v>43.975348568773732</v>
      </c>
      <c r="AJ72" s="161">
        <f t="shared" si="21"/>
        <v>24.388585890573172</v>
      </c>
      <c r="AK72" s="162">
        <f t="shared" si="35"/>
        <v>713.91890521924722</v>
      </c>
      <c r="AL72" s="162">
        <f t="shared" si="22"/>
        <v>-26.815013659639245</v>
      </c>
      <c r="AM72" s="163">
        <v>0.36599999999999999</v>
      </c>
      <c r="AN72" s="164">
        <f t="shared" si="36"/>
        <v>713.91890521924722</v>
      </c>
      <c r="AO72" s="165">
        <f t="shared" si="37"/>
        <v>0.62609198099404051</v>
      </c>
      <c r="AP72" s="166">
        <f t="shared" si="38"/>
        <v>0.26009198099404052</v>
      </c>
      <c r="AQ72" s="166">
        <f t="shared" si="39"/>
        <v>18.031118641352368</v>
      </c>
      <c r="AR72" s="166">
        <f t="shared" si="40"/>
        <v>46.8974936696791</v>
      </c>
      <c r="AS72" s="166">
        <f t="shared" si="41"/>
        <v>2600.9198099404052</v>
      </c>
      <c r="AT72" s="163">
        <v>1.08</v>
      </c>
      <c r="AU72" s="164">
        <f t="shared" si="42"/>
        <v>-26.815013659639245</v>
      </c>
      <c r="AV72" s="164">
        <f t="shared" si="43"/>
        <v>1.0817384242332535</v>
      </c>
      <c r="AW72" s="168">
        <f t="shared" si="44"/>
        <v>1.7384242332534328E-3</v>
      </c>
      <c r="AX72" s="168">
        <f t="shared" si="45"/>
        <v>439.75348568773734</v>
      </c>
      <c r="AY72" s="168">
        <f t="shared" si="46"/>
        <v>7.6447811617722916</v>
      </c>
      <c r="AZ72" s="168">
        <f t="shared" si="47"/>
        <v>17.384242332534328</v>
      </c>
    </row>
    <row r="73" spans="1:52" ht="18" x14ac:dyDescent="0.25">
      <c r="A73">
        <v>2</v>
      </c>
      <c r="B73" t="s">
        <v>40</v>
      </c>
      <c r="C73" t="s">
        <v>26</v>
      </c>
      <c r="D73" t="s">
        <v>428</v>
      </c>
      <c r="E73">
        <v>1</v>
      </c>
      <c r="F73" s="9" t="s">
        <v>94</v>
      </c>
      <c r="G73">
        <v>68</v>
      </c>
      <c r="H73">
        <v>4.9589999999999996</v>
      </c>
      <c r="Q73" s="154">
        <v>515</v>
      </c>
      <c r="R73" s="154" t="s">
        <v>193</v>
      </c>
      <c r="S73" s="154">
        <v>9.9408550000000009</v>
      </c>
      <c r="T73" s="154">
        <v>41.329820555617296</v>
      </c>
      <c r="U73" s="154">
        <v>6.5268284999999997</v>
      </c>
      <c r="V73" s="154">
        <v>-25.851247523801504</v>
      </c>
      <c r="W73" s="156">
        <v>4.9589999999999996</v>
      </c>
      <c r="X73" s="170">
        <v>6.0891198571428573</v>
      </c>
      <c r="Y73" s="170">
        <v>1.937853204676379</v>
      </c>
      <c r="Z73" s="170">
        <v>4.0229087857142849</v>
      </c>
      <c r="AA73" s="170">
        <v>-25.881361430956051</v>
      </c>
      <c r="AB73" s="170">
        <v>2.7697142857142856</v>
      </c>
      <c r="AC73" s="170">
        <v>2.7697142857142856</v>
      </c>
      <c r="AD73" s="158">
        <f t="shared" si="15"/>
        <v>1.2827131784164255E-2</v>
      </c>
      <c r="AE73" s="158">
        <f t="shared" si="16"/>
        <v>0.3167721692777275</v>
      </c>
      <c r="AF73" s="159">
        <f t="shared" si="17"/>
        <v>0.12751265713226817</v>
      </c>
      <c r="AG73" s="159">
        <f t="shared" si="18"/>
        <v>2.0675176224486962</v>
      </c>
      <c r="AH73" s="160">
        <f t="shared" si="19"/>
        <v>2.5713381151899206</v>
      </c>
      <c r="AI73" s="160">
        <f t="shared" si="20"/>
        <v>41.692228724514948</v>
      </c>
      <c r="AJ73" s="161">
        <f t="shared" si="21"/>
        <v>16.214214878324366</v>
      </c>
      <c r="AK73" s="162">
        <f t="shared" si="35"/>
        <v>41.37196735094092</v>
      </c>
      <c r="AL73" s="162">
        <f t="shared" si="22"/>
        <v>-25.999886092845454</v>
      </c>
      <c r="AM73" s="163">
        <v>0.36599999999999999</v>
      </c>
      <c r="AN73" s="164">
        <f t="shared" si="36"/>
        <v>41.37196735094092</v>
      </c>
      <c r="AO73" s="165">
        <f t="shared" si="37"/>
        <v>0.38134850134888887</v>
      </c>
      <c r="AP73" s="166">
        <f t="shared" si="38"/>
        <v>1.5348501348888877E-2</v>
      </c>
      <c r="AQ73" s="166">
        <f t="shared" si="39"/>
        <v>25.713381151899206</v>
      </c>
      <c r="AR73" s="166">
        <f t="shared" si="40"/>
        <v>3.946618652944188</v>
      </c>
      <c r="AS73" s="166">
        <f t="shared" si="41"/>
        <v>153.48501348888877</v>
      </c>
      <c r="AT73" s="163">
        <v>1.08</v>
      </c>
      <c r="AU73" s="164">
        <f t="shared" si="42"/>
        <v>-25.999886092845454</v>
      </c>
      <c r="AV73" s="164">
        <f t="shared" si="43"/>
        <v>1.0826346655837267</v>
      </c>
      <c r="AW73" s="168">
        <f t="shared" si="44"/>
        <v>2.6346655837266031E-3</v>
      </c>
      <c r="AX73" s="168">
        <f t="shared" si="45"/>
        <v>416.9222872451495</v>
      </c>
      <c r="AY73" s="168">
        <f t="shared" si="46"/>
        <v>10.984508012933722</v>
      </c>
      <c r="AZ73" s="168">
        <f t="shared" si="47"/>
        <v>26.346655837266031</v>
      </c>
    </row>
    <row r="74" spans="1:52" ht="18" x14ac:dyDescent="0.25">
      <c r="A74">
        <v>2</v>
      </c>
      <c r="B74" t="s">
        <v>40</v>
      </c>
      <c r="C74" t="s">
        <v>28</v>
      </c>
      <c r="D74" t="s">
        <v>427</v>
      </c>
      <c r="E74">
        <v>1</v>
      </c>
      <c r="F74" s="9" t="s">
        <v>95</v>
      </c>
      <c r="G74">
        <v>69</v>
      </c>
      <c r="H74">
        <v>4.3380000000000001</v>
      </c>
      <c r="Q74" s="169">
        <v>516</v>
      </c>
      <c r="R74" s="169" t="s">
        <v>194</v>
      </c>
      <c r="S74" s="169">
        <v>5.1666489999999996</v>
      </c>
      <c r="T74" s="169">
        <v>250.7463149410336</v>
      </c>
      <c r="U74" s="169">
        <v>5.1953645000000002</v>
      </c>
      <c r="V74" s="169">
        <v>-24.804711001232754</v>
      </c>
      <c r="W74" s="156">
        <v>4.3380000000000001</v>
      </c>
      <c r="X74" s="170">
        <v>6.0891198571428573</v>
      </c>
      <c r="Y74" s="170">
        <v>1.937853204676379</v>
      </c>
      <c r="Z74" s="170">
        <v>4.0229087857142849</v>
      </c>
      <c r="AA74" s="170">
        <v>-25.881361430956051</v>
      </c>
      <c r="AB74" s="170">
        <v>2.7697142857142856</v>
      </c>
      <c r="AC74" s="170">
        <v>2.7697142857142856</v>
      </c>
      <c r="AD74" s="158">
        <f t="shared" si="15"/>
        <v>1.2827131784164255E-2</v>
      </c>
      <c r="AE74" s="158">
        <f t="shared" si="16"/>
        <v>0.3167721692777275</v>
      </c>
      <c r="AF74" s="159">
        <f t="shared" si="17"/>
        <v>6.6273287605520453E-2</v>
      </c>
      <c r="AG74" s="159">
        <f t="shared" si="18"/>
        <v>1.6457468828534962</v>
      </c>
      <c r="AH74" s="160">
        <f t="shared" si="19"/>
        <v>1.5277383034928644</v>
      </c>
      <c r="AI74" s="160">
        <f t="shared" si="20"/>
        <v>37.937918000311114</v>
      </c>
      <c r="AJ74" s="161">
        <f t="shared" si="21"/>
        <v>24.832733403079409</v>
      </c>
      <c r="AK74" s="162">
        <f t="shared" si="35"/>
        <v>250.78846173635722</v>
      </c>
      <c r="AL74" s="162">
        <f t="shared" si="22"/>
        <v>-24.953349570276703</v>
      </c>
      <c r="AM74" s="163">
        <v>0.36599999999999999</v>
      </c>
      <c r="AN74" s="164">
        <f t="shared" si="36"/>
        <v>250.78846173635722</v>
      </c>
      <c r="AO74" s="165">
        <f t="shared" si="37"/>
        <v>0.45768544735489691</v>
      </c>
      <c r="AP74" s="166">
        <f t="shared" si="38"/>
        <v>9.1685447354896921E-2</v>
      </c>
      <c r="AQ74" s="166">
        <f t="shared" si="39"/>
        <v>15.277383034928643</v>
      </c>
      <c r="AR74" s="166">
        <f t="shared" si="40"/>
        <v>14.007136979695455</v>
      </c>
      <c r="AS74" s="166">
        <f t="shared" si="41"/>
        <v>916.85447354896917</v>
      </c>
      <c r="AT74" s="163">
        <v>1.08</v>
      </c>
      <c r="AU74" s="164">
        <f t="shared" si="42"/>
        <v>-24.953349570276703</v>
      </c>
      <c r="AV74" s="164">
        <f t="shared" si="43"/>
        <v>1.0837853197091922</v>
      </c>
      <c r="AW74" s="168">
        <f t="shared" si="44"/>
        <v>3.7853197091921587E-3</v>
      </c>
      <c r="AX74" s="168">
        <f t="shared" si="45"/>
        <v>379.37918000311117</v>
      </c>
      <c r="AY74" s="168">
        <f t="shared" si="46"/>
        <v>14.360714873229364</v>
      </c>
      <c r="AZ74" s="168">
        <f t="shared" si="47"/>
        <v>37.853197091921587</v>
      </c>
    </row>
    <row r="75" spans="1:52" ht="18" x14ac:dyDescent="0.25">
      <c r="A75">
        <v>2</v>
      </c>
      <c r="B75" t="s">
        <v>40</v>
      </c>
      <c r="C75" t="s">
        <v>28</v>
      </c>
      <c r="D75" t="s">
        <v>428</v>
      </c>
      <c r="E75">
        <v>1</v>
      </c>
      <c r="F75" s="9" t="s">
        <v>96</v>
      </c>
      <c r="G75">
        <v>70</v>
      </c>
      <c r="H75">
        <v>4.6369999999999996</v>
      </c>
      <c r="Q75" s="154">
        <v>517</v>
      </c>
      <c r="R75" s="154" t="s">
        <v>195</v>
      </c>
      <c r="S75" s="154">
        <v>3.6831927499999999</v>
      </c>
      <c r="T75" s="154">
        <v>163.66534411875298</v>
      </c>
      <c r="U75" s="154">
        <v>6.0851034999999998</v>
      </c>
      <c r="V75" s="154">
        <v>-25.903995589374997</v>
      </c>
      <c r="W75" s="156">
        <v>4.6369999999999996</v>
      </c>
      <c r="X75" s="170">
        <v>6.0891198571428573</v>
      </c>
      <c r="Y75" s="170">
        <v>1.937853204676379</v>
      </c>
      <c r="Z75" s="170">
        <v>4.0229087857142849</v>
      </c>
      <c r="AA75" s="170">
        <v>-25.881361430956051</v>
      </c>
      <c r="AB75" s="170">
        <v>2.7697142857142856</v>
      </c>
      <c r="AC75" s="170">
        <v>2.7697142857142856</v>
      </c>
      <c r="AD75" s="158">
        <f t="shared" si="15"/>
        <v>1.2827131784164255E-2</v>
      </c>
      <c r="AE75" s="158">
        <f t="shared" si="16"/>
        <v>0.3167721692777275</v>
      </c>
      <c r="AF75" s="159">
        <f t="shared" si="17"/>
        <v>4.7244798790728348E-2</v>
      </c>
      <c r="AG75" s="159">
        <f t="shared" si="18"/>
        <v>1.9275914359744921</v>
      </c>
      <c r="AH75" s="160">
        <f t="shared" si="19"/>
        <v>1.0188656198129902</v>
      </c>
      <c r="AI75" s="160">
        <f t="shared" si="20"/>
        <v>41.569795901973094</v>
      </c>
      <c r="AJ75" s="161">
        <f t="shared" si="21"/>
        <v>40.800077157970165</v>
      </c>
      <c r="AK75" s="162">
        <f t="shared" si="35"/>
        <v>163.7074909140766</v>
      </c>
      <c r="AL75" s="162">
        <f t="shared" si="22"/>
        <v>-26.052634158418947</v>
      </c>
      <c r="AM75" s="163">
        <v>0.36599999999999999</v>
      </c>
      <c r="AN75" s="164">
        <f t="shared" si="36"/>
        <v>163.7074909140766</v>
      </c>
      <c r="AO75" s="165">
        <f t="shared" si="37"/>
        <v>0.42595672079750779</v>
      </c>
      <c r="AP75" s="166">
        <f t="shared" si="38"/>
        <v>5.9956720797507801E-2</v>
      </c>
      <c r="AQ75" s="166">
        <f t="shared" si="39"/>
        <v>10.188656198129902</v>
      </c>
      <c r="AR75" s="166">
        <f t="shared" si="40"/>
        <v>6.1087841497307185</v>
      </c>
      <c r="AS75" s="166">
        <f t="shared" si="41"/>
        <v>599.56720797507796</v>
      </c>
      <c r="AT75" s="163">
        <v>1.08</v>
      </c>
      <c r="AU75" s="164">
        <f t="shared" si="42"/>
        <v>-26.052634158418947</v>
      </c>
      <c r="AV75" s="164">
        <f t="shared" si="43"/>
        <v>1.0825766690211804</v>
      </c>
      <c r="AW75" s="168">
        <f t="shared" si="44"/>
        <v>2.5766690211803667E-3</v>
      </c>
      <c r="AX75" s="168">
        <f t="shared" si="45"/>
        <v>415.69795901973094</v>
      </c>
      <c r="AY75" s="168">
        <f t="shared" si="46"/>
        <v>10.711160531740463</v>
      </c>
      <c r="AZ75" s="168">
        <f t="shared" si="47"/>
        <v>25.766690211803667</v>
      </c>
    </row>
    <row r="76" spans="1:52" ht="18" x14ac:dyDescent="0.25">
      <c r="A76">
        <v>2</v>
      </c>
      <c r="B76" t="s">
        <v>40</v>
      </c>
      <c r="C76" t="s">
        <v>30</v>
      </c>
      <c r="D76" t="s">
        <v>427</v>
      </c>
      <c r="E76">
        <v>1</v>
      </c>
      <c r="F76" s="9" t="s">
        <v>97</v>
      </c>
      <c r="G76">
        <v>71</v>
      </c>
      <c r="H76">
        <v>4.3879999999999999</v>
      </c>
      <c r="Q76" s="169">
        <v>518</v>
      </c>
      <c r="R76" s="169" t="s">
        <v>196</v>
      </c>
      <c r="S76" s="169">
        <v>4.6358515000000002</v>
      </c>
      <c r="T76" s="169">
        <v>0.62639398008203784</v>
      </c>
      <c r="U76" s="169">
        <v>5.7152649999999996</v>
      </c>
      <c r="V76" s="169">
        <v>-27.159613343946077</v>
      </c>
      <c r="W76" s="156">
        <v>4.3879999999999999</v>
      </c>
      <c r="X76" s="170">
        <v>6.0891198571428573</v>
      </c>
      <c r="Y76" s="170">
        <v>1.937853204676379</v>
      </c>
      <c r="Z76" s="170">
        <v>4.0229087857142849</v>
      </c>
      <c r="AA76" s="170">
        <v>-25.881361430956051</v>
      </c>
      <c r="AB76" s="170">
        <v>2.7697142857142856</v>
      </c>
      <c r="AC76" s="170">
        <v>2.7697142857142856</v>
      </c>
      <c r="AD76" s="158">
        <f t="shared" si="15"/>
        <v>1.2827131784164255E-2</v>
      </c>
      <c r="AE76" s="158">
        <f t="shared" si="16"/>
        <v>0.3167721692777275</v>
      </c>
      <c r="AF76" s="159">
        <f t="shared" si="17"/>
        <v>5.946467812231554E-2</v>
      </c>
      <c r="AG76" s="159">
        <f t="shared" si="18"/>
        <v>1.810436892047071</v>
      </c>
      <c r="AH76" s="160">
        <f t="shared" si="19"/>
        <v>1.3551658642277926</v>
      </c>
      <c r="AI76" s="160">
        <f t="shared" si="20"/>
        <v>41.258817047563149</v>
      </c>
      <c r="AJ76" s="161">
        <f t="shared" si="21"/>
        <v>30.445584659906892</v>
      </c>
      <c r="AK76" s="162">
        <f t="shared" si="35"/>
        <v>0.66854077540565882</v>
      </c>
      <c r="AL76" s="162">
        <f t="shared" si="22"/>
        <v>-27.308251912990027</v>
      </c>
      <c r="AM76" s="163">
        <v>0.36599999999999999</v>
      </c>
      <c r="AN76" s="164">
        <f t="shared" si="36"/>
        <v>0.66854077540565882</v>
      </c>
      <c r="AO76" s="165">
        <f t="shared" si="37"/>
        <v>0.36649760968746847</v>
      </c>
      <c r="AP76" s="166">
        <f t="shared" si="38"/>
        <v>4.97609687468481E-4</v>
      </c>
      <c r="AQ76" s="166">
        <f t="shared" si="39"/>
        <v>13.551658642277927</v>
      </c>
      <c r="AR76" s="166">
        <f t="shared" si="40"/>
        <v>6.7434366216634595E-2</v>
      </c>
      <c r="AS76" s="166">
        <f t="shared" si="41"/>
        <v>4.97609687468481</v>
      </c>
      <c r="AT76" s="163">
        <v>1.08</v>
      </c>
      <c r="AU76" s="164">
        <f t="shared" si="42"/>
        <v>-27.308251912990027</v>
      </c>
      <c r="AV76" s="164">
        <f t="shared" si="43"/>
        <v>1.0811960956883138</v>
      </c>
      <c r="AW76" s="168">
        <f t="shared" si="44"/>
        <v>1.196095688313692E-3</v>
      </c>
      <c r="AX76" s="168">
        <f t="shared" si="45"/>
        <v>412.5881704756315</v>
      </c>
      <c r="AY76" s="168">
        <f t="shared" si="46"/>
        <v>4.9349493175513732</v>
      </c>
      <c r="AZ76" s="168">
        <f t="shared" si="47"/>
        <v>11.96095688313692</v>
      </c>
    </row>
    <row r="77" spans="1:52" ht="18" x14ac:dyDescent="0.25">
      <c r="A77">
        <v>2</v>
      </c>
      <c r="B77" t="s">
        <v>40</v>
      </c>
      <c r="C77" t="s">
        <v>30</v>
      </c>
      <c r="D77" t="s">
        <v>428</v>
      </c>
      <c r="E77">
        <v>1</v>
      </c>
      <c r="F77" s="9" t="s">
        <v>98</v>
      </c>
      <c r="G77">
        <v>72</v>
      </c>
      <c r="H77">
        <v>4.5</v>
      </c>
      <c r="Q77" s="154">
        <v>519</v>
      </c>
      <c r="R77" s="154" t="s">
        <v>197</v>
      </c>
      <c r="S77" s="154">
        <v>3.0576422499999998</v>
      </c>
      <c r="T77" s="154">
        <v>1.4698671627865227</v>
      </c>
      <c r="U77" s="154">
        <v>5.9549044999999996</v>
      </c>
      <c r="V77" s="154">
        <v>-27.096058990291574</v>
      </c>
      <c r="W77" s="156">
        <v>4.5</v>
      </c>
      <c r="X77" s="170">
        <v>6.0891198571428573</v>
      </c>
      <c r="Y77" s="170">
        <v>1.937853204676379</v>
      </c>
      <c r="Z77" s="170">
        <v>4.0229087857142849</v>
      </c>
      <c r="AA77" s="170">
        <v>-25.881361430956051</v>
      </c>
      <c r="AB77" s="170">
        <v>2.7697142857142856</v>
      </c>
      <c r="AC77" s="170">
        <v>2.7697142857142856</v>
      </c>
      <c r="AD77" s="158">
        <f t="shared" si="15"/>
        <v>1.2827131784164255E-2</v>
      </c>
      <c r="AE77" s="158">
        <f t="shared" si="16"/>
        <v>0.3167721692777275</v>
      </c>
      <c r="AF77" s="159">
        <f t="shared" si="17"/>
        <v>3.9220780089578501E-2</v>
      </c>
      <c r="AG77" s="159">
        <f t="shared" si="18"/>
        <v>1.886348016306701</v>
      </c>
      <c r="AH77" s="160">
        <f t="shared" si="19"/>
        <v>0.87157289087952217</v>
      </c>
      <c r="AI77" s="160">
        <f t="shared" si="20"/>
        <v>41.918844806815578</v>
      </c>
      <c r="AJ77" s="161">
        <f t="shared" si="21"/>
        <v>48.095627164945903</v>
      </c>
      <c r="AK77" s="162">
        <f t="shared" si="35"/>
        <v>1.5120139581101437</v>
      </c>
      <c r="AL77" s="162">
        <f t="shared" si="22"/>
        <v>-27.244697559335524</v>
      </c>
      <c r="AM77" s="163">
        <v>0.36599999999999999</v>
      </c>
      <c r="AN77" s="164">
        <f t="shared" si="36"/>
        <v>1.5120139581101437</v>
      </c>
      <c r="AO77" s="165">
        <f t="shared" si="37"/>
        <v>0.36680540091292413</v>
      </c>
      <c r="AP77" s="166">
        <f t="shared" si="38"/>
        <v>8.0540091292413685E-4</v>
      </c>
      <c r="AQ77" s="166">
        <f t="shared" si="39"/>
        <v>8.7157289087952226</v>
      </c>
      <c r="AR77" s="166">
        <f t="shared" si="40"/>
        <v>7.0196560199429645E-2</v>
      </c>
      <c r="AS77" s="166">
        <f t="shared" si="41"/>
        <v>8.0540091292413685</v>
      </c>
      <c r="AT77" s="163">
        <v>1.08</v>
      </c>
      <c r="AU77" s="164">
        <f t="shared" si="42"/>
        <v>-27.244697559335524</v>
      </c>
      <c r="AV77" s="164">
        <f t="shared" si="43"/>
        <v>1.0812659757199801</v>
      </c>
      <c r="AW77" s="168">
        <f t="shared" si="44"/>
        <v>1.2659757199799948E-3</v>
      </c>
      <c r="AX77" s="168">
        <f t="shared" si="45"/>
        <v>419.18844806815582</v>
      </c>
      <c r="AY77" s="168">
        <f t="shared" si="46"/>
        <v>5.3068239735038025</v>
      </c>
      <c r="AZ77" s="168">
        <f t="shared" si="47"/>
        <v>12.65975719979995</v>
      </c>
    </row>
    <row r="78" spans="1:52" ht="18" x14ac:dyDescent="0.25">
      <c r="A78">
        <v>2</v>
      </c>
      <c r="B78" t="s">
        <v>44</v>
      </c>
      <c r="C78" t="s">
        <v>26</v>
      </c>
      <c r="D78" t="s">
        <v>427</v>
      </c>
      <c r="E78">
        <v>1</v>
      </c>
      <c r="F78" s="9" t="s">
        <v>99</v>
      </c>
      <c r="G78">
        <v>73</v>
      </c>
      <c r="H78">
        <v>4.4020000000000001</v>
      </c>
      <c r="Q78" s="169">
        <v>520</v>
      </c>
      <c r="R78" s="169" t="s">
        <v>198</v>
      </c>
      <c r="S78" s="169">
        <v>5.2729844999999997</v>
      </c>
      <c r="T78" s="169">
        <v>440.32252769984461</v>
      </c>
      <c r="U78" s="169">
        <v>6.5237014999999996</v>
      </c>
      <c r="V78" s="169">
        <v>-25.898097967515064</v>
      </c>
      <c r="W78" s="156">
        <v>4.4020000000000001</v>
      </c>
      <c r="X78" s="170">
        <v>6.0891198571428573</v>
      </c>
      <c r="Y78" s="170">
        <v>1.937853204676379</v>
      </c>
      <c r="Z78" s="170">
        <v>4.0229087857142849</v>
      </c>
      <c r="AA78" s="170">
        <v>-25.881361430956051</v>
      </c>
      <c r="AB78" s="170">
        <v>2.7697142857142856</v>
      </c>
      <c r="AC78" s="170">
        <v>2.7697142857142856</v>
      </c>
      <c r="AD78" s="158">
        <f t="shared" si="15"/>
        <v>1.2827131784164255E-2</v>
      </c>
      <c r="AE78" s="158">
        <f t="shared" si="16"/>
        <v>0.3167721692777275</v>
      </c>
      <c r="AF78" s="159">
        <f t="shared" si="17"/>
        <v>6.7637267077355456E-2</v>
      </c>
      <c r="AG78" s="159">
        <f t="shared" si="18"/>
        <v>2.0665270758753649</v>
      </c>
      <c r="AH78" s="160">
        <f t="shared" si="19"/>
        <v>1.5365122007577341</v>
      </c>
      <c r="AI78" s="160">
        <f t="shared" si="20"/>
        <v>46.945185730926056</v>
      </c>
      <c r="AJ78" s="161">
        <f t="shared" si="21"/>
        <v>30.553083605697982</v>
      </c>
      <c r="AK78" s="162">
        <f t="shared" si="35"/>
        <v>440.36467449516823</v>
      </c>
      <c r="AL78" s="162">
        <f t="shared" si="22"/>
        <v>-26.046736536559013</v>
      </c>
      <c r="AM78" s="163">
        <v>0.36599999999999999</v>
      </c>
      <c r="AN78" s="164">
        <f t="shared" si="36"/>
        <v>440.36467449516823</v>
      </c>
      <c r="AO78" s="165">
        <f t="shared" si="37"/>
        <v>0.52668934982254412</v>
      </c>
      <c r="AP78" s="166">
        <f t="shared" si="38"/>
        <v>0.16068934982254413</v>
      </c>
      <c r="AQ78" s="166">
        <f t="shared" si="39"/>
        <v>15.365122007577339</v>
      </c>
      <c r="AR78" s="166">
        <f t="shared" si="40"/>
        <v>24.690114653416664</v>
      </c>
      <c r="AS78" s="166">
        <f t="shared" si="41"/>
        <v>1606.8934982254414</v>
      </c>
      <c r="AT78" s="163">
        <v>1.08</v>
      </c>
      <c r="AU78" s="164">
        <f t="shared" si="42"/>
        <v>-26.046736536559013</v>
      </c>
      <c r="AV78" s="164">
        <f t="shared" si="43"/>
        <v>1.0825831534669981</v>
      </c>
      <c r="AW78" s="168">
        <f t="shared" si="44"/>
        <v>2.5831534669980005E-3</v>
      </c>
      <c r="AX78" s="168">
        <f t="shared" si="45"/>
        <v>469.45185730926056</v>
      </c>
      <c r="AY78" s="168">
        <f t="shared" si="46"/>
        <v>12.126661927970671</v>
      </c>
      <c r="AZ78" s="168">
        <f t="shared" si="47"/>
        <v>25.831534669980005</v>
      </c>
    </row>
    <row r="79" spans="1:52" ht="18" x14ac:dyDescent="0.25">
      <c r="A79">
        <v>2</v>
      </c>
      <c r="B79" t="s">
        <v>44</v>
      </c>
      <c r="C79" t="s">
        <v>26</v>
      </c>
      <c r="D79" t="s">
        <v>428</v>
      </c>
      <c r="E79">
        <v>1</v>
      </c>
      <c r="F79" s="9" t="s">
        <v>100</v>
      </c>
      <c r="G79">
        <v>74</v>
      </c>
      <c r="H79">
        <v>5.0330000000000004</v>
      </c>
      <c r="Q79" s="154">
        <v>521</v>
      </c>
      <c r="R79" s="154" t="s">
        <v>199</v>
      </c>
      <c r="S79" s="154">
        <v>4.7430015000000001</v>
      </c>
      <c r="T79" s="154">
        <v>271.26531899051457</v>
      </c>
      <c r="U79" s="154">
        <v>7.1243550000000004</v>
      </c>
      <c r="V79" s="154">
        <v>-27.415568358985581</v>
      </c>
      <c r="W79" s="156">
        <v>5.0330000000000004</v>
      </c>
      <c r="X79" s="170">
        <v>6.0891198571428573</v>
      </c>
      <c r="Y79" s="170">
        <v>1.937853204676379</v>
      </c>
      <c r="Z79" s="170">
        <v>4.0229087857142849</v>
      </c>
      <c r="AA79" s="170">
        <v>-25.881361430956051</v>
      </c>
      <c r="AB79" s="170">
        <v>2.7697142857142856</v>
      </c>
      <c r="AC79" s="170">
        <v>2.7697142857142856</v>
      </c>
      <c r="AD79" s="158">
        <f t="shared" si="15"/>
        <v>1.2827131784164255E-2</v>
      </c>
      <c r="AE79" s="158">
        <f t="shared" si="16"/>
        <v>0.3167721692777275</v>
      </c>
      <c r="AF79" s="159">
        <f t="shared" si="17"/>
        <v>6.0839105292988735E-2</v>
      </c>
      <c r="AG79" s="159">
        <f t="shared" si="18"/>
        <v>2.2567973880546246</v>
      </c>
      <c r="AH79" s="160">
        <f t="shared" si="19"/>
        <v>1.2088039994633166</v>
      </c>
      <c r="AI79" s="160">
        <f t="shared" si="20"/>
        <v>44.840003736432038</v>
      </c>
      <c r="AJ79" s="161">
        <f t="shared" si="21"/>
        <v>37.094519670964068</v>
      </c>
      <c r="AK79" s="162">
        <f t="shared" si="35"/>
        <v>271.30746578583819</v>
      </c>
      <c r="AL79" s="162">
        <f t="shared" si="22"/>
        <v>-27.564206928029531</v>
      </c>
      <c r="AM79" s="163">
        <v>0.36599999999999999</v>
      </c>
      <c r="AN79" s="164">
        <f t="shared" si="36"/>
        <v>271.30746578583819</v>
      </c>
      <c r="AO79" s="165">
        <f t="shared" si="37"/>
        <v>0.46515878566210578</v>
      </c>
      <c r="AP79" s="166">
        <f t="shared" si="38"/>
        <v>9.9158785662105786E-2</v>
      </c>
      <c r="AQ79" s="166">
        <f t="shared" si="39"/>
        <v>12.088039994633165</v>
      </c>
      <c r="AR79" s="166">
        <f t="shared" si="40"/>
        <v>11.986353669027926</v>
      </c>
      <c r="AS79" s="166">
        <f t="shared" si="41"/>
        <v>991.58785662105788</v>
      </c>
      <c r="AT79" s="163">
        <v>1.08</v>
      </c>
      <c r="AU79" s="164">
        <f t="shared" si="42"/>
        <v>-27.564206928029531</v>
      </c>
      <c r="AV79" s="164">
        <f t="shared" si="43"/>
        <v>1.0809146640152556</v>
      </c>
      <c r="AW79" s="168">
        <f t="shared" si="44"/>
        <v>9.1466401525552854E-4</v>
      </c>
      <c r="AX79" s="168">
        <f t="shared" si="45"/>
        <v>448.40003736432038</v>
      </c>
      <c r="AY79" s="168">
        <f t="shared" si="46"/>
        <v>4.1013537861637825</v>
      </c>
      <c r="AZ79" s="168">
        <f t="shared" si="47"/>
        <v>9.1466401525552854</v>
      </c>
    </row>
    <row r="80" spans="1:52" ht="18" x14ac:dyDescent="0.25">
      <c r="A80">
        <v>2</v>
      </c>
      <c r="B80" t="s">
        <v>44</v>
      </c>
      <c r="C80" t="s">
        <v>28</v>
      </c>
      <c r="D80" t="s">
        <v>427</v>
      </c>
      <c r="E80">
        <v>1</v>
      </c>
      <c r="F80" s="9" t="s">
        <v>101</v>
      </c>
      <c r="G80">
        <v>75</v>
      </c>
      <c r="H80">
        <v>5.0199999999999996</v>
      </c>
      <c r="Q80" s="169">
        <v>522</v>
      </c>
      <c r="R80" s="169" t="s">
        <v>200</v>
      </c>
      <c r="S80" s="169">
        <v>6.7728384999999998</v>
      </c>
      <c r="T80" s="169">
        <v>278.75404289330464</v>
      </c>
      <c r="U80" s="169">
        <v>6.9723360000000003</v>
      </c>
      <c r="V80" s="169">
        <v>-26.786051142850162</v>
      </c>
      <c r="W80" s="156">
        <v>5.0199999999999996</v>
      </c>
      <c r="X80" s="170">
        <v>6.0891198571428573</v>
      </c>
      <c r="Y80" s="170">
        <v>1.937853204676379</v>
      </c>
      <c r="Z80" s="170">
        <v>4.0229087857142849</v>
      </c>
      <c r="AA80" s="170">
        <v>-25.881361430956051</v>
      </c>
      <c r="AB80" s="170">
        <v>2.7697142857142856</v>
      </c>
      <c r="AC80" s="170">
        <v>2.7697142857142856</v>
      </c>
      <c r="AD80" s="158">
        <f t="shared" si="15"/>
        <v>1.2827131784164255E-2</v>
      </c>
      <c r="AE80" s="158">
        <f t="shared" si="16"/>
        <v>0.3167721692777275</v>
      </c>
      <c r="AF80" s="159">
        <f t="shared" si="17"/>
        <v>8.6876091992361348E-2</v>
      </c>
      <c r="AG80" s="159">
        <f t="shared" si="18"/>
        <v>2.2086419996531936</v>
      </c>
      <c r="AH80" s="160">
        <f t="shared" si="19"/>
        <v>1.7305994420789115</v>
      </c>
      <c r="AI80" s="160">
        <f t="shared" si="20"/>
        <v>43.996852582732942</v>
      </c>
      <c r="AJ80" s="161">
        <f t="shared" si="21"/>
        <v>25.422897704093209</v>
      </c>
      <c r="AK80" s="162">
        <f t="shared" si="35"/>
        <v>278.79618968862826</v>
      </c>
      <c r="AL80" s="162">
        <f t="shared" si="22"/>
        <v>-26.934689711894112</v>
      </c>
      <c r="AM80" s="163">
        <v>0.36599999999999999</v>
      </c>
      <c r="AN80" s="164">
        <f t="shared" si="36"/>
        <v>278.79618968862826</v>
      </c>
      <c r="AO80" s="165">
        <f t="shared" si="37"/>
        <v>0.46788601511268135</v>
      </c>
      <c r="AP80" s="166">
        <f t="shared" si="38"/>
        <v>0.10188601511268136</v>
      </c>
      <c r="AQ80" s="166">
        <f t="shared" si="39"/>
        <v>17.305994420789112</v>
      </c>
      <c r="AR80" s="166">
        <f t="shared" si="40"/>
        <v>17.632388090964987</v>
      </c>
      <c r="AS80" s="166">
        <f t="shared" si="41"/>
        <v>1018.8601511268137</v>
      </c>
      <c r="AT80" s="163">
        <v>1.08</v>
      </c>
      <c r="AU80" s="164">
        <f t="shared" si="42"/>
        <v>-26.934689711894112</v>
      </c>
      <c r="AV80" s="164">
        <f t="shared" si="43"/>
        <v>1.0816068377852404</v>
      </c>
      <c r="AW80" s="168">
        <f t="shared" si="44"/>
        <v>1.6068377852402893E-3</v>
      </c>
      <c r="AX80" s="168">
        <f t="shared" si="45"/>
        <v>439.96852582732942</v>
      </c>
      <c r="AY80" s="168">
        <f t="shared" si="46"/>
        <v>7.0695805161582097</v>
      </c>
      <c r="AZ80" s="168">
        <f t="shared" si="47"/>
        <v>16.068377852402893</v>
      </c>
    </row>
    <row r="81" spans="1:52" ht="18" x14ac:dyDescent="0.25">
      <c r="I81" s="25" t="s">
        <v>469</v>
      </c>
      <c r="Q81" s="154">
        <v>523</v>
      </c>
      <c r="R81" s="154" t="s">
        <v>201</v>
      </c>
      <c r="S81" s="154">
        <v>4.0514394999999999</v>
      </c>
      <c r="T81" s="154">
        <v>1.7908259028835027</v>
      </c>
      <c r="U81" s="154">
        <v>2.8666627500000001</v>
      </c>
      <c r="V81" s="154">
        <v>-25.782682168276548</v>
      </c>
      <c r="W81" s="154">
        <v>3.9390000000000001</v>
      </c>
      <c r="X81" s="170">
        <v>6.0891198571428573</v>
      </c>
      <c r="Y81" s="170">
        <v>1.937853204676379</v>
      </c>
      <c r="Z81" s="170">
        <v>4.0229087857142849</v>
      </c>
      <c r="AA81" s="170">
        <v>-25.881361430956051</v>
      </c>
      <c r="AB81" s="170">
        <v>2.7697142857142856</v>
      </c>
      <c r="AC81" s="170">
        <v>2.7697142857142856</v>
      </c>
      <c r="AD81" s="158">
        <f t="shared" si="15"/>
        <v>1.2827131784164255E-2</v>
      </c>
      <c r="AE81" s="158">
        <f t="shared" si="16"/>
        <v>0.3167721692777275</v>
      </c>
      <c r="AF81" s="159">
        <f t="shared" si="17"/>
        <v>5.1968348382068534E-2</v>
      </c>
      <c r="AG81" s="159">
        <f t="shared" si="18"/>
        <v>0.9080789779051559</v>
      </c>
      <c r="AH81" s="160">
        <f t="shared" si="19"/>
        <v>1.3193284686993789</v>
      </c>
      <c r="AI81" s="160">
        <f t="shared" si="20"/>
        <v>23.053540947071742</v>
      </c>
      <c r="AJ81" s="161">
        <f t="shared" si="21"/>
        <v>17.473693241682565</v>
      </c>
      <c r="AK81" s="162">
        <f t="shared" si="35"/>
        <v>1.8329726982071237</v>
      </c>
      <c r="AL81" s="162">
        <f t="shared" si="22"/>
        <v>-25.931320737320497</v>
      </c>
      <c r="AM81" s="163">
        <v>0.36599999999999999</v>
      </c>
      <c r="AN81" s="164">
        <f t="shared" si="36"/>
        <v>1.8329726982071237</v>
      </c>
      <c r="AO81" s="165">
        <f t="shared" si="37"/>
        <v>0.36692252124899866</v>
      </c>
      <c r="AP81" s="166">
        <f t="shared" si="38"/>
        <v>9.225212489986645E-4</v>
      </c>
      <c r="AQ81" s="166">
        <f t="shared" si="39"/>
        <v>13.19328468699379</v>
      </c>
      <c r="AR81" s="166">
        <f t="shared" si="40"/>
        <v>0.12171085467840466</v>
      </c>
      <c r="AS81" s="166">
        <f t="shared" si="41"/>
        <v>9.2252124899866459</v>
      </c>
      <c r="AT81" s="163">
        <v>1.08</v>
      </c>
      <c r="AU81" s="164">
        <f t="shared" si="42"/>
        <v>-25.931320737320497</v>
      </c>
      <c r="AV81" s="164">
        <f t="shared" si="43"/>
        <v>1.0827100531742444</v>
      </c>
      <c r="AW81" s="168">
        <f t="shared" si="44"/>
        <v>2.7100531742443312E-3</v>
      </c>
      <c r="AX81" s="168">
        <f t="shared" si="45"/>
        <v>230.53540947071741</v>
      </c>
      <c r="AY81" s="168">
        <f t="shared" si="46"/>
        <v>6.2476321821183429</v>
      </c>
      <c r="AZ81" s="168">
        <f t="shared" si="47"/>
        <v>27.100531742443312</v>
      </c>
    </row>
    <row r="82" spans="1:52" ht="18" x14ac:dyDescent="0.25">
      <c r="A82">
        <v>2</v>
      </c>
      <c r="B82" t="s">
        <v>44</v>
      </c>
      <c r="C82" t="s">
        <v>28</v>
      </c>
      <c r="D82" t="s">
        <v>428</v>
      </c>
      <c r="E82">
        <v>1</v>
      </c>
      <c r="F82" s="9" t="s">
        <v>433</v>
      </c>
      <c r="G82">
        <v>76</v>
      </c>
      <c r="H82">
        <v>4.6079999999999997</v>
      </c>
      <c r="Q82" s="169">
        <v>524</v>
      </c>
      <c r="R82" s="169" t="s">
        <v>202</v>
      </c>
      <c r="S82" s="169">
        <v>5.1774170000000002</v>
      </c>
      <c r="T82" s="169">
        <v>212.22617445634458</v>
      </c>
      <c r="U82" s="169">
        <v>6.3822950000000001</v>
      </c>
      <c r="V82" s="169">
        <v>-25.886295445796446</v>
      </c>
      <c r="W82" s="156">
        <v>4.6079999999999997</v>
      </c>
      <c r="X82" s="170">
        <v>6.0891198571428573</v>
      </c>
      <c r="Y82" s="170">
        <v>1.937853204676379</v>
      </c>
      <c r="Z82" s="170">
        <v>4.0229087857142849</v>
      </c>
      <c r="AA82" s="170">
        <v>-25.881361430956051</v>
      </c>
      <c r="AB82" s="170">
        <v>2.7697142857142856</v>
      </c>
      <c r="AC82" s="170">
        <v>2.7697142857142856</v>
      </c>
      <c r="AD82" s="158">
        <f t="shared" si="15"/>
        <v>1.2827131784164255E-2</v>
      </c>
      <c r="AE82" s="158">
        <f t="shared" si="16"/>
        <v>0.3167721692777275</v>
      </c>
      <c r="AF82" s="159">
        <f t="shared" si="17"/>
        <v>6.6411410160572351E-2</v>
      </c>
      <c r="AG82" s="159">
        <f t="shared" si="18"/>
        <v>2.0217334321203939</v>
      </c>
      <c r="AH82" s="160">
        <f t="shared" si="19"/>
        <v>1.4412198385540875</v>
      </c>
      <c r="AI82" s="160">
        <f t="shared" si="20"/>
        <v>43.874423440112714</v>
      </c>
      <c r="AJ82" s="161">
        <f t="shared" si="21"/>
        <v>30.442561409736072</v>
      </c>
      <c r="AK82" s="162">
        <f t="shared" si="35"/>
        <v>212.2683212516682</v>
      </c>
      <c r="AL82" s="162">
        <f t="shared" si="22"/>
        <v>-26.034934014840395</v>
      </c>
      <c r="AM82" s="163">
        <v>0.36599999999999999</v>
      </c>
      <c r="AN82" s="164">
        <f t="shared" si="36"/>
        <v>212.2683212516682</v>
      </c>
      <c r="AO82" s="165">
        <f t="shared" si="37"/>
        <v>0.44365278571563438</v>
      </c>
      <c r="AP82" s="166">
        <f t="shared" si="38"/>
        <v>7.7652785715634387E-2</v>
      </c>
      <c r="AQ82" s="166">
        <f t="shared" si="39"/>
        <v>14.412198385540876</v>
      </c>
      <c r="AR82" s="166">
        <f t="shared" si="40"/>
        <v>11.191473529236177</v>
      </c>
      <c r="AS82" s="166">
        <f t="shared" si="41"/>
        <v>776.52785715634388</v>
      </c>
      <c r="AT82" s="163">
        <v>1.08</v>
      </c>
      <c r="AU82" s="164">
        <f t="shared" si="42"/>
        <v>-26.034934014840395</v>
      </c>
      <c r="AV82" s="164">
        <f t="shared" si="43"/>
        <v>1.0825961303582528</v>
      </c>
      <c r="AW82" s="168">
        <f t="shared" si="44"/>
        <v>2.5961303582526796E-3</v>
      </c>
      <c r="AX82" s="168">
        <f t="shared" si="45"/>
        <v>438.74423440112719</v>
      </c>
      <c r="AY82" s="168">
        <f t="shared" si="46"/>
        <v>11.39037226437096</v>
      </c>
      <c r="AZ82" s="168">
        <f t="shared" si="47"/>
        <v>25.961303582526796</v>
      </c>
    </row>
    <row r="83" spans="1:52" ht="18" x14ac:dyDescent="0.25">
      <c r="A83">
        <v>2</v>
      </c>
      <c r="B83" t="s">
        <v>44</v>
      </c>
      <c r="C83" t="s">
        <v>30</v>
      </c>
      <c r="D83" t="s">
        <v>427</v>
      </c>
      <c r="E83">
        <v>1</v>
      </c>
      <c r="F83" s="9" t="s">
        <v>434</v>
      </c>
      <c r="G83">
        <v>77</v>
      </c>
      <c r="H83">
        <v>4.07</v>
      </c>
      <c r="Q83" s="154">
        <v>525</v>
      </c>
      <c r="R83" s="154" t="s">
        <v>203</v>
      </c>
      <c r="S83" s="154">
        <v>4.10250425</v>
      </c>
      <c r="T83" s="154">
        <v>1.2446820193762531</v>
      </c>
      <c r="U83" s="154">
        <v>5.4846139999999997</v>
      </c>
      <c r="V83" s="154">
        <v>-27.593149143319316</v>
      </c>
      <c r="W83" s="156">
        <v>4.07</v>
      </c>
      <c r="X83" s="170">
        <v>6.0891198571428573</v>
      </c>
      <c r="Y83" s="170">
        <v>1.937853204676379</v>
      </c>
      <c r="Z83" s="170">
        <v>4.0229087857142849</v>
      </c>
      <c r="AA83" s="170">
        <v>-25.881361430956051</v>
      </c>
      <c r="AB83" s="170">
        <v>2.7697142857142856</v>
      </c>
      <c r="AC83" s="170">
        <v>2.7697142857142856</v>
      </c>
      <c r="AD83" s="158">
        <f t="shared" si="15"/>
        <v>1.2827131784164255E-2</v>
      </c>
      <c r="AE83" s="158">
        <f t="shared" si="16"/>
        <v>0.3167721692777275</v>
      </c>
      <c r="AF83" s="159">
        <f t="shared" si="17"/>
        <v>5.2623362659843936E-2</v>
      </c>
      <c r="AG83" s="159">
        <f t="shared" si="18"/>
        <v>1.7373730744309941</v>
      </c>
      <c r="AH83" s="160">
        <f t="shared" si="19"/>
        <v>1.292957313509679</v>
      </c>
      <c r="AI83" s="160">
        <f t="shared" si="20"/>
        <v>42.687299126068652</v>
      </c>
      <c r="AJ83" s="161">
        <f t="shared" si="21"/>
        <v>33.015242405950545</v>
      </c>
      <c r="AK83" s="162">
        <f t="shared" si="35"/>
        <v>1.2868288146998741</v>
      </c>
      <c r="AL83" s="162">
        <f t="shared" si="22"/>
        <v>-27.741787712363266</v>
      </c>
      <c r="AM83" s="163">
        <v>0.36599999999999999</v>
      </c>
      <c r="AN83" s="164">
        <f t="shared" si="36"/>
        <v>1.2868288146998741</v>
      </c>
      <c r="AO83" s="165">
        <f t="shared" si="37"/>
        <v>0.36672322894146858</v>
      </c>
      <c r="AP83" s="166">
        <f t="shared" si="38"/>
        <v>7.2322894146858996E-4</v>
      </c>
      <c r="AQ83" s="166">
        <f t="shared" si="39"/>
        <v>12.92957313509679</v>
      </c>
      <c r="AR83" s="166">
        <f t="shared" si="40"/>
        <v>9.3510414921367691E-2</v>
      </c>
      <c r="AS83" s="166">
        <f t="shared" si="41"/>
        <v>7.2322894146858996</v>
      </c>
      <c r="AT83" s="163">
        <v>1.08</v>
      </c>
      <c r="AU83" s="164">
        <f t="shared" si="42"/>
        <v>-27.741787712363266</v>
      </c>
      <c r="AV83" s="164">
        <f t="shared" si="43"/>
        <v>1.0807194066647854</v>
      </c>
      <c r="AW83" s="168">
        <f t="shared" si="44"/>
        <v>7.194066647853159E-4</v>
      </c>
      <c r="AX83" s="168">
        <f t="shared" si="45"/>
        <v>426.87299126068649</v>
      </c>
      <c r="AY83" s="168">
        <f t="shared" si="46"/>
        <v>3.0709527492978173</v>
      </c>
      <c r="AZ83" s="168">
        <f t="shared" si="47"/>
        <v>7.194066647853159</v>
      </c>
    </row>
    <row r="84" spans="1:52" ht="18" x14ac:dyDescent="0.25">
      <c r="A84">
        <v>2</v>
      </c>
      <c r="B84" t="s">
        <v>44</v>
      </c>
      <c r="C84" t="s">
        <v>30</v>
      </c>
      <c r="D84" t="s">
        <v>428</v>
      </c>
      <c r="E84">
        <v>1</v>
      </c>
      <c r="F84" s="9" t="s">
        <v>435</v>
      </c>
      <c r="G84">
        <v>78</v>
      </c>
      <c r="H84">
        <v>4.68</v>
      </c>
      <c r="Q84" s="169">
        <v>526</v>
      </c>
      <c r="R84" s="169" t="s">
        <v>204</v>
      </c>
      <c r="S84" s="169">
        <v>5.3277760000000001</v>
      </c>
      <c r="T84" s="169">
        <v>2.1265482491777679</v>
      </c>
      <c r="U84" s="169">
        <v>6.2185974999999996</v>
      </c>
      <c r="V84" s="169">
        <v>-26.565697623416842</v>
      </c>
      <c r="W84" s="156">
        <v>4.68</v>
      </c>
      <c r="X84" s="170">
        <v>6.0891198571428573</v>
      </c>
      <c r="Y84" s="170">
        <v>1.937853204676379</v>
      </c>
      <c r="Z84" s="170">
        <v>4.0229087857142849</v>
      </c>
      <c r="AA84" s="170">
        <v>-25.881361430956051</v>
      </c>
      <c r="AB84" s="170">
        <v>2.7697142857142856</v>
      </c>
      <c r="AC84" s="170">
        <v>2.7697142857142856</v>
      </c>
      <c r="AD84" s="158">
        <f t="shared" si="15"/>
        <v>1.2827131784164255E-2</v>
      </c>
      <c r="AE84" s="158">
        <f t="shared" si="16"/>
        <v>0.3167721692777275</v>
      </c>
      <c r="AF84" s="159">
        <f t="shared" si="17"/>
        <v>6.8340084868507497E-2</v>
      </c>
      <c r="AG84" s="159">
        <f t="shared" si="18"/>
        <v>1.9698786199400529</v>
      </c>
      <c r="AH84" s="160">
        <f t="shared" si="19"/>
        <v>1.4602582236860577</v>
      </c>
      <c r="AI84" s="160">
        <f t="shared" si="20"/>
        <v>42.09142350299259</v>
      </c>
      <c r="AJ84" s="161">
        <f t="shared" si="21"/>
        <v>28.824644039150339</v>
      </c>
      <c r="AK84" s="162">
        <f>T84+(1.98-Y84)</f>
        <v>2.1686950445013888</v>
      </c>
      <c r="AL84" s="162">
        <f>V84+(-26.03-AA84)</f>
        <v>-26.714336192460792</v>
      </c>
      <c r="AM84" s="163">
        <v>0.36599999999999999</v>
      </c>
      <c r="AN84" s="164">
        <f t="shared" si="36"/>
        <v>2.1686950445013888</v>
      </c>
      <c r="AO84" s="165">
        <f t="shared" si="37"/>
        <v>0.36704502864495098</v>
      </c>
      <c r="AP84" s="166">
        <f t="shared" si="38"/>
        <v>1.0450286449509849E-3</v>
      </c>
      <c r="AQ84" s="166">
        <f t="shared" si="39"/>
        <v>14.602582236860577</v>
      </c>
      <c r="AR84" s="166">
        <f t="shared" si="40"/>
        <v>0.1526011672777173</v>
      </c>
      <c r="AS84" s="166">
        <f t="shared" si="41"/>
        <v>10.45028644950985</v>
      </c>
      <c r="AT84" s="163">
        <v>1.08</v>
      </c>
      <c r="AU84" s="164">
        <f t="shared" si="42"/>
        <v>-26.714336192460792</v>
      </c>
      <c r="AV84" s="164">
        <f t="shared" si="43"/>
        <v>1.0818491210485581</v>
      </c>
      <c r="AW84" s="168">
        <f t="shared" si="44"/>
        <v>1.8491210485580556E-3</v>
      </c>
      <c r="AX84" s="168">
        <f t="shared" si="45"/>
        <v>420.91423502992592</v>
      </c>
      <c r="AY84" s="168">
        <f t="shared" si="46"/>
        <v>7.7832137163154851</v>
      </c>
      <c r="AZ84" s="168">
        <f t="shared" si="47"/>
        <v>18.491210485580556</v>
      </c>
    </row>
    <row r="85" spans="1:52" ht="18" x14ac:dyDescent="0.25">
      <c r="A85">
        <v>2</v>
      </c>
      <c r="B85" t="s">
        <v>48</v>
      </c>
      <c r="C85" t="s">
        <v>26</v>
      </c>
      <c r="D85" t="s">
        <v>427</v>
      </c>
      <c r="E85">
        <v>1</v>
      </c>
      <c r="F85" s="9" t="s">
        <v>102</v>
      </c>
      <c r="G85">
        <v>79</v>
      </c>
      <c r="H85">
        <v>4.6529999999999996</v>
      </c>
      <c r="Q85" s="154">
        <v>527</v>
      </c>
      <c r="R85" s="154" t="s">
        <v>205</v>
      </c>
      <c r="S85" s="154">
        <v>6.1929480000000003</v>
      </c>
      <c r="T85" s="154">
        <v>221.21196048674983</v>
      </c>
      <c r="U85" s="154">
        <v>6.533544</v>
      </c>
      <c r="V85" s="154">
        <v>-27.260905895537732</v>
      </c>
      <c r="W85" s="156">
        <v>4.6529999999999996</v>
      </c>
      <c r="X85" s="170">
        <v>6.0891198571428573</v>
      </c>
      <c r="Y85" s="170">
        <v>1.937853204676379</v>
      </c>
      <c r="Z85" s="170">
        <v>4.0229087857142849</v>
      </c>
      <c r="AA85" s="170">
        <v>-25.881361430956051</v>
      </c>
      <c r="AB85" s="170">
        <v>2.7697142857142856</v>
      </c>
      <c r="AC85" s="170">
        <v>2.7697142857142856</v>
      </c>
      <c r="AD85" s="158">
        <f t="shared" si="15"/>
        <v>1.2827131784164255E-2</v>
      </c>
      <c r="AE85" s="158">
        <f t="shared" si="16"/>
        <v>0.3167721692777275</v>
      </c>
      <c r="AF85" s="159">
        <f t="shared" si="17"/>
        <v>7.9437760128476462E-2</v>
      </c>
      <c r="AG85" s="159">
        <f t="shared" si="18"/>
        <v>2.0696449059514808</v>
      </c>
      <c r="AH85" s="160">
        <f t="shared" si="19"/>
        <v>1.7072374839560815</v>
      </c>
      <c r="AI85" s="160">
        <f t="shared" si="20"/>
        <v>44.479795958553211</v>
      </c>
      <c r="AJ85" s="161">
        <f t="shared" si="21"/>
        <v>26.053666450365643</v>
      </c>
      <c r="AK85" s="162">
        <f>T85+(1.98-Y85)</f>
        <v>221.25410728207345</v>
      </c>
      <c r="AL85" s="162">
        <f>V85+(-26.03-AA85)</f>
        <v>-27.409544464581682</v>
      </c>
      <c r="AM85" s="163">
        <v>0.36599999999999999</v>
      </c>
      <c r="AN85" s="164">
        <f t="shared" si="36"/>
        <v>221.25410728207345</v>
      </c>
      <c r="AO85" s="165">
        <f t="shared" si="37"/>
        <v>0.44692660876042017</v>
      </c>
      <c r="AP85" s="166">
        <f t="shared" si="38"/>
        <v>8.0926608760420182E-2</v>
      </c>
      <c r="AQ85" s="166">
        <f t="shared" si="39"/>
        <v>17.072374839560815</v>
      </c>
      <c r="AR85" s="166">
        <f t="shared" si="40"/>
        <v>13.816093992523793</v>
      </c>
      <c r="AS85" s="166">
        <f t="shared" si="41"/>
        <v>809.26608760420186</v>
      </c>
      <c r="AT85" s="163">
        <v>1.08</v>
      </c>
      <c r="AU85" s="164">
        <f t="shared" si="42"/>
        <v>-27.409544464581682</v>
      </c>
      <c r="AV85" s="164">
        <f t="shared" si="43"/>
        <v>1.0810847211045784</v>
      </c>
      <c r="AW85" s="168">
        <f t="shared" si="44"/>
        <v>1.0847211045783567E-3</v>
      </c>
      <c r="AX85" s="168">
        <f t="shared" si="45"/>
        <v>444.79795958553217</v>
      </c>
      <c r="AY85" s="168">
        <f t="shared" si="46"/>
        <v>4.8248173403581776</v>
      </c>
      <c r="AZ85" s="168">
        <f t="shared" si="47"/>
        <v>10.847211045783567</v>
      </c>
    </row>
    <row r="86" spans="1:52" ht="18" x14ac:dyDescent="0.25">
      <c r="A86">
        <v>2</v>
      </c>
      <c r="B86" t="s">
        <v>48</v>
      </c>
      <c r="C86" t="s">
        <v>26</v>
      </c>
      <c r="D86" t="s">
        <v>428</v>
      </c>
      <c r="E86">
        <v>1</v>
      </c>
      <c r="F86" s="9" t="s">
        <v>103</v>
      </c>
      <c r="G86">
        <v>80</v>
      </c>
      <c r="H86">
        <v>4.7919999999999998</v>
      </c>
      <c r="Q86" s="169">
        <v>528</v>
      </c>
      <c r="R86" s="169" t="s">
        <v>206</v>
      </c>
      <c r="S86" s="169">
        <v>5.0101509999999996</v>
      </c>
      <c r="T86" s="169">
        <v>65.131746843935034</v>
      </c>
      <c r="U86" s="169">
        <v>6.8802694999999998</v>
      </c>
      <c r="V86" s="169">
        <v>-28.982158433772295</v>
      </c>
      <c r="W86" s="156">
        <v>4.7919999999999998</v>
      </c>
      <c r="X86" s="170">
        <v>6.0891198571428573</v>
      </c>
      <c r="Y86" s="170">
        <v>1.937853204676379</v>
      </c>
      <c r="Z86" s="170">
        <v>4.0229087857142849</v>
      </c>
      <c r="AA86" s="170">
        <v>-25.881361430956051</v>
      </c>
      <c r="AB86" s="170">
        <v>2.7697142857142856</v>
      </c>
      <c r="AC86" s="170">
        <v>2.7697142857142856</v>
      </c>
      <c r="AD86" s="158">
        <f t="shared" si="15"/>
        <v>1.2827131784164255E-2</v>
      </c>
      <c r="AE86" s="158">
        <f t="shared" si="16"/>
        <v>0.3167721692777275</v>
      </c>
      <c r="AF86" s="159">
        <f t="shared" si="17"/>
        <v>6.4265867135562316E-2</v>
      </c>
      <c r="AG86" s="159">
        <f t="shared" si="18"/>
        <v>2.1794778947303857</v>
      </c>
      <c r="AH86" s="160">
        <f t="shared" si="19"/>
        <v>1.3411074110092303</v>
      </c>
      <c r="AI86" s="160">
        <f t="shared" si="20"/>
        <v>45.481592127094864</v>
      </c>
      <c r="AJ86" s="161">
        <f t="shared" si="21"/>
        <v>33.913459692887962</v>
      </c>
      <c r="AK86" s="162">
        <f t="shared" ref="AK86:AK107" si="48">T86+(1.98-Y86)</f>
        <v>65.173893639258651</v>
      </c>
      <c r="AL86" s="162">
        <f t="shared" ref="AL86:AL107" si="49">V86+(-26.03-AA86)</f>
        <v>-29.130797002816244</v>
      </c>
      <c r="AM86" s="163">
        <v>0.36599999999999999</v>
      </c>
      <c r="AN86" s="164">
        <f t="shared" si="36"/>
        <v>65.173893639258651</v>
      </c>
      <c r="AO86" s="165">
        <f t="shared" si="37"/>
        <v>0.39003072708657244</v>
      </c>
      <c r="AP86" s="166">
        <f t="shared" si="38"/>
        <v>2.4030727086572445E-2</v>
      </c>
      <c r="AQ86" s="166">
        <f t="shared" si="39"/>
        <v>13.411074110092301</v>
      </c>
      <c r="AR86" s="166">
        <f t="shared" si="40"/>
        <v>3.2227786187742549</v>
      </c>
      <c r="AS86" s="166">
        <f t="shared" si="41"/>
        <v>240.30727086572446</v>
      </c>
      <c r="AT86" s="163">
        <v>1.08</v>
      </c>
      <c r="AU86" s="164">
        <f t="shared" si="42"/>
        <v>-29.130797002816244</v>
      </c>
      <c r="AV86" s="164">
        <f t="shared" si="43"/>
        <v>1.0791921074261919</v>
      </c>
      <c r="AW86" s="168">
        <f t="shared" si="44"/>
        <v>-8.078925738081999E-4</v>
      </c>
      <c r="AX86" s="168">
        <f t="shared" si="45"/>
        <v>454.81592127094859</v>
      </c>
      <c r="AY86" s="168">
        <f t="shared" si="46"/>
        <v>-3.6744240524453429</v>
      </c>
      <c r="AZ86" s="168">
        <f t="shared" si="47"/>
        <v>-8.078925738081999</v>
      </c>
    </row>
    <row r="87" spans="1:52" ht="18" x14ac:dyDescent="0.25">
      <c r="A87">
        <v>2</v>
      </c>
      <c r="B87" t="s">
        <v>48</v>
      </c>
      <c r="C87" t="s">
        <v>28</v>
      </c>
      <c r="D87" t="s">
        <v>427</v>
      </c>
      <c r="E87">
        <v>1</v>
      </c>
      <c r="F87" s="9" t="s">
        <v>104</v>
      </c>
      <c r="G87">
        <v>81</v>
      </c>
      <c r="H87">
        <v>5.0149999999999997</v>
      </c>
      <c r="Q87" s="154">
        <v>529</v>
      </c>
      <c r="R87" s="154" t="s">
        <v>207</v>
      </c>
      <c r="S87" s="154">
        <v>6.1594205000000004</v>
      </c>
      <c r="T87" s="154">
        <v>622.76520827605395</v>
      </c>
      <c r="U87" s="154">
        <v>6.1868179999999997</v>
      </c>
      <c r="V87" s="154">
        <v>-22.608011176807246</v>
      </c>
      <c r="W87" s="156">
        <v>5.0149999999999997</v>
      </c>
      <c r="X87" s="170">
        <v>6.0891198571428573</v>
      </c>
      <c r="Y87" s="170">
        <v>1.937853204676379</v>
      </c>
      <c r="Z87" s="170">
        <v>4.0229087857142849</v>
      </c>
      <c r="AA87" s="170">
        <v>-25.881361430956051</v>
      </c>
      <c r="AB87" s="170">
        <v>2.7697142857142856</v>
      </c>
      <c r="AC87" s="170">
        <v>2.7697142857142856</v>
      </c>
      <c r="AD87" s="158">
        <f t="shared" si="15"/>
        <v>1.2827131784164255E-2</v>
      </c>
      <c r="AE87" s="158">
        <f t="shared" si="16"/>
        <v>0.3167721692777275</v>
      </c>
      <c r="AF87" s="159">
        <f t="shared" si="17"/>
        <v>7.900769846758289E-2</v>
      </c>
      <c r="AG87" s="159">
        <f t="shared" si="18"/>
        <v>1.9598117587864914</v>
      </c>
      <c r="AH87" s="160">
        <f t="shared" si="19"/>
        <v>1.5754276862927794</v>
      </c>
      <c r="AI87" s="160">
        <f t="shared" si="20"/>
        <v>39.078998181186272</v>
      </c>
      <c r="AJ87" s="161">
        <f t="shared" si="21"/>
        <v>24.805326528915511</v>
      </c>
      <c r="AK87" s="162">
        <f t="shared" si="48"/>
        <v>622.80735507137763</v>
      </c>
      <c r="AL87" s="162">
        <f t="shared" si="49"/>
        <v>-22.756649745851195</v>
      </c>
      <c r="AM87" s="163">
        <v>0.36599999999999999</v>
      </c>
      <c r="AN87" s="164">
        <f t="shared" si="36"/>
        <v>622.80735507137763</v>
      </c>
      <c r="AO87" s="165">
        <f t="shared" si="37"/>
        <v>0.59300643948638498</v>
      </c>
      <c r="AP87" s="166">
        <f t="shared" si="38"/>
        <v>0.22700643948638499</v>
      </c>
      <c r="AQ87" s="166">
        <f t="shared" si="39"/>
        <v>15.754276862927792</v>
      </c>
      <c r="AR87" s="166">
        <f t="shared" si="40"/>
        <v>35.763222973359731</v>
      </c>
      <c r="AS87" s="166">
        <f t="shared" si="41"/>
        <v>2270.0643948638503</v>
      </c>
      <c r="AT87" s="163">
        <v>1.08</v>
      </c>
      <c r="AU87" s="164">
        <f t="shared" si="42"/>
        <v>-22.756649745851195</v>
      </c>
      <c r="AV87" s="164">
        <f t="shared" si="43"/>
        <v>1.0862004772727036</v>
      </c>
      <c r="AW87" s="168">
        <f t="shared" si="44"/>
        <v>6.200477272703564E-3</v>
      </c>
      <c r="AX87" s="168">
        <f t="shared" si="45"/>
        <v>390.78998181186267</v>
      </c>
      <c r="AY87" s="168">
        <f t="shared" si="46"/>
        <v>24.230844006246937</v>
      </c>
      <c r="AZ87" s="168">
        <f t="shared" si="47"/>
        <v>62.004772727035636</v>
      </c>
    </row>
    <row r="88" spans="1:52" ht="18" x14ac:dyDescent="0.25">
      <c r="A88">
        <v>2</v>
      </c>
      <c r="B88" t="s">
        <v>48</v>
      </c>
      <c r="C88" t="s">
        <v>28</v>
      </c>
      <c r="D88" t="s">
        <v>428</v>
      </c>
      <c r="E88">
        <v>1</v>
      </c>
      <c r="F88" s="9" t="s">
        <v>105</v>
      </c>
      <c r="G88">
        <v>82</v>
      </c>
      <c r="H88">
        <v>4.8099999999999996</v>
      </c>
      <c r="Q88" s="169">
        <v>530</v>
      </c>
      <c r="R88" s="169" t="s">
        <v>208</v>
      </c>
      <c r="S88" s="169">
        <v>6.5564400000000003</v>
      </c>
      <c r="T88" s="169">
        <v>290.70348146440779</v>
      </c>
      <c r="U88" s="169">
        <v>6.6369104999999999</v>
      </c>
      <c r="V88" s="169">
        <v>-24.352936951830859</v>
      </c>
      <c r="W88" s="156">
        <v>4.8099999999999996</v>
      </c>
      <c r="X88" s="170">
        <v>6.0891198571428573</v>
      </c>
      <c r="Y88" s="170">
        <v>1.937853204676379</v>
      </c>
      <c r="Z88" s="170">
        <v>4.0229087857142849</v>
      </c>
      <c r="AA88" s="170">
        <v>-25.881361430956051</v>
      </c>
      <c r="AB88" s="170">
        <v>2.7697142857142856</v>
      </c>
      <c r="AC88" s="170">
        <v>2.7697142857142856</v>
      </c>
      <c r="AD88" s="158">
        <f t="shared" si="15"/>
        <v>1.2827131784164255E-2</v>
      </c>
      <c r="AE88" s="158">
        <f t="shared" si="16"/>
        <v>0.3167721692777275</v>
      </c>
      <c r="AF88" s="159">
        <f t="shared" si="17"/>
        <v>8.4100319914965888E-2</v>
      </c>
      <c r="AG88" s="159">
        <f t="shared" si="18"/>
        <v>2.1023885363871271</v>
      </c>
      <c r="AH88" s="160">
        <f t="shared" si="19"/>
        <v>1.7484473994795402</v>
      </c>
      <c r="AI88" s="160">
        <f t="shared" si="20"/>
        <v>43.708701380189751</v>
      </c>
      <c r="AJ88" s="161">
        <f t="shared" si="21"/>
        <v>24.998579535878807</v>
      </c>
      <c r="AK88" s="162">
        <f t="shared" si="48"/>
        <v>290.7456282597314</v>
      </c>
      <c r="AL88" s="162">
        <f t="shared" si="49"/>
        <v>-24.501575520874809</v>
      </c>
      <c r="AM88" s="163">
        <v>0.36599999999999999</v>
      </c>
      <c r="AN88" s="164">
        <f t="shared" si="36"/>
        <v>290.7456282597314</v>
      </c>
      <c r="AO88" s="165">
        <f t="shared" si="37"/>
        <v>0.47223742979718764</v>
      </c>
      <c r="AP88" s="166">
        <f t="shared" si="38"/>
        <v>0.10623742979718764</v>
      </c>
      <c r="AQ88" s="166">
        <f t="shared" si="39"/>
        <v>17.484473994795401</v>
      </c>
      <c r="AR88" s="166">
        <f t="shared" si="40"/>
        <v>18.57505578562829</v>
      </c>
      <c r="AS88" s="166">
        <f t="shared" si="41"/>
        <v>1062.3742979718763</v>
      </c>
      <c r="AT88" s="163">
        <v>1.08</v>
      </c>
      <c r="AU88" s="164">
        <f t="shared" si="42"/>
        <v>-24.501575520874809</v>
      </c>
      <c r="AV88" s="164">
        <f t="shared" si="43"/>
        <v>1.0842820314867458</v>
      </c>
      <c r="AW88" s="168">
        <f t="shared" si="44"/>
        <v>4.2820314867457743E-3</v>
      </c>
      <c r="AX88" s="168">
        <f t="shared" si="45"/>
        <v>437.08701380189757</v>
      </c>
      <c r="AY88" s="168">
        <f t="shared" si="46"/>
        <v>18.716203555474102</v>
      </c>
      <c r="AZ88" s="168">
        <f t="shared" si="47"/>
        <v>42.820314867457739</v>
      </c>
    </row>
    <row r="89" spans="1:52" ht="18" x14ac:dyDescent="0.25">
      <c r="A89">
        <v>2</v>
      </c>
      <c r="B89" t="s">
        <v>48</v>
      </c>
      <c r="C89" t="s">
        <v>30</v>
      </c>
      <c r="D89" t="s">
        <v>427</v>
      </c>
      <c r="E89">
        <v>1</v>
      </c>
      <c r="F89" s="9" t="s">
        <v>106</v>
      </c>
      <c r="G89">
        <v>83</v>
      </c>
      <c r="H89">
        <v>4.4889999999999999</v>
      </c>
      <c r="Q89" s="154">
        <v>531</v>
      </c>
      <c r="R89" s="154" t="s">
        <v>209</v>
      </c>
      <c r="S89" s="154">
        <v>5.1839909999999998</v>
      </c>
      <c r="T89" s="154">
        <v>2.4299141217577787</v>
      </c>
      <c r="U89" s="154">
        <v>5.9761104999999999</v>
      </c>
      <c r="V89" s="154">
        <v>-26.76862969581552</v>
      </c>
      <c r="W89" s="156">
        <v>4.4889999999999999</v>
      </c>
      <c r="X89" s="170">
        <v>6.0891198571428573</v>
      </c>
      <c r="Y89" s="170">
        <v>1.937853204676379</v>
      </c>
      <c r="Z89" s="170">
        <v>4.0229087857142849</v>
      </c>
      <c r="AA89" s="170">
        <v>-25.881361430956051</v>
      </c>
      <c r="AB89" s="170">
        <v>2.7697142857142856</v>
      </c>
      <c r="AC89" s="170">
        <v>2.7697142857142856</v>
      </c>
      <c r="AD89" s="158">
        <f t="shared" si="15"/>
        <v>1.2827131784164255E-2</v>
      </c>
      <c r="AE89" s="158">
        <f t="shared" si="16"/>
        <v>0.3167721692777275</v>
      </c>
      <c r="AF89" s="159">
        <f t="shared" si="17"/>
        <v>6.6495735724921443E-2</v>
      </c>
      <c r="AG89" s="159">
        <f t="shared" si="18"/>
        <v>1.8930654869284047</v>
      </c>
      <c r="AH89" s="160">
        <f t="shared" si="19"/>
        <v>1.4813039813972253</v>
      </c>
      <c r="AI89" s="160">
        <f t="shared" si="20"/>
        <v>42.171207104664838</v>
      </c>
      <c r="AJ89" s="161">
        <f t="shared" si="21"/>
        <v>28.468975736423303</v>
      </c>
      <c r="AK89" s="162">
        <f t="shared" si="48"/>
        <v>2.4720609170813996</v>
      </c>
      <c r="AL89" s="162">
        <f t="shared" si="49"/>
        <v>-26.917268264859469</v>
      </c>
      <c r="AM89" s="163">
        <v>0.36599999999999999</v>
      </c>
      <c r="AN89" s="164">
        <f t="shared" si="36"/>
        <v>2.4720609170813996</v>
      </c>
      <c r="AO89" s="165">
        <f t="shared" si="37"/>
        <v>0.36715572868172575</v>
      </c>
      <c r="AP89" s="166">
        <f t="shared" si="38"/>
        <v>1.1557286817257539E-3</v>
      </c>
      <c r="AQ89" s="166">
        <f t="shared" si="39"/>
        <v>14.813039813972253</v>
      </c>
      <c r="AR89" s="166">
        <f t="shared" si="40"/>
        <v>0.17119854976553259</v>
      </c>
      <c r="AS89" s="166">
        <f t="shared" si="41"/>
        <v>11.557286817257539</v>
      </c>
      <c r="AT89" s="163">
        <v>1.08</v>
      </c>
      <c r="AU89" s="164">
        <f t="shared" si="42"/>
        <v>-26.917268264859469</v>
      </c>
      <c r="AV89" s="164">
        <f t="shared" si="43"/>
        <v>1.0816259930706704</v>
      </c>
      <c r="AW89" s="168">
        <f t="shared" si="44"/>
        <v>1.6259930706703507E-3</v>
      </c>
      <c r="AX89" s="168">
        <f t="shared" si="45"/>
        <v>421.71207104664836</v>
      </c>
      <c r="AY89" s="168">
        <f t="shared" si="46"/>
        <v>6.8570090533989285</v>
      </c>
      <c r="AZ89" s="168">
        <f t="shared" si="47"/>
        <v>16.259930706703507</v>
      </c>
    </row>
    <row r="90" spans="1:52" ht="18" x14ac:dyDescent="0.25">
      <c r="A90">
        <v>2</v>
      </c>
      <c r="B90" t="s">
        <v>48</v>
      </c>
      <c r="C90" t="s">
        <v>30</v>
      </c>
      <c r="D90" t="s">
        <v>428</v>
      </c>
      <c r="E90">
        <v>1</v>
      </c>
      <c r="F90" s="9" t="s">
        <v>107</v>
      </c>
      <c r="G90">
        <v>84</v>
      </c>
      <c r="H90">
        <v>4.274</v>
      </c>
      <c r="Q90" s="169">
        <v>532</v>
      </c>
      <c r="R90" s="169" t="s">
        <v>210</v>
      </c>
      <c r="S90" s="169">
        <v>6.1748830000000003</v>
      </c>
      <c r="T90" s="169">
        <v>3.9502589706944646</v>
      </c>
      <c r="U90" s="169">
        <v>5.635014</v>
      </c>
      <c r="V90" s="169">
        <v>-26.121371286969698</v>
      </c>
      <c r="W90" s="156">
        <v>4.274</v>
      </c>
      <c r="X90" s="170">
        <v>6.0891198571428573</v>
      </c>
      <c r="Y90" s="170">
        <v>1.937853204676379</v>
      </c>
      <c r="Z90" s="170">
        <v>4.0229087857142849</v>
      </c>
      <c r="AA90" s="170">
        <v>-25.881361430956051</v>
      </c>
      <c r="AB90" s="170">
        <v>2.7697142857142856</v>
      </c>
      <c r="AC90" s="170">
        <v>2.7697142857142856</v>
      </c>
      <c r="AD90" s="158">
        <f t="shared" si="15"/>
        <v>1.2827131784164255E-2</v>
      </c>
      <c r="AE90" s="158">
        <f t="shared" si="16"/>
        <v>0.3167721692777275</v>
      </c>
      <c r="AF90" s="159">
        <f t="shared" si="17"/>
        <v>7.9206037992795533E-2</v>
      </c>
      <c r="AG90" s="159">
        <f t="shared" si="18"/>
        <v>1.7850156086903644</v>
      </c>
      <c r="AH90" s="160">
        <f t="shared" si="19"/>
        <v>1.8532063170986321</v>
      </c>
      <c r="AI90" s="160">
        <f t="shared" si="20"/>
        <v>41.764520558969686</v>
      </c>
      <c r="AJ90" s="161">
        <f t="shared" si="21"/>
        <v>22.536357756623641</v>
      </c>
      <c r="AK90" s="162">
        <f t="shared" si="48"/>
        <v>3.9924057660180856</v>
      </c>
      <c r="AL90" s="162">
        <f t="shared" si="49"/>
        <v>-26.270009856013647</v>
      </c>
      <c r="AM90" s="163">
        <v>0.36599999999999999</v>
      </c>
      <c r="AN90" s="164">
        <f t="shared" si="36"/>
        <v>3.9924057660180856</v>
      </c>
      <c r="AO90" s="165">
        <f t="shared" si="37"/>
        <v>0.36771050798209182</v>
      </c>
      <c r="AP90" s="166">
        <f t="shared" si="38"/>
        <v>1.7105079820918245E-3</v>
      </c>
      <c r="AQ90" s="166">
        <f t="shared" si="39"/>
        <v>18.532063170986319</v>
      </c>
      <c r="AR90" s="166">
        <f t="shared" si="40"/>
        <v>0.31699241978602027</v>
      </c>
      <c r="AS90" s="166">
        <f t="shared" si="41"/>
        <v>17.105079820918245</v>
      </c>
      <c r="AT90" s="163">
        <v>1.08</v>
      </c>
      <c r="AU90" s="164">
        <f t="shared" si="42"/>
        <v>-26.270009856013647</v>
      </c>
      <c r="AV90" s="164">
        <f t="shared" si="43"/>
        <v>1.0823376634584647</v>
      </c>
      <c r="AW90" s="168">
        <f t="shared" si="44"/>
        <v>2.337663458464645E-3</v>
      </c>
      <c r="AX90" s="168">
        <f t="shared" si="45"/>
        <v>417.64520558969684</v>
      </c>
      <c r="AY90" s="168">
        <f t="shared" si="46"/>
        <v>9.7631393570998828</v>
      </c>
      <c r="AZ90" s="168">
        <f t="shared" si="47"/>
        <v>23.376634584646446</v>
      </c>
    </row>
    <row r="91" spans="1:52" ht="18" x14ac:dyDescent="0.25">
      <c r="A91">
        <v>2</v>
      </c>
      <c r="B91" t="s">
        <v>52</v>
      </c>
      <c r="C91" t="s">
        <v>26</v>
      </c>
      <c r="D91" t="s">
        <v>427</v>
      </c>
      <c r="E91">
        <v>1</v>
      </c>
      <c r="F91" s="9" t="s">
        <v>108</v>
      </c>
      <c r="G91">
        <v>85</v>
      </c>
      <c r="H91">
        <v>4.6029999999999998</v>
      </c>
      <c r="Q91" s="154">
        <v>533</v>
      </c>
      <c r="R91" s="154" t="s">
        <v>211</v>
      </c>
      <c r="S91" s="154">
        <v>4.7833794999999997</v>
      </c>
      <c r="T91" s="154">
        <v>334.18070375411241</v>
      </c>
      <c r="U91" s="154">
        <v>6.5785419999999997</v>
      </c>
      <c r="V91" s="154">
        <v>-26.98276934275038</v>
      </c>
      <c r="W91" s="156">
        <v>4.6029999999999998</v>
      </c>
      <c r="X91" s="170">
        <v>6.0891198571428573</v>
      </c>
      <c r="Y91" s="170">
        <v>1.937853204676379</v>
      </c>
      <c r="Z91" s="170">
        <v>4.0229087857142849</v>
      </c>
      <c r="AA91" s="170">
        <v>-25.881361430956051</v>
      </c>
      <c r="AB91" s="170">
        <v>2.7697142857142856</v>
      </c>
      <c r="AC91" s="170">
        <v>2.7697142857142856</v>
      </c>
      <c r="AD91" s="158">
        <f t="shared" si="15"/>
        <v>1.2827131784164255E-2</v>
      </c>
      <c r="AE91" s="158">
        <f t="shared" si="16"/>
        <v>0.3167721692777275</v>
      </c>
      <c r="AF91" s="159">
        <f t="shared" si="17"/>
        <v>6.1357039220169718E-2</v>
      </c>
      <c r="AG91" s="159">
        <f t="shared" si="18"/>
        <v>2.0838990200246399</v>
      </c>
      <c r="AH91" s="160">
        <f t="shared" si="19"/>
        <v>1.3329793443443345</v>
      </c>
      <c r="AI91" s="160">
        <f t="shared" si="20"/>
        <v>45.272626982938085</v>
      </c>
      <c r="AJ91" s="161">
        <f t="shared" si="21"/>
        <v>33.963487262592778</v>
      </c>
      <c r="AK91" s="162">
        <f t="shared" si="48"/>
        <v>334.22285054943603</v>
      </c>
      <c r="AL91" s="162">
        <f t="shared" si="49"/>
        <v>-27.13140791179433</v>
      </c>
      <c r="AM91" s="163">
        <v>0.36599999999999999</v>
      </c>
      <c r="AN91" s="164">
        <f t="shared" si="36"/>
        <v>334.22285054943603</v>
      </c>
      <c r="AO91" s="165">
        <f t="shared" si="37"/>
        <v>0.48806654711385872</v>
      </c>
      <c r="AP91" s="166">
        <f t="shared" si="38"/>
        <v>0.12206654711385873</v>
      </c>
      <c r="AQ91" s="166">
        <f t="shared" si="39"/>
        <v>13.329793443443346</v>
      </c>
      <c r="AR91" s="166">
        <f t="shared" si="40"/>
        <v>16.271218593820823</v>
      </c>
      <c r="AS91" s="166">
        <f t="shared" si="41"/>
        <v>1220.6654711385872</v>
      </c>
      <c r="AT91" s="163">
        <v>1.08</v>
      </c>
      <c r="AU91" s="164">
        <f t="shared" si="42"/>
        <v>-27.13140791179433</v>
      </c>
      <c r="AV91" s="164">
        <f t="shared" si="43"/>
        <v>1.0813905410430547</v>
      </c>
      <c r="AW91" s="168">
        <f t="shared" si="44"/>
        <v>1.3905410430545828E-3</v>
      </c>
      <c r="AX91" s="168">
        <f t="shared" si="45"/>
        <v>452.72626982938084</v>
      </c>
      <c r="AY91" s="168">
        <f t="shared" si="46"/>
        <v>6.2953445946675775</v>
      </c>
      <c r="AZ91" s="168">
        <f t="shared" si="47"/>
        <v>13.905410430545828</v>
      </c>
    </row>
    <row r="92" spans="1:52" ht="18" x14ac:dyDescent="0.25">
      <c r="A92">
        <v>2</v>
      </c>
      <c r="B92" t="s">
        <v>52</v>
      </c>
      <c r="C92" t="s">
        <v>26</v>
      </c>
      <c r="D92" t="s">
        <v>428</v>
      </c>
      <c r="E92">
        <v>1</v>
      </c>
      <c r="F92" s="9" t="s">
        <v>109</v>
      </c>
      <c r="G92">
        <v>86</v>
      </c>
      <c r="H92">
        <v>4.8639999999999999</v>
      </c>
      <c r="Q92" s="169">
        <v>534</v>
      </c>
      <c r="R92" s="169" t="s">
        <v>212</v>
      </c>
      <c r="S92" s="169">
        <v>4.6318479999999997</v>
      </c>
      <c r="T92" s="169">
        <v>287.96800043503373</v>
      </c>
      <c r="U92" s="169">
        <v>6.9238425000000001</v>
      </c>
      <c r="V92" s="169">
        <v>-26.510101881216574</v>
      </c>
      <c r="W92" s="156">
        <v>4.8639999999999999</v>
      </c>
      <c r="X92" s="170">
        <v>6.0891198571428573</v>
      </c>
      <c r="Y92" s="170">
        <v>1.937853204676379</v>
      </c>
      <c r="Z92" s="170">
        <v>4.0229087857142849</v>
      </c>
      <c r="AA92" s="170">
        <v>-25.881361430956051</v>
      </c>
      <c r="AB92" s="170">
        <v>2.7697142857142856</v>
      </c>
      <c r="AC92" s="170">
        <v>2.7697142857142856</v>
      </c>
      <c r="AD92" s="158">
        <f t="shared" si="15"/>
        <v>1.2827131784164255E-2</v>
      </c>
      <c r="AE92" s="158">
        <f t="shared" si="16"/>
        <v>0.3167721692777275</v>
      </c>
      <c r="AF92" s="159">
        <f t="shared" si="17"/>
        <v>5.941332470021763E-2</v>
      </c>
      <c r="AG92" s="159">
        <f t="shared" si="18"/>
        <v>2.1932806084623242</v>
      </c>
      <c r="AH92" s="160">
        <f t="shared" si="19"/>
        <v>1.2214910505801322</v>
      </c>
      <c r="AI92" s="160">
        <f t="shared" si="20"/>
        <v>45.092117772662917</v>
      </c>
      <c r="AJ92" s="161">
        <f t="shared" si="21"/>
        <v>36.915634994826171</v>
      </c>
      <c r="AK92" s="162">
        <f t="shared" si="48"/>
        <v>288.01014723035735</v>
      </c>
      <c r="AL92" s="162">
        <f t="shared" si="49"/>
        <v>-26.658740450260524</v>
      </c>
      <c r="AM92" s="163">
        <v>0.36599999999999999</v>
      </c>
      <c r="AN92" s="164">
        <f t="shared" si="36"/>
        <v>288.01014723035735</v>
      </c>
      <c r="AO92" s="165">
        <f t="shared" si="37"/>
        <v>0.47124133186491846</v>
      </c>
      <c r="AP92" s="166">
        <f t="shared" si="38"/>
        <v>0.10524133186491846</v>
      </c>
      <c r="AQ92" s="166">
        <f t="shared" si="39"/>
        <v>12.214910505801322</v>
      </c>
      <c r="AR92" s="166">
        <f t="shared" si="40"/>
        <v>12.85513450241316</v>
      </c>
      <c r="AS92" s="166">
        <f t="shared" si="41"/>
        <v>1052.4133186491847</v>
      </c>
      <c r="AT92" s="163">
        <v>1.08</v>
      </c>
      <c r="AU92" s="164">
        <f t="shared" si="42"/>
        <v>-26.658740450260524</v>
      </c>
      <c r="AV92" s="164">
        <f t="shared" si="43"/>
        <v>1.0819102495323025</v>
      </c>
      <c r="AW92" s="168">
        <f t="shared" si="44"/>
        <v>1.9102495323024549E-3</v>
      </c>
      <c r="AX92" s="168">
        <f t="shared" si="45"/>
        <v>450.92117772662914</v>
      </c>
      <c r="AY92" s="168">
        <f t="shared" si="46"/>
        <v>8.6137196885756531</v>
      </c>
      <c r="AZ92" s="168">
        <f t="shared" si="47"/>
        <v>19.102495323024549</v>
      </c>
    </row>
    <row r="93" spans="1:52" ht="18" x14ac:dyDescent="0.25">
      <c r="A93">
        <v>2</v>
      </c>
      <c r="B93" t="s">
        <v>52</v>
      </c>
      <c r="C93" t="s">
        <v>28</v>
      </c>
      <c r="D93" t="s">
        <v>427</v>
      </c>
      <c r="E93">
        <v>1</v>
      </c>
      <c r="F93" s="9" t="s">
        <v>110</v>
      </c>
      <c r="G93">
        <v>87</v>
      </c>
      <c r="H93">
        <v>4.5209999999999999</v>
      </c>
      <c r="Q93" s="154">
        <v>535</v>
      </c>
      <c r="R93" s="154" t="s">
        <v>213</v>
      </c>
      <c r="S93" s="154">
        <v>5.23637</v>
      </c>
      <c r="T93" s="154">
        <v>236.78364148587673</v>
      </c>
      <c r="U93" s="154">
        <v>6.1919095000000004</v>
      </c>
      <c r="V93" s="154">
        <v>-26.156917901139213</v>
      </c>
      <c r="W93" s="156">
        <v>4.5209999999999999</v>
      </c>
      <c r="X93" s="170">
        <v>6.0891198571428573</v>
      </c>
      <c r="Y93" s="170">
        <v>1.937853204676379</v>
      </c>
      <c r="Z93" s="170">
        <v>4.0229087857142849</v>
      </c>
      <c r="AA93" s="170">
        <v>-25.881361430956051</v>
      </c>
      <c r="AB93" s="170">
        <v>2.7697142857142856</v>
      </c>
      <c r="AC93" s="170">
        <v>2.7697142857142856</v>
      </c>
      <c r="AD93" s="158">
        <f t="shared" si="15"/>
        <v>1.2827131784164255E-2</v>
      </c>
      <c r="AE93" s="158">
        <f t="shared" si="16"/>
        <v>0.3167721692777275</v>
      </c>
      <c r="AF93" s="159">
        <f t="shared" si="17"/>
        <v>6.7167608060644174E-2</v>
      </c>
      <c r="AG93" s="159">
        <f t="shared" si="18"/>
        <v>1.9614246042863692</v>
      </c>
      <c r="AH93" s="160">
        <f t="shared" si="19"/>
        <v>1.4856803375501919</v>
      </c>
      <c r="AI93" s="160">
        <f t="shared" si="20"/>
        <v>43.384751256057712</v>
      </c>
      <c r="AJ93" s="161">
        <f t="shared" si="21"/>
        <v>29.201942140256676</v>
      </c>
      <c r="AK93" s="162">
        <f t="shared" si="48"/>
        <v>236.82578828120035</v>
      </c>
      <c r="AL93" s="162">
        <f t="shared" si="49"/>
        <v>-26.305556470183163</v>
      </c>
      <c r="AM93" s="163">
        <v>0.36599999999999999</v>
      </c>
      <c r="AN93" s="164">
        <f t="shared" si="36"/>
        <v>236.82578828120035</v>
      </c>
      <c r="AO93" s="165">
        <f t="shared" si="37"/>
        <v>0.45259938426651675</v>
      </c>
      <c r="AP93" s="166">
        <f t="shared" si="38"/>
        <v>8.6599384266516755E-2</v>
      </c>
      <c r="AQ93" s="166">
        <f t="shared" si="39"/>
        <v>14.856803375501919</v>
      </c>
      <c r="AR93" s="166">
        <f t="shared" si="40"/>
        <v>12.865900244871739</v>
      </c>
      <c r="AS93" s="166">
        <f t="shared" si="41"/>
        <v>865.99384266516756</v>
      </c>
      <c r="AT93" s="163">
        <v>1.08</v>
      </c>
      <c r="AU93" s="164">
        <f t="shared" si="42"/>
        <v>-26.305556470183163</v>
      </c>
      <c r="AV93" s="164">
        <f t="shared" si="43"/>
        <v>1.0822985796855278</v>
      </c>
      <c r="AW93" s="168">
        <f t="shared" si="44"/>
        <v>2.298579685527713E-3</v>
      </c>
      <c r="AX93" s="168">
        <f t="shared" si="45"/>
        <v>433.84751256057712</v>
      </c>
      <c r="AY93" s="168">
        <f t="shared" si="46"/>
        <v>9.9723307898847207</v>
      </c>
      <c r="AZ93" s="168">
        <f t="shared" si="47"/>
        <v>22.98579685527713</v>
      </c>
    </row>
    <row r="94" spans="1:52" ht="18" x14ac:dyDescent="0.25">
      <c r="I94" s="25" t="s">
        <v>469</v>
      </c>
      <c r="Q94" s="169">
        <v>536</v>
      </c>
      <c r="R94" s="169" t="s">
        <v>214</v>
      </c>
      <c r="S94" s="169">
        <v>6.8448229999999999</v>
      </c>
      <c r="T94" s="169">
        <v>2.0517587208264936</v>
      </c>
      <c r="U94" s="169">
        <v>4.4316125</v>
      </c>
      <c r="V94" s="169">
        <v>-25.98799779130854</v>
      </c>
      <c r="W94" s="169">
        <v>2.734</v>
      </c>
      <c r="X94" s="170">
        <v>6.0891198571428573</v>
      </c>
      <c r="Y94" s="170">
        <v>1.937853204676379</v>
      </c>
      <c r="Z94" s="170">
        <v>4.0229087857142849</v>
      </c>
      <c r="AA94" s="170">
        <v>-25.881361430956051</v>
      </c>
      <c r="AB94" s="170">
        <v>2.7697142857142856</v>
      </c>
      <c r="AC94" s="170">
        <v>2.7697142857142856</v>
      </c>
      <c r="AD94" s="158">
        <f t="shared" si="15"/>
        <v>1.2827131784164255E-2</v>
      </c>
      <c r="AE94" s="158">
        <f t="shared" si="16"/>
        <v>0.3167721692777275</v>
      </c>
      <c r="AF94" s="159">
        <f t="shared" si="17"/>
        <v>8.779944666027853E-2</v>
      </c>
      <c r="AG94" s="159">
        <f t="shared" si="18"/>
        <v>1.4038115050232931</v>
      </c>
      <c r="AH94" s="160">
        <f t="shared" si="19"/>
        <v>3.2113916115683443</v>
      </c>
      <c r="AI94" s="160">
        <f t="shared" si="20"/>
        <v>51.34643398036917</v>
      </c>
      <c r="AJ94" s="161">
        <f t="shared" si="21"/>
        <v>15.988842281148377</v>
      </c>
      <c r="AK94" s="162">
        <f t="shared" si="48"/>
        <v>2.0939055161501146</v>
      </c>
      <c r="AL94" s="162">
        <f t="shared" si="49"/>
        <v>-26.13663636035249</v>
      </c>
      <c r="AM94" s="163">
        <v>0.36599999999999999</v>
      </c>
      <c r="AN94" s="164">
        <f t="shared" si="36"/>
        <v>2.0939055161501146</v>
      </c>
      <c r="AO94" s="165">
        <f t="shared" si="37"/>
        <v>0.36701773745713506</v>
      </c>
      <c r="AP94" s="166">
        <f t="shared" si="38"/>
        <v>1.0177374571350706E-3</v>
      </c>
      <c r="AQ94" s="166">
        <f t="shared" si="39"/>
        <v>32.113916115683445</v>
      </c>
      <c r="AR94" s="166">
        <f t="shared" si="40"/>
        <v>0.32683535326224633</v>
      </c>
      <c r="AS94" s="166">
        <f t="shared" si="41"/>
        <v>10.177374571350706</v>
      </c>
      <c r="AT94" s="163">
        <v>1.08</v>
      </c>
      <c r="AU94" s="164">
        <f t="shared" si="42"/>
        <v>-26.13663636035249</v>
      </c>
      <c r="AV94" s="164">
        <f t="shared" si="43"/>
        <v>1.0824843083571292</v>
      </c>
      <c r="AW94" s="168">
        <f t="shared" si="44"/>
        <v>2.4843083571290947E-3</v>
      </c>
      <c r="AX94" s="168">
        <f t="shared" si="45"/>
        <v>513.4643398036917</v>
      </c>
      <c r="AY94" s="168">
        <f t="shared" si="46"/>
        <v>12.756037504620844</v>
      </c>
      <c r="AZ94" s="168">
        <f t="shared" si="47"/>
        <v>24.843083571290947</v>
      </c>
    </row>
    <row r="95" spans="1:52" ht="18" x14ac:dyDescent="0.25">
      <c r="A95">
        <v>2</v>
      </c>
      <c r="B95" t="s">
        <v>52</v>
      </c>
      <c r="C95" t="s">
        <v>28</v>
      </c>
      <c r="D95" t="s">
        <v>428</v>
      </c>
      <c r="E95">
        <v>1</v>
      </c>
      <c r="F95" s="9" t="s">
        <v>111</v>
      </c>
      <c r="G95">
        <v>88</v>
      </c>
      <c r="H95">
        <v>5.0609999999999999</v>
      </c>
      <c r="Q95" s="154">
        <v>537</v>
      </c>
      <c r="R95" s="154" t="s">
        <v>215</v>
      </c>
      <c r="S95" s="154">
        <v>4.7163139999999997</v>
      </c>
      <c r="T95" s="154">
        <v>146.33352379819613</v>
      </c>
      <c r="U95" s="154">
        <v>6.8499369999999997</v>
      </c>
      <c r="V95" s="154">
        <v>-25.946839906968147</v>
      </c>
      <c r="W95" s="156">
        <v>5.0609999999999999</v>
      </c>
      <c r="X95" s="170">
        <v>6.0891198571428573</v>
      </c>
      <c r="Y95" s="170">
        <v>1.937853204676379</v>
      </c>
      <c r="Z95" s="170">
        <v>4.0229087857142849</v>
      </c>
      <c r="AA95" s="170">
        <v>-25.881361430956051</v>
      </c>
      <c r="AB95" s="170">
        <v>2.7697142857142856</v>
      </c>
      <c r="AC95" s="170">
        <v>2.7697142857142856</v>
      </c>
      <c r="AD95" s="158">
        <f t="shared" si="15"/>
        <v>1.2827131784164255E-2</v>
      </c>
      <c r="AE95" s="158">
        <f t="shared" si="16"/>
        <v>0.3167721692777275</v>
      </c>
      <c r="AF95" s="159">
        <f t="shared" si="17"/>
        <v>6.049678121349885E-2</v>
      </c>
      <c r="AG95" s="159">
        <f t="shared" si="18"/>
        <v>2.1698694029057686</v>
      </c>
      <c r="AH95" s="160">
        <f t="shared" si="19"/>
        <v>1.1953523258940693</v>
      </c>
      <c r="AI95" s="160">
        <f t="shared" si="20"/>
        <v>42.874321337794278</v>
      </c>
      <c r="AJ95" s="161">
        <f t="shared" si="21"/>
        <v>35.867518227921828</v>
      </c>
      <c r="AK95" s="162">
        <f t="shared" si="48"/>
        <v>146.37567059351974</v>
      </c>
      <c r="AL95" s="162">
        <f t="shared" si="49"/>
        <v>-26.095478476012097</v>
      </c>
      <c r="AM95" s="163">
        <v>0.36599999999999999</v>
      </c>
      <c r="AN95" s="164">
        <f t="shared" si="36"/>
        <v>146.37567059351974</v>
      </c>
      <c r="AO95" s="165">
        <f t="shared" si="37"/>
        <v>0.41963930418476147</v>
      </c>
      <c r="AP95" s="166">
        <f t="shared" si="38"/>
        <v>5.3639304184761483E-2</v>
      </c>
      <c r="AQ95" s="166">
        <f t="shared" si="39"/>
        <v>11.953523258940692</v>
      </c>
      <c r="AR95" s="166">
        <f t="shared" si="40"/>
        <v>6.4117867016594108</v>
      </c>
      <c r="AS95" s="166">
        <f t="shared" si="41"/>
        <v>536.39304184761488</v>
      </c>
      <c r="AT95" s="163">
        <v>1.08</v>
      </c>
      <c r="AU95" s="164">
        <f t="shared" si="42"/>
        <v>-26.095478476012097</v>
      </c>
      <c r="AV95" s="164">
        <f t="shared" si="43"/>
        <v>1.0825295615915855</v>
      </c>
      <c r="AW95" s="168">
        <f t="shared" si="44"/>
        <v>2.5295615915854608E-3</v>
      </c>
      <c r="AX95" s="168">
        <f t="shared" si="45"/>
        <v>428.74321337794282</v>
      </c>
      <c r="AY95" s="168">
        <f t="shared" si="46"/>
        <v>10.845323652137738</v>
      </c>
      <c r="AZ95" s="168">
        <f t="shared" si="47"/>
        <v>25.295615915854608</v>
      </c>
    </row>
    <row r="96" spans="1:52" ht="18" x14ac:dyDescent="0.25">
      <c r="A96">
        <v>2</v>
      </c>
      <c r="B96" t="s">
        <v>52</v>
      </c>
      <c r="C96" t="s">
        <v>30</v>
      </c>
      <c r="D96" t="s">
        <v>427</v>
      </c>
      <c r="E96">
        <v>1</v>
      </c>
      <c r="F96" s="9" t="s">
        <v>112</v>
      </c>
      <c r="G96">
        <v>89</v>
      </c>
      <c r="H96">
        <v>4.2850000000000001</v>
      </c>
      <c r="Q96" s="169">
        <v>538</v>
      </c>
      <c r="R96" s="169" t="s">
        <v>216</v>
      </c>
      <c r="S96" s="169">
        <v>5.0208740000000001</v>
      </c>
      <c r="T96" s="169">
        <v>-0.81655095772603659</v>
      </c>
      <c r="U96" s="169">
        <v>5.8758274999999998</v>
      </c>
      <c r="V96" s="169">
        <v>-28.612875187831072</v>
      </c>
      <c r="W96" s="156">
        <v>4.2850000000000001</v>
      </c>
      <c r="X96" s="170">
        <v>6.0891198571428573</v>
      </c>
      <c r="Y96" s="170">
        <v>1.937853204676379</v>
      </c>
      <c r="Z96" s="170">
        <v>4.0229087857142849</v>
      </c>
      <c r="AA96" s="170">
        <v>-25.881361430956051</v>
      </c>
      <c r="AB96" s="170">
        <v>2.7697142857142856</v>
      </c>
      <c r="AC96" s="170">
        <v>2.7697142857142856</v>
      </c>
      <c r="AD96" s="158">
        <f t="shared" si="15"/>
        <v>1.2827131784164255E-2</v>
      </c>
      <c r="AE96" s="158">
        <f t="shared" si="16"/>
        <v>0.3167721692777275</v>
      </c>
      <c r="AF96" s="159">
        <f t="shared" si="17"/>
        <v>6.4403412469683924E-2</v>
      </c>
      <c r="AG96" s="159">
        <f t="shared" si="18"/>
        <v>1.8612986234767264</v>
      </c>
      <c r="AH96" s="160">
        <f t="shared" si="19"/>
        <v>1.5029967904243622</v>
      </c>
      <c r="AI96" s="160">
        <f t="shared" si="20"/>
        <v>43.437540804591045</v>
      </c>
      <c r="AJ96" s="161">
        <f t="shared" si="21"/>
        <v>28.900621133280474</v>
      </c>
      <c r="AK96" s="162">
        <f t="shared" si="48"/>
        <v>-0.77440416240241561</v>
      </c>
      <c r="AL96" s="162">
        <f t="shared" si="49"/>
        <v>-28.761513756875022</v>
      </c>
      <c r="AM96" s="163">
        <v>0.36599999999999999</v>
      </c>
      <c r="AN96" s="164">
        <f t="shared" si="36"/>
        <v>-0.77440416240241561</v>
      </c>
      <c r="AO96" s="165">
        <f t="shared" si="37"/>
        <v>0.36597106122221829</v>
      </c>
      <c r="AP96" s="166">
        <f t="shared" si="38"/>
        <v>-2.8938777781706282E-5</v>
      </c>
      <c r="AQ96" s="166">
        <f t="shared" si="39"/>
        <v>15.029967904243623</v>
      </c>
      <c r="AR96" s="166">
        <f t="shared" si="40"/>
        <v>-4.3494890124708384E-3</v>
      </c>
      <c r="AS96" s="166">
        <f t="shared" si="41"/>
        <v>-0.28938777781706282</v>
      </c>
      <c r="AT96" s="163">
        <v>1.08</v>
      </c>
      <c r="AU96" s="164">
        <f t="shared" si="42"/>
        <v>-28.761513756875022</v>
      </c>
      <c r="AV96" s="164">
        <f t="shared" si="43"/>
        <v>1.0795981611633485</v>
      </c>
      <c r="AW96" s="168">
        <f t="shared" si="44"/>
        <v>-4.0183883665156905E-4</v>
      </c>
      <c r="AX96" s="168">
        <f t="shared" si="45"/>
        <v>434.37540804591043</v>
      </c>
      <c r="AY96" s="168">
        <f t="shared" si="46"/>
        <v>-1.7454890863921926</v>
      </c>
      <c r="AZ96" s="168">
        <f t="shared" si="47"/>
        <v>-4.0183883665156905</v>
      </c>
    </row>
    <row r="97" spans="1:52" ht="18" x14ac:dyDescent="0.25">
      <c r="A97">
        <v>2</v>
      </c>
      <c r="B97" t="s">
        <v>52</v>
      </c>
      <c r="C97" t="s">
        <v>30</v>
      </c>
      <c r="D97" t="s">
        <v>428</v>
      </c>
      <c r="E97">
        <v>1</v>
      </c>
      <c r="F97" s="9" t="s">
        <v>113</v>
      </c>
      <c r="G97">
        <v>90</v>
      </c>
      <c r="H97">
        <v>4.3609999999999998</v>
      </c>
      <c r="Q97" s="154">
        <v>539</v>
      </c>
      <c r="R97" s="154" t="s">
        <v>217</v>
      </c>
      <c r="S97" s="154">
        <v>3.01198875</v>
      </c>
      <c r="T97" s="154">
        <v>9.1003424602800376</v>
      </c>
      <c r="U97" s="154">
        <v>5.9117569999999997</v>
      </c>
      <c r="V97" s="154">
        <v>-27.008673786756237</v>
      </c>
      <c r="W97" s="156">
        <v>4.3609999999999998</v>
      </c>
      <c r="X97" s="170">
        <v>6.0891198571428573</v>
      </c>
      <c r="Y97" s="170">
        <v>1.937853204676379</v>
      </c>
      <c r="Z97" s="170">
        <v>4.0229087857142849</v>
      </c>
      <c r="AA97" s="170">
        <v>-25.881361430956051</v>
      </c>
      <c r="AB97" s="170">
        <v>2.7697142857142856</v>
      </c>
      <c r="AC97" s="170">
        <v>2.7697142857142856</v>
      </c>
      <c r="AD97" s="158">
        <f t="shared" si="15"/>
        <v>1.2827131784164255E-2</v>
      </c>
      <c r="AE97" s="158">
        <f t="shared" si="16"/>
        <v>0.3167721692777275</v>
      </c>
      <c r="AF97" s="159">
        <f t="shared" si="17"/>
        <v>3.8635176628670165E-2</v>
      </c>
      <c r="AG97" s="159">
        <f t="shared" si="18"/>
        <v>1.8726800891327904</v>
      </c>
      <c r="AH97" s="160">
        <f t="shared" si="19"/>
        <v>0.88592471058633715</v>
      </c>
      <c r="AI97" s="160">
        <f t="shared" si="20"/>
        <v>42.941529216528103</v>
      </c>
      <c r="AJ97" s="161">
        <f t="shared" si="21"/>
        <v>48.470856161250808</v>
      </c>
      <c r="AK97" s="162">
        <f t="shared" si="48"/>
        <v>9.1424892556036585</v>
      </c>
      <c r="AL97" s="162">
        <f t="shared" si="49"/>
        <v>-27.157312355800187</v>
      </c>
      <c r="AM97" s="163">
        <v>0.36599999999999999</v>
      </c>
      <c r="AN97" s="164">
        <f t="shared" si="36"/>
        <v>9.1424892556036585</v>
      </c>
      <c r="AO97" s="165">
        <f t="shared" si="37"/>
        <v>0.36958974604912576</v>
      </c>
      <c r="AP97" s="166">
        <f t="shared" si="38"/>
        <v>3.5897460491257638E-3</v>
      </c>
      <c r="AQ97" s="166">
        <f t="shared" si="39"/>
        <v>8.8592471058633713</v>
      </c>
      <c r="AR97" s="166">
        <f t="shared" si="40"/>
        <v>0.31802447296501896</v>
      </c>
      <c r="AS97" s="166">
        <f t="shared" si="41"/>
        <v>35.89746049125764</v>
      </c>
      <c r="AT97" s="163">
        <v>1.08</v>
      </c>
      <c r="AU97" s="164">
        <f t="shared" si="42"/>
        <v>-27.157312355800187</v>
      </c>
      <c r="AV97" s="164">
        <f t="shared" si="43"/>
        <v>1.081362058367255</v>
      </c>
      <c r="AW97" s="168">
        <f t="shared" si="44"/>
        <v>1.3620583672548925E-3</v>
      </c>
      <c r="AX97" s="168">
        <f t="shared" si="45"/>
        <v>429.41529216528102</v>
      </c>
      <c r="AY97" s="168">
        <f t="shared" si="46"/>
        <v>5.8488869172092528</v>
      </c>
      <c r="AZ97" s="168">
        <f t="shared" si="47"/>
        <v>13.620583672548925</v>
      </c>
    </row>
    <row r="98" spans="1:52" ht="18" x14ac:dyDescent="0.25">
      <c r="A98">
        <v>2</v>
      </c>
      <c r="B98" t="s">
        <v>56</v>
      </c>
      <c r="C98" t="s">
        <v>26</v>
      </c>
      <c r="D98" t="s">
        <v>427</v>
      </c>
      <c r="E98">
        <v>1</v>
      </c>
      <c r="F98" s="9" t="s">
        <v>114</v>
      </c>
      <c r="G98">
        <v>91</v>
      </c>
      <c r="H98">
        <v>4.3730000000000002</v>
      </c>
      <c r="Q98" s="169">
        <v>540</v>
      </c>
      <c r="R98" s="169" t="s">
        <v>218</v>
      </c>
      <c r="S98" s="169">
        <v>4.6051054999999996</v>
      </c>
      <c r="T98" s="169">
        <v>618.19912112602731</v>
      </c>
      <c r="U98" s="169">
        <v>6.2249809999999997</v>
      </c>
      <c r="V98" s="169">
        <v>-24.536683728275502</v>
      </c>
      <c r="W98" s="156">
        <v>4.3730000000000002</v>
      </c>
      <c r="X98" s="170">
        <v>6.0891198571428573</v>
      </c>
      <c r="Y98" s="170">
        <v>1.937853204676379</v>
      </c>
      <c r="Z98" s="170">
        <v>4.0229087857142849</v>
      </c>
      <c r="AA98" s="170">
        <v>-25.881361430956051</v>
      </c>
      <c r="AB98" s="170">
        <v>2.7697142857142856</v>
      </c>
      <c r="AC98" s="170">
        <v>2.7697142857142856</v>
      </c>
      <c r="AD98" s="158">
        <f t="shared" si="15"/>
        <v>1.2827131784164255E-2</v>
      </c>
      <c r="AE98" s="158">
        <f t="shared" si="16"/>
        <v>0.3167721692777275</v>
      </c>
      <c r="AF98" s="159">
        <f t="shared" si="17"/>
        <v>5.9070295128479618E-2</v>
      </c>
      <c r="AG98" s="159">
        <f t="shared" si="18"/>
        <v>1.9719007350826372</v>
      </c>
      <c r="AH98" s="160">
        <f t="shared" si="19"/>
        <v>1.3507956809622597</v>
      </c>
      <c r="AI98" s="160">
        <f t="shared" si="20"/>
        <v>45.092630575866387</v>
      </c>
      <c r="AJ98" s="161">
        <f t="shared" si="21"/>
        <v>33.382273286322601</v>
      </c>
      <c r="AK98" s="162">
        <f t="shared" si="48"/>
        <v>618.24126792135098</v>
      </c>
      <c r="AL98" s="162">
        <f t="shared" si="49"/>
        <v>-24.685322297319452</v>
      </c>
      <c r="AM98" s="163">
        <v>0.36599999999999999</v>
      </c>
      <c r="AN98" s="164">
        <f t="shared" si="36"/>
        <v>618.24126792135098</v>
      </c>
      <c r="AO98" s="165">
        <f t="shared" si="37"/>
        <v>0.59134776629976582</v>
      </c>
      <c r="AP98" s="166">
        <f t="shared" si="38"/>
        <v>0.22534776629976583</v>
      </c>
      <c r="AQ98" s="166">
        <f t="shared" si="39"/>
        <v>13.507956809622597</v>
      </c>
      <c r="AR98" s="166">
        <f t="shared" si="40"/>
        <v>30.439878943221633</v>
      </c>
      <c r="AS98" s="166">
        <f t="shared" si="41"/>
        <v>2253.4776629976582</v>
      </c>
      <c r="AT98" s="163">
        <v>1.08</v>
      </c>
      <c r="AU98" s="164">
        <f t="shared" si="42"/>
        <v>-24.685322297319452</v>
      </c>
      <c r="AV98" s="164">
        <f t="shared" si="43"/>
        <v>1.0840800081165198</v>
      </c>
      <c r="AW98" s="168">
        <f t="shared" si="44"/>
        <v>4.0800081165197621E-3</v>
      </c>
      <c r="AX98" s="168">
        <f t="shared" si="45"/>
        <v>450.92630575866389</v>
      </c>
      <c r="AY98" s="168">
        <f t="shared" si="46"/>
        <v>18.397829874476205</v>
      </c>
      <c r="AZ98" s="168">
        <f t="shared" si="47"/>
        <v>40.800081165197625</v>
      </c>
    </row>
    <row r="99" spans="1:52" ht="18" x14ac:dyDescent="0.25">
      <c r="A99">
        <v>2</v>
      </c>
      <c r="B99" t="s">
        <v>56</v>
      </c>
      <c r="C99" t="s">
        <v>26</v>
      </c>
      <c r="D99" t="s">
        <v>428</v>
      </c>
      <c r="E99">
        <v>1</v>
      </c>
      <c r="F99" s="9" t="s">
        <v>115</v>
      </c>
      <c r="G99">
        <v>92</v>
      </c>
      <c r="H99">
        <v>4.2880000000000003</v>
      </c>
      <c r="Q99" s="154">
        <v>541</v>
      </c>
      <c r="R99" s="154" t="s">
        <v>219</v>
      </c>
      <c r="S99" s="154">
        <v>4.2940719999999999</v>
      </c>
      <c r="T99" s="154">
        <v>375.91284300218427</v>
      </c>
      <c r="U99" s="154">
        <v>6.2369209999999997</v>
      </c>
      <c r="V99" s="154">
        <v>-25.521435493296043</v>
      </c>
      <c r="W99" s="156">
        <v>4.2880000000000003</v>
      </c>
      <c r="X99" s="170">
        <v>6.0891198571428573</v>
      </c>
      <c r="Y99" s="170">
        <v>1.937853204676379</v>
      </c>
      <c r="Z99" s="170">
        <v>4.0229087857142849</v>
      </c>
      <c r="AA99" s="170">
        <v>-25.881361430956051</v>
      </c>
      <c r="AB99" s="170">
        <v>2.7697142857142856</v>
      </c>
      <c r="AC99" s="170">
        <v>2.7697142857142856</v>
      </c>
      <c r="AD99" s="158">
        <f t="shared" si="15"/>
        <v>1.2827131784164255E-2</v>
      </c>
      <c r="AE99" s="158">
        <f t="shared" si="16"/>
        <v>0.3167721692777275</v>
      </c>
      <c r="AF99" s="159">
        <f t="shared" si="17"/>
        <v>5.508062743468977E-2</v>
      </c>
      <c r="AG99" s="159">
        <f t="shared" si="18"/>
        <v>1.9756829947838135</v>
      </c>
      <c r="AH99" s="160">
        <f t="shared" si="19"/>
        <v>1.2845295577119815</v>
      </c>
      <c r="AI99" s="160">
        <f t="shared" si="20"/>
        <v>46.074696706712061</v>
      </c>
      <c r="AJ99" s="161">
        <f t="shared" si="21"/>
        <v>35.86892682234641</v>
      </c>
      <c r="AK99" s="162">
        <f t="shared" si="48"/>
        <v>375.95498979750789</v>
      </c>
      <c r="AL99" s="162">
        <f t="shared" si="49"/>
        <v>-25.670074062339992</v>
      </c>
      <c r="AM99" s="163">
        <v>0.36599999999999999</v>
      </c>
      <c r="AN99" s="164">
        <f t="shared" si="36"/>
        <v>375.95498979750789</v>
      </c>
      <c r="AO99" s="165">
        <f t="shared" si="37"/>
        <v>0.5032555822091801</v>
      </c>
      <c r="AP99" s="166">
        <f t="shared" si="38"/>
        <v>0.1372555822091801</v>
      </c>
      <c r="AQ99" s="166">
        <f t="shared" si="39"/>
        <v>12.845295577119815</v>
      </c>
      <c r="AR99" s="166">
        <f t="shared" si="40"/>
        <v>17.630885230865864</v>
      </c>
      <c r="AS99" s="166">
        <f t="shared" si="41"/>
        <v>1372.555822091801</v>
      </c>
      <c r="AT99" s="163">
        <v>1.08</v>
      </c>
      <c r="AU99" s="164">
        <f t="shared" si="42"/>
        <v>-25.670074062339992</v>
      </c>
      <c r="AV99" s="164">
        <f t="shared" si="43"/>
        <v>1.0829972927722389</v>
      </c>
      <c r="AW99" s="168">
        <f t="shared" si="44"/>
        <v>2.9972927722388132E-3</v>
      </c>
      <c r="AX99" s="168">
        <f t="shared" si="45"/>
        <v>460.74696706712058</v>
      </c>
      <c r="AY99" s="168">
        <f t="shared" si="46"/>
        <v>13.809935542212351</v>
      </c>
      <c r="AZ99" s="168">
        <f t="shared" si="47"/>
        <v>29.972927722388132</v>
      </c>
    </row>
    <row r="100" spans="1:52" ht="18" x14ac:dyDescent="0.25">
      <c r="A100">
        <v>2</v>
      </c>
      <c r="B100" t="s">
        <v>56</v>
      </c>
      <c r="C100" t="s">
        <v>28</v>
      </c>
      <c r="D100" t="s">
        <v>427</v>
      </c>
      <c r="E100">
        <v>1</v>
      </c>
      <c r="F100" s="9" t="s">
        <v>116</v>
      </c>
      <c r="G100">
        <v>93</v>
      </c>
      <c r="H100">
        <v>4.24</v>
      </c>
      <c r="Q100" s="169">
        <v>542</v>
      </c>
      <c r="R100" s="169" t="s">
        <v>220</v>
      </c>
      <c r="S100" s="169">
        <v>5.0407390000000003</v>
      </c>
      <c r="T100" s="169">
        <v>113.87166326579604</v>
      </c>
      <c r="U100" s="169">
        <v>6.0366714999999997</v>
      </c>
      <c r="V100" s="169">
        <v>-27.524504249561172</v>
      </c>
      <c r="W100" s="156">
        <v>4.24</v>
      </c>
      <c r="X100" s="170">
        <v>6.0891198571428573</v>
      </c>
      <c r="Y100" s="170">
        <v>1.937853204676379</v>
      </c>
      <c r="Z100" s="170">
        <v>4.0229087857142849</v>
      </c>
      <c r="AA100" s="170">
        <v>-25.881361430956051</v>
      </c>
      <c r="AB100" s="170">
        <v>2.7697142857142856</v>
      </c>
      <c r="AC100" s="170">
        <v>2.7697142857142856</v>
      </c>
      <c r="AD100" s="158">
        <f t="shared" si="15"/>
        <v>1.2827131784164255E-2</v>
      </c>
      <c r="AE100" s="158">
        <f t="shared" si="16"/>
        <v>0.3167721692777275</v>
      </c>
      <c r="AF100" s="159">
        <f t="shared" si="17"/>
        <v>6.4658223442576351E-2</v>
      </c>
      <c r="AG100" s="159">
        <f t="shared" si="18"/>
        <v>1.9122495262720332</v>
      </c>
      <c r="AH100" s="160">
        <f t="shared" si="19"/>
        <v>1.5249581000607628</v>
      </c>
      <c r="AI100" s="160">
        <f t="shared" si="20"/>
        <v>45.100224676227199</v>
      </c>
      <c r="AJ100" s="161">
        <f t="shared" si="21"/>
        <v>29.574730397136911</v>
      </c>
      <c r="AK100" s="162">
        <f t="shared" si="48"/>
        <v>113.91381006111966</v>
      </c>
      <c r="AL100" s="162">
        <f t="shared" si="49"/>
        <v>-27.673142818605122</v>
      </c>
      <c r="AM100" s="163">
        <v>0.36599999999999999</v>
      </c>
      <c r="AN100" s="164">
        <f t="shared" si="36"/>
        <v>113.91381006111966</v>
      </c>
      <c r="AO100" s="165">
        <f t="shared" si="37"/>
        <v>0.40780485878874911</v>
      </c>
      <c r="AP100" s="166">
        <f t="shared" si="38"/>
        <v>4.1804858788749122E-2</v>
      </c>
      <c r="AQ100" s="166">
        <f t="shared" si="39"/>
        <v>15.249581000607629</v>
      </c>
      <c r="AR100" s="166">
        <f t="shared" si="40"/>
        <v>6.3750658031799343</v>
      </c>
      <c r="AS100" s="166">
        <f t="shared" si="41"/>
        <v>418.04858788749124</v>
      </c>
      <c r="AT100" s="163">
        <v>1.08</v>
      </c>
      <c r="AU100" s="164">
        <f t="shared" si="42"/>
        <v>-27.673142818605122</v>
      </c>
      <c r="AV100" s="164">
        <f t="shared" si="43"/>
        <v>1.0807948846302577</v>
      </c>
      <c r="AW100" s="168">
        <f t="shared" si="44"/>
        <v>7.9488463025767508E-4</v>
      </c>
      <c r="AX100" s="168">
        <f t="shared" si="45"/>
        <v>451.00224676227202</v>
      </c>
      <c r="AY100" s="168">
        <f t="shared" si="46"/>
        <v>3.5849475416300929</v>
      </c>
      <c r="AZ100" s="168">
        <f t="shared" si="47"/>
        <v>7.9488463025767508</v>
      </c>
    </row>
    <row r="101" spans="1:52" ht="18" x14ac:dyDescent="0.25">
      <c r="A101">
        <v>2</v>
      </c>
      <c r="B101" t="s">
        <v>56</v>
      </c>
      <c r="C101" t="s">
        <v>28</v>
      </c>
      <c r="D101" t="s">
        <v>428</v>
      </c>
      <c r="E101">
        <v>1</v>
      </c>
      <c r="F101" s="9" t="s">
        <v>436</v>
      </c>
      <c r="G101">
        <v>94</v>
      </c>
      <c r="H101">
        <v>4.556</v>
      </c>
      <c r="Q101" s="154">
        <v>543</v>
      </c>
      <c r="R101" s="154" t="s">
        <v>221</v>
      </c>
      <c r="S101" s="154">
        <v>5.1477515</v>
      </c>
      <c r="T101" s="154">
        <v>34.154131465401207</v>
      </c>
      <c r="U101" s="154">
        <v>6.4649020000000004</v>
      </c>
      <c r="V101" s="154">
        <v>-27.903015055677542</v>
      </c>
      <c r="W101" s="156">
        <v>4.556</v>
      </c>
      <c r="X101" s="170">
        <v>6.0891198571428573</v>
      </c>
      <c r="Y101" s="170">
        <v>1.937853204676379</v>
      </c>
      <c r="Z101" s="170">
        <v>4.0229087857142849</v>
      </c>
      <c r="AA101" s="170">
        <v>-25.881361430956051</v>
      </c>
      <c r="AB101" s="170">
        <v>2.7697142857142856</v>
      </c>
      <c r="AC101" s="170">
        <v>2.7697142857142856</v>
      </c>
      <c r="AD101" s="158">
        <f t="shared" si="15"/>
        <v>1.2827131784164255E-2</v>
      </c>
      <c r="AE101" s="158">
        <f t="shared" si="16"/>
        <v>0.3167721692777275</v>
      </c>
      <c r="AF101" s="159">
        <f t="shared" si="17"/>
        <v>6.6030886882629217E-2</v>
      </c>
      <c r="AG101" s="159">
        <f t="shared" si="18"/>
        <v>2.0479010307079193</v>
      </c>
      <c r="AH101" s="160">
        <f t="shared" si="19"/>
        <v>1.4493170957556896</v>
      </c>
      <c r="AI101" s="160">
        <f t="shared" si="20"/>
        <v>44.949539743369606</v>
      </c>
      <c r="AJ101" s="161">
        <f t="shared" si="21"/>
        <v>31.014289333234167</v>
      </c>
      <c r="AK101" s="162">
        <f t="shared" si="48"/>
        <v>34.196278260724824</v>
      </c>
      <c r="AL101" s="162">
        <f t="shared" si="49"/>
        <v>-28.051653624721492</v>
      </c>
      <c r="AM101" s="163">
        <v>0.36599999999999999</v>
      </c>
      <c r="AN101" s="164">
        <f t="shared" si="36"/>
        <v>34.196278260724824</v>
      </c>
      <c r="AO101" s="165">
        <f t="shared" si="37"/>
        <v>0.37873072918532669</v>
      </c>
      <c r="AP101" s="166">
        <f t="shared" si="38"/>
        <v>1.2730729185326695E-2</v>
      </c>
      <c r="AQ101" s="166">
        <f t="shared" si="39"/>
        <v>14.493170957556897</v>
      </c>
      <c r="AR101" s="166">
        <f t="shared" si="40"/>
        <v>1.8450863449729884</v>
      </c>
      <c r="AS101" s="166">
        <f t="shared" si="41"/>
        <v>127.30729185326695</v>
      </c>
      <c r="AT101" s="163">
        <v>1.08</v>
      </c>
      <c r="AU101" s="164">
        <f t="shared" si="42"/>
        <v>-28.051653624721492</v>
      </c>
      <c r="AV101" s="164">
        <f t="shared" si="43"/>
        <v>1.0803786945483289</v>
      </c>
      <c r="AW101" s="168">
        <f t="shared" si="44"/>
        <v>3.7869454832883953E-4</v>
      </c>
      <c r="AX101" s="168">
        <f t="shared" si="45"/>
        <v>449.49539743369604</v>
      </c>
      <c r="AY101" s="168">
        <f t="shared" si="46"/>
        <v>1.7022145650704572</v>
      </c>
      <c r="AZ101" s="168">
        <f t="shared" si="47"/>
        <v>3.7869454832883953</v>
      </c>
    </row>
    <row r="102" spans="1:52" ht="18" x14ac:dyDescent="0.25">
      <c r="A102">
        <v>2</v>
      </c>
      <c r="B102" t="s">
        <v>56</v>
      </c>
      <c r="C102" t="s">
        <v>30</v>
      </c>
      <c r="D102" t="s">
        <v>427</v>
      </c>
      <c r="E102">
        <v>1</v>
      </c>
      <c r="F102" s="9" t="s">
        <v>437</v>
      </c>
      <c r="G102">
        <v>95</v>
      </c>
      <c r="H102">
        <v>5.0110000000000001</v>
      </c>
      <c r="Q102" s="169">
        <v>544</v>
      </c>
      <c r="R102" s="169" t="s">
        <v>222</v>
      </c>
      <c r="S102" s="169">
        <v>4.6991125</v>
      </c>
      <c r="T102" s="169">
        <v>1.3882324615199866</v>
      </c>
      <c r="U102" s="169">
        <v>6.4997730000000002</v>
      </c>
      <c r="V102" s="169">
        <v>-27.574386864585673</v>
      </c>
      <c r="W102" s="156">
        <v>5.0110000000000001</v>
      </c>
      <c r="X102" s="170">
        <v>6.0891198571428573</v>
      </c>
      <c r="Y102" s="170">
        <v>1.937853204676379</v>
      </c>
      <c r="Z102" s="170">
        <v>4.0229087857142849</v>
      </c>
      <c r="AA102" s="170">
        <v>-25.881361430956051</v>
      </c>
      <c r="AB102" s="170">
        <v>2.7697142857142856</v>
      </c>
      <c r="AC102" s="170">
        <v>2.7697142857142856</v>
      </c>
      <c r="AD102" s="158">
        <f t="shared" si="15"/>
        <v>1.2827131784164255E-2</v>
      </c>
      <c r="AE102" s="158">
        <f t="shared" si="16"/>
        <v>0.3167721692777275</v>
      </c>
      <c r="AF102" s="159">
        <f t="shared" si="17"/>
        <v>6.0276135306113553E-2</v>
      </c>
      <c r="AG102" s="159">
        <f t="shared" si="18"/>
        <v>2.0589471930228029</v>
      </c>
      <c r="AH102" s="160">
        <f t="shared" si="19"/>
        <v>1.2028763780904721</v>
      </c>
      <c r="AI102" s="160">
        <f t="shared" si="20"/>
        <v>41.088549052540472</v>
      </c>
      <c r="AJ102" s="161">
        <f t="shared" si="21"/>
        <v>34.158580051066622</v>
      </c>
      <c r="AK102" s="162">
        <f t="shared" si="48"/>
        <v>1.4303792568436076</v>
      </c>
      <c r="AL102" s="162">
        <f t="shared" si="49"/>
        <v>-27.723025433629623</v>
      </c>
      <c r="AM102" s="163">
        <v>0.36599999999999999</v>
      </c>
      <c r="AN102" s="164">
        <f t="shared" si="36"/>
        <v>1.4303792568436076</v>
      </c>
      <c r="AO102" s="165">
        <f t="shared" si="37"/>
        <v>0.36677561173272394</v>
      </c>
      <c r="AP102" s="166">
        <f t="shared" si="38"/>
        <v>7.7561173272394646E-4</v>
      </c>
      <c r="AQ102" s="166">
        <f t="shared" si="39"/>
        <v>12.02876378090472</v>
      </c>
      <c r="AR102" s="166">
        <f t="shared" si="40"/>
        <v>9.3296503186345595E-2</v>
      </c>
      <c r="AS102" s="166">
        <f t="shared" si="41"/>
        <v>7.7561173272394646</v>
      </c>
      <c r="AT102" s="163">
        <v>1.08</v>
      </c>
      <c r="AU102" s="164">
        <f t="shared" si="42"/>
        <v>-27.723025433629623</v>
      </c>
      <c r="AV102" s="164">
        <f t="shared" si="43"/>
        <v>1.0807400365956386</v>
      </c>
      <c r="AW102" s="168">
        <f t="shared" si="44"/>
        <v>7.4003659563848245E-4</v>
      </c>
      <c r="AX102" s="168">
        <f t="shared" si="45"/>
        <v>410.8854905254048</v>
      </c>
      <c r="AY102" s="168">
        <f t="shared" si="46"/>
        <v>3.0407029960566851</v>
      </c>
      <c r="AZ102" s="168">
        <f t="shared" si="47"/>
        <v>7.4003659563848245</v>
      </c>
    </row>
    <row r="103" spans="1:52" ht="18" x14ac:dyDescent="0.25">
      <c r="A103">
        <v>2</v>
      </c>
      <c r="B103" t="s">
        <v>56</v>
      </c>
      <c r="C103" t="s">
        <v>30</v>
      </c>
      <c r="D103" t="s">
        <v>428</v>
      </c>
      <c r="E103">
        <v>1</v>
      </c>
      <c r="F103" s="9" t="s">
        <v>438</v>
      </c>
      <c r="G103">
        <v>96</v>
      </c>
      <c r="H103">
        <v>4.4340000000000002</v>
      </c>
      <c r="Q103" s="154">
        <v>545</v>
      </c>
      <c r="R103" s="154" t="s">
        <v>223</v>
      </c>
      <c r="S103" s="154">
        <v>4.9864709999999999</v>
      </c>
      <c r="T103" s="154">
        <v>1.5072094769479212</v>
      </c>
      <c r="U103" s="154">
        <v>6.0429250000000003</v>
      </c>
      <c r="V103" s="154">
        <v>-26.91083333576524</v>
      </c>
      <c r="W103" s="156">
        <v>4.4340000000000002</v>
      </c>
      <c r="X103" s="170">
        <v>6.0891198571428573</v>
      </c>
      <c r="Y103" s="170">
        <v>1.937853204676379</v>
      </c>
      <c r="Z103" s="170">
        <v>4.0229087857142849</v>
      </c>
      <c r="AA103" s="170">
        <v>-25.881361430956051</v>
      </c>
      <c r="AB103" s="170">
        <v>2.7697142857142856</v>
      </c>
      <c r="AC103" s="170">
        <v>2.7697142857142856</v>
      </c>
      <c r="AD103" s="158">
        <f t="shared" si="15"/>
        <v>1.2827131784164255E-2</v>
      </c>
      <c r="AE103" s="158">
        <f t="shared" si="16"/>
        <v>0.3167721692777275</v>
      </c>
      <c r="AF103" s="159">
        <f t="shared" si="17"/>
        <v>6.3962120654913315E-2</v>
      </c>
      <c r="AG103" s="159">
        <f t="shared" si="18"/>
        <v>1.9142304610326115</v>
      </c>
      <c r="AH103" s="160">
        <f t="shared" si="19"/>
        <v>1.4425376782795065</v>
      </c>
      <c r="AI103" s="160">
        <f t="shared" si="20"/>
        <v>43.171638724235713</v>
      </c>
      <c r="AJ103" s="161">
        <f t="shared" si="21"/>
        <v>29.927564024342086</v>
      </c>
      <c r="AK103" s="162">
        <f t="shared" si="48"/>
        <v>1.5493562722715422</v>
      </c>
      <c r="AL103" s="162">
        <f t="shared" si="49"/>
        <v>-27.05947190480919</v>
      </c>
      <c r="AM103" s="163">
        <v>0.36599999999999999</v>
      </c>
      <c r="AN103" s="164">
        <f t="shared" si="36"/>
        <v>1.5493562722715422</v>
      </c>
      <c r="AO103" s="165">
        <f t="shared" si="37"/>
        <v>0.36681902742742895</v>
      </c>
      <c r="AP103" s="166">
        <f t="shared" si="38"/>
        <v>8.1902742742895329E-4</v>
      </c>
      <c r="AQ103" s="166">
        <f t="shared" si="39"/>
        <v>14.425376782795063</v>
      </c>
      <c r="AR103" s="166">
        <f t="shared" si="40"/>
        <v>0.11814779236105992</v>
      </c>
      <c r="AS103" s="166">
        <f t="shared" si="41"/>
        <v>8.190274274289532</v>
      </c>
      <c r="AT103" s="163">
        <v>1.08</v>
      </c>
      <c r="AU103" s="164">
        <f t="shared" si="42"/>
        <v>-27.05947190480919</v>
      </c>
      <c r="AV103" s="164">
        <f t="shared" si="43"/>
        <v>1.0814696366506087</v>
      </c>
      <c r="AW103" s="168">
        <f t="shared" si="44"/>
        <v>1.4696366506086189E-3</v>
      </c>
      <c r="AX103" s="168">
        <f t="shared" si="45"/>
        <v>431.71638724235709</v>
      </c>
      <c r="AY103" s="168">
        <f t="shared" si="46"/>
        <v>6.3446622535971118</v>
      </c>
      <c r="AZ103" s="168">
        <f t="shared" si="47"/>
        <v>14.696366506086189</v>
      </c>
    </row>
    <row r="104" spans="1:52" ht="18" x14ac:dyDescent="0.25">
      <c r="A104">
        <v>3</v>
      </c>
      <c r="B104" t="s">
        <v>25</v>
      </c>
      <c r="C104" t="s">
        <v>26</v>
      </c>
      <c r="D104" t="s">
        <v>427</v>
      </c>
      <c r="E104">
        <v>1</v>
      </c>
      <c r="F104" s="9" t="s">
        <v>117</v>
      </c>
      <c r="G104">
        <v>97</v>
      </c>
      <c r="H104">
        <v>4.2160000000000002</v>
      </c>
      <c r="Q104" s="169">
        <v>546</v>
      </c>
      <c r="R104" s="169" t="s">
        <v>224</v>
      </c>
      <c r="S104" s="169">
        <v>4.4393785000000001</v>
      </c>
      <c r="T104" s="169">
        <v>1696.8585944740544</v>
      </c>
      <c r="U104" s="169">
        <v>5.572508</v>
      </c>
      <c r="V104" s="169">
        <v>-22.564291608873578</v>
      </c>
      <c r="W104" s="156">
        <v>4.2160000000000002</v>
      </c>
      <c r="X104" s="170">
        <v>6.0891198571428573</v>
      </c>
      <c r="Y104" s="170">
        <v>1.937853204676379</v>
      </c>
      <c r="Z104" s="170">
        <v>4.0229087857142849</v>
      </c>
      <c r="AA104" s="170">
        <v>-25.881361430956051</v>
      </c>
      <c r="AB104" s="170">
        <v>2.7697142857142856</v>
      </c>
      <c r="AC104" s="170">
        <v>2.7697142857142856</v>
      </c>
      <c r="AD104" s="158">
        <f t="shared" si="15"/>
        <v>1.2827131784164255E-2</v>
      </c>
      <c r="AE104" s="158">
        <f t="shared" si="16"/>
        <v>0.3167721692777275</v>
      </c>
      <c r="AF104" s="159">
        <f t="shared" si="17"/>
        <v>5.6944493059285436E-2</v>
      </c>
      <c r="AG104" s="159">
        <f t="shared" si="18"/>
        <v>1.7652154474774908</v>
      </c>
      <c r="AH104" s="160">
        <f t="shared" si="19"/>
        <v>1.3506758315769789</v>
      </c>
      <c r="AI104" s="160">
        <f t="shared" si="20"/>
        <v>41.869436609997408</v>
      </c>
      <c r="AJ104" s="161">
        <f t="shared" si="21"/>
        <v>30.998878954628829</v>
      </c>
      <c r="AK104" s="162">
        <f t="shared" si="48"/>
        <v>1696.9007412693779</v>
      </c>
      <c r="AL104" s="162">
        <f t="shared" si="49"/>
        <v>-22.712930177917528</v>
      </c>
      <c r="AM104" s="163">
        <v>0.36599999999999999</v>
      </c>
      <c r="AN104" s="164">
        <f t="shared" si="36"/>
        <v>1696.9007412693779</v>
      </c>
      <c r="AO104" s="165">
        <f t="shared" si="37"/>
        <v>0.98164883527333446</v>
      </c>
      <c r="AP104" s="166">
        <f t="shared" si="38"/>
        <v>0.61564883527333447</v>
      </c>
      <c r="AQ104" s="166">
        <f t="shared" si="39"/>
        <v>13.506758315769789</v>
      </c>
      <c r="AR104" s="166">
        <f t="shared" si="40"/>
        <v>83.154200254220967</v>
      </c>
      <c r="AS104" s="166">
        <f t="shared" si="41"/>
        <v>6156.488352733345</v>
      </c>
      <c r="AT104" s="163">
        <v>1.08</v>
      </c>
      <c r="AU104" s="164">
        <f t="shared" si="42"/>
        <v>-22.712930177917528</v>
      </c>
      <c r="AV104" s="164">
        <f t="shared" si="43"/>
        <v>1.0862485434739153</v>
      </c>
      <c r="AW104" s="168">
        <f t="shared" si="44"/>
        <v>6.2485434739152357E-3</v>
      </c>
      <c r="AX104" s="168">
        <f t="shared" si="45"/>
        <v>418.69436609997405</v>
      </c>
      <c r="AY104" s="168">
        <f t="shared" si="46"/>
        <v>26.162299488590694</v>
      </c>
      <c r="AZ104" s="168">
        <f t="shared" si="47"/>
        <v>62.48543473915236</v>
      </c>
    </row>
    <row r="105" spans="1:52" ht="18" x14ac:dyDescent="0.25">
      <c r="A105">
        <v>3</v>
      </c>
      <c r="B105" t="s">
        <v>25</v>
      </c>
      <c r="C105" t="s">
        <v>26</v>
      </c>
      <c r="D105" t="s">
        <v>428</v>
      </c>
      <c r="E105">
        <v>1</v>
      </c>
      <c r="F105" s="9" t="s">
        <v>118</v>
      </c>
      <c r="G105">
        <v>98</v>
      </c>
      <c r="H105">
        <v>4.5609999999999999</v>
      </c>
      <c r="Q105" s="154">
        <v>547</v>
      </c>
      <c r="R105" s="154" t="s">
        <v>225</v>
      </c>
      <c r="S105" s="154">
        <v>7.8887359999999997</v>
      </c>
      <c r="T105" s="154">
        <v>174.45607412414941</v>
      </c>
      <c r="U105" s="154">
        <v>5.8522544999999999</v>
      </c>
      <c r="V105" s="154">
        <v>-24.835353451690722</v>
      </c>
      <c r="W105" s="156">
        <v>4.5609999999999999</v>
      </c>
      <c r="X105" s="170">
        <v>6.0891198571428573</v>
      </c>
      <c r="Y105" s="170">
        <v>1.937853204676379</v>
      </c>
      <c r="Z105" s="170">
        <v>4.0229087857142849</v>
      </c>
      <c r="AA105" s="170">
        <v>-25.881361430956051</v>
      </c>
      <c r="AB105" s="170">
        <v>2.7697142857142856</v>
      </c>
      <c r="AC105" s="170">
        <v>2.7697142857142856</v>
      </c>
      <c r="AD105" s="158">
        <f t="shared" si="15"/>
        <v>1.2827131784164255E-2</v>
      </c>
      <c r="AE105" s="158">
        <f t="shared" si="16"/>
        <v>0.3167721692777275</v>
      </c>
      <c r="AF105" s="159">
        <f t="shared" si="17"/>
        <v>0.10118985628248078</v>
      </c>
      <c r="AG105" s="159">
        <f t="shared" si="18"/>
        <v>1.8538313531303425</v>
      </c>
      <c r="AH105" s="160">
        <f t="shared" si="19"/>
        <v>2.2185892629353381</v>
      </c>
      <c r="AI105" s="160">
        <f t="shared" si="20"/>
        <v>40.645282901344935</v>
      </c>
      <c r="AJ105" s="161">
        <f t="shared" si="21"/>
        <v>18.320327958122618</v>
      </c>
      <c r="AK105" s="162">
        <f t="shared" si="48"/>
        <v>174.49822091947303</v>
      </c>
      <c r="AL105" s="162">
        <f t="shared" si="49"/>
        <v>-24.983992020734672</v>
      </c>
      <c r="AM105" s="163">
        <v>0.36599999999999999</v>
      </c>
      <c r="AN105" s="164">
        <f t="shared" si="36"/>
        <v>174.49822091947303</v>
      </c>
      <c r="AO105" s="165">
        <f t="shared" si="37"/>
        <v>0.42988951716686641</v>
      </c>
      <c r="AP105" s="166">
        <f t="shared" si="38"/>
        <v>6.3889517166866416E-2</v>
      </c>
      <c r="AQ105" s="166">
        <f t="shared" si="39"/>
        <v>22.185892629353379</v>
      </c>
      <c r="AR105" s="166">
        <f t="shared" si="40"/>
        <v>14.17445968005328</v>
      </c>
      <c r="AS105" s="166">
        <f t="shared" si="41"/>
        <v>638.89517166866415</v>
      </c>
      <c r="AT105" s="163">
        <v>1.08</v>
      </c>
      <c r="AU105" s="164">
        <f t="shared" si="42"/>
        <v>-24.983992020734672</v>
      </c>
      <c r="AV105" s="164">
        <f t="shared" si="43"/>
        <v>1.0837516290895777</v>
      </c>
      <c r="AW105" s="168">
        <f t="shared" si="44"/>
        <v>3.7516290895776017E-3</v>
      </c>
      <c r="AX105" s="168">
        <f t="shared" si="45"/>
        <v>406.45282901344939</v>
      </c>
      <c r="AY105" s="168">
        <f t="shared" si="46"/>
        <v>15.248602568679678</v>
      </c>
      <c r="AZ105" s="168">
        <f t="shared" si="47"/>
        <v>37.516290895776017</v>
      </c>
    </row>
    <row r="106" spans="1:52" ht="18" x14ac:dyDescent="0.25">
      <c r="A106">
        <v>3</v>
      </c>
      <c r="B106" t="s">
        <v>25</v>
      </c>
      <c r="C106" t="s">
        <v>28</v>
      </c>
      <c r="D106" t="s">
        <v>427</v>
      </c>
      <c r="E106">
        <v>1</v>
      </c>
      <c r="F106" s="9" t="s">
        <v>119</v>
      </c>
      <c r="G106">
        <v>99</v>
      </c>
      <c r="H106">
        <v>4.3090000000000002</v>
      </c>
      <c r="Q106" s="169">
        <v>548</v>
      </c>
      <c r="R106" s="169" t="s">
        <v>226</v>
      </c>
      <c r="S106" s="169">
        <v>6.4228389999999997</v>
      </c>
      <c r="T106" s="169">
        <v>47.138092526684069</v>
      </c>
      <c r="U106" s="169">
        <v>5.7518630000000002</v>
      </c>
      <c r="V106" s="169">
        <v>-27.556818841381354</v>
      </c>
      <c r="W106" s="156">
        <v>4.3090000000000002</v>
      </c>
      <c r="X106" s="170">
        <v>6.0891198571428573</v>
      </c>
      <c r="Y106" s="170">
        <v>1.937853204676379</v>
      </c>
      <c r="Z106" s="170">
        <v>4.0229087857142849</v>
      </c>
      <c r="AA106" s="170">
        <v>-25.881361430956051</v>
      </c>
      <c r="AB106" s="170">
        <v>2.7697142857142856</v>
      </c>
      <c r="AC106" s="170">
        <v>2.7697142857142856</v>
      </c>
      <c r="AD106" s="158">
        <f t="shared" si="15"/>
        <v>1.2827131784164255E-2</v>
      </c>
      <c r="AE106" s="158">
        <f t="shared" si="16"/>
        <v>0.3167721692777275</v>
      </c>
      <c r="AF106" s="159">
        <f t="shared" si="17"/>
        <v>8.2386602281469754E-2</v>
      </c>
      <c r="AG106" s="159">
        <f t="shared" si="18"/>
        <v>1.8220301198982976</v>
      </c>
      <c r="AH106" s="160">
        <f t="shared" si="19"/>
        <v>1.9119657062304418</v>
      </c>
      <c r="AI106" s="160">
        <f t="shared" si="20"/>
        <v>42.284291480582439</v>
      </c>
      <c r="AJ106" s="161">
        <f t="shared" si="21"/>
        <v>22.115611876715363</v>
      </c>
      <c r="AK106" s="162">
        <f t="shared" si="48"/>
        <v>47.180239322007694</v>
      </c>
      <c r="AL106" s="162">
        <f t="shared" si="49"/>
        <v>-27.705457410425304</v>
      </c>
      <c r="AM106" s="163">
        <v>0.36599999999999999</v>
      </c>
      <c r="AN106" s="164">
        <f t="shared" si="36"/>
        <v>47.180239322007694</v>
      </c>
      <c r="AO106" s="165">
        <f t="shared" si="37"/>
        <v>0.38346732360674424</v>
      </c>
      <c r="AP106" s="166">
        <f t="shared" si="38"/>
        <v>1.7467323606744245E-2</v>
      </c>
      <c r="AQ106" s="166">
        <f t="shared" si="39"/>
        <v>19.119657062304416</v>
      </c>
      <c r="AR106" s="166">
        <f t="shared" si="40"/>
        <v>3.3396923715724425</v>
      </c>
      <c r="AS106" s="166">
        <f t="shared" si="41"/>
        <v>174.67323606744245</v>
      </c>
      <c r="AT106" s="163">
        <v>1.08</v>
      </c>
      <c r="AU106" s="164">
        <f t="shared" si="42"/>
        <v>-27.705457410425304</v>
      </c>
      <c r="AV106" s="164">
        <f t="shared" si="43"/>
        <v>1.0807593533834718</v>
      </c>
      <c r="AW106" s="168">
        <f t="shared" si="44"/>
        <v>7.593533834717725E-4</v>
      </c>
      <c r="AX106" s="168">
        <f t="shared" si="45"/>
        <v>422.84291480582436</v>
      </c>
      <c r="AY106" s="168">
        <f t="shared" si="46"/>
        <v>3.2108719803486916</v>
      </c>
      <c r="AZ106" s="168">
        <f t="shared" si="47"/>
        <v>7.593533834717725</v>
      </c>
    </row>
    <row r="107" spans="1:52" ht="18" x14ac:dyDescent="0.25">
      <c r="I107" s="25" t="s">
        <v>469</v>
      </c>
      <c r="Q107" s="172">
        <v>549</v>
      </c>
      <c r="R107" s="172" t="s">
        <v>227</v>
      </c>
      <c r="S107" s="172">
        <v>6.8990470000000004</v>
      </c>
      <c r="T107" s="172">
        <v>2.2143134070306907</v>
      </c>
      <c r="U107" s="172">
        <v>4.4814864999999999</v>
      </c>
      <c r="V107" s="172">
        <v>-26.00350246198283</v>
      </c>
      <c r="W107" s="154">
        <v>2.762</v>
      </c>
      <c r="X107" s="170">
        <v>6.0891198571428573</v>
      </c>
      <c r="Y107" s="170">
        <v>1.937853204676379</v>
      </c>
      <c r="Z107" s="170">
        <v>4.0229087857142849</v>
      </c>
      <c r="AA107" s="170">
        <v>-25.881361430956051</v>
      </c>
      <c r="AB107" s="170">
        <v>2.7697142857142856</v>
      </c>
      <c r="AC107" s="170">
        <v>2.7697142857142856</v>
      </c>
      <c r="AD107" s="158">
        <f t="shared" si="15"/>
        <v>1.2827131784164255E-2</v>
      </c>
      <c r="AE107" s="158">
        <f t="shared" si="16"/>
        <v>0.3167721692777275</v>
      </c>
      <c r="AF107" s="159">
        <f t="shared" si="17"/>
        <v>8.8494985054143049E-2</v>
      </c>
      <c r="AG107" s="159">
        <f t="shared" si="18"/>
        <v>1.4196102001938504</v>
      </c>
      <c r="AH107" s="160">
        <f t="shared" si="19"/>
        <v>3.2040182858125652</v>
      </c>
      <c r="AI107" s="160">
        <f t="shared" si="20"/>
        <v>51.397907320559391</v>
      </c>
      <c r="AJ107" s="161">
        <f t="shared" si="21"/>
        <v>16.041702242509039</v>
      </c>
      <c r="AK107" s="162">
        <f t="shared" si="48"/>
        <v>2.2564602023543117</v>
      </c>
      <c r="AL107" s="162">
        <f t="shared" si="49"/>
        <v>-26.15214103102678</v>
      </c>
      <c r="AM107" s="163">
        <v>0.36599999999999999</v>
      </c>
      <c r="AN107" s="164">
        <f t="shared" si="36"/>
        <v>2.2564602023543117</v>
      </c>
      <c r="AO107" s="165">
        <f t="shared" si="37"/>
        <v>0.36707705470573049</v>
      </c>
      <c r="AP107" s="166">
        <f t="shared" si="38"/>
        <v>1.0770547057304958E-3</v>
      </c>
      <c r="AQ107" s="166">
        <f t="shared" si="39"/>
        <v>32.040182858125654</v>
      </c>
      <c r="AR107" s="166">
        <f t="shared" si="40"/>
        <v>0.34509029719809803</v>
      </c>
      <c r="AS107" s="166">
        <f t="shared" si="41"/>
        <v>10.770547057304958</v>
      </c>
      <c r="AT107" s="163">
        <v>1.08</v>
      </c>
      <c r="AU107" s="164">
        <f t="shared" si="42"/>
        <v>-26.15214103102678</v>
      </c>
      <c r="AV107" s="164">
        <f t="shared" si="43"/>
        <v>1.082467260908011</v>
      </c>
      <c r="AW107" s="168">
        <f t="shared" si="44"/>
        <v>2.4672609080109709E-3</v>
      </c>
      <c r="AX107" s="168">
        <f t="shared" si="45"/>
        <v>513.97907320559386</v>
      </c>
      <c r="AY107" s="168">
        <f t="shared" si="46"/>
        <v>12.681204748558708</v>
      </c>
      <c r="AZ107" s="168">
        <f t="shared" si="47"/>
        <v>24.672609080109709</v>
      </c>
    </row>
    <row r="108" spans="1:52" ht="18" x14ac:dyDescent="0.25">
      <c r="A108">
        <v>3</v>
      </c>
      <c r="B108" t="s">
        <v>25</v>
      </c>
      <c r="C108" t="s">
        <v>28</v>
      </c>
      <c r="D108" t="s">
        <v>428</v>
      </c>
      <c r="E108">
        <v>2</v>
      </c>
      <c r="F108" s="9" t="s">
        <v>27</v>
      </c>
      <c r="G108">
        <v>100</v>
      </c>
      <c r="H108">
        <v>4.4569999999999999</v>
      </c>
      <c r="Q108" s="169">
        <v>553</v>
      </c>
      <c r="R108" s="169" t="s">
        <v>228</v>
      </c>
      <c r="S108" s="169">
        <v>4.38049</v>
      </c>
      <c r="T108" s="169">
        <v>45.364302866074539</v>
      </c>
      <c r="U108" s="169">
        <v>5.9435779999999996</v>
      </c>
      <c r="V108" s="169">
        <v>-26.841202272828543</v>
      </c>
      <c r="W108" s="156">
        <v>4.4569999999999999</v>
      </c>
      <c r="X108" s="170">
        <v>6.0891198571428573</v>
      </c>
      <c r="Y108" s="170">
        <v>1.937853204676379</v>
      </c>
      <c r="Z108" s="170">
        <v>4.0229087857142849</v>
      </c>
      <c r="AA108" s="170">
        <v>-25.881361430956051</v>
      </c>
      <c r="AB108" s="170">
        <v>2.7697142857142856</v>
      </c>
      <c r="AC108" s="170">
        <v>2.7697142857142856</v>
      </c>
      <c r="AD108" s="158">
        <f t="shared" si="0"/>
        <v>1.2827131784164255E-2</v>
      </c>
      <c r="AE108" s="158">
        <f t="shared" si="1"/>
        <v>0.3167721692777275</v>
      </c>
      <c r="AF108" s="159">
        <f t="shared" si="2"/>
        <v>5.6189122509213679E-2</v>
      </c>
      <c r="AG108" s="159">
        <f t="shared" si="3"/>
        <v>1.8827600963313769</v>
      </c>
      <c r="AH108" s="160">
        <f t="shared" si="4"/>
        <v>1.2606937964822456</v>
      </c>
      <c r="AI108" s="160">
        <f t="shared" si="5"/>
        <v>42.242766352510138</v>
      </c>
      <c r="AJ108" s="161">
        <f t="shared" si="6"/>
        <v>33.507554705497476</v>
      </c>
      <c r="AK108" s="162">
        <f t="shared" ref="AK108:AK150" si="50">T108+(1.98-Y108)</f>
        <v>45.406449661398156</v>
      </c>
      <c r="AL108" s="162">
        <f t="shared" si="7"/>
        <v>-26.989840841872493</v>
      </c>
      <c r="AM108" s="163">
        <v>0.36599999999999999</v>
      </c>
      <c r="AN108" s="164">
        <f t="shared" si="36"/>
        <v>45.406449661398156</v>
      </c>
      <c r="AO108" s="165">
        <f t="shared" si="37"/>
        <v>0.38282026549606107</v>
      </c>
      <c r="AP108" s="166">
        <f t="shared" si="38"/>
        <v>1.6820265496061082E-2</v>
      </c>
      <c r="AQ108" s="166">
        <f t="shared" si="39"/>
        <v>12.606937964822455</v>
      </c>
      <c r="AR108" s="166">
        <f t="shared" si="40"/>
        <v>2.1205204366068564</v>
      </c>
      <c r="AS108" s="166">
        <f t="shared" si="41"/>
        <v>168.20265496061083</v>
      </c>
      <c r="AT108" s="163">
        <v>1.08</v>
      </c>
      <c r="AU108" s="164">
        <f t="shared" si="42"/>
        <v>-26.989840841872493</v>
      </c>
      <c r="AV108" s="164">
        <f t="shared" si="43"/>
        <v>1.0815461977886516</v>
      </c>
      <c r="AW108" s="168">
        <f t="shared" si="44"/>
        <v>1.5461977886515044E-3</v>
      </c>
      <c r="AX108" s="168">
        <f t="shared" si="45"/>
        <v>422.42766352510137</v>
      </c>
      <c r="AY108" s="168">
        <f t="shared" si="46"/>
        <v>6.5315671920773344</v>
      </c>
      <c r="AZ108" s="168">
        <f t="shared" si="47"/>
        <v>15.461977886515042</v>
      </c>
    </row>
    <row r="109" spans="1:52" ht="18" x14ac:dyDescent="0.25">
      <c r="A109">
        <v>3</v>
      </c>
      <c r="B109" t="s">
        <v>25</v>
      </c>
      <c r="C109" t="s">
        <v>30</v>
      </c>
      <c r="D109" t="s">
        <v>427</v>
      </c>
      <c r="E109">
        <v>2</v>
      </c>
      <c r="F109" s="9" t="s">
        <v>29</v>
      </c>
      <c r="G109">
        <v>101</v>
      </c>
      <c r="H109">
        <v>4.3680000000000003</v>
      </c>
      <c r="Q109" s="154">
        <v>554</v>
      </c>
      <c r="R109" s="154" t="s">
        <v>229</v>
      </c>
      <c r="S109" s="154">
        <v>4.254086</v>
      </c>
      <c r="T109" s="154">
        <v>3.1946546487161025</v>
      </c>
      <c r="U109" s="154">
        <v>5.7159434999999998</v>
      </c>
      <c r="V109" s="154">
        <v>-27.584897719304024</v>
      </c>
      <c r="W109" s="156">
        <v>4.3680000000000003</v>
      </c>
      <c r="X109" s="170">
        <v>6.0891198571428573</v>
      </c>
      <c r="Y109" s="170">
        <v>1.937853204676379</v>
      </c>
      <c r="Z109" s="170">
        <v>4.0229087857142849</v>
      </c>
      <c r="AA109" s="170">
        <v>-25.881361430956051</v>
      </c>
      <c r="AB109" s="170">
        <v>2.7697142857142856</v>
      </c>
      <c r="AC109" s="170">
        <v>2.7697142857142856</v>
      </c>
      <c r="AD109" s="158">
        <f t="shared" si="0"/>
        <v>1.2827131784164255E-2</v>
      </c>
      <c r="AE109" s="158">
        <f t="shared" si="1"/>
        <v>0.3167721692777275</v>
      </c>
      <c r="AF109" s="159">
        <f t="shared" si="2"/>
        <v>5.4567721743168179E-2</v>
      </c>
      <c r="AG109" s="159">
        <f t="shared" si="3"/>
        <v>1.810651821963926</v>
      </c>
      <c r="AH109" s="160">
        <f t="shared" si="4"/>
        <v>1.2492610289186854</v>
      </c>
      <c r="AI109" s="160">
        <f t="shared" si="5"/>
        <v>41.452651601738232</v>
      </c>
      <c r="AJ109" s="161">
        <f t="shared" si="6"/>
        <v>33.181737556976486</v>
      </c>
      <c r="AK109" s="162">
        <f t="shared" si="50"/>
        <v>3.2368014440397235</v>
      </c>
      <c r="AL109" s="162">
        <f t="shared" si="7"/>
        <v>-27.733536288347974</v>
      </c>
      <c r="AM109" s="163">
        <v>0.36599999999999999</v>
      </c>
      <c r="AN109" s="164">
        <f t="shared" si="36"/>
        <v>3.2368014440397235</v>
      </c>
      <c r="AO109" s="165">
        <f t="shared" si="37"/>
        <v>0.36743478602118768</v>
      </c>
      <c r="AP109" s="166">
        <f t="shared" si="38"/>
        <v>1.4347860211876839E-3</v>
      </c>
      <c r="AQ109" s="166">
        <f t="shared" si="39"/>
        <v>12.492610289186855</v>
      </c>
      <c r="AR109" s="166">
        <f t="shared" si="40"/>
        <v>0.17924222611070728</v>
      </c>
      <c r="AS109" s="166">
        <f t="shared" si="41"/>
        <v>14.347860211876839</v>
      </c>
      <c r="AT109" s="163">
        <v>1.08</v>
      </c>
      <c r="AU109" s="164">
        <f t="shared" si="42"/>
        <v>-27.733536288347974</v>
      </c>
      <c r="AV109" s="164">
        <f t="shared" si="43"/>
        <v>1.080728479460749</v>
      </c>
      <c r="AW109" s="168">
        <f t="shared" si="44"/>
        <v>7.284794607489431E-4</v>
      </c>
      <c r="AX109" s="168">
        <f t="shared" si="45"/>
        <v>414.52651601738233</v>
      </c>
      <c r="AY109" s="168">
        <f t="shared" si="46"/>
        <v>3.019740528544808</v>
      </c>
      <c r="AZ109" s="168">
        <f t="shared" si="47"/>
        <v>7.284794607489431</v>
      </c>
    </row>
    <row r="110" spans="1:52" ht="18" x14ac:dyDescent="0.25">
      <c r="A110">
        <v>3</v>
      </c>
      <c r="B110" t="s">
        <v>25</v>
      </c>
      <c r="C110" t="s">
        <v>30</v>
      </c>
      <c r="D110" t="s">
        <v>428</v>
      </c>
      <c r="E110">
        <v>2</v>
      </c>
      <c r="F110" s="9" t="s">
        <v>31</v>
      </c>
      <c r="G110">
        <v>102</v>
      </c>
      <c r="H110">
        <v>4.47</v>
      </c>
      <c r="Q110" s="169">
        <v>555</v>
      </c>
      <c r="R110" s="169" t="s">
        <v>230</v>
      </c>
      <c r="S110" s="169">
        <v>3.8532329999999999</v>
      </c>
      <c r="T110" s="169">
        <v>2.9784514027713733</v>
      </c>
      <c r="U110" s="169">
        <v>5.8388470000000003</v>
      </c>
      <c r="V110" s="169">
        <v>-27.194227133141613</v>
      </c>
      <c r="W110" s="156">
        <v>4.47</v>
      </c>
      <c r="X110" s="170">
        <v>6.0891198571428573</v>
      </c>
      <c r="Y110" s="170">
        <v>1.937853204676379</v>
      </c>
      <c r="Z110" s="170">
        <v>4.0229087857142849</v>
      </c>
      <c r="AA110" s="170">
        <v>-25.881361430956051</v>
      </c>
      <c r="AB110" s="170">
        <v>2.7697142857142856</v>
      </c>
      <c r="AC110" s="170">
        <v>2.7697142857142856</v>
      </c>
      <c r="AD110" s="158">
        <f t="shared" si="0"/>
        <v>1.2827131784164255E-2</v>
      </c>
      <c r="AE110" s="158">
        <f t="shared" si="1"/>
        <v>0.3167721692777275</v>
      </c>
      <c r="AF110" s="159">
        <f t="shared" si="2"/>
        <v>4.9425927486090579E-2</v>
      </c>
      <c r="AG110" s="159">
        <f t="shared" si="3"/>
        <v>1.8495842302707515</v>
      </c>
      <c r="AH110" s="160">
        <f t="shared" si="4"/>
        <v>1.1057254471161204</v>
      </c>
      <c r="AI110" s="160">
        <f t="shared" si="5"/>
        <v>41.37772327227632</v>
      </c>
      <c r="AJ110" s="161">
        <f t="shared" si="6"/>
        <v>37.42133581188255</v>
      </c>
      <c r="AK110" s="162">
        <f t="shared" si="50"/>
        <v>3.0205981980949943</v>
      </c>
      <c r="AL110" s="162">
        <f t="shared" si="7"/>
        <v>-27.342865702185563</v>
      </c>
      <c r="AM110" s="163">
        <v>0.36599999999999999</v>
      </c>
      <c r="AN110" s="164">
        <f t="shared" si="36"/>
        <v>3.0205981980949943</v>
      </c>
      <c r="AO110" s="165">
        <f t="shared" si="37"/>
        <v>0.3673558926197536</v>
      </c>
      <c r="AP110" s="166">
        <f t="shared" si="38"/>
        <v>1.355892619753607E-3</v>
      </c>
      <c r="AQ110" s="166">
        <f t="shared" si="39"/>
        <v>11.057254471161205</v>
      </c>
      <c r="AR110" s="166">
        <f t="shared" si="40"/>
        <v>0.14992449732185051</v>
      </c>
      <c r="AS110" s="166">
        <f t="shared" si="41"/>
        <v>13.558926197536071</v>
      </c>
      <c r="AT110" s="163">
        <v>1.08</v>
      </c>
      <c r="AU110" s="164">
        <f t="shared" si="42"/>
        <v>-27.342865702185563</v>
      </c>
      <c r="AV110" s="164">
        <f t="shared" si="43"/>
        <v>1.0811580366855014</v>
      </c>
      <c r="AW110" s="168">
        <f t="shared" si="44"/>
        <v>1.1580366855012958E-3</v>
      </c>
      <c r="AX110" s="168">
        <f t="shared" si="45"/>
        <v>413.77723272276319</v>
      </c>
      <c r="AY110" s="168">
        <f t="shared" si="46"/>
        <v>4.7916921511816701</v>
      </c>
      <c r="AZ110" s="168">
        <f t="shared" si="47"/>
        <v>11.580366855012958</v>
      </c>
    </row>
    <row r="111" spans="1:52" ht="18" x14ac:dyDescent="0.25">
      <c r="A111">
        <v>3</v>
      </c>
      <c r="B111" t="s">
        <v>32</v>
      </c>
      <c r="C111" t="s">
        <v>26</v>
      </c>
      <c r="D111" t="s">
        <v>427</v>
      </c>
      <c r="E111">
        <v>2</v>
      </c>
      <c r="F111" s="9" t="s">
        <v>33</v>
      </c>
      <c r="G111">
        <v>103</v>
      </c>
      <c r="H111">
        <v>4.2590000000000003</v>
      </c>
      <c r="Q111" s="154">
        <v>556</v>
      </c>
      <c r="R111" s="154" t="s">
        <v>231</v>
      </c>
      <c r="S111" s="154">
        <v>7.1037005000000004</v>
      </c>
      <c r="T111" s="154">
        <v>882.06066089476246</v>
      </c>
      <c r="U111" s="154">
        <v>6.3709994999999999</v>
      </c>
      <c r="V111" s="154">
        <v>-19.573317842616525</v>
      </c>
      <c r="W111" s="156">
        <v>4.2590000000000003</v>
      </c>
      <c r="X111" s="170">
        <v>6.0891198571428573</v>
      </c>
      <c r="Y111" s="170">
        <v>1.937853204676379</v>
      </c>
      <c r="Z111" s="170">
        <v>4.0229087857142849</v>
      </c>
      <c r="AA111" s="170">
        <v>-25.881361430956051</v>
      </c>
      <c r="AB111" s="170">
        <v>2.7697142857142856</v>
      </c>
      <c r="AC111" s="170">
        <v>2.7697142857142856</v>
      </c>
      <c r="AD111" s="158">
        <f t="shared" si="0"/>
        <v>1.2827131784164255E-2</v>
      </c>
      <c r="AE111" s="158">
        <f t="shared" si="1"/>
        <v>0.3167721692777275</v>
      </c>
      <c r="AF111" s="159">
        <f t="shared" si="2"/>
        <v>9.1120102468733519E-2</v>
      </c>
      <c r="AG111" s="159">
        <f t="shared" si="3"/>
        <v>2.0181553320823173</v>
      </c>
      <c r="AH111" s="160">
        <f t="shared" si="4"/>
        <v>2.1394717649385657</v>
      </c>
      <c r="AI111" s="160">
        <f t="shared" si="5"/>
        <v>47.385661706558281</v>
      </c>
      <c r="AJ111" s="161">
        <f t="shared" si="6"/>
        <v>22.148299633166204</v>
      </c>
      <c r="AK111" s="162">
        <f t="shared" si="50"/>
        <v>882.10280769008614</v>
      </c>
      <c r="AL111" s="162">
        <f t="shared" si="7"/>
        <v>-19.721956411660475</v>
      </c>
      <c r="AM111" s="163">
        <v>0.36599999999999999</v>
      </c>
      <c r="AN111" s="164">
        <f t="shared" si="36"/>
        <v>882.10280769008614</v>
      </c>
      <c r="AO111" s="165">
        <f t="shared" si="37"/>
        <v>0.68710716565374619</v>
      </c>
      <c r="AP111" s="166">
        <f t="shared" si="38"/>
        <v>0.3211071656537462</v>
      </c>
      <c r="AQ111" s="166">
        <f t="shared" si="39"/>
        <v>21.394717649385658</v>
      </c>
      <c r="AR111" s="166">
        <f t="shared" si="40"/>
        <v>68.699971443564067</v>
      </c>
      <c r="AS111" s="166">
        <f t="shared" si="41"/>
        <v>3211.0716565374619</v>
      </c>
      <c r="AT111" s="163">
        <v>1.08</v>
      </c>
      <c r="AU111" s="164">
        <f t="shared" si="42"/>
        <v>-19.721956411660475</v>
      </c>
      <c r="AV111" s="164">
        <f t="shared" si="43"/>
        <v>1.089536771253292</v>
      </c>
      <c r="AW111" s="168">
        <f t="shared" si="44"/>
        <v>9.5367712532918869E-3</v>
      </c>
      <c r="AX111" s="168">
        <f t="shared" si="45"/>
        <v>473.85661706558278</v>
      </c>
      <c r="AY111" s="168">
        <f t="shared" si="46"/>
        <v>45.190621638131915</v>
      </c>
      <c r="AZ111" s="168">
        <f t="shared" si="47"/>
        <v>95.367712532918873</v>
      </c>
    </row>
    <row r="112" spans="1:52" ht="18" x14ac:dyDescent="0.25">
      <c r="A112">
        <v>3</v>
      </c>
      <c r="B112" t="s">
        <v>32</v>
      </c>
      <c r="C112" t="s">
        <v>26</v>
      </c>
      <c r="D112" t="s">
        <v>428</v>
      </c>
      <c r="E112">
        <v>2</v>
      </c>
      <c r="F112" s="9" t="s">
        <v>34</v>
      </c>
      <c r="G112">
        <v>104</v>
      </c>
      <c r="H112">
        <v>4.3179999999999996</v>
      </c>
      <c r="Q112" s="169">
        <v>557</v>
      </c>
      <c r="R112" s="169" t="s">
        <v>232</v>
      </c>
      <c r="S112" s="169">
        <v>7.7049079999999996</v>
      </c>
      <c r="T112" s="169">
        <v>680.1976126015478</v>
      </c>
      <c r="U112" s="169">
        <v>6.1405589999999997</v>
      </c>
      <c r="V112" s="169">
        <v>-22.181617020704106</v>
      </c>
      <c r="W112" s="156">
        <v>4.3179999999999996</v>
      </c>
      <c r="X112" s="170">
        <v>6.0891198571428573</v>
      </c>
      <c r="Y112" s="170">
        <v>1.937853204676379</v>
      </c>
      <c r="Z112" s="170">
        <v>4.0229087857142849</v>
      </c>
      <c r="AA112" s="170">
        <v>-25.881361430956051</v>
      </c>
      <c r="AB112" s="170">
        <v>2.7697142857142856</v>
      </c>
      <c r="AC112" s="170">
        <v>2.7697142857142856</v>
      </c>
      <c r="AD112" s="158">
        <f t="shared" si="0"/>
        <v>1.2827131784164255E-2</v>
      </c>
      <c r="AE112" s="158">
        <f t="shared" si="1"/>
        <v>0.3167721692777275</v>
      </c>
      <c r="AF112" s="159">
        <f t="shared" si="2"/>
        <v>9.8831870300861435E-2</v>
      </c>
      <c r="AG112" s="159">
        <f t="shared" si="3"/>
        <v>1.9451581950078729</v>
      </c>
      <c r="AH112" s="160">
        <f t="shared" si="4"/>
        <v>2.2888344210482039</v>
      </c>
      <c r="AI112" s="160">
        <f t="shared" si="5"/>
        <v>45.047665470307393</v>
      </c>
      <c r="AJ112" s="161">
        <f t="shared" si="6"/>
        <v>19.68148724785307</v>
      </c>
      <c r="AK112" s="162">
        <f t="shared" si="50"/>
        <v>680.23975939687148</v>
      </c>
      <c r="AL112" s="162">
        <f t="shared" si="7"/>
        <v>-22.330255589748056</v>
      </c>
      <c r="AM112" s="163">
        <v>0.36599999999999999</v>
      </c>
      <c r="AN112" s="164">
        <f t="shared" si="36"/>
        <v>680.23975939687148</v>
      </c>
      <c r="AO112" s="165">
        <f t="shared" si="37"/>
        <v>0.61386456341436746</v>
      </c>
      <c r="AP112" s="166">
        <f t="shared" si="38"/>
        <v>0.24786456341436747</v>
      </c>
      <c r="AQ112" s="166">
        <f t="shared" si="39"/>
        <v>22.888344210482039</v>
      </c>
      <c r="AR112" s="166">
        <f t="shared" si="40"/>
        <v>56.732094450088965</v>
      </c>
      <c r="AS112" s="166">
        <f t="shared" si="41"/>
        <v>2478.6456341436747</v>
      </c>
      <c r="AT112" s="163">
        <v>1.08</v>
      </c>
      <c r="AU112" s="164">
        <f t="shared" si="42"/>
        <v>-22.330255589748056</v>
      </c>
      <c r="AV112" s="164">
        <f t="shared" si="43"/>
        <v>1.0866692618718556</v>
      </c>
      <c r="AW112" s="168">
        <f t="shared" si="44"/>
        <v>6.6692618718555696E-3</v>
      </c>
      <c r="AX112" s="168">
        <f t="shared" si="45"/>
        <v>450.4766547030739</v>
      </c>
      <c r="AY112" s="168">
        <f t="shared" si="46"/>
        <v>30.043467773722575</v>
      </c>
      <c r="AZ112" s="168">
        <f t="shared" si="47"/>
        <v>66.692618718555693</v>
      </c>
    </row>
    <row r="113" spans="1:52" ht="18" x14ac:dyDescent="0.25">
      <c r="A113">
        <v>3</v>
      </c>
      <c r="B113" t="s">
        <v>32</v>
      </c>
      <c r="C113" t="s">
        <v>28</v>
      </c>
      <c r="D113" t="s">
        <v>427</v>
      </c>
      <c r="E113">
        <v>2</v>
      </c>
      <c r="F113" s="9" t="s">
        <v>35</v>
      </c>
      <c r="G113">
        <v>105</v>
      </c>
      <c r="H113">
        <v>4.9749999999999996</v>
      </c>
      <c r="Q113" s="154">
        <v>558</v>
      </c>
      <c r="R113" s="154" t="s">
        <v>233</v>
      </c>
      <c r="S113" s="154">
        <v>4.8849320000000001</v>
      </c>
      <c r="T113" s="154">
        <v>574.20562492248587</v>
      </c>
      <c r="U113" s="154">
        <v>5.5014500000000002</v>
      </c>
      <c r="V113" s="154">
        <v>-23.1764857636846</v>
      </c>
      <c r="W113" s="156">
        <v>4.9749999999999996</v>
      </c>
      <c r="X113" s="170">
        <v>6.0891198571428573</v>
      </c>
      <c r="Y113" s="170">
        <v>1.937853204676379</v>
      </c>
      <c r="Z113" s="170">
        <v>4.0229087857142849</v>
      </c>
      <c r="AA113" s="170">
        <v>-25.881361430956051</v>
      </c>
      <c r="AB113" s="170">
        <v>2.7697142857142856</v>
      </c>
      <c r="AC113" s="170">
        <v>2.7697142857142856</v>
      </c>
      <c r="AD113" s="158">
        <f t="shared" si="0"/>
        <v>1.2827131784164255E-2</v>
      </c>
      <c r="AE113" s="158">
        <f t="shared" si="1"/>
        <v>0.3167721692777275</v>
      </c>
      <c r="AF113" s="159">
        <f t="shared" si="2"/>
        <v>6.2659666520681057E-2</v>
      </c>
      <c r="AG113" s="159">
        <f t="shared" si="3"/>
        <v>1.742706250672954</v>
      </c>
      <c r="AH113" s="160">
        <f t="shared" si="4"/>
        <v>1.2594907843352978</v>
      </c>
      <c r="AI113" s="160">
        <f t="shared" si="5"/>
        <v>35.029271370310639</v>
      </c>
      <c r="AJ113" s="161">
        <f t="shared" si="6"/>
        <v>27.812249050156808</v>
      </c>
      <c r="AK113" s="162">
        <f t="shared" si="50"/>
        <v>574.24777171780954</v>
      </c>
      <c r="AL113" s="162">
        <f t="shared" si="7"/>
        <v>-23.325124332728549</v>
      </c>
      <c r="AM113" s="163">
        <v>0.36599999999999999</v>
      </c>
      <c r="AN113" s="164">
        <f t="shared" si="36"/>
        <v>574.24777171780954</v>
      </c>
      <c r="AO113" s="165">
        <f t="shared" si="37"/>
        <v>0.57536388757471424</v>
      </c>
      <c r="AP113" s="166">
        <f t="shared" si="38"/>
        <v>0.20936388757471425</v>
      </c>
      <c r="AQ113" s="166">
        <f t="shared" si="39"/>
        <v>12.594907843352976</v>
      </c>
      <c r="AR113" s="166">
        <f t="shared" si="40"/>
        <v>26.369188697296394</v>
      </c>
      <c r="AS113" s="166">
        <f t="shared" si="41"/>
        <v>2093.6388757471423</v>
      </c>
      <c r="AT113" s="163">
        <v>1.08</v>
      </c>
      <c r="AU113" s="164">
        <f t="shared" si="42"/>
        <v>-23.325124332728549</v>
      </c>
      <c r="AV113" s="164">
        <f t="shared" si="43"/>
        <v>1.0855754802496731</v>
      </c>
      <c r="AW113" s="168">
        <f t="shared" si="44"/>
        <v>5.575480249673026E-3</v>
      </c>
      <c r="AX113" s="168">
        <f t="shared" si="45"/>
        <v>350.29271370310636</v>
      </c>
      <c r="AY113" s="168">
        <f t="shared" si="46"/>
        <v>19.530501068560376</v>
      </c>
      <c r="AZ113" s="168">
        <f t="shared" si="47"/>
        <v>55.754802496730264</v>
      </c>
    </row>
    <row r="114" spans="1:52" ht="18" x14ac:dyDescent="0.25">
      <c r="A114">
        <v>3</v>
      </c>
      <c r="B114" t="s">
        <v>32</v>
      </c>
      <c r="C114" t="s">
        <v>28</v>
      </c>
      <c r="D114" t="s">
        <v>428</v>
      </c>
      <c r="E114">
        <v>2</v>
      </c>
      <c r="F114" s="9" t="s">
        <v>37</v>
      </c>
      <c r="G114">
        <v>106</v>
      </c>
      <c r="H114">
        <v>4.4390000000000001</v>
      </c>
      <c r="Q114" s="169">
        <v>559</v>
      </c>
      <c r="R114" s="169" t="s">
        <v>234</v>
      </c>
      <c r="S114" s="169">
        <v>3.8104942500000001</v>
      </c>
      <c r="T114" s="169">
        <v>146.45082890529602</v>
      </c>
      <c r="U114" s="169">
        <v>5.9619125000000004</v>
      </c>
      <c r="V114" s="169">
        <v>-25.598008186664419</v>
      </c>
      <c r="W114" s="156">
        <v>4.4390000000000001</v>
      </c>
      <c r="X114" s="170">
        <v>6.0891198571428573</v>
      </c>
      <c r="Y114" s="170">
        <v>1.937853204676379</v>
      </c>
      <c r="Z114" s="170">
        <v>4.0229087857142849</v>
      </c>
      <c r="AA114" s="170">
        <v>-25.881361430956051</v>
      </c>
      <c r="AB114" s="170">
        <v>2.7697142857142856</v>
      </c>
      <c r="AC114" s="170">
        <v>2.7697142857142856</v>
      </c>
      <c r="AD114" s="158">
        <f t="shared" si="0"/>
        <v>1.2827131784164255E-2</v>
      </c>
      <c r="AE114" s="158">
        <f t="shared" si="1"/>
        <v>0.3167721692777275</v>
      </c>
      <c r="AF114" s="159">
        <f t="shared" si="2"/>
        <v>4.8877711907550137E-2</v>
      </c>
      <c r="AG114" s="159">
        <f t="shared" si="3"/>
        <v>1.8885679556689996</v>
      </c>
      <c r="AH114" s="160">
        <f t="shared" si="4"/>
        <v>1.1010973621885589</v>
      </c>
      <c r="AI114" s="160">
        <f t="shared" si="5"/>
        <v>42.54489650076593</v>
      </c>
      <c r="AJ114" s="161">
        <f t="shared" si="6"/>
        <v>38.638632660242685</v>
      </c>
      <c r="AK114" s="162">
        <f t="shared" si="50"/>
        <v>146.49297570061964</v>
      </c>
      <c r="AL114" s="162">
        <f t="shared" si="7"/>
        <v>-25.746646755708369</v>
      </c>
      <c r="AM114" s="163">
        <v>0.36599999999999999</v>
      </c>
      <c r="AN114" s="164">
        <f t="shared" si="36"/>
        <v>146.49297570061964</v>
      </c>
      <c r="AO114" s="165">
        <f t="shared" si="37"/>
        <v>0.41968206437479677</v>
      </c>
      <c r="AP114" s="166">
        <f t="shared" si="38"/>
        <v>5.3682064374796779E-2</v>
      </c>
      <c r="AQ114" s="166">
        <f t="shared" si="39"/>
        <v>11.010973621885588</v>
      </c>
      <c r="AR114" s="166">
        <f t="shared" si="40"/>
        <v>5.9109179479925142</v>
      </c>
      <c r="AS114" s="166">
        <f t="shared" si="41"/>
        <v>536.82064374796778</v>
      </c>
      <c r="AT114" s="163">
        <v>1.08</v>
      </c>
      <c r="AU114" s="164">
        <f t="shared" si="42"/>
        <v>-25.746646755708369</v>
      </c>
      <c r="AV114" s="164">
        <f t="shared" si="43"/>
        <v>1.0829131015973144</v>
      </c>
      <c r="AW114" s="168">
        <f t="shared" si="44"/>
        <v>2.9131015973142826E-3</v>
      </c>
      <c r="AX114" s="168">
        <f t="shared" si="45"/>
        <v>425.4489650076593</v>
      </c>
      <c r="AY114" s="168">
        <f t="shared" si="46"/>
        <v>12.393760595395207</v>
      </c>
      <c r="AZ114" s="168">
        <f t="shared" si="47"/>
        <v>29.131015973142826</v>
      </c>
    </row>
    <row r="115" spans="1:52" ht="18" x14ac:dyDescent="0.25">
      <c r="A115">
        <v>3</v>
      </c>
      <c r="B115" t="s">
        <v>32</v>
      </c>
      <c r="C115" t="s">
        <v>30</v>
      </c>
      <c r="D115" t="s">
        <v>427</v>
      </c>
      <c r="E115">
        <v>2</v>
      </c>
      <c r="F115" s="9" t="s">
        <v>38</v>
      </c>
      <c r="G115">
        <v>107</v>
      </c>
      <c r="H115">
        <v>4.0650000000000004</v>
      </c>
      <c r="Q115" s="154">
        <v>560</v>
      </c>
      <c r="R115" s="154" t="s">
        <v>235</v>
      </c>
      <c r="S115" s="154">
        <v>3.5248937499999999</v>
      </c>
      <c r="T115" s="154">
        <v>1.9994876185845527</v>
      </c>
      <c r="U115" s="154">
        <v>5.3113795000000001</v>
      </c>
      <c r="V115" s="154">
        <v>-27.794665132863205</v>
      </c>
      <c r="W115" s="156">
        <v>4.0650000000000004</v>
      </c>
      <c r="X115" s="170">
        <v>6.0891198571428573</v>
      </c>
      <c r="Y115" s="170">
        <v>1.937853204676379</v>
      </c>
      <c r="Z115" s="170">
        <v>4.0229087857142849</v>
      </c>
      <c r="AA115" s="170">
        <v>-25.881361430956051</v>
      </c>
      <c r="AB115" s="170">
        <v>2.7697142857142856</v>
      </c>
      <c r="AC115" s="170">
        <v>2.7697142857142856</v>
      </c>
      <c r="AD115" s="158">
        <f t="shared" si="0"/>
        <v>1.2827131784164255E-2</v>
      </c>
      <c r="AE115" s="158">
        <f t="shared" si="1"/>
        <v>0.3167721692777275</v>
      </c>
      <c r="AF115" s="159">
        <f t="shared" si="2"/>
        <v>4.5214276656426931E-2</v>
      </c>
      <c r="AG115" s="159">
        <f t="shared" si="3"/>
        <v>1.6824972060722516</v>
      </c>
      <c r="AH115" s="160">
        <f t="shared" si="4"/>
        <v>1.1122823285713881</v>
      </c>
      <c r="AI115" s="160">
        <f t="shared" si="5"/>
        <v>41.389845167829066</v>
      </c>
      <c r="AJ115" s="161">
        <f t="shared" si="6"/>
        <v>37.211636024992011</v>
      </c>
      <c r="AK115" s="162">
        <f t="shared" si="50"/>
        <v>2.0416344139081737</v>
      </c>
      <c r="AL115" s="162">
        <f t="shared" si="7"/>
        <v>-27.943303701907155</v>
      </c>
      <c r="AM115" s="163">
        <v>0.36599999999999999</v>
      </c>
      <c r="AN115" s="164">
        <f t="shared" si="36"/>
        <v>2.0416344139081737</v>
      </c>
      <c r="AO115" s="165">
        <f t="shared" si="37"/>
        <v>0.36699866338133952</v>
      </c>
      <c r="AP115" s="166">
        <f t="shared" si="38"/>
        <v>9.9866338133952626E-4</v>
      </c>
      <c r="AQ115" s="166">
        <f t="shared" si="39"/>
        <v>11.12282328571388</v>
      </c>
      <c r="AR115" s="166">
        <f t="shared" si="40"/>
        <v>0.11107956312553041</v>
      </c>
      <c r="AS115" s="166">
        <f t="shared" si="41"/>
        <v>9.9866338133952617</v>
      </c>
      <c r="AT115" s="163">
        <v>1.08</v>
      </c>
      <c r="AU115" s="164">
        <f t="shared" si="42"/>
        <v>-27.943303701907155</v>
      </c>
      <c r="AV115" s="164">
        <f t="shared" si="43"/>
        <v>1.0804978306415183</v>
      </c>
      <c r="AW115" s="168">
        <f t="shared" si="44"/>
        <v>4.9783064151820433E-4</v>
      </c>
      <c r="AX115" s="168">
        <f t="shared" si="45"/>
        <v>413.89845167829066</v>
      </c>
      <c r="AY115" s="168">
        <f t="shared" si="46"/>
        <v>2.0605133172239491</v>
      </c>
      <c r="AZ115" s="168">
        <f t="shared" si="47"/>
        <v>4.9783064151820442</v>
      </c>
    </row>
    <row r="116" spans="1:52" ht="18" x14ac:dyDescent="0.25">
      <c r="A116">
        <v>3</v>
      </c>
      <c r="B116" t="s">
        <v>32</v>
      </c>
      <c r="C116" t="s">
        <v>30</v>
      </c>
      <c r="D116" t="s">
        <v>428</v>
      </c>
      <c r="E116">
        <v>2</v>
      </c>
      <c r="F116" s="9" t="s">
        <v>39</v>
      </c>
      <c r="G116">
        <v>108</v>
      </c>
      <c r="H116">
        <v>4.3220000000000001</v>
      </c>
      <c r="Q116" s="169">
        <v>561</v>
      </c>
      <c r="R116" s="169" t="s">
        <v>236</v>
      </c>
      <c r="S116" s="169">
        <v>3.2496747500000001</v>
      </c>
      <c r="T116" s="169">
        <v>3.9292996748789166</v>
      </c>
      <c r="U116" s="169">
        <v>5.9255209999999998</v>
      </c>
      <c r="V116" s="169">
        <v>-26.61512935833407</v>
      </c>
      <c r="W116" s="156">
        <v>4.3220000000000001</v>
      </c>
      <c r="X116" s="170">
        <v>6.0891198571428573</v>
      </c>
      <c r="Y116" s="170">
        <v>1.937853204676379</v>
      </c>
      <c r="Z116" s="170">
        <v>4.0229087857142849</v>
      </c>
      <c r="AA116" s="170">
        <v>-25.881361430956051</v>
      </c>
      <c r="AB116" s="170">
        <v>2.7697142857142856</v>
      </c>
      <c r="AC116" s="170">
        <v>2.7697142857142856</v>
      </c>
      <c r="AD116" s="158">
        <f t="shared" si="0"/>
        <v>1.2827131784164255E-2</v>
      </c>
      <c r="AE116" s="158">
        <f t="shared" si="1"/>
        <v>0.3167721692777275</v>
      </c>
      <c r="AF116" s="159">
        <f t="shared" si="2"/>
        <v>4.1684006273921027E-2</v>
      </c>
      <c r="AG116" s="159">
        <f t="shared" si="3"/>
        <v>1.8770401412707292</v>
      </c>
      <c r="AH116" s="160">
        <f t="shared" si="4"/>
        <v>0.9644610428949798</v>
      </c>
      <c r="AI116" s="160">
        <f t="shared" si="5"/>
        <v>43.429896836435198</v>
      </c>
      <c r="AJ116" s="161">
        <f t="shared" si="6"/>
        <v>45.030224036912479</v>
      </c>
      <c r="AK116" s="162">
        <f t="shared" si="50"/>
        <v>3.9714464702025376</v>
      </c>
      <c r="AL116" s="162">
        <f t="shared" si="7"/>
        <v>-26.763767927378019</v>
      </c>
      <c r="AM116" s="163">
        <v>0.36599999999999999</v>
      </c>
      <c r="AN116" s="164">
        <f t="shared" si="36"/>
        <v>3.9714464702025376</v>
      </c>
      <c r="AO116" s="165">
        <f t="shared" si="37"/>
        <v>0.36770285990170853</v>
      </c>
      <c r="AP116" s="166">
        <f t="shared" si="38"/>
        <v>1.7028599017085422E-3</v>
      </c>
      <c r="AQ116" s="166">
        <f t="shared" si="39"/>
        <v>9.6446104289497967</v>
      </c>
      <c r="AR116" s="166">
        <f t="shared" si="40"/>
        <v>0.1642342036705863</v>
      </c>
      <c r="AS116" s="166">
        <f t="shared" si="41"/>
        <v>17.028599017085423</v>
      </c>
      <c r="AT116" s="163">
        <v>1.08</v>
      </c>
      <c r="AU116" s="164">
        <f t="shared" si="42"/>
        <v>-26.763767927378019</v>
      </c>
      <c r="AV116" s="164">
        <f t="shared" si="43"/>
        <v>1.0817947699343839</v>
      </c>
      <c r="AW116" s="168">
        <f t="shared" si="44"/>
        <v>1.7947699343838774E-3</v>
      </c>
      <c r="AX116" s="168">
        <f t="shared" si="45"/>
        <v>434.29896836435199</v>
      </c>
      <c r="AY116" s="168">
        <f t="shared" si="46"/>
        <v>7.7946673095427377</v>
      </c>
      <c r="AZ116" s="168">
        <f t="shared" si="47"/>
        <v>17.947699343838774</v>
      </c>
    </row>
    <row r="117" spans="1:52" ht="18" x14ac:dyDescent="0.25">
      <c r="A117">
        <v>3</v>
      </c>
      <c r="B117" t="s">
        <v>36</v>
      </c>
      <c r="C117" t="s">
        <v>26</v>
      </c>
      <c r="D117" t="s">
        <v>427</v>
      </c>
      <c r="E117">
        <v>2</v>
      </c>
      <c r="F117" s="9" t="s">
        <v>41</v>
      </c>
      <c r="G117">
        <v>109</v>
      </c>
      <c r="H117">
        <v>4.335</v>
      </c>
      <c r="Q117" s="154">
        <v>562</v>
      </c>
      <c r="R117" s="154" t="s">
        <v>237</v>
      </c>
      <c r="S117" s="154">
        <v>4.2864535000000004</v>
      </c>
      <c r="T117" s="154">
        <v>2005.9123358743657</v>
      </c>
      <c r="U117" s="154">
        <v>5.9461459999999997</v>
      </c>
      <c r="V117" s="154">
        <v>-19.828983690712928</v>
      </c>
      <c r="W117" s="156">
        <v>4.335</v>
      </c>
      <c r="X117" s="170">
        <v>6.0891198571428573</v>
      </c>
      <c r="Y117" s="170">
        <v>1.937853204676379</v>
      </c>
      <c r="Z117" s="170">
        <v>4.0229087857142849</v>
      </c>
      <c r="AA117" s="170">
        <v>-25.881361430956051</v>
      </c>
      <c r="AB117" s="170">
        <v>2.7697142857142856</v>
      </c>
      <c r="AC117" s="170">
        <v>2.7697142857142856</v>
      </c>
      <c r="AD117" s="158">
        <f t="shared" si="0"/>
        <v>1.2827131784164255E-2</v>
      </c>
      <c r="AE117" s="158">
        <f t="shared" si="1"/>
        <v>0.3167721692777275</v>
      </c>
      <c r="AF117" s="159">
        <f t="shared" si="2"/>
        <v>5.4982903931192116E-2</v>
      </c>
      <c r="AG117" s="159">
        <f t="shared" si="3"/>
        <v>1.8835735672620821</v>
      </c>
      <c r="AH117" s="160">
        <f t="shared" si="4"/>
        <v>1.2683484182512599</v>
      </c>
      <c r="AI117" s="160">
        <f t="shared" si="5"/>
        <v>43.45037064041712</v>
      </c>
      <c r="AJ117" s="161">
        <f t="shared" si="6"/>
        <v>34.257440633169615</v>
      </c>
      <c r="AK117" s="162">
        <f t="shared" si="50"/>
        <v>2005.9544826696892</v>
      </c>
      <c r="AL117" s="162">
        <f t="shared" si="7"/>
        <v>-19.977622259756878</v>
      </c>
      <c r="AM117" s="163">
        <v>0.36599999999999999</v>
      </c>
      <c r="AN117" s="164">
        <f t="shared" si="36"/>
        <v>2005.9544826696892</v>
      </c>
      <c r="AO117" s="165">
        <f t="shared" si="37"/>
        <v>1.0929123084854764</v>
      </c>
      <c r="AP117" s="166">
        <f t="shared" si="38"/>
        <v>0.72691230848547639</v>
      </c>
      <c r="AQ117" s="166">
        <f t="shared" si="39"/>
        <v>12.683484182512599</v>
      </c>
      <c r="AR117" s="166">
        <f t="shared" si="40"/>
        <v>92.197807667492583</v>
      </c>
      <c r="AS117" s="166">
        <f t="shared" si="41"/>
        <v>7269.1230848547648</v>
      </c>
      <c r="AT117" s="163">
        <v>1.08</v>
      </c>
      <c r="AU117" s="164">
        <f t="shared" si="42"/>
        <v>-19.977622259756878</v>
      </c>
      <c r="AV117" s="164">
        <f t="shared" si="43"/>
        <v>1.0892557049346994</v>
      </c>
      <c r="AW117" s="168">
        <f t="shared" si="44"/>
        <v>9.2557049346992937E-3</v>
      </c>
      <c r="AX117" s="168">
        <f t="shared" si="45"/>
        <v>434.50370640417117</v>
      </c>
      <c r="AY117" s="168">
        <f t="shared" si="46"/>
        <v>40.216380995102206</v>
      </c>
      <c r="AZ117" s="168">
        <f t="shared" si="47"/>
        <v>92.55704934699294</v>
      </c>
    </row>
    <row r="118" spans="1:52" ht="18" x14ac:dyDescent="0.25">
      <c r="A118">
        <v>3</v>
      </c>
      <c r="B118" t="s">
        <v>36</v>
      </c>
      <c r="C118" t="s">
        <v>26</v>
      </c>
      <c r="D118" t="s">
        <v>428</v>
      </c>
      <c r="E118">
        <v>2</v>
      </c>
      <c r="F118" s="9" t="s">
        <v>42</v>
      </c>
      <c r="G118">
        <v>110</v>
      </c>
      <c r="H118">
        <v>4.5410000000000004</v>
      </c>
      <c r="Q118" s="169">
        <v>563</v>
      </c>
      <c r="R118" s="169" t="s">
        <v>238</v>
      </c>
      <c r="S118" s="169">
        <v>6.220224</v>
      </c>
      <c r="T118" s="169">
        <v>409.1582444789023</v>
      </c>
      <c r="U118" s="169">
        <v>6.0972239999999998</v>
      </c>
      <c r="V118" s="169">
        <v>-23.239156650224317</v>
      </c>
      <c r="W118" s="156">
        <v>4.5410000000000004</v>
      </c>
      <c r="X118" s="170">
        <v>6.0891198571428573</v>
      </c>
      <c r="Y118" s="170">
        <v>1.937853204676379</v>
      </c>
      <c r="Z118" s="170">
        <v>4.0229087857142849</v>
      </c>
      <c r="AA118" s="170">
        <v>-25.881361430956051</v>
      </c>
      <c r="AB118" s="170">
        <v>2.7697142857142856</v>
      </c>
      <c r="AC118" s="170">
        <v>2.7697142857142856</v>
      </c>
      <c r="AD118" s="158">
        <f t="shared" si="0"/>
        <v>1.2827131784164255E-2</v>
      </c>
      <c r="AE118" s="158">
        <f t="shared" si="1"/>
        <v>0.3167721692777275</v>
      </c>
      <c r="AF118" s="159">
        <f t="shared" si="2"/>
        <v>7.9787632975021311E-2</v>
      </c>
      <c r="AG118" s="159">
        <f t="shared" si="3"/>
        <v>1.9314308730522227</v>
      </c>
      <c r="AH118" s="160">
        <f t="shared" si="4"/>
        <v>1.7570498342880709</v>
      </c>
      <c r="AI118" s="160">
        <f t="shared" si="5"/>
        <v>42.533161705620408</v>
      </c>
      <c r="AJ118" s="161">
        <f t="shared" si="6"/>
        <v>24.207145907648187</v>
      </c>
      <c r="AK118" s="162">
        <f t="shared" si="50"/>
        <v>409.20039127422592</v>
      </c>
      <c r="AL118" s="162">
        <f t="shared" si="7"/>
        <v>-23.387795219268266</v>
      </c>
      <c r="AM118" s="163">
        <v>0.36599999999999999</v>
      </c>
      <c r="AN118" s="164">
        <f t="shared" si="36"/>
        <v>409.20039127422592</v>
      </c>
      <c r="AO118" s="165">
        <f t="shared" si="37"/>
        <v>0.51535242456665498</v>
      </c>
      <c r="AP118" s="166">
        <f t="shared" si="38"/>
        <v>0.14935242456665498</v>
      </c>
      <c r="AQ118" s="166">
        <f t="shared" si="39"/>
        <v>17.570498342880711</v>
      </c>
      <c r="AR118" s="166">
        <f t="shared" si="40"/>
        <v>26.241965283536278</v>
      </c>
      <c r="AS118" s="166">
        <f t="shared" si="41"/>
        <v>1493.5242456665499</v>
      </c>
      <c r="AT118" s="163">
        <v>1.08</v>
      </c>
      <c r="AU118" s="164">
        <f t="shared" si="42"/>
        <v>-23.387795219268266</v>
      </c>
      <c r="AV118" s="164">
        <f t="shared" si="43"/>
        <v>1.0855065776228874</v>
      </c>
      <c r="AW118" s="168">
        <f t="shared" si="44"/>
        <v>5.5065776228873098E-3</v>
      </c>
      <c r="AX118" s="168">
        <f t="shared" si="45"/>
        <v>425.3316170562041</v>
      </c>
      <c r="AY118" s="168">
        <f t="shared" si="46"/>
        <v>23.421215647881677</v>
      </c>
      <c r="AZ118" s="168">
        <f t="shared" si="47"/>
        <v>55.065776228873098</v>
      </c>
    </row>
    <row r="119" spans="1:52" ht="18" x14ac:dyDescent="0.25">
      <c r="A119">
        <v>3</v>
      </c>
      <c r="B119" t="s">
        <v>36</v>
      </c>
      <c r="C119" t="s">
        <v>28</v>
      </c>
      <c r="D119" t="s">
        <v>427</v>
      </c>
      <c r="E119">
        <v>2</v>
      </c>
      <c r="F119" s="9" t="s">
        <v>43</v>
      </c>
      <c r="G119">
        <v>111</v>
      </c>
      <c r="H119">
        <v>4.4790000000000001</v>
      </c>
      <c r="Q119" s="154">
        <v>564</v>
      </c>
      <c r="R119" s="154" t="s">
        <v>239</v>
      </c>
      <c r="S119" s="154">
        <v>4.9438195</v>
      </c>
      <c r="T119" s="154">
        <v>159.65995235173349</v>
      </c>
      <c r="U119" s="154">
        <v>5.7267460000000003</v>
      </c>
      <c r="V119" s="154">
        <v>-26.481479530773502</v>
      </c>
      <c r="W119" s="156">
        <v>4.4790000000000001</v>
      </c>
      <c r="X119" s="170">
        <v>6.0891198571428573</v>
      </c>
      <c r="Y119" s="170">
        <v>1.937853204676379</v>
      </c>
      <c r="Z119" s="170">
        <v>4.0229087857142849</v>
      </c>
      <c r="AA119" s="170">
        <v>-25.881361430956051</v>
      </c>
      <c r="AB119" s="170">
        <v>2.7697142857142856</v>
      </c>
      <c r="AC119" s="170">
        <v>2.7697142857142856</v>
      </c>
      <c r="AD119" s="158">
        <f t="shared" si="0"/>
        <v>1.2827131784164255E-2</v>
      </c>
      <c r="AE119" s="158">
        <f t="shared" si="1"/>
        <v>0.3167721692777275</v>
      </c>
      <c r="AF119" s="159">
        <f t="shared" si="2"/>
        <v>6.341502424362104E-2</v>
      </c>
      <c r="AG119" s="159">
        <f t="shared" si="3"/>
        <v>1.8140737533225491</v>
      </c>
      <c r="AH119" s="160">
        <f t="shared" si="4"/>
        <v>1.4158299674842831</v>
      </c>
      <c r="AI119" s="160">
        <f t="shared" si="5"/>
        <v>40.501758279137064</v>
      </c>
      <c r="AJ119" s="161">
        <f t="shared" si="6"/>
        <v>28.60637167547922</v>
      </c>
      <c r="AK119" s="162">
        <f t="shared" si="50"/>
        <v>159.70209914705711</v>
      </c>
      <c r="AL119" s="162">
        <f t="shared" si="7"/>
        <v>-26.630118099817452</v>
      </c>
      <c r="AM119" s="163">
        <v>0.36599999999999999</v>
      </c>
      <c r="AN119" s="164">
        <f t="shared" si="36"/>
        <v>159.70209914705711</v>
      </c>
      <c r="AO119" s="165">
        <f t="shared" si="37"/>
        <v>0.42449683408591615</v>
      </c>
      <c r="AP119" s="166">
        <f t="shared" si="38"/>
        <v>5.8496834085916161E-2</v>
      </c>
      <c r="AQ119" s="166">
        <f t="shared" si="39"/>
        <v>14.15829967484283</v>
      </c>
      <c r="AR119" s="166">
        <f t="shared" si="40"/>
        <v>8.2821570701796166</v>
      </c>
      <c r="AS119" s="166">
        <f t="shared" si="41"/>
        <v>584.96834085916157</v>
      </c>
      <c r="AT119" s="163">
        <v>1.08</v>
      </c>
      <c r="AU119" s="164">
        <f t="shared" si="42"/>
        <v>-26.630118099817452</v>
      </c>
      <c r="AV119" s="164">
        <f t="shared" si="43"/>
        <v>1.0819417202740655</v>
      </c>
      <c r="AW119" s="168">
        <f t="shared" si="44"/>
        <v>1.9417202740654727E-3</v>
      </c>
      <c r="AX119" s="168">
        <f t="shared" si="45"/>
        <v>405.01758279137061</v>
      </c>
      <c r="AY119" s="168">
        <f t="shared" si="46"/>
        <v>7.8643085185899544</v>
      </c>
      <c r="AZ119" s="168">
        <f t="shared" si="47"/>
        <v>19.417202740654727</v>
      </c>
    </row>
    <row r="120" spans="1:52" ht="18" x14ac:dyDescent="0.25">
      <c r="I120" s="25" t="s">
        <v>469</v>
      </c>
      <c r="Q120" s="169">
        <v>565</v>
      </c>
      <c r="R120" s="169" t="s">
        <v>240</v>
      </c>
      <c r="S120" s="169">
        <v>8.1009960000000003</v>
      </c>
      <c r="T120" s="169">
        <v>1.9587925028297564</v>
      </c>
      <c r="U120" s="169">
        <v>5.1004554999999998</v>
      </c>
      <c r="V120" s="169">
        <v>-25.697873029361219</v>
      </c>
      <c r="W120" s="169">
        <v>3.2010000000000001</v>
      </c>
      <c r="X120" s="170">
        <v>6.0891198571428573</v>
      </c>
      <c r="Y120" s="170">
        <v>1.937853204676379</v>
      </c>
      <c r="Z120" s="170">
        <v>4.0229087857142849</v>
      </c>
      <c r="AA120" s="170">
        <v>-25.881361430956051</v>
      </c>
      <c r="AB120" s="170">
        <v>2.7697142857142856</v>
      </c>
      <c r="AC120" s="170">
        <v>2.7697142857142856</v>
      </c>
      <c r="AD120" s="158">
        <f t="shared" si="0"/>
        <v>1.2827131784164255E-2</v>
      </c>
      <c r="AE120" s="158">
        <f t="shared" si="1"/>
        <v>0.3167721692777275</v>
      </c>
      <c r="AF120" s="159">
        <f t="shared" si="2"/>
        <v>0.1039125432749875</v>
      </c>
      <c r="AG120" s="159">
        <f t="shared" si="3"/>
        <v>1.6156823530395161</v>
      </c>
      <c r="AH120" s="160">
        <f t="shared" si="4"/>
        <v>3.2462525234297877</v>
      </c>
      <c r="AI120" s="160">
        <f t="shared" si="5"/>
        <v>50.474300313636867</v>
      </c>
      <c r="AJ120" s="161">
        <f t="shared" si="6"/>
        <v>15.548482426841174</v>
      </c>
      <c r="AK120" s="162">
        <f t="shared" si="50"/>
        <v>2.0009392981533773</v>
      </c>
      <c r="AL120" s="162">
        <f t="shared" si="7"/>
        <v>-25.846511598405169</v>
      </c>
      <c r="AM120" s="163">
        <v>0.36599999999999999</v>
      </c>
      <c r="AN120" s="164">
        <f t="shared" si="36"/>
        <v>2.0009392981533773</v>
      </c>
      <c r="AO120" s="165">
        <f t="shared" si="37"/>
        <v>0.36698381345559822</v>
      </c>
      <c r="AP120" s="166">
        <f t="shared" si="38"/>
        <v>9.8381345559822586E-4</v>
      </c>
      <c r="AQ120" s="166">
        <f t="shared" si="39"/>
        <v>32.462525234297878</v>
      </c>
      <c r="AR120" s="166">
        <f t="shared" si="40"/>
        <v>0.31937069128199203</v>
      </c>
      <c r="AS120" s="166">
        <f t="shared" si="41"/>
        <v>9.8381345559822577</v>
      </c>
      <c r="AT120" s="163">
        <v>1.08</v>
      </c>
      <c r="AU120" s="164">
        <f t="shared" si="42"/>
        <v>-25.846511598405169</v>
      </c>
      <c r="AV120" s="164">
        <f t="shared" si="43"/>
        <v>1.0828033006413942</v>
      </c>
      <c r="AW120" s="168">
        <f t="shared" si="44"/>
        <v>2.8033006413941131E-3</v>
      </c>
      <c r="AX120" s="168">
        <f t="shared" si="45"/>
        <v>504.74300313636866</v>
      </c>
      <c r="AY120" s="168">
        <f t="shared" si="46"/>
        <v>14.149463844313729</v>
      </c>
      <c r="AZ120" s="168">
        <f t="shared" si="47"/>
        <v>28.033006413941131</v>
      </c>
    </row>
    <row r="121" spans="1:52" ht="18" x14ac:dyDescent="0.25">
      <c r="A121">
        <v>3</v>
      </c>
      <c r="B121" t="s">
        <v>36</v>
      </c>
      <c r="C121" t="s">
        <v>28</v>
      </c>
      <c r="D121" t="s">
        <v>428</v>
      </c>
      <c r="E121">
        <v>2</v>
      </c>
      <c r="F121" s="9" t="s">
        <v>45</v>
      </c>
      <c r="G121">
        <v>112</v>
      </c>
      <c r="H121">
        <v>4.3899999999999997</v>
      </c>
      <c r="Q121" s="154">
        <v>566</v>
      </c>
      <c r="R121" s="154" t="s">
        <v>241</v>
      </c>
      <c r="S121" s="154">
        <v>4.4690510000000003</v>
      </c>
      <c r="T121" s="154">
        <v>60.330858310085297</v>
      </c>
      <c r="U121" s="154">
        <v>5.8549534999999997</v>
      </c>
      <c r="V121" s="154">
        <v>-26.35946631552531</v>
      </c>
      <c r="W121" s="156">
        <v>4.3899999999999997</v>
      </c>
      <c r="X121" s="170">
        <v>6.0891198571428573</v>
      </c>
      <c r="Y121" s="170">
        <v>1.937853204676379</v>
      </c>
      <c r="Z121" s="170">
        <v>4.0229087857142849</v>
      </c>
      <c r="AA121" s="170">
        <v>-25.881361430956051</v>
      </c>
      <c r="AB121" s="170">
        <v>2.7697142857142856</v>
      </c>
      <c r="AC121" s="170">
        <v>2.7697142857142856</v>
      </c>
      <c r="AD121" s="158">
        <f t="shared" si="0"/>
        <v>1.2827131784164255E-2</v>
      </c>
      <c r="AE121" s="158">
        <f t="shared" si="1"/>
        <v>0.3167721692777275</v>
      </c>
      <c r="AF121" s="159">
        <f t="shared" si="2"/>
        <v>5.7325106127151047E-2</v>
      </c>
      <c r="AG121" s="159">
        <f t="shared" si="3"/>
        <v>1.8546863212152229</v>
      </c>
      <c r="AH121" s="160">
        <f t="shared" si="4"/>
        <v>1.3058110735114135</v>
      </c>
      <c r="AI121" s="160">
        <f t="shared" si="5"/>
        <v>42.247979982123532</v>
      </c>
      <c r="AJ121" s="161">
        <f t="shared" si="6"/>
        <v>32.35382272300378</v>
      </c>
      <c r="AK121" s="162">
        <f t="shared" si="50"/>
        <v>60.373005105408922</v>
      </c>
      <c r="AL121" s="162">
        <f t="shared" si="7"/>
        <v>-26.50810488456926</v>
      </c>
      <c r="AM121" s="163">
        <v>0.36599999999999999</v>
      </c>
      <c r="AN121" s="164">
        <f t="shared" si="36"/>
        <v>60.373005105408922</v>
      </c>
      <c r="AO121" s="165">
        <f t="shared" si="37"/>
        <v>0.38827962940785848</v>
      </c>
      <c r="AP121" s="166">
        <f t="shared" si="38"/>
        <v>2.2279629407858492E-2</v>
      </c>
      <c r="AQ121" s="166">
        <f t="shared" si="39"/>
        <v>13.058110735114134</v>
      </c>
      <c r="AR121" s="166">
        <f t="shared" si="40"/>
        <v>2.9092986794512155</v>
      </c>
      <c r="AS121" s="166">
        <f t="shared" si="41"/>
        <v>222.79629407858494</v>
      </c>
      <c r="AT121" s="163">
        <v>1.08</v>
      </c>
      <c r="AU121" s="164">
        <f t="shared" si="42"/>
        <v>-26.50810488456926</v>
      </c>
      <c r="AV121" s="164">
        <f t="shared" si="43"/>
        <v>1.0820758755722841</v>
      </c>
      <c r="AW121" s="168">
        <f t="shared" si="44"/>
        <v>2.0758755722840583E-3</v>
      </c>
      <c r="AX121" s="168">
        <f t="shared" si="45"/>
        <v>422.4797998212353</v>
      </c>
      <c r="AY121" s="168">
        <f t="shared" si="46"/>
        <v>8.7701549623236126</v>
      </c>
      <c r="AZ121" s="168">
        <f t="shared" si="47"/>
        <v>20.758755722840583</v>
      </c>
    </row>
    <row r="122" spans="1:52" ht="18" x14ac:dyDescent="0.25">
      <c r="A122">
        <v>3</v>
      </c>
      <c r="B122" t="s">
        <v>36</v>
      </c>
      <c r="C122" t="s">
        <v>30</v>
      </c>
      <c r="D122" t="s">
        <v>427</v>
      </c>
      <c r="E122">
        <v>2</v>
      </c>
      <c r="F122" s="9" t="s">
        <v>46</v>
      </c>
      <c r="G122">
        <v>113</v>
      </c>
      <c r="H122">
        <v>4.1669999999999998</v>
      </c>
      <c r="Q122" s="169">
        <v>567</v>
      </c>
      <c r="R122" s="169" t="s">
        <v>242</v>
      </c>
      <c r="S122" s="169">
        <v>3.6571497499999999</v>
      </c>
      <c r="T122" s="169">
        <v>1.4793435878073635</v>
      </c>
      <c r="U122" s="169">
        <v>5.5831039999999996</v>
      </c>
      <c r="V122" s="169">
        <v>-27.033184300929165</v>
      </c>
      <c r="W122" s="156">
        <v>4.1669999999999998</v>
      </c>
      <c r="X122" s="170">
        <v>6.0891198571428573</v>
      </c>
      <c r="Y122" s="170">
        <v>1.937853204676379</v>
      </c>
      <c r="Z122" s="170">
        <v>4.0229087857142849</v>
      </c>
      <c r="AA122" s="170">
        <v>-25.881361430956051</v>
      </c>
      <c r="AB122" s="170">
        <v>2.7697142857142856</v>
      </c>
      <c r="AC122" s="170">
        <v>2.7697142857142856</v>
      </c>
      <c r="AD122" s="158">
        <f t="shared" si="0"/>
        <v>1.2827131784164255E-2</v>
      </c>
      <c r="AE122" s="158">
        <f t="shared" si="1"/>
        <v>0.3167721692777275</v>
      </c>
      <c r="AF122" s="159">
        <f t="shared" si="2"/>
        <v>4.6910741797673357E-2</v>
      </c>
      <c r="AG122" s="159">
        <f t="shared" si="3"/>
        <v>1.7685719653831573</v>
      </c>
      <c r="AH122" s="160">
        <f t="shared" si="4"/>
        <v>1.1257677417248226</v>
      </c>
      <c r="AI122" s="160">
        <f t="shared" si="5"/>
        <v>42.442331782653163</v>
      </c>
      <c r="AJ122" s="161">
        <f t="shared" si="6"/>
        <v>37.70078872363672</v>
      </c>
      <c r="AK122" s="162">
        <f t="shared" si="50"/>
        <v>1.5214903831309845</v>
      </c>
      <c r="AL122" s="162">
        <f t="shared" si="7"/>
        <v>-27.181822869973114</v>
      </c>
      <c r="AM122" s="163">
        <v>0.36599999999999999</v>
      </c>
      <c r="AN122" s="164">
        <f t="shared" si="36"/>
        <v>1.5214903831309845</v>
      </c>
      <c r="AO122" s="165">
        <f t="shared" si="37"/>
        <v>0.3668088589379308</v>
      </c>
      <c r="AP122" s="166">
        <f t="shared" si="38"/>
        <v>8.0885893793081198E-4</v>
      </c>
      <c r="AQ122" s="166">
        <f t="shared" si="39"/>
        <v>11.257677417248226</v>
      </c>
      <c r="AR122" s="166">
        <f t="shared" si="40"/>
        <v>9.1058729992830878E-2</v>
      </c>
      <c r="AS122" s="166">
        <f t="shared" si="41"/>
        <v>8.0885893793081198</v>
      </c>
      <c r="AT122" s="163">
        <v>1.08</v>
      </c>
      <c r="AU122" s="164">
        <f t="shared" si="42"/>
        <v>-27.181822869973114</v>
      </c>
      <c r="AV122" s="164">
        <f t="shared" si="43"/>
        <v>1.0813351083420031</v>
      </c>
      <c r="AW122" s="168">
        <f t="shared" si="44"/>
        <v>1.3351083420030108E-3</v>
      </c>
      <c r="AX122" s="168">
        <f t="shared" si="45"/>
        <v>424.42331782653162</v>
      </c>
      <c r="AY122" s="168">
        <f t="shared" si="46"/>
        <v>5.6665111217079751</v>
      </c>
      <c r="AZ122" s="168">
        <f t="shared" si="47"/>
        <v>13.351083420030108</v>
      </c>
    </row>
    <row r="123" spans="1:52" ht="18" x14ac:dyDescent="0.25">
      <c r="A123">
        <v>3</v>
      </c>
      <c r="B123" t="s">
        <v>36</v>
      </c>
      <c r="C123" t="s">
        <v>30</v>
      </c>
      <c r="D123" t="s">
        <v>428</v>
      </c>
      <c r="E123">
        <v>2</v>
      </c>
      <c r="F123" s="9" t="s">
        <v>47</v>
      </c>
      <c r="G123">
        <v>114</v>
      </c>
      <c r="H123">
        <v>4.1859999999999999</v>
      </c>
      <c r="Q123" s="154">
        <v>568</v>
      </c>
      <c r="R123" s="154" t="s">
        <v>243</v>
      </c>
      <c r="S123" s="154">
        <v>2.9915702500000001</v>
      </c>
      <c r="T123" s="154">
        <v>3.0804186373651259</v>
      </c>
      <c r="U123" s="154">
        <v>5.7496945000000004</v>
      </c>
      <c r="V123" s="154">
        <v>-26.3373934746933</v>
      </c>
      <c r="W123" s="156">
        <v>4.1859999999999999</v>
      </c>
      <c r="X123" s="170">
        <v>6.0891198571428573</v>
      </c>
      <c r="Y123" s="170">
        <v>1.937853204676379</v>
      </c>
      <c r="Z123" s="170">
        <v>4.0229087857142849</v>
      </c>
      <c r="AA123" s="170">
        <v>-25.881361430956051</v>
      </c>
      <c r="AB123" s="170">
        <v>2.7697142857142856</v>
      </c>
      <c r="AC123" s="170">
        <v>2.7697142857142856</v>
      </c>
      <c r="AD123" s="158">
        <f t="shared" si="0"/>
        <v>1.2827131784164255E-2</v>
      </c>
      <c r="AE123" s="158">
        <f t="shared" si="1"/>
        <v>0.3167721692777275</v>
      </c>
      <c r="AF123" s="159">
        <f t="shared" si="2"/>
        <v>3.8373265838335203E-2</v>
      </c>
      <c r="AG123" s="159">
        <f t="shared" si="3"/>
        <v>1.8213431994492189</v>
      </c>
      <c r="AH123" s="160">
        <f t="shared" si="4"/>
        <v>0.91670486952544683</v>
      </c>
      <c r="AI123" s="160">
        <f t="shared" si="5"/>
        <v>43.510348768495433</v>
      </c>
      <c r="AJ123" s="161">
        <f t="shared" si="6"/>
        <v>47.463856923787866</v>
      </c>
      <c r="AK123" s="162">
        <f t="shared" si="50"/>
        <v>3.1225654326887469</v>
      </c>
      <c r="AL123" s="162">
        <f t="shared" si="7"/>
        <v>-26.48603204373725</v>
      </c>
      <c r="AM123" s="163">
        <v>0.36599999999999999</v>
      </c>
      <c r="AN123" s="164">
        <f t="shared" si="36"/>
        <v>3.1225654326887469</v>
      </c>
      <c r="AO123" s="165">
        <f t="shared" si="37"/>
        <v>0.3673931008739707</v>
      </c>
      <c r="AP123" s="166">
        <f t="shared" si="38"/>
        <v>1.3931008739707096E-3</v>
      </c>
      <c r="AQ123" s="166">
        <f t="shared" si="39"/>
        <v>9.1670486952544685</v>
      </c>
      <c r="AR123" s="166">
        <f t="shared" si="40"/>
        <v>0.12770623549091054</v>
      </c>
      <c r="AS123" s="166">
        <f t="shared" si="41"/>
        <v>13.931008739707094</v>
      </c>
      <c r="AT123" s="163">
        <v>1.08</v>
      </c>
      <c r="AU123" s="164">
        <f t="shared" si="42"/>
        <v>-26.48603204373725</v>
      </c>
      <c r="AV123" s="164">
        <f t="shared" si="43"/>
        <v>1.08210014494176</v>
      </c>
      <c r="AW123" s="168">
        <f t="shared" si="44"/>
        <v>2.1001449417599183E-3</v>
      </c>
      <c r="AX123" s="168">
        <f t="shared" si="45"/>
        <v>435.1034876849543</v>
      </c>
      <c r="AY123" s="168">
        <f t="shared" si="46"/>
        <v>9.1378038880365562</v>
      </c>
      <c r="AZ123" s="168">
        <f t="shared" si="47"/>
        <v>21.001449417599183</v>
      </c>
    </row>
    <row r="124" spans="1:52" ht="18" x14ac:dyDescent="0.25">
      <c r="A124">
        <v>3</v>
      </c>
      <c r="B124" t="s">
        <v>40</v>
      </c>
      <c r="C124" t="s">
        <v>26</v>
      </c>
      <c r="D124" t="s">
        <v>427</v>
      </c>
      <c r="E124">
        <v>2</v>
      </c>
      <c r="F124" s="9" t="s">
        <v>49</v>
      </c>
      <c r="G124">
        <v>115</v>
      </c>
      <c r="H124">
        <v>4.2430000000000003</v>
      </c>
      <c r="Q124" s="169">
        <v>569</v>
      </c>
      <c r="R124" s="169" t="s">
        <v>244</v>
      </c>
      <c r="S124" s="169">
        <v>4.8709104999999999</v>
      </c>
      <c r="T124" s="169">
        <v>476.94826359309394</v>
      </c>
      <c r="U124" s="169">
        <v>6.2270370000000002</v>
      </c>
      <c r="V124" s="169">
        <v>-25.942366942555079</v>
      </c>
      <c r="W124" s="156">
        <v>4.2430000000000003</v>
      </c>
      <c r="X124" s="173">
        <v>5.451099000000001</v>
      </c>
      <c r="Y124" s="173">
        <v>7.7909153345735138</v>
      </c>
      <c r="Z124" s="173">
        <v>3.7938777499999992</v>
      </c>
      <c r="AA124" s="173">
        <v>-24.822546179307107</v>
      </c>
      <c r="AB124" s="173">
        <v>2.1543999999999999</v>
      </c>
      <c r="AC124" s="173">
        <v>2.1543999999999999</v>
      </c>
      <c r="AD124" s="158">
        <f t="shared" si="0"/>
        <v>1.1145290151582275E-2</v>
      </c>
      <c r="AE124" s="158">
        <f t="shared" si="1"/>
        <v>0.26127342664111941</v>
      </c>
      <c r="AF124" s="159">
        <f t="shared" si="2"/>
        <v>5.4287710824888695E-2</v>
      </c>
      <c r="AG124" s="159">
        <f t="shared" si="3"/>
        <v>1.6269592948110363</v>
      </c>
      <c r="AH124" s="160">
        <f t="shared" si="4"/>
        <v>1.279465256301878</v>
      </c>
      <c r="AI124" s="160">
        <f t="shared" si="5"/>
        <v>38.344550902923316</v>
      </c>
      <c r="AJ124" s="161">
        <f t="shared" si="6"/>
        <v>29.969200581306183</v>
      </c>
      <c r="AK124" s="162">
        <f t="shared" si="50"/>
        <v>471.13734825852043</v>
      </c>
      <c r="AL124" s="162">
        <f t="shared" si="7"/>
        <v>-27.149820763247973</v>
      </c>
      <c r="AM124" s="163">
        <v>0.36599999999999999</v>
      </c>
      <c r="AN124" s="164">
        <f t="shared" si="36"/>
        <v>471.13734825852043</v>
      </c>
      <c r="AO124" s="165">
        <f t="shared" si="37"/>
        <v>0.53788128056277984</v>
      </c>
      <c r="AP124" s="166">
        <f t="shared" si="38"/>
        <v>0.17188128056277985</v>
      </c>
      <c r="AQ124" s="166">
        <f t="shared" si="39"/>
        <v>12.794652563018781</v>
      </c>
      <c r="AR124" s="166">
        <f t="shared" si="40"/>
        <v>21.991612668875213</v>
      </c>
      <c r="AS124" s="166">
        <f t="shared" si="41"/>
        <v>1718.8128056277985</v>
      </c>
      <c r="AT124" s="163">
        <v>1.08</v>
      </c>
      <c r="AU124" s="164">
        <f t="shared" si="42"/>
        <v>-27.149820763247973</v>
      </c>
      <c r="AV124" s="164">
        <f t="shared" si="43"/>
        <v>1.0813702955888496</v>
      </c>
      <c r="AW124" s="168">
        <f t="shared" si="44"/>
        <v>1.3702955888494905E-3</v>
      </c>
      <c r="AX124" s="168">
        <f t="shared" si="45"/>
        <v>383.44550902923316</v>
      </c>
      <c r="AY124" s="168">
        <f t="shared" si="46"/>
        <v>5.2543368958690566</v>
      </c>
      <c r="AZ124" s="168">
        <f t="shared" si="47"/>
        <v>13.702955888494905</v>
      </c>
    </row>
    <row r="125" spans="1:52" ht="18" x14ac:dyDescent="0.25">
      <c r="A125">
        <v>3</v>
      </c>
      <c r="B125" t="s">
        <v>40</v>
      </c>
      <c r="C125" t="s">
        <v>26</v>
      </c>
      <c r="D125" t="s">
        <v>428</v>
      </c>
      <c r="E125">
        <v>2</v>
      </c>
      <c r="F125" s="9" t="s">
        <v>50</v>
      </c>
      <c r="G125">
        <v>116</v>
      </c>
      <c r="H125">
        <v>4.593</v>
      </c>
      <c r="Q125" s="154">
        <v>570</v>
      </c>
      <c r="R125" s="154" t="s">
        <v>245</v>
      </c>
      <c r="S125" s="154">
        <v>7.072031</v>
      </c>
      <c r="T125" s="154">
        <v>164.38980013534447</v>
      </c>
      <c r="U125" s="154">
        <v>6.6450269999999998</v>
      </c>
      <c r="V125" s="154">
        <v>-26.865924341211432</v>
      </c>
      <c r="W125" s="156">
        <v>4.593</v>
      </c>
      <c r="X125" s="173">
        <v>5.451099000000001</v>
      </c>
      <c r="Y125" s="173">
        <v>7.7909153345735138</v>
      </c>
      <c r="Z125" s="173">
        <v>3.7938777499999992</v>
      </c>
      <c r="AA125" s="173">
        <v>-24.822546179307107</v>
      </c>
      <c r="AB125" s="173">
        <v>2.1543999999999999</v>
      </c>
      <c r="AC125" s="173">
        <v>2.1543999999999999</v>
      </c>
      <c r="AD125" s="158">
        <f t="shared" si="0"/>
        <v>1.1145290151582275E-2</v>
      </c>
      <c r="AE125" s="158">
        <f t="shared" si="1"/>
        <v>0.26127342664111941</v>
      </c>
      <c r="AF125" s="159">
        <f t="shared" si="2"/>
        <v>7.8819837455984545E-2</v>
      </c>
      <c r="AG125" s="159">
        <f t="shared" si="3"/>
        <v>1.7361689744127577</v>
      </c>
      <c r="AH125" s="160">
        <f t="shared" si="4"/>
        <v>1.7160861627690953</v>
      </c>
      <c r="AI125" s="160">
        <f t="shared" si="5"/>
        <v>37.800326026839926</v>
      </c>
      <c r="AJ125" s="161">
        <f t="shared" si="6"/>
        <v>22.02705601089686</v>
      </c>
      <c r="AK125" s="162">
        <f t="shared" si="50"/>
        <v>158.57888480077096</v>
      </c>
      <c r="AL125" s="162">
        <f t="shared" si="7"/>
        <v>-28.073378161904326</v>
      </c>
      <c r="AM125" s="163">
        <v>0.36599999999999999</v>
      </c>
      <c r="AN125" s="164">
        <f t="shared" si="36"/>
        <v>158.57888480077096</v>
      </c>
      <c r="AO125" s="165">
        <f t="shared" si="37"/>
        <v>0.42408743680924677</v>
      </c>
      <c r="AP125" s="166">
        <f t="shared" si="38"/>
        <v>5.8087436809246773E-2</v>
      </c>
      <c r="AQ125" s="166">
        <f t="shared" si="39"/>
        <v>17.160861627690956</v>
      </c>
      <c r="AR125" s="166">
        <f t="shared" si="40"/>
        <v>9.9683046539072606</v>
      </c>
      <c r="AS125" s="166">
        <f t="shared" si="41"/>
        <v>580.87436809246776</v>
      </c>
      <c r="AT125" s="163">
        <v>1.08</v>
      </c>
      <c r="AU125" s="164">
        <f t="shared" si="42"/>
        <v>-28.073378161904326</v>
      </c>
      <c r="AV125" s="164">
        <f t="shared" si="43"/>
        <v>1.0803548073118525</v>
      </c>
      <c r="AW125" s="168">
        <f t="shared" si="44"/>
        <v>3.548073118524453E-4</v>
      </c>
      <c r="AX125" s="168">
        <f t="shared" si="45"/>
        <v>378.00326026839923</v>
      </c>
      <c r="AY125" s="168">
        <f t="shared" si="46"/>
        <v>1.3411832064729097</v>
      </c>
      <c r="AZ125" s="168">
        <f t="shared" si="47"/>
        <v>3.548073118524453</v>
      </c>
    </row>
    <row r="126" spans="1:52" ht="18" x14ac:dyDescent="0.25">
      <c r="A126">
        <v>3</v>
      </c>
      <c r="B126" t="s">
        <v>40</v>
      </c>
      <c r="C126" t="s">
        <v>28</v>
      </c>
      <c r="D126" t="s">
        <v>427</v>
      </c>
      <c r="E126">
        <v>2</v>
      </c>
      <c r="F126" s="9" t="s">
        <v>51</v>
      </c>
      <c r="G126">
        <v>117</v>
      </c>
      <c r="H126">
        <v>4.4180000000000001</v>
      </c>
      <c r="Q126" s="169">
        <v>571</v>
      </c>
      <c r="R126" s="169" t="s">
        <v>246</v>
      </c>
      <c r="S126" s="169">
        <v>4.7546745000000001</v>
      </c>
      <c r="T126" s="169">
        <v>397.36164043087263</v>
      </c>
      <c r="U126" s="169">
        <v>5.3059229999999999</v>
      </c>
      <c r="V126" s="169">
        <v>-24.341776654292719</v>
      </c>
      <c r="W126" s="156">
        <v>4.4180000000000001</v>
      </c>
      <c r="X126" s="173">
        <v>5.451099000000001</v>
      </c>
      <c r="Y126" s="173">
        <v>7.7909153345735138</v>
      </c>
      <c r="Z126" s="173">
        <v>3.7938777499999992</v>
      </c>
      <c r="AA126" s="173">
        <v>-24.822546179307107</v>
      </c>
      <c r="AB126" s="173">
        <v>2.1543999999999999</v>
      </c>
      <c r="AC126" s="173">
        <v>2.1543999999999999</v>
      </c>
      <c r="AD126" s="158">
        <f t="shared" si="0"/>
        <v>1.1145290151582275E-2</v>
      </c>
      <c r="AE126" s="158">
        <f t="shared" si="1"/>
        <v>0.26127342664111941</v>
      </c>
      <c r="AF126" s="159">
        <f t="shared" si="2"/>
        <v>5.2992226878829381E-2</v>
      </c>
      <c r="AG126" s="159">
        <f t="shared" si="3"/>
        <v>1.3862966837039281</v>
      </c>
      <c r="AH126" s="160">
        <f t="shared" si="4"/>
        <v>1.1994619030970888</v>
      </c>
      <c r="AI126" s="160">
        <f t="shared" si="5"/>
        <v>31.378376724851247</v>
      </c>
      <c r="AJ126" s="161">
        <f t="shared" si="6"/>
        <v>26.160377952672139</v>
      </c>
      <c r="AK126" s="162">
        <f t="shared" si="50"/>
        <v>391.55072509629912</v>
      </c>
      <c r="AL126" s="162">
        <f t="shared" si="7"/>
        <v>-25.549230474985613</v>
      </c>
      <c r="AM126" s="163">
        <v>0.36599999999999999</v>
      </c>
      <c r="AN126" s="164">
        <f t="shared" si="36"/>
        <v>391.55072509629912</v>
      </c>
      <c r="AO126" s="165">
        <f t="shared" si="37"/>
        <v>0.50893069277851799</v>
      </c>
      <c r="AP126" s="166">
        <f t="shared" si="38"/>
        <v>0.142930692778518</v>
      </c>
      <c r="AQ126" s="166">
        <f t="shared" si="39"/>
        <v>11.994619030970886</v>
      </c>
      <c r="AR126" s="166">
        <f t="shared" si="40"/>
        <v>17.143992077110653</v>
      </c>
      <c r="AS126" s="166">
        <f t="shared" si="41"/>
        <v>1429.3069277851801</v>
      </c>
      <c r="AT126" s="163">
        <v>1.08</v>
      </c>
      <c r="AU126" s="164">
        <f t="shared" si="42"/>
        <v>-25.549230474985613</v>
      </c>
      <c r="AV126" s="164">
        <f t="shared" si="43"/>
        <v>1.08313015921364</v>
      </c>
      <c r="AW126" s="168">
        <f t="shared" si="44"/>
        <v>3.1301592136399048E-3</v>
      </c>
      <c r="AX126" s="168">
        <f t="shared" si="45"/>
        <v>313.7837672485125</v>
      </c>
      <c r="AY126" s="168">
        <f t="shared" si="46"/>
        <v>9.8219315014357083</v>
      </c>
      <c r="AZ126" s="168">
        <f t="shared" si="47"/>
        <v>31.301592136399048</v>
      </c>
    </row>
    <row r="127" spans="1:52" ht="18" x14ac:dyDescent="0.25">
      <c r="A127">
        <v>3</v>
      </c>
      <c r="B127" t="s">
        <v>40</v>
      </c>
      <c r="C127" t="s">
        <v>28</v>
      </c>
      <c r="D127" t="s">
        <v>428</v>
      </c>
      <c r="E127">
        <v>2</v>
      </c>
      <c r="F127" s="9" t="s">
        <v>53</v>
      </c>
      <c r="G127">
        <v>118</v>
      </c>
      <c r="H127">
        <v>4.5119999999999996</v>
      </c>
      <c r="Q127" s="154">
        <v>572</v>
      </c>
      <c r="R127" s="154" t="s">
        <v>247</v>
      </c>
      <c r="S127" s="154">
        <v>4.9372815000000001</v>
      </c>
      <c r="T127" s="154">
        <v>128.38830682668873</v>
      </c>
      <c r="U127" s="154">
        <v>6.2941159999999998</v>
      </c>
      <c r="V127" s="154">
        <v>-24.651763337228985</v>
      </c>
      <c r="W127" s="156">
        <v>4.5119999999999996</v>
      </c>
      <c r="X127" s="173">
        <v>5.451099000000001</v>
      </c>
      <c r="Y127" s="173">
        <v>7.7909153345735138</v>
      </c>
      <c r="Z127" s="173">
        <v>3.7938777499999992</v>
      </c>
      <c r="AA127" s="173">
        <v>-24.822546179307107</v>
      </c>
      <c r="AB127" s="173">
        <v>2.1543999999999999</v>
      </c>
      <c r="AC127" s="173">
        <v>2.1543999999999999</v>
      </c>
      <c r="AD127" s="158">
        <f t="shared" si="0"/>
        <v>1.1145290151582275E-2</v>
      </c>
      <c r="AE127" s="158">
        <f t="shared" si="1"/>
        <v>0.26127342664111941</v>
      </c>
      <c r="AF127" s="159">
        <f t="shared" si="2"/>
        <v>5.5027434877539361E-2</v>
      </c>
      <c r="AG127" s="159">
        <f t="shared" si="3"/>
        <v>1.644485254996696</v>
      </c>
      <c r="AH127" s="160">
        <f t="shared" si="4"/>
        <v>1.2195796737043298</v>
      </c>
      <c r="AI127" s="160">
        <f t="shared" si="5"/>
        <v>36.446924977763651</v>
      </c>
      <c r="AJ127" s="161">
        <f t="shared" si="6"/>
        <v>29.88482488155973</v>
      </c>
      <c r="AK127" s="162">
        <f t="shared" si="50"/>
        <v>122.57739149211523</v>
      </c>
      <c r="AL127" s="162">
        <f t="shared" si="7"/>
        <v>-25.859217157921879</v>
      </c>
      <c r="AM127" s="163">
        <v>0.36599999999999999</v>
      </c>
      <c r="AN127" s="164">
        <f t="shared" si="36"/>
        <v>122.57739149211523</v>
      </c>
      <c r="AO127" s="165">
        <f t="shared" si="37"/>
        <v>0.41096356911215026</v>
      </c>
      <c r="AP127" s="166">
        <f t="shared" si="38"/>
        <v>4.496356911215027E-2</v>
      </c>
      <c r="AQ127" s="166">
        <f t="shared" si="39"/>
        <v>12.195796737043297</v>
      </c>
      <c r="AR127" s="166">
        <f t="shared" si="40"/>
        <v>5.4836654946378305</v>
      </c>
      <c r="AS127" s="166">
        <f t="shared" si="41"/>
        <v>449.6356911215027</v>
      </c>
      <c r="AT127" s="163">
        <v>1.08</v>
      </c>
      <c r="AU127" s="164">
        <f t="shared" si="42"/>
        <v>-25.859217157921879</v>
      </c>
      <c r="AV127" s="164">
        <f t="shared" si="43"/>
        <v>1.0827893309170311</v>
      </c>
      <c r="AW127" s="168">
        <f t="shared" si="44"/>
        <v>2.789330917031041E-3</v>
      </c>
      <c r="AX127" s="168">
        <f t="shared" si="45"/>
        <v>364.46924977763649</v>
      </c>
      <c r="AY127" s="168">
        <f t="shared" si="46"/>
        <v>10.166253467118704</v>
      </c>
      <c r="AZ127" s="168">
        <f t="shared" si="47"/>
        <v>27.89330917031041</v>
      </c>
    </row>
    <row r="128" spans="1:52" ht="18" x14ac:dyDescent="0.25">
      <c r="A128">
        <v>3</v>
      </c>
      <c r="B128" t="s">
        <v>40</v>
      </c>
      <c r="C128" t="s">
        <v>30</v>
      </c>
      <c r="D128" t="s">
        <v>427</v>
      </c>
      <c r="E128">
        <v>2</v>
      </c>
      <c r="F128" s="9" t="s">
        <v>54</v>
      </c>
      <c r="G128">
        <v>119</v>
      </c>
      <c r="H128">
        <v>4.452</v>
      </c>
      <c r="Q128" s="169">
        <v>573</v>
      </c>
      <c r="R128" s="169" t="s">
        <v>248</v>
      </c>
      <c r="S128" s="169">
        <v>3.8219729999999998</v>
      </c>
      <c r="T128" s="169">
        <v>7.0540931912139122</v>
      </c>
      <c r="U128" s="169">
        <v>6.2072520000000004</v>
      </c>
      <c r="V128" s="169">
        <v>-26.042107816699755</v>
      </c>
      <c r="W128" s="156">
        <v>4.452</v>
      </c>
      <c r="X128" s="173">
        <v>5.451099000000001</v>
      </c>
      <c r="Y128" s="173">
        <v>7.7909153345735138</v>
      </c>
      <c r="Z128" s="173">
        <v>3.7938777499999992</v>
      </c>
      <c r="AA128" s="173">
        <v>-24.822546179307107</v>
      </c>
      <c r="AB128" s="173">
        <v>2.1543999999999999</v>
      </c>
      <c r="AC128" s="173">
        <v>2.1543999999999999</v>
      </c>
      <c r="AD128" s="158">
        <f t="shared" si="0"/>
        <v>1.1145290151582275E-2</v>
      </c>
      <c r="AE128" s="158">
        <f t="shared" si="1"/>
        <v>0.26127342664111941</v>
      </c>
      <c r="AF128" s="159">
        <f t="shared" si="2"/>
        <v>4.2596998036513359E-2</v>
      </c>
      <c r="AG128" s="159">
        <f t="shared" si="3"/>
        <v>1.6217900000649419</v>
      </c>
      <c r="AH128" s="160">
        <f t="shared" si="4"/>
        <v>0.95680588581566395</v>
      </c>
      <c r="AI128" s="160">
        <f t="shared" si="5"/>
        <v>36.428346811880999</v>
      </c>
      <c r="AJ128" s="161">
        <f t="shared" si="6"/>
        <v>38.072870737857478</v>
      </c>
      <c r="AK128" s="162">
        <f t="shared" si="50"/>
        <v>1.2431778566403988</v>
      </c>
      <c r="AL128" s="162">
        <f t="shared" si="7"/>
        <v>-27.249561637392649</v>
      </c>
      <c r="AM128" s="163">
        <v>0.36599999999999999</v>
      </c>
      <c r="AN128" s="164">
        <f t="shared" si="36"/>
        <v>1.2431778566403988</v>
      </c>
      <c r="AO128" s="165">
        <f t="shared" si="37"/>
        <v>0.3667073003204368</v>
      </c>
      <c r="AP128" s="166">
        <f t="shared" si="38"/>
        <v>7.0730032043681001E-4</v>
      </c>
      <c r="AQ128" s="166">
        <f t="shared" si="39"/>
        <v>9.5680588581566397</v>
      </c>
      <c r="AR128" s="166">
        <f t="shared" si="40"/>
        <v>6.7674910963324494E-2</v>
      </c>
      <c r="AS128" s="166">
        <f t="shared" si="41"/>
        <v>7.0730032043681001</v>
      </c>
      <c r="AT128" s="163">
        <v>1.08</v>
      </c>
      <c r="AU128" s="164">
        <f t="shared" si="42"/>
        <v>-27.249561637392649</v>
      </c>
      <c r="AV128" s="164">
        <f t="shared" si="43"/>
        <v>1.0812606275150598</v>
      </c>
      <c r="AW128" s="168">
        <f t="shared" si="44"/>
        <v>1.2606275150597313E-3</v>
      </c>
      <c r="AX128" s="168">
        <f t="shared" si="45"/>
        <v>364.28346811880999</v>
      </c>
      <c r="AY128" s="168">
        <f t="shared" si="46"/>
        <v>4.5922576319195629</v>
      </c>
      <c r="AZ128" s="168">
        <f t="shared" si="47"/>
        <v>12.606275150597313</v>
      </c>
    </row>
    <row r="129" spans="1:52" ht="18" x14ac:dyDescent="0.25">
      <c r="A129">
        <v>3</v>
      </c>
      <c r="B129" t="s">
        <v>40</v>
      </c>
      <c r="C129" t="s">
        <v>30</v>
      </c>
      <c r="D129" t="s">
        <v>428</v>
      </c>
      <c r="E129">
        <v>2</v>
      </c>
      <c r="F129" s="9" t="s">
        <v>55</v>
      </c>
      <c r="G129">
        <v>120</v>
      </c>
      <c r="H129">
        <v>4.5579999999999998</v>
      </c>
      <c r="Q129" s="154">
        <v>574</v>
      </c>
      <c r="R129" s="154" t="s">
        <v>249</v>
      </c>
      <c r="S129" s="154">
        <v>4.2284480000000002</v>
      </c>
      <c r="T129" s="154">
        <v>13.245100396648718</v>
      </c>
      <c r="U129" s="154">
        <v>6.3426995000000002</v>
      </c>
      <c r="V129" s="154">
        <v>-24.731187493148955</v>
      </c>
      <c r="W129" s="156">
        <v>4.5579999999999998</v>
      </c>
      <c r="X129" s="173">
        <v>5.451099000000001</v>
      </c>
      <c r="Y129" s="173">
        <v>7.7909153345735138</v>
      </c>
      <c r="Z129" s="173">
        <v>3.7938777499999992</v>
      </c>
      <c r="AA129" s="173">
        <v>-24.822546179307107</v>
      </c>
      <c r="AB129" s="173">
        <v>2.1543999999999999</v>
      </c>
      <c r="AC129" s="173">
        <v>2.1543999999999999</v>
      </c>
      <c r="AD129" s="158">
        <f t="shared" si="0"/>
        <v>1.1145290151582275E-2</v>
      </c>
      <c r="AE129" s="158">
        <f t="shared" si="1"/>
        <v>0.26127342664111941</v>
      </c>
      <c r="AF129" s="159">
        <f t="shared" si="2"/>
        <v>4.7127279850877772E-2</v>
      </c>
      <c r="AG129" s="159">
        <f t="shared" si="3"/>
        <v>1.6571788325199148</v>
      </c>
      <c r="AH129" s="160">
        <f t="shared" si="4"/>
        <v>1.0339464644773535</v>
      </c>
      <c r="AI129" s="160">
        <f t="shared" si="5"/>
        <v>36.357587374285103</v>
      </c>
      <c r="AJ129" s="161">
        <f t="shared" si="6"/>
        <v>35.163897380957131</v>
      </c>
      <c r="AK129" s="162">
        <f t="shared" si="50"/>
        <v>7.4341850620752048</v>
      </c>
      <c r="AL129" s="162">
        <f t="shared" si="7"/>
        <v>-25.938641313841849</v>
      </c>
      <c r="AM129" s="163">
        <v>0.36599999999999999</v>
      </c>
      <c r="AN129" s="164">
        <f t="shared" si="36"/>
        <v>7.4341850620752048</v>
      </c>
      <c r="AO129" s="165">
        <f t="shared" si="37"/>
        <v>0.36896640279457021</v>
      </c>
      <c r="AP129" s="166">
        <f t="shared" si="38"/>
        <v>2.966402794570222E-3</v>
      </c>
      <c r="AQ129" s="166">
        <f t="shared" si="39"/>
        <v>10.339464644773534</v>
      </c>
      <c r="AR129" s="166">
        <f t="shared" si="40"/>
        <v>0.30671016816616214</v>
      </c>
      <c r="AS129" s="166">
        <f t="shared" si="41"/>
        <v>29.66402794570222</v>
      </c>
      <c r="AT129" s="163">
        <v>1.08</v>
      </c>
      <c r="AU129" s="164">
        <f t="shared" si="42"/>
        <v>-25.938641313841849</v>
      </c>
      <c r="AV129" s="164">
        <f t="shared" si="43"/>
        <v>1.082702004207748</v>
      </c>
      <c r="AW129" s="168">
        <f t="shared" si="44"/>
        <v>2.7020042077479101E-3</v>
      </c>
      <c r="AX129" s="168">
        <f t="shared" si="45"/>
        <v>363.57587374285106</v>
      </c>
      <c r="AY129" s="168">
        <f t="shared" si="46"/>
        <v>9.8238354068880636</v>
      </c>
      <c r="AZ129" s="168">
        <f t="shared" si="47"/>
        <v>27.020042077479101</v>
      </c>
    </row>
    <row r="130" spans="1:52" ht="18" x14ac:dyDescent="0.25">
      <c r="A130">
        <v>3</v>
      </c>
      <c r="B130" t="s">
        <v>44</v>
      </c>
      <c r="C130" t="s">
        <v>26</v>
      </c>
      <c r="D130" t="s">
        <v>427</v>
      </c>
      <c r="E130">
        <v>2</v>
      </c>
      <c r="F130" s="9" t="s">
        <v>57</v>
      </c>
      <c r="G130">
        <v>121</v>
      </c>
      <c r="H130">
        <v>4.6050000000000004</v>
      </c>
      <c r="Q130" s="169">
        <v>575</v>
      </c>
      <c r="R130" s="169" t="s">
        <v>250</v>
      </c>
      <c r="S130" s="169">
        <v>5.6805849999999998</v>
      </c>
      <c r="T130" s="169">
        <v>249.79245900324239</v>
      </c>
      <c r="U130" s="169">
        <v>7.0698014999999996</v>
      </c>
      <c r="V130" s="169">
        <v>-25.832923194064762</v>
      </c>
      <c r="W130" s="156">
        <v>4.6050000000000004</v>
      </c>
      <c r="X130" s="173">
        <v>5.451099000000001</v>
      </c>
      <c r="Y130" s="173">
        <v>7.7909153345735138</v>
      </c>
      <c r="Z130" s="173">
        <v>3.7938777499999992</v>
      </c>
      <c r="AA130" s="173">
        <v>-24.822546179307107</v>
      </c>
      <c r="AB130" s="173">
        <v>2.1543999999999999</v>
      </c>
      <c r="AC130" s="173">
        <v>2.1543999999999999</v>
      </c>
      <c r="AD130" s="158">
        <f t="shared" si="0"/>
        <v>1.1145290151582275E-2</v>
      </c>
      <c r="AE130" s="158">
        <f t="shared" si="1"/>
        <v>0.26127342664111941</v>
      </c>
      <c r="AF130" s="159">
        <f t="shared" si="2"/>
        <v>6.3311768055725998E-2</v>
      </c>
      <c r="AG130" s="159">
        <f t="shared" si="3"/>
        <v>1.8471512635775258</v>
      </c>
      <c r="AH130" s="160">
        <f t="shared" si="4"/>
        <v>1.3748483834033876</v>
      </c>
      <c r="AI130" s="160">
        <f t="shared" si="5"/>
        <v>40.111862401249198</v>
      </c>
      <c r="AJ130" s="161">
        <f t="shared" si="6"/>
        <v>29.175480646057665</v>
      </c>
      <c r="AK130" s="162">
        <f t="shared" si="50"/>
        <v>243.98154366866888</v>
      </c>
      <c r="AL130" s="162">
        <f t="shared" si="7"/>
        <v>-27.040377014757656</v>
      </c>
      <c r="AM130" s="163">
        <v>0.36599999999999999</v>
      </c>
      <c r="AN130" s="164">
        <f t="shared" si="36"/>
        <v>243.98154366866888</v>
      </c>
      <c r="AO130" s="165">
        <f t="shared" si="37"/>
        <v>0.45520601472248146</v>
      </c>
      <c r="AP130" s="166">
        <f t="shared" si="38"/>
        <v>8.9206014722481464E-2</v>
      </c>
      <c r="AQ130" s="166">
        <f t="shared" si="39"/>
        <v>13.748483834033873</v>
      </c>
      <c r="AR130" s="166">
        <f t="shared" si="40"/>
        <v>12.26447451310624</v>
      </c>
      <c r="AS130" s="166">
        <f t="shared" si="41"/>
        <v>892.06014722481461</v>
      </c>
      <c r="AT130" s="163">
        <v>1.08</v>
      </c>
      <c r="AU130" s="164">
        <f t="shared" si="42"/>
        <v>-27.040377014757656</v>
      </c>
      <c r="AV130" s="164">
        <f t="shared" si="43"/>
        <v>1.0814906319833335</v>
      </c>
      <c r="AW130" s="168">
        <f t="shared" si="44"/>
        <v>1.4906319833334347E-3</v>
      </c>
      <c r="AX130" s="168">
        <f t="shared" si="45"/>
        <v>401.11862401249198</v>
      </c>
      <c r="AY130" s="168">
        <f t="shared" si="46"/>
        <v>5.9792025006371929</v>
      </c>
      <c r="AZ130" s="168">
        <f t="shared" si="47"/>
        <v>14.906319833334347</v>
      </c>
    </row>
    <row r="131" spans="1:52" ht="18" x14ac:dyDescent="0.25">
      <c r="A131">
        <v>3</v>
      </c>
      <c r="B131" t="s">
        <v>44</v>
      </c>
      <c r="C131" t="s">
        <v>26</v>
      </c>
      <c r="D131" t="s">
        <v>428</v>
      </c>
      <c r="E131">
        <v>2</v>
      </c>
      <c r="F131" s="9" t="s">
        <v>58</v>
      </c>
      <c r="G131">
        <v>122</v>
      </c>
      <c r="H131">
        <v>4.9000000000000004</v>
      </c>
      <c r="Q131" s="154">
        <v>576</v>
      </c>
      <c r="R131" s="154" t="s">
        <v>251</v>
      </c>
      <c r="S131" s="154">
        <v>4.7216155000000004</v>
      </c>
      <c r="T131" s="154">
        <v>159.48539053539764</v>
      </c>
      <c r="U131" s="154">
        <v>7.4161235000000003</v>
      </c>
      <c r="V131" s="154">
        <v>-26.416040617436984</v>
      </c>
      <c r="W131" s="156">
        <v>4.9000000000000004</v>
      </c>
      <c r="X131" s="173">
        <v>5.451099000000001</v>
      </c>
      <c r="Y131" s="173">
        <v>7.7909153345735138</v>
      </c>
      <c r="Z131" s="173">
        <v>3.7938777499999992</v>
      </c>
      <c r="AA131" s="173">
        <v>-24.822546179307107</v>
      </c>
      <c r="AB131" s="173">
        <v>2.1543999999999999</v>
      </c>
      <c r="AC131" s="173">
        <v>2.1543999999999999</v>
      </c>
      <c r="AD131" s="158">
        <f t="shared" si="0"/>
        <v>1.1145290151582275E-2</v>
      </c>
      <c r="AE131" s="158">
        <f t="shared" si="1"/>
        <v>0.26127342664111941</v>
      </c>
      <c r="AF131" s="159">
        <f t="shared" si="2"/>
        <v>5.262377473170822E-2</v>
      </c>
      <c r="AG131" s="159">
        <f t="shared" si="3"/>
        <v>1.9376359992387318</v>
      </c>
      <c r="AH131" s="160">
        <f t="shared" si="4"/>
        <v>1.0739545863613922</v>
      </c>
      <c r="AI131" s="160">
        <f t="shared" si="5"/>
        <v>39.543591821198603</v>
      </c>
      <c r="AJ131" s="161">
        <f t="shared" si="6"/>
        <v>36.820543739353191</v>
      </c>
      <c r="AK131" s="162">
        <f t="shared" si="50"/>
        <v>153.67447520082413</v>
      </c>
      <c r="AL131" s="162">
        <f t="shared" si="7"/>
        <v>-27.623494438129878</v>
      </c>
      <c r="AM131" s="163">
        <v>0.36599999999999999</v>
      </c>
      <c r="AN131" s="164">
        <f t="shared" si="36"/>
        <v>153.67447520082413</v>
      </c>
      <c r="AO131" s="165">
        <f t="shared" si="37"/>
        <v>0.42229980273768913</v>
      </c>
      <c r="AP131" s="166">
        <f t="shared" si="38"/>
        <v>5.6299802737689142E-2</v>
      </c>
      <c r="AQ131" s="166">
        <f t="shared" si="39"/>
        <v>10.739545863613921</v>
      </c>
      <c r="AR131" s="166">
        <f t="shared" si="40"/>
        <v>6.046343136138292</v>
      </c>
      <c r="AS131" s="166">
        <f t="shared" si="41"/>
        <v>562.9980273768914</v>
      </c>
      <c r="AT131" s="163">
        <v>1.08</v>
      </c>
      <c r="AU131" s="164">
        <f t="shared" si="42"/>
        <v>-27.623494438129878</v>
      </c>
      <c r="AV131" s="164">
        <f t="shared" si="43"/>
        <v>1.0808494750537359</v>
      </c>
      <c r="AW131" s="168">
        <f t="shared" si="44"/>
        <v>8.4947505373578203E-4</v>
      </c>
      <c r="AX131" s="168">
        <f t="shared" si="45"/>
        <v>395.43591821198606</v>
      </c>
      <c r="AY131" s="168">
        <f t="shared" si="46"/>
        <v>3.3591294787218517</v>
      </c>
      <c r="AZ131" s="168">
        <f t="shared" si="47"/>
        <v>8.4947505373578203</v>
      </c>
    </row>
    <row r="132" spans="1:52" ht="18" x14ac:dyDescent="0.25">
      <c r="A132">
        <v>3</v>
      </c>
      <c r="B132" t="s">
        <v>44</v>
      </c>
      <c r="C132" t="s">
        <v>28</v>
      </c>
      <c r="D132" t="s">
        <v>427</v>
      </c>
      <c r="E132">
        <v>2</v>
      </c>
      <c r="F132" s="9" t="s">
        <v>59</v>
      </c>
      <c r="G132">
        <v>123</v>
      </c>
      <c r="H132">
        <v>4.6849999999999996</v>
      </c>
      <c r="Q132" s="169">
        <v>577</v>
      </c>
      <c r="R132" s="169" t="s">
        <v>252</v>
      </c>
      <c r="S132" s="169">
        <v>4.7711854999999996</v>
      </c>
      <c r="T132" s="169">
        <v>498.78143891168776</v>
      </c>
      <c r="U132" s="169">
        <v>5.6342840000000001</v>
      </c>
      <c r="V132" s="169">
        <v>-21.347751485797549</v>
      </c>
      <c r="W132" s="156">
        <v>4.6849999999999996</v>
      </c>
      <c r="X132" s="173">
        <v>5.451099000000001</v>
      </c>
      <c r="Y132" s="173">
        <v>7.7909153345735138</v>
      </c>
      <c r="Z132" s="173">
        <v>3.7938777499999992</v>
      </c>
      <c r="AA132" s="173">
        <v>-24.822546179307107</v>
      </c>
      <c r="AB132" s="173">
        <v>2.1543999999999999</v>
      </c>
      <c r="AC132" s="173">
        <v>2.1543999999999999</v>
      </c>
      <c r="AD132" s="158">
        <f t="shared" si="0"/>
        <v>1.1145290151582275E-2</v>
      </c>
      <c r="AE132" s="158">
        <f t="shared" si="1"/>
        <v>0.26127342664111941</v>
      </c>
      <c r="AF132" s="159">
        <f t="shared" si="2"/>
        <v>5.317624676452215E-2</v>
      </c>
      <c r="AG132" s="159">
        <f t="shared" si="3"/>
        <v>1.4720886873492329</v>
      </c>
      <c r="AH132" s="160">
        <f t="shared" si="4"/>
        <v>1.1350319480154143</v>
      </c>
      <c r="AI132" s="160">
        <f t="shared" si="5"/>
        <v>31.421316699023119</v>
      </c>
      <c r="AJ132" s="161">
        <f t="shared" si="6"/>
        <v>27.683200242920741</v>
      </c>
      <c r="AK132" s="162">
        <f t="shared" si="50"/>
        <v>492.97052357711425</v>
      </c>
      <c r="AL132" s="162">
        <f t="shared" si="7"/>
        <v>-22.555205306490443</v>
      </c>
      <c r="AM132" s="163">
        <v>0.36599999999999999</v>
      </c>
      <c r="AN132" s="164">
        <f t="shared" ref="AN132:AN195" si="51">T132+(1.98-Y132)</f>
        <v>492.97052357711425</v>
      </c>
      <c r="AO132" s="165">
        <f t="shared" ref="AO132:AO195" si="52">100*0.003676*(AN132/1000+1)/(1+0.003676*(AN132/1000+1))</f>
        <v>0.54582041489269628</v>
      </c>
      <c r="AP132" s="166">
        <f t="shared" ref="AP132:AP195" si="53">AO132-AM132</f>
        <v>0.17982041489269629</v>
      </c>
      <c r="AQ132" s="166">
        <f t="shared" ref="AQ132:AQ195" si="54">(AH132%*W132)/W132*1000</f>
        <v>11.350319480154143</v>
      </c>
      <c r="AR132" s="166">
        <f t="shared" ref="AR132:AR195" si="55">(AQ132*AP132%)*1000</f>
        <v>20.41019158085971</v>
      </c>
      <c r="AS132" s="166">
        <f t="shared" ref="AS132:AS195" si="56">(((AF132*AP132%)/AF132)*1000)*1000</f>
        <v>1798.2041489269629</v>
      </c>
      <c r="AT132" s="163">
        <v>1.08</v>
      </c>
      <c r="AU132" s="164">
        <f t="shared" ref="AU132:AU195" si="57">V132+(-26.03-AA132)</f>
        <v>-22.555205306490443</v>
      </c>
      <c r="AV132" s="164">
        <f t="shared" ref="AV132:AV195" si="58">100*0.011237*(AU132/1000+1)/(1+0.011237*(AU132/1000+1))</f>
        <v>1.0864219490858575</v>
      </c>
      <c r="AW132" s="168">
        <f t="shared" ref="AW132:AW195" si="59">AV132-AT132</f>
        <v>6.4219490858574702E-3</v>
      </c>
      <c r="AX132" s="168">
        <f t="shared" ref="AX132:AX195" si="60">(AI132%*W132)/W132*1000</f>
        <v>314.21316699023123</v>
      </c>
      <c r="AY132" s="168">
        <f t="shared" ref="AY132:AY195" si="61">(AX132*AW132%)*1000</f>
        <v>20.178609605172962</v>
      </c>
      <c r="AZ132" s="168">
        <f t="shared" ref="AZ132:AZ195" si="62">(((AG132*AW132%)/AG132)*1000)*1000</f>
        <v>64.219490858574702</v>
      </c>
    </row>
    <row r="133" spans="1:52" ht="18" x14ac:dyDescent="0.25">
      <c r="I133" s="25" t="s">
        <v>469</v>
      </c>
      <c r="Q133" s="154">
        <v>578</v>
      </c>
      <c r="R133" s="154" t="s">
        <v>253</v>
      </c>
      <c r="S133" s="154">
        <v>5.2063100000000002</v>
      </c>
      <c r="T133" s="154">
        <v>10.773955650587357</v>
      </c>
      <c r="U133" s="154">
        <v>3.6682229999999998</v>
      </c>
      <c r="V133" s="154">
        <v>-23.918755484847058</v>
      </c>
      <c r="W133" s="154">
        <v>2.0950000000000002</v>
      </c>
      <c r="X133" s="173">
        <v>5.451099000000001</v>
      </c>
      <c r="Y133" s="173">
        <v>7.7909153345735138</v>
      </c>
      <c r="Z133" s="173">
        <v>3.7938777499999992</v>
      </c>
      <c r="AA133" s="173">
        <v>-24.822546179307107</v>
      </c>
      <c r="AB133" s="173">
        <v>2.1543999999999999</v>
      </c>
      <c r="AC133" s="173">
        <v>2.1543999999999999</v>
      </c>
      <c r="AD133" s="158">
        <f t="shared" si="0"/>
        <v>1.1145290151582275E-2</v>
      </c>
      <c r="AE133" s="158">
        <f t="shared" si="1"/>
        <v>0.26127342664111941</v>
      </c>
      <c r="AF133" s="159">
        <f t="shared" si="2"/>
        <v>5.8025835569084319E-2</v>
      </c>
      <c r="AG133" s="159">
        <f t="shared" si="3"/>
        <v>0.95840919289376691</v>
      </c>
      <c r="AH133" s="160">
        <f t="shared" si="4"/>
        <v>2.7697296214360052</v>
      </c>
      <c r="AI133" s="160">
        <f t="shared" si="5"/>
        <v>45.747455508055694</v>
      </c>
      <c r="AJ133" s="161">
        <f t="shared" si="6"/>
        <v>16.516939109867799</v>
      </c>
      <c r="AK133" s="162">
        <f t="shared" si="50"/>
        <v>4.9630403160138439</v>
      </c>
      <c r="AL133" s="162">
        <f t="shared" si="7"/>
        <v>-25.126209305539952</v>
      </c>
      <c r="AM133" s="163">
        <v>0.36599999999999999</v>
      </c>
      <c r="AN133" s="164">
        <f t="shared" si="51"/>
        <v>4.9630403160138439</v>
      </c>
      <c r="AO133" s="165">
        <f t="shared" si="52"/>
        <v>0.36806469278709514</v>
      </c>
      <c r="AP133" s="166">
        <f t="shared" si="53"/>
        <v>2.0646927870951459E-3</v>
      </c>
      <c r="AQ133" s="166">
        <f t="shared" si="54"/>
        <v>27.697296214360055</v>
      </c>
      <c r="AR133" s="166">
        <f t="shared" si="55"/>
        <v>0.57186407715826881</v>
      </c>
      <c r="AS133" s="166">
        <f t="shared" si="56"/>
        <v>20.646927870951458</v>
      </c>
      <c r="AT133" s="163">
        <v>1.08</v>
      </c>
      <c r="AU133" s="164">
        <f t="shared" si="57"/>
        <v>-25.126209305539952</v>
      </c>
      <c r="AV133" s="164">
        <f t="shared" si="58"/>
        <v>1.0835952643870335</v>
      </c>
      <c r="AW133" s="168">
        <f t="shared" si="59"/>
        <v>3.5952643870333922E-3</v>
      </c>
      <c r="AX133" s="168">
        <f t="shared" si="60"/>
        <v>457.47455508055697</v>
      </c>
      <c r="AY133" s="168">
        <f t="shared" si="61"/>
        <v>16.447419758550726</v>
      </c>
      <c r="AZ133" s="168">
        <f t="shared" si="62"/>
        <v>35.952643870333922</v>
      </c>
    </row>
    <row r="134" spans="1:52" ht="18" x14ac:dyDescent="0.25">
      <c r="A134">
        <v>3</v>
      </c>
      <c r="B134" t="s">
        <v>44</v>
      </c>
      <c r="C134" t="s">
        <v>28</v>
      </c>
      <c r="D134" t="s">
        <v>428</v>
      </c>
      <c r="E134">
        <v>2</v>
      </c>
      <c r="F134" s="9" t="s">
        <v>60</v>
      </c>
      <c r="G134">
        <v>124</v>
      </c>
      <c r="H134">
        <v>5.0640000000000001</v>
      </c>
      <c r="Q134" s="169">
        <v>579</v>
      </c>
      <c r="R134" s="169" t="s">
        <v>254</v>
      </c>
      <c r="S134" s="169">
        <v>4.8343680000000004</v>
      </c>
      <c r="T134" s="169">
        <v>174.57032167262395</v>
      </c>
      <c r="U134" s="169">
        <v>6.9587915000000002</v>
      </c>
      <c r="V134" s="169">
        <v>-24.028623678526159</v>
      </c>
      <c r="W134" s="156">
        <v>5.0640000000000001</v>
      </c>
      <c r="X134" s="173">
        <v>5.451099000000001</v>
      </c>
      <c r="Y134" s="173">
        <v>7.7909153345735138</v>
      </c>
      <c r="Z134" s="173">
        <v>3.7938777499999992</v>
      </c>
      <c r="AA134" s="173">
        <v>-24.822546179307107</v>
      </c>
      <c r="AB134" s="173">
        <v>2.1543999999999999</v>
      </c>
      <c r="AC134" s="173">
        <v>2.1543999999999999</v>
      </c>
      <c r="AD134" s="158">
        <f t="shared" si="0"/>
        <v>1.1145290151582275E-2</v>
      </c>
      <c r="AE134" s="158">
        <f t="shared" si="1"/>
        <v>0.26127342664111941</v>
      </c>
      <c r="AF134" s="159">
        <f t="shared" si="2"/>
        <v>5.3880434059524501E-2</v>
      </c>
      <c r="AG134" s="159">
        <f t="shared" si="3"/>
        <v>1.8181473004860953</v>
      </c>
      <c r="AH134" s="160">
        <f t="shared" si="4"/>
        <v>1.0639896141296308</v>
      </c>
      <c r="AI134" s="160">
        <f t="shared" si="5"/>
        <v>35.903382711020839</v>
      </c>
      <c r="AJ134" s="161">
        <f t="shared" si="6"/>
        <v>33.744110124975869</v>
      </c>
      <c r="AK134" s="162">
        <f t="shared" si="50"/>
        <v>168.75940633805044</v>
      </c>
      <c r="AL134" s="162">
        <f t="shared" si="7"/>
        <v>-25.236077499219054</v>
      </c>
      <c r="AM134" s="163">
        <v>0.36599999999999999</v>
      </c>
      <c r="AN134" s="164">
        <f t="shared" si="51"/>
        <v>168.75940633805044</v>
      </c>
      <c r="AO134" s="165">
        <f t="shared" si="52"/>
        <v>0.42779798380482725</v>
      </c>
      <c r="AP134" s="166">
        <f t="shared" si="53"/>
        <v>6.1797983804827261E-2</v>
      </c>
      <c r="AQ134" s="166">
        <f t="shared" si="54"/>
        <v>10.639896141296308</v>
      </c>
      <c r="AR134" s="166">
        <f t="shared" si="55"/>
        <v>6.5752412942487339</v>
      </c>
      <c r="AS134" s="166">
        <f t="shared" si="56"/>
        <v>617.97983804827265</v>
      </c>
      <c r="AT134" s="163">
        <v>1.08</v>
      </c>
      <c r="AU134" s="164">
        <f t="shared" si="57"/>
        <v>-25.236077499219054</v>
      </c>
      <c r="AV134" s="164">
        <f t="shared" si="58"/>
        <v>1.0834744664433513</v>
      </c>
      <c r="AW134" s="168">
        <f t="shared" si="59"/>
        <v>3.474466443351254E-3</v>
      </c>
      <c r="AX134" s="168">
        <f t="shared" si="60"/>
        <v>359.03382711020839</v>
      </c>
      <c r="AY134" s="168">
        <f t="shared" si="61"/>
        <v>12.474509843223949</v>
      </c>
      <c r="AZ134" s="168">
        <f t="shared" si="62"/>
        <v>34.74466443351254</v>
      </c>
    </row>
    <row r="135" spans="1:52" ht="18" x14ac:dyDescent="0.25">
      <c r="A135">
        <v>3</v>
      </c>
      <c r="B135" t="s">
        <v>44</v>
      </c>
      <c r="C135" t="s">
        <v>30</v>
      </c>
      <c r="D135" t="s">
        <v>427</v>
      </c>
      <c r="E135">
        <v>2</v>
      </c>
      <c r="F135" s="9" t="s">
        <v>61</v>
      </c>
      <c r="G135">
        <v>125</v>
      </c>
      <c r="H135">
        <v>4.3330000000000002</v>
      </c>
      <c r="Q135" s="154">
        <v>580</v>
      </c>
      <c r="R135" s="154" t="s">
        <v>255</v>
      </c>
      <c r="S135" s="154">
        <v>5.0889920000000002</v>
      </c>
      <c r="T135" s="154">
        <v>3.333663814798149</v>
      </c>
      <c r="U135" s="154">
        <v>5.4512010000000002</v>
      </c>
      <c r="V135" s="154">
        <v>-27.020079650502087</v>
      </c>
      <c r="W135" s="156">
        <v>4.3330000000000002</v>
      </c>
      <c r="X135" s="173">
        <v>5.451099000000001</v>
      </c>
      <c r="Y135" s="173">
        <v>7.7909153345735138</v>
      </c>
      <c r="Z135" s="173">
        <v>3.7938777499999992</v>
      </c>
      <c r="AA135" s="173">
        <v>-24.822546179307107</v>
      </c>
      <c r="AB135" s="173">
        <v>2.1543999999999999</v>
      </c>
      <c r="AC135" s="173">
        <v>2.1543999999999999</v>
      </c>
      <c r="AD135" s="158">
        <f t="shared" si="0"/>
        <v>1.1145290151582275E-2</v>
      </c>
      <c r="AE135" s="158">
        <f t="shared" si="1"/>
        <v>0.26127342664111941</v>
      </c>
      <c r="AF135" s="159">
        <f t="shared" si="2"/>
        <v>5.6718292419080989E-2</v>
      </c>
      <c r="AG135" s="159">
        <f t="shared" si="3"/>
        <v>1.4242539645794967</v>
      </c>
      <c r="AH135" s="160">
        <f t="shared" si="4"/>
        <v>1.3089843623143547</v>
      </c>
      <c r="AI135" s="160">
        <f t="shared" si="5"/>
        <v>32.869927638575966</v>
      </c>
      <c r="AJ135" s="161">
        <f t="shared" si="6"/>
        <v>25.111016284763075</v>
      </c>
      <c r="AK135" s="162">
        <f t="shared" si="50"/>
        <v>-2.4772515197753644</v>
      </c>
      <c r="AL135" s="162">
        <f t="shared" si="7"/>
        <v>-28.227533471194981</v>
      </c>
      <c r="AM135" s="163">
        <v>0.36599999999999999</v>
      </c>
      <c r="AN135" s="164">
        <f t="shared" si="51"/>
        <v>-2.4772515197753644</v>
      </c>
      <c r="AO135" s="165">
        <f t="shared" si="52"/>
        <v>0.36534966398813629</v>
      </c>
      <c r="AP135" s="166">
        <f t="shared" si="53"/>
        <v>-6.5033601186370582E-4</v>
      </c>
      <c r="AQ135" s="166">
        <f t="shared" si="54"/>
        <v>13.089843623143548</v>
      </c>
      <c r="AR135" s="166">
        <f t="shared" si="55"/>
        <v>-8.5127966977947361E-2</v>
      </c>
      <c r="AS135" s="166">
        <f t="shared" si="56"/>
        <v>-6.5033601186370582</v>
      </c>
      <c r="AT135" s="163">
        <v>1.08</v>
      </c>
      <c r="AU135" s="164">
        <f t="shared" si="57"/>
        <v>-28.227533471194981</v>
      </c>
      <c r="AV135" s="164">
        <f t="shared" si="58"/>
        <v>1.0801853053567534</v>
      </c>
      <c r="AW135" s="168">
        <f t="shared" si="59"/>
        <v>1.8530535675331805E-4</v>
      </c>
      <c r="AX135" s="168">
        <f t="shared" si="60"/>
        <v>328.69927638575967</v>
      </c>
      <c r="AY135" s="168">
        <f t="shared" si="61"/>
        <v>0.60909736675220694</v>
      </c>
      <c r="AZ135" s="168">
        <f t="shared" si="62"/>
        <v>1.8530535675331805</v>
      </c>
    </row>
    <row r="136" spans="1:52" ht="18" x14ac:dyDescent="0.25">
      <c r="A136">
        <v>3</v>
      </c>
      <c r="B136" t="s">
        <v>44</v>
      </c>
      <c r="C136" t="s">
        <v>30</v>
      </c>
      <c r="D136" t="s">
        <v>428</v>
      </c>
      <c r="E136">
        <v>2</v>
      </c>
      <c r="F136" s="9" t="s">
        <v>62</v>
      </c>
      <c r="G136">
        <v>126</v>
      </c>
      <c r="H136">
        <v>4.2290000000000001</v>
      </c>
      <c r="Q136" s="169">
        <v>581</v>
      </c>
      <c r="R136" s="169" t="s">
        <v>256</v>
      </c>
      <c r="S136" s="169">
        <v>3.014977</v>
      </c>
      <c r="T136" s="169">
        <v>19.22988226437095</v>
      </c>
      <c r="U136" s="169">
        <v>5.9737299999999998</v>
      </c>
      <c r="V136" s="169">
        <v>-24.359284934732152</v>
      </c>
      <c r="W136" s="156">
        <v>4.2290000000000001</v>
      </c>
      <c r="X136" s="173">
        <v>5.451099000000001</v>
      </c>
      <c r="Y136" s="173">
        <v>7.7909153345735138</v>
      </c>
      <c r="Z136" s="173">
        <v>3.7938777499999992</v>
      </c>
      <c r="AA136" s="173">
        <v>-24.822546179307107</v>
      </c>
      <c r="AB136" s="173">
        <v>2.1543999999999999</v>
      </c>
      <c r="AC136" s="173">
        <v>2.1543999999999999</v>
      </c>
      <c r="AD136" s="158">
        <f t="shared" si="0"/>
        <v>1.1145290151582275E-2</v>
      </c>
      <c r="AE136" s="158">
        <f t="shared" si="1"/>
        <v>0.26127342664111941</v>
      </c>
      <c r="AF136" s="159">
        <f t="shared" si="2"/>
        <v>3.3602793465347072E-2</v>
      </c>
      <c r="AG136" s="159">
        <f t="shared" si="3"/>
        <v>1.5607769069288542</v>
      </c>
      <c r="AH136" s="160">
        <f t="shared" si="4"/>
        <v>0.79458012450572413</v>
      </c>
      <c r="AI136" s="160">
        <f t="shared" si="5"/>
        <v>36.906524164787285</v>
      </c>
      <c r="AJ136" s="161">
        <f t="shared" si="6"/>
        <v>46.447832039273983</v>
      </c>
      <c r="AK136" s="162">
        <f t="shared" si="50"/>
        <v>13.418966929797437</v>
      </c>
      <c r="AL136" s="162">
        <f t="shared" si="7"/>
        <v>-25.566738755425046</v>
      </c>
      <c r="AM136" s="163">
        <v>0.36599999999999999</v>
      </c>
      <c r="AN136" s="164">
        <f t="shared" si="51"/>
        <v>13.418966929797437</v>
      </c>
      <c r="AO136" s="165">
        <f t="shared" si="52"/>
        <v>0.37115015612912</v>
      </c>
      <c r="AP136" s="166">
        <f t="shared" si="53"/>
        <v>5.1501561291200093E-3</v>
      </c>
      <c r="AQ136" s="166">
        <f t="shared" si="54"/>
        <v>7.9458012450572406</v>
      </c>
      <c r="AR136" s="166">
        <f t="shared" si="55"/>
        <v>0.40922116983000945</v>
      </c>
      <c r="AS136" s="166">
        <f t="shared" si="56"/>
        <v>51.50156129120009</v>
      </c>
      <c r="AT136" s="163">
        <v>1.08</v>
      </c>
      <c r="AU136" s="164">
        <f t="shared" si="57"/>
        <v>-25.566738755425046</v>
      </c>
      <c r="AV136" s="164">
        <f t="shared" si="58"/>
        <v>1.0831109090383015</v>
      </c>
      <c r="AW136" s="168">
        <f t="shared" si="59"/>
        <v>3.1109090383014681E-3</v>
      </c>
      <c r="AX136" s="168">
        <f t="shared" si="60"/>
        <v>369.06524164787288</v>
      </c>
      <c r="AY136" s="168">
        <f t="shared" si="61"/>
        <v>11.481283959652831</v>
      </c>
      <c r="AZ136" s="168">
        <f t="shared" si="62"/>
        <v>31.109090383014681</v>
      </c>
    </row>
    <row r="137" spans="1:52" ht="18" x14ac:dyDescent="0.25">
      <c r="A137">
        <v>3</v>
      </c>
      <c r="B137" t="s">
        <v>48</v>
      </c>
      <c r="C137" t="s">
        <v>26</v>
      </c>
      <c r="D137" t="s">
        <v>427</v>
      </c>
      <c r="E137">
        <v>2</v>
      </c>
      <c r="F137" s="9" t="s">
        <v>63</v>
      </c>
      <c r="G137">
        <v>127</v>
      </c>
      <c r="H137">
        <v>4.4160000000000004</v>
      </c>
      <c r="Q137" s="154">
        <v>582</v>
      </c>
      <c r="R137" s="154" t="s">
        <v>257</v>
      </c>
      <c r="S137" s="154">
        <v>5.1110480000000003</v>
      </c>
      <c r="T137" s="154">
        <v>382.80752473344609</v>
      </c>
      <c r="U137" s="154">
        <v>6.5138365</v>
      </c>
      <c r="V137" s="154">
        <v>-24.463890890653332</v>
      </c>
      <c r="W137" s="156">
        <v>4.4160000000000004</v>
      </c>
      <c r="X137" s="173">
        <v>5.451099000000001</v>
      </c>
      <c r="Y137" s="173">
        <v>7.7909153345735138</v>
      </c>
      <c r="Z137" s="173">
        <v>3.7938777499999992</v>
      </c>
      <c r="AA137" s="173">
        <v>-24.822546179307107</v>
      </c>
      <c r="AB137" s="173">
        <v>2.1543999999999999</v>
      </c>
      <c r="AC137" s="173">
        <v>2.1543999999999999</v>
      </c>
      <c r="AD137" s="158">
        <f t="shared" si="0"/>
        <v>1.1145290151582275E-2</v>
      </c>
      <c r="AE137" s="158">
        <f t="shared" si="1"/>
        <v>0.26127342664111941</v>
      </c>
      <c r="AF137" s="159">
        <f t="shared" si="2"/>
        <v>5.6964112938664282E-2</v>
      </c>
      <c r="AG137" s="159">
        <f t="shared" si="3"/>
        <v>1.7018923829349961</v>
      </c>
      <c r="AH137" s="160">
        <f t="shared" si="4"/>
        <v>1.2899482096617816</v>
      </c>
      <c r="AI137" s="160">
        <f t="shared" si="5"/>
        <v>38.539229686027987</v>
      </c>
      <c r="AJ137" s="161">
        <f t="shared" si="6"/>
        <v>29.876571320745345</v>
      </c>
      <c r="AK137" s="162">
        <f t="shared" si="50"/>
        <v>376.99660939887258</v>
      </c>
      <c r="AL137" s="162">
        <f t="shared" si="7"/>
        <v>-25.671344711346226</v>
      </c>
      <c r="AM137" s="163">
        <v>0.36599999999999999</v>
      </c>
      <c r="AN137" s="164">
        <f t="shared" si="51"/>
        <v>376.99660939887258</v>
      </c>
      <c r="AO137" s="165">
        <f t="shared" si="52"/>
        <v>0.50363463590323587</v>
      </c>
      <c r="AP137" s="166">
        <f t="shared" si="53"/>
        <v>0.13763463590323588</v>
      </c>
      <c r="AQ137" s="166">
        <f t="shared" si="54"/>
        <v>12.899482096617817</v>
      </c>
      <c r="AR137" s="166">
        <f t="shared" si="55"/>
        <v>17.754155217083028</v>
      </c>
      <c r="AS137" s="166">
        <f t="shared" si="56"/>
        <v>1376.3463590323588</v>
      </c>
      <c r="AT137" s="163">
        <v>1.08</v>
      </c>
      <c r="AU137" s="164">
        <f t="shared" si="57"/>
        <v>-25.671344711346226</v>
      </c>
      <c r="AV137" s="164">
        <f t="shared" si="58"/>
        <v>1.0829958957031469</v>
      </c>
      <c r="AW137" s="168">
        <f t="shared" si="59"/>
        <v>2.9958957031468447E-3</v>
      </c>
      <c r="AX137" s="168">
        <f t="shared" si="60"/>
        <v>385.39229686027988</v>
      </c>
      <c r="AY137" s="168">
        <f t="shared" si="61"/>
        <v>11.545951261896057</v>
      </c>
      <c r="AZ137" s="168">
        <f t="shared" si="62"/>
        <v>29.958957031468444</v>
      </c>
    </row>
    <row r="138" spans="1:52" ht="18" x14ac:dyDescent="0.25">
      <c r="A138">
        <v>3</v>
      </c>
      <c r="B138" t="s">
        <v>48</v>
      </c>
      <c r="C138" t="s">
        <v>26</v>
      </c>
      <c r="D138" t="s">
        <v>428</v>
      </c>
      <c r="E138">
        <v>2</v>
      </c>
      <c r="F138" s="9" t="s">
        <v>64</v>
      </c>
      <c r="G138">
        <v>128</v>
      </c>
      <c r="H138">
        <v>4.242</v>
      </c>
      <c r="I138" t="s">
        <v>439</v>
      </c>
      <c r="Q138" s="169">
        <v>583</v>
      </c>
      <c r="R138" s="169" t="s">
        <v>258</v>
      </c>
      <c r="S138" s="169">
        <v>4.2842269999999996</v>
      </c>
      <c r="T138" s="169">
        <v>114.96142411145202</v>
      </c>
      <c r="U138" s="169">
        <v>6.5410835000000001</v>
      </c>
      <c r="V138" s="169">
        <v>-27.341832342001499</v>
      </c>
      <c r="W138" s="156">
        <v>4.242</v>
      </c>
      <c r="X138" s="173">
        <v>5.451099000000001</v>
      </c>
      <c r="Y138" s="173">
        <v>7.7909153345735138</v>
      </c>
      <c r="Z138" s="173">
        <v>3.7938777499999992</v>
      </c>
      <c r="AA138" s="173">
        <v>-24.822546179307107</v>
      </c>
      <c r="AB138" s="173">
        <v>2.1543999999999999</v>
      </c>
      <c r="AC138" s="173">
        <v>2.1543999999999999</v>
      </c>
      <c r="AD138" s="158">
        <f t="shared" si="0"/>
        <v>1.1145290151582275E-2</v>
      </c>
      <c r="AE138" s="158">
        <f t="shared" si="1"/>
        <v>0.26127342664111941</v>
      </c>
      <c r="AF138" s="159">
        <f t="shared" si="2"/>
        <v>4.7748952990242871E-2</v>
      </c>
      <c r="AG138" s="159">
        <f t="shared" si="3"/>
        <v>1.7090112999906866</v>
      </c>
      <c r="AH138" s="160">
        <f t="shared" si="4"/>
        <v>1.1256235971297235</v>
      </c>
      <c r="AI138" s="160">
        <f t="shared" si="5"/>
        <v>40.28786657215197</v>
      </c>
      <c r="AJ138" s="161">
        <f t="shared" si="6"/>
        <v>35.791597364237703</v>
      </c>
      <c r="AK138" s="162">
        <f t="shared" si="50"/>
        <v>109.15050877687851</v>
      </c>
      <c r="AL138" s="162">
        <f t="shared" si="7"/>
        <v>-28.549286162694393</v>
      </c>
      <c r="AM138" s="163">
        <v>0.36599999999999999</v>
      </c>
      <c r="AN138" s="164">
        <f t="shared" si="51"/>
        <v>109.15050877687851</v>
      </c>
      <c r="AO138" s="165">
        <f t="shared" si="52"/>
        <v>0.40606809107120012</v>
      </c>
      <c r="AP138" s="166">
        <f t="shared" si="53"/>
        <v>4.0068091071200129E-2</v>
      </c>
      <c r="AQ138" s="166">
        <f t="shared" si="54"/>
        <v>11.256235971297235</v>
      </c>
      <c r="AR138" s="166">
        <f t="shared" si="55"/>
        <v>4.5101588801685653</v>
      </c>
      <c r="AS138" s="166">
        <f t="shared" si="56"/>
        <v>400.68091071200126</v>
      </c>
      <c r="AT138" s="163">
        <v>1.08</v>
      </c>
      <c r="AU138" s="164">
        <f t="shared" si="57"/>
        <v>-28.549286162694393</v>
      </c>
      <c r="AV138" s="164">
        <f t="shared" si="58"/>
        <v>1.0798315193014776</v>
      </c>
      <c r="AW138" s="168">
        <f t="shared" si="59"/>
        <v>-1.6848069852248848E-4</v>
      </c>
      <c r="AX138" s="168">
        <f t="shared" si="60"/>
        <v>402.87866572151972</v>
      </c>
      <c r="AY138" s="168">
        <f t="shared" si="61"/>
        <v>-0.67877279020569792</v>
      </c>
      <c r="AZ138" s="168">
        <f t="shared" si="62"/>
        <v>-1.6848069852248848</v>
      </c>
    </row>
    <row r="139" spans="1:52" ht="18" x14ac:dyDescent="0.25">
      <c r="A139">
        <v>3</v>
      </c>
      <c r="B139" t="s">
        <v>48</v>
      </c>
      <c r="C139" t="s">
        <v>28</v>
      </c>
      <c r="D139" t="s">
        <v>427</v>
      </c>
      <c r="E139">
        <v>2</v>
      </c>
      <c r="F139" s="9" t="s">
        <v>65</v>
      </c>
      <c r="G139">
        <v>129</v>
      </c>
      <c r="H139">
        <v>4.1660000000000004</v>
      </c>
      <c r="Q139" s="154">
        <v>584</v>
      </c>
      <c r="R139" s="154" t="s">
        <v>259</v>
      </c>
      <c r="S139" s="154">
        <v>4.289453</v>
      </c>
      <c r="T139" s="154">
        <v>394.88174103717398</v>
      </c>
      <c r="U139" s="154">
        <v>5.4939650000000002</v>
      </c>
      <c r="V139" s="154">
        <v>-22.284595082158777</v>
      </c>
      <c r="W139" s="156">
        <v>4.1660000000000004</v>
      </c>
      <c r="X139" s="173">
        <v>5.451099000000001</v>
      </c>
      <c r="Y139" s="173">
        <v>7.7909153345735138</v>
      </c>
      <c r="Z139" s="173">
        <v>3.7938777499999992</v>
      </c>
      <c r="AA139" s="173">
        <v>-24.822546179307107</v>
      </c>
      <c r="AB139" s="173">
        <v>2.1543999999999999</v>
      </c>
      <c r="AC139" s="173">
        <v>2.1543999999999999</v>
      </c>
      <c r="AD139" s="158">
        <f t="shared" si="0"/>
        <v>1.1145290151582275E-2</v>
      </c>
      <c r="AE139" s="158">
        <f t="shared" si="1"/>
        <v>0.26127342664111941</v>
      </c>
      <c r="AF139" s="159">
        <f t="shared" si="2"/>
        <v>4.7807198276575043E-2</v>
      </c>
      <c r="AG139" s="159">
        <f t="shared" si="3"/>
        <v>1.4354270613963778</v>
      </c>
      <c r="AH139" s="160">
        <f t="shared" si="4"/>
        <v>1.1475563676566261</v>
      </c>
      <c r="AI139" s="160">
        <f t="shared" si="5"/>
        <v>34.455762395496343</v>
      </c>
      <c r="AJ139" s="161">
        <f t="shared" si="6"/>
        <v>30.025333279145954</v>
      </c>
      <c r="AK139" s="162">
        <f t="shared" si="50"/>
        <v>389.07082570260047</v>
      </c>
      <c r="AL139" s="162">
        <f t="shared" si="7"/>
        <v>-23.492048902851671</v>
      </c>
      <c r="AM139" s="163">
        <v>0.36599999999999999</v>
      </c>
      <c r="AN139" s="164">
        <f t="shared" si="51"/>
        <v>389.07082570260047</v>
      </c>
      <c r="AO139" s="165">
        <f t="shared" si="52"/>
        <v>0.50802832890206251</v>
      </c>
      <c r="AP139" s="166">
        <f t="shared" si="53"/>
        <v>0.14202832890206252</v>
      </c>
      <c r="AQ139" s="166">
        <f t="shared" si="54"/>
        <v>11.47556367656626</v>
      </c>
      <c r="AR139" s="166">
        <f t="shared" si="55"/>
        <v>16.298551321919145</v>
      </c>
      <c r="AS139" s="166">
        <f t="shared" si="56"/>
        <v>1420.2832890206253</v>
      </c>
      <c r="AT139" s="163">
        <v>1.08</v>
      </c>
      <c r="AU139" s="164">
        <f t="shared" si="57"/>
        <v>-23.492048902851671</v>
      </c>
      <c r="AV139" s="164">
        <f t="shared" si="58"/>
        <v>1.0853919571607329</v>
      </c>
      <c r="AW139" s="168">
        <f t="shared" si="59"/>
        <v>5.3919571607328187E-3</v>
      </c>
      <c r="AX139" s="168">
        <f t="shared" si="60"/>
        <v>344.55762395496345</v>
      </c>
      <c r="AY139" s="168">
        <f t="shared" si="61"/>
        <v>18.578399477690507</v>
      </c>
      <c r="AZ139" s="168">
        <f t="shared" si="62"/>
        <v>53.919571607328187</v>
      </c>
    </row>
    <row r="140" spans="1:52" ht="18" x14ac:dyDescent="0.25">
      <c r="A140">
        <v>3</v>
      </c>
      <c r="B140" t="s">
        <v>48</v>
      </c>
      <c r="C140" t="s">
        <v>28</v>
      </c>
      <c r="D140" t="s">
        <v>428</v>
      </c>
      <c r="E140">
        <v>2</v>
      </c>
      <c r="F140" s="9" t="s">
        <v>66</v>
      </c>
      <c r="G140">
        <v>130</v>
      </c>
      <c r="H140">
        <v>5.0960000000000001</v>
      </c>
      <c r="Q140" s="169">
        <v>585</v>
      </c>
      <c r="R140" s="169" t="s">
        <v>260</v>
      </c>
      <c r="S140" s="169">
        <v>5.1680460000000004</v>
      </c>
      <c r="T140" s="169">
        <v>142.0841630170078</v>
      </c>
      <c r="U140" s="169">
        <v>6.8278239999999997</v>
      </c>
      <c r="V140" s="169">
        <v>-23.299003191158388</v>
      </c>
      <c r="W140" s="156">
        <v>5.0960000000000001</v>
      </c>
      <c r="X140" s="173">
        <v>5.451099000000001</v>
      </c>
      <c r="Y140" s="173">
        <v>7.7909153345735138</v>
      </c>
      <c r="Z140" s="173">
        <v>3.7938777499999992</v>
      </c>
      <c r="AA140" s="173">
        <v>-24.822546179307107</v>
      </c>
      <c r="AB140" s="173">
        <v>2.1543999999999999</v>
      </c>
      <c r="AC140" s="173">
        <v>2.1543999999999999</v>
      </c>
      <c r="AD140" s="158">
        <f t="shared" si="0"/>
        <v>1.1145290151582275E-2</v>
      </c>
      <c r="AE140" s="158">
        <f t="shared" si="1"/>
        <v>0.26127342664111941</v>
      </c>
      <c r="AF140" s="159">
        <f t="shared" si="2"/>
        <v>5.7599372186724174E-2</v>
      </c>
      <c r="AG140" s="159">
        <f t="shared" si="3"/>
        <v>1.7839289729824743</v>
      </c>
      <c r="AH140" s="160">
        <f t="shared" si="4"/>
        <v>1.1302859534286533</v>
      </c>
      <c r="AI140" s="160">
        <f t="shared" si="5"/>
        <v>35.006455513784815</v>
      </c>
      <c r="AJ140" s="161">
        <f t="shared" si="6"/>
        <v>30.97132668737046</v>
      </c>
      <c r="AK140" s="162">
        <f t="shared" si="50"/>
        <v>136.27324768243429</v>
      </c>
      <c r="AL140" s="162">
        <f t="shared" si="7"/>
        <v>-24.506457011851282</v>
      </c>
      <c r="AM140" s="163">
        <v>0.36599999999999999</v>
      </c>
      <c r="AN140" s="164">
        <f t="shared" si="51"/>
        <v>136.27324768243429</v>
      </c>
      <c r="AO140" s="165">
        <f t="shared" si="52"/>
        <v>0.41595661981378973</v>
      </c>
      <c r="AP140" s="166">
        <f t="shared" si="53"/>
        <v>4.9956619813789738E-2</v>
      </c>
      <c r="AQ140" s="166">
        <f t="shared" si="54"/>
        <v>11.302859534286533</v>
      </c>
      <c r="AR140" s="166">
        <f t="shared" si="55"/>
        <v>5.6465265656302082</v>
      </c>
      <c r="AS140" s="166">
        <f t="shared" si="56"/>
        <v>499.5661981378974</v>
      </c>
      <c r="AT140" s="163">
        <v>1.08</v>
      </c>
      <c r="AU140" s="164">
        <f t="shared" si="57"/>
        <v>-24.506457011851282</v>
      </c>
      <c r="AV140" s="164">
        <f t="shared" si="58"/>
        <v>1.0842766644630777</v>
      </c>
      <c r="AW140" s="168">
        <f t="shared" si="59"/>
        <v>4.2766644630776174E-3</v>
      </c>
      <c r="AX140" s="168">
        <f t="shared" si="60"/>
        <v>350.06455513784812</v>
      </c>
      <c r="AY140" s="168">
        <f t="shared" si="61"/>
        <v>14.971086427411102</v>
      </c>
      <c r="AZ140" s="168">
        <f t="shared" si="62"/>
        <v>42.76664463077617</v>
      </c>
    </row>
    <row r="141" spans="1:52" ht="18" x14ac:dyDescent="0.25">
      <c r="A141">
        <v>3</v>
      </c>
      <c r="B141" t="s">
        <v>48</v>
      </c>
      <c r="C141" t="s">
        <v>30</v>
      </c>
      <c r="D141" t="s">
        <v>427</v>
      </c>
      <c r="E141">
        <v>2</v>
      </c>
      <c r="F141" s="9" t="s">
        <v>67</v>
      </c>
      <c r="G141">
        <v>131</v>
      </c>
      <c r="H141">
        <v>4.1509999999999998</v>
      </c>
      <c r="Q141" s="154">
        <v>586</v>
      </c>
      <c r="R141" s="154" t="s">
        <v>261</v>
      </c>
      <c r="S141" s="154">
        <v>3.2163172499999999</v>
      </c>
      <c r="T141" s="154">
        <v>9.5603118178458395</v>
      </c>
      <c r="U141" s="154">
        <v>5.6270325000000003</v>
      </c>
      <c r="V141" s="154">
        <v>-25.770399171086805</v>
      </c>
      <c r="W141" s="156">
        <v>4.1509999999999998</v>
      </c>
      <c r="X141" s="173">
        <v>5.451099000000001</v>
      </c>
      <c r="Y141" s="173">
        <v>7.7909153345735138</v>
      </c>
      <c r="Z141" s="173">
        <v>3.7938777499999992</v>
      </c>
      <c r="AA141" s="173">
        <v>-24.822546179307107</v>
      </c>
      <c r="AB141" s="173">
        <v>2.1543999999999999</v>
      </c>
      <c r="AC141" s="173">
        <v>2.1543999999999999</v>
      </c>
      <c r="AD141" s="158">
        <f t="shared" si="0"/>
        <v>1.1145290151582275E-2</v>
      </c>
      <c r="AE141" s="158">
        <f t="shared" si="1"/>
        <v>0.26127342664111941</v>
      </c>
      <c r="AF141" s="159">
        <f t="shared" si="2"/>
        <v>3.5846788970789183E-2</v>
      </c>
      <c r="AG141" s="159">
        <f t="shared" si="3"/>
        <v>1.4701940630959449</v>
      </c>
      <c r="AH141" s="160">
        <f t="shared" si="4"/>
        <v>0.86356995834230743</v>
      </c>
      <c r="AI141" s="160">
        <f t="shared" si="5"/>
        <v>35.417828549649364</v>
      </c>
      <c r="AJ141" s="161">
        <f t="shared" si="6"/>
        <v>41.013270792370719</v>
      </c>
      <c r="AK141" s="162">
        <f t="shared" si="50"/>
        <v>3.7493964832723261</v>
      </c>
      <c r="AL141" s="162">
        <f t="shared" si="7"/>
        <v>-26.977852991779699</v>
      </c>
      <c r="AM141" s="163">
        <v>0.36599999999999999</v>
      </c>
      <c r="AN141" s="164">
        <f t="shared" si="51"/>
        <v>3.7493964832723261</v>
      </c>
      <c r="AO141" s="165">
        <f t="shared" si="52"/>
        <v>0.3676218334361448</v>
      </c>
      <c r="AP141" s="166">
        <f t="shared" si="53"/>
        <v>1.6218334361448039E-3</v>
      </c>
      <c r="AQ141" s="166">
        <f t="shared" si="54"/>
        <v>8.6356995834230741</v>
      </c>
      <c r="AR141" s="166">
        <f t="shared" si="55"/>
        <v>0.14005666328897298</v>
      </c>
      <c r="AS141" s="166">
        <f t="shared" si="56"/>
        <v>16.21833436144804</v>
      </c>
      <c r="AT141" s="163">
        <v>1.08</v>
      </c>
      <c r="AU141" s="164">
        <f t="shared" si="57"/>
        <v>-26.977852991779699</v>
      </c>
      <c r="AV141" s="164">
        <f t="shared" si="58"/>
        <v>1.0815593787250675</v>
      </c>
      <c r="AW141" s="168">
        <f t="shared" si="59"/>
        <v>1.5593787250673952E-3</v>
      </c>
      <c r="AX141" s="168">
        <f t="shared" si="60"/>
        <v>354.17828549649369</v>
      </c>
      <c r="AY141" s="168">
        <f t="shared" si="61"/>
        <v>5.5229808328407817</v>
      </c>
      <c r="AZ141" s="168">
        <f t="shared" si="62"/>
        <v>15.59378725067395</v>
      </c>
    </row>
    <row r="142" spans="1:52" ht="18" x14ac:dyDescent="0.25">
      <c r="A142">
        <v>3</v>
      </c>
      <c r="B142" t="s">
        <v>48</v>
      </c>
      <c r="C142" t="s">
        <v>30</v>
      </c>
      <c r="D142" t="s">
        <v>428</v>
      </c>
      <c r="E142">
        <v>2</v>
      </c>
      <c r="F142" s="9" t="s">
        <v>68</v>
      </c>
      <c r="G142">
        <v>132</v>
      </c>
      <c r="H142">
        <v>4.8470000000000004</v>
      </c>
      <c r="Q142" s="169">
        <v>587</v>
      </c>
      <c r="R142" s="169" t="s">
        <v>262</v>
      </c>
      <c r="S142" s="169">
        <v>3.1711035000000001</v>
      </c>
      <c r="T142" s="169">
        <v>15.596194092189391</v>
      </c>
      <c r="U142" s="169">
        <v>6.3539944999999998</v>
      </c>
      <c r="V142" s="169">
        <v>-24.411620989613045</v>
      </c>
      <c r="W142" s="156">
        <v>4.8470000000000004</v>
      </c>
      <c r="X142" s="173">
        <v>5.451099000000001</v>
      </c>
      <c r="Y142" s="173">
        <v>7.7909153345735138</v>
      </c>
      <c r="Z142" s="173">
        <v>3.7938777499999992</v>
      </c>
      <c r="AA142" s="173">
        <v>-24.822546179307107</v>
      </c>
      <c r="AB142" s="173">
        <v>2.1543999999999999</v>
      </c>
      <c r="AC142" s="173">
        <v>2.1543999999999999</v>
      </c>
      <c r="AD142" s="158">
        <f t="shared" si="0"/>
        <v>1.1145290151582275E-2</v>
      </c>
      <c r="AE142" s="158">
        <f t="shared" si="1"/>
        <v>0.26127342664111941</v>
      </c>
      <c r="AF142" s="159">
        <f t="shared" si="2"/>
        <v>3.5342868608198082E-2</v>
      </c>
      <c r="AG142" s="159">
        <f t="shared" si="3"/>
        <v>1.6601299158738261</v>
      </c>
      <c r="AH142" s="160">
        <f t="shared" si="4"/>
        <v>0.72916997334842337</v>
      </c>
      <c r="AI142" s="160">
        <f t="shared" si="5"/>
        <v>34.250668782212209</v>
      </c>
      <c r="AJ142" s="161">
        <f t="shared" si="6"/>
        <v>46.972132745578683</v>
      </c>
      <c r="AK142" s="162">
        <f t="shared" si="50"/>
        <v>9.7852787576158775</v>
      </c>
      <c r="AL142" s="162">
        <f t="shared" si="7"/>
        <v>-25.619074810305939</v>
      </c>
      <c r="AM142" s="163">
        <v>0.36599999999999999</v>
      </c>
      <c r="AN142" s="164">
        <f t="shared" si="51"/>
        <v>9.7852787576158775</v>
      </c>
      <c r="AO142" s="165">
        <f t="shared" si="52"/>
        <v>0.36982429154259866</v>
      </c>
      <c r="AP142" s="166">
        <f t="shared" si="53"/>
        <v>3.8242915425986679E-3</v>
      </c>
      <c r="AQ142" s="166">
        <f t="shared" si="54"/>
        <v>7.2916997334842328</v>
      </c>
      <c r="AR142" s="166">
        <f t="shared" si="55"/>
        <v>0.27885585621932718</v>
      </c>
      <c r="AS142" s="166">
        <f t="shared" si="56"/>
        <v>38.242915425986681</v>
      </c>
      <c r="AT142" s="163">
        <v>1.08</v>
      </c>
      <c r="AU142" s="164">
        <f t="shared" si="57"/>
        <v>-25.619074810305939</v>
      </c>
      <c r="AV142" s="164">
        <f t="shared" si="58"/>
        <v>1.0830533660363715</v>
      </c>
      <c r="AW142" s="168">
        <f t="shared" si="59"/>
        <v>3.0533660363714077E-3</v>
      </c>
      <c r="AX142" s="168">
        <f t="shared" si="60"/>
        <v>342.50668782212205</v>
      </c>
      <c r="AY142" s="168">
        <f t="shared" si="61"/>
        <v>10.457982878261319</v>
      </c>
      <c r="AZ142" s="168">
        <f t="shared" si="62"/>
        <v>30.533660363714077</v>
      </c>
    </row>
    <row r="143" spans="1:52" ht="18" x14ac:dyDescent="0.25">
      <c r="A143">
        <v>3</v>
      </c>
      <c r="B143" t="s">
        <v>52</v>
      </c>
      <c r="C143" t="s">
        <v>26</v>
      </c>
      <c r="D143" t="s">
        <v>427</v>
      </c>
      <c r="E143">
        <v>2</v>
      </c>
      <c r="F143" s="9" t="s">
        <v>69</v>
      </c>
      <c r="G143">
        <v>133</v>
      </c>
      <c r="H143">
        <v>4.5190000000000001</v>
      </c>
      <c r="Q143" s="154">
        <v>588</v>
      </c>
      <c r="R143" s="154" t="s">
        <v>263</v>
      </c>
      <c r="S143" s="154">
        <v>5.2344664999999999</v>
      </c>
      <c r="T143" s="154">
        <v>666.76009531986654</v>
      </c>
      <c r="U143" s="154">
        <v>6.8923864999999997</v>
      </c>
      <c r="V143" s="154">
        <v>-21.524019933346022</v>
      </c>
      <c r="W143" s="156">
        <v>4.5190000000000001</v>
      </c>
      <c r="X143" s="173">
        <v>5.451099000000001</v>
      </c>
      <c r="Y143" s="173">
        <v>7.7909153345735138</v>
      </c>
      <c r="Z143" s="173">
        <v>3.7938777499999992</v>
      </c>
      <c r="AA143" s="173">
        <v>-24.822546179307107</v>
      </c>
      <c r="AB143" s="173">
        <v>2.1543999999999999</v>
      </c>
      <c r="AC143" s="173">
        <v>2.1543999999999999</v>
      </c>
      <c r="AD143" s="158">
        <f t="shared" si="0"/>
        <v>1.1145290151582275E-2</v>
      </c>
      <c r="AE143" s="158">
        <f t="shared" si="1"/>
        <v>0.26127342664111941</v>
      </c>
      <c r="AF143" s="159">
        <f t="shared" si="2"/>
        <v>5.8339647931237339E-2</v>
      </c>
      <c r="AG143" s="159">
        <f t="shared" si="3"/>
        <v>1.8007974385899916</v>
      </c>
      <c r="AH143" s="160">
        <f t="shared" si="4"/>
        <v>1.290985791795471</v>
      </c>
      <c r="AI143" s="160">
        <f t="shared" si="5"/>
        <v>39.849467550121524</v>
      </c>
      <c r="AJ143" s="161">
        <f t="shared" si="6"/>
        <v>30.867471821436446</v>
      </c>
      <c r="AK143" s="162">
        <f t="shared" si="50"/>
        <v>660.94917998529297</v>
      </c>
      <c r="AL143" s="162">
        <f t="shared" si="7"/>
        <v>-22.731473754038916</v>
      </c>
      <c r="AM143" s="163">
        <v>0.36599999999999999</v>
      </c>
      <c r="AN143" s="164">
        <f t="shared" si="51"/>
        <v>660.94917998529297</v>
      </c>
      <c r="AO143" s="165">
        <f t="shared" si="52"/>
        <v>0.60685964645641777</v>
      </c>
      <c r="AP143" s="166">
        <f t="shared" si="53"/>
        <v>0.24085964645641778</v>
      </c>
      <c r="AQ143" s="166">
        <f t="shared" si="54"/>
        <v>12.90985791795471</v>
      </c>
      <c r="AR143" s="166">
        <f t="shared" si="55"/>
        <v>31.094638139211572</v>
      </c>
      <c r="AS143" s="166">
        <f t="shared" si="56"/>
        <v>2408.5964645641775</v>
      </c>
      <c r="AT143" s="163">
        <v>1.08</v>
      </c>
      <c r="AU143" s="164">
        <f t="shared" si="57"/>
        <v>-22.731473754038916</v>
      </c>
      <c r="AV143" s="164">
        <f t="shared" si="58"/>
        <v>1.0862281562868101</v>
      </c>
      <c r="AW143" s="168">
        <f t="shared" si="59"/>
        <v>6.2281562868100604E-3</v>
      </c>
      <c r="AX143" s="168">
        <f t="shared" si="60"/>
        <v>398.49467550121528</v>
      </c>
      <c r="AY143" s="168">
        <f t="shared" si="61"/>
        <v>24.81887118483229</v>
      </c>
      <c r="AZ143" s="168">
        <f t="shared" si="62"/>
        <v>62.281562868100607</v>
      </c>
    </row>
    <row r="144" spans="1:52" ht="18" x14ac:dyDescent="0.25">
      <c r="A144">
        <v>3</v>
      </c>
      <c r="B144" t="s">
        <v>52</v>
      </c>
      <c r="C144" t="s">
        <v>26</v>
      </c>
      <c r="D144" t="s">
        <v>428</v>
      </c>
      <c r="E144">
        <v>2</v>
      </c>
      <c r="F144" s="9" t="s">
        <v>70</v>
      </c>
      <c r="G144">
        <v>134</v>
      </c>
      <c r="H144">
        <v>4.2270000000000003</v>
      </c>
      <c r="Q144" s="169">
        <v>589</v>
      </c>
      <c r="R144" s="169" t="s">
        <v>264</v>
      </c>
      <c r="S144" s="169">
        <v>4.4076420000000001</v>
      </c>
      <c r="T144" s="169">
        <v>253.33330006379708</v>
      </c>
      <c r="U144" s="169">
        <v>6.5765975000000001</v>
      </c>
      <c r="V144" s="169">
        <v>-25.116949385804656</v>
      </c>
      <c r="W144" s="156">
        <v>4.2270000000000003</v>
      </c>
      <c r="X144" s="173">
        <v>5.451099000000001</v>
      </c>
      <c r="Y144" s="173">
        <v>7.7909153345735138</v>
      </c>
      <c r="Z144" s="173">
        <v>3.7938777499999992</v>
      </c>
      <c r="AA144" s="173">
        <v>-24.822546179307107</v>
      </c>
      <c r="AB144" s="173">
        <v>2.1543999999999999</v>
      </c>
      <c r="AC144" s="173">
        <v>2.1543999999999999</v>
      </c>
      <c r="AD144" s="158">
        <f t="shared" si="0"/>
        <v>1.1145290151582275E-2</v>
      </c>
      <c r="AE144" s="158">
        <f t="shared" si="1"/>
        <v>0.26127342664111941</v>
      </c>
      <c r="AF144" s="159">
        <f t="shared" si="2"/>
        <v>4.9124448974300405E-2</v>
      </c>
      <c r="AG144" s="159">
        <f t="shared" si="3"/>
        <v>1.7182901644644193</v>
      </c>
      <c r="AH144" s="160">
        <f t="shared" si="4"/>
        <v>1.1621587171587509</v>
      </c>
      <c r="AI144" s="160">
        <f t="shared" si="5"/>
        <v>40.650346923691011</v>
      </c>
      <c r="AJ144" s="161">
        <f t="shared" si="6"/>
        <v>34.97830917886423</v>
      </c>
      <c r="AK144" s="162">
        <f t="shared" si="50"/>
        <v>247.52238472922357</v>
      </c>
      <c r="AL144" s="162">
        <f t="shared" si="7"/>
        <v>-26.32440320649755</v>
      </c>
      <c r="AM144" s="163">
        <v>0.36599999999999999</v>
      </c>
      <c r="AN144" s="164">
        <f t="shared" si="51"/>
        <v>247.52238472922357</v>
      </c>
      <c r="AO144" s="165">
        <f t="shared" si="52"/>
        <v>0.45649578811304264</v>
      </c>
      <c r="AP144" s="166">
        <f t="shared" si="53"/>
        <v>9.0495788113042652E-2</v>
      </c>
      <c r="AQ144" s="166">
        <f t="shared" si="54"/>
        <v>11.621587171587509</v>
      </c>
      <c r="AR144" s="166">
        <f t="shared" si="55"/>
        <v>10.517046902172378</v>
      </c>
      <c r="AS144" s="166">
        <f t="shared" si="56"/>
        <v>904.95788113042647</v>
      </c>
      <c r="AT144" s="163">
        <v>1.08</v>
      </c>
      <c r="AU144" s="164">
        <f t="shared" si="57"/>
        <v>-26.32440320649755</v>
      </c>
      <c r="AV144" s="164">
        <f t="shared" si="58"/>
        <v>1.0822778575429193</v>
      </c>
      <c r="AW144" s="168">
        <f t="shared" si="59"/>
        <v>2.2778575429192038E-3</v>
      </c>
      <c r="AX144" s="168">
        <f t="shared" si="60"/>
        <v>406.50346923691012</v>
      </c>
      <c r="AY144" s="168">
        <f t="shared" si="61"/>
        <v>9.2595699362412027</v>
      </c>
      <c r="AZ144" s="168">
        <f t="shared" si="62"/>
        <v>22.778575429192038</v>
      </c>
    </row>
    <row r="145" spans="1:52" ht="18" x14ac:dyDescent="0.25">
      <c r="A145">
        <v>3</v>
      </c>
      <c r="B145" t="s">
        <v>52</v>
      </c>
      <c r="C145" t="s">
        <v>28</v>
      </c>
      <c r="D145" t="s">
        <v>427</v>
      </c>
      <c r="E145">
        <v>2</v>
      </c>
      <c r="F145" s="9" t="s">
        <v>71</v>
      </c>
      <c r="G145">
        <v>135</v>
      </c>
      <c r="H145">
        <v>4.391</v>
      </c>
      <c r="Q145" s="154">
        <v>590</v>
      </c>
      <c r="R145" s="154" t="s">
        <v>265</v>
      </c>
      <c r="S145" s="154">
        <v>5.1090920000000004</v>
      </c>
      <c r="T145" s="154">
        <v>635.10910166196481</v>
      </c>
      <c r="U145" s="154">
        <v>6.3998670000000004</v>
      </c>
      <c r="V145" s="154">
        <v>-19.994761020137805</v>
      </c>
      <c r="W145" s="156">
        <v>4.391</v>
      </c>
      <c r="X145" s="173">
        <v>5.451099000000001</v>
      </c>
      <c r="Y145" s="173">
        <v>7.7909153345735138</v>
      </c>
      <c r="Z145" s="173">
        <v>3.7938777499999992</v>
      </c>
      <c r="AA145" s="173">
        <v>-24.822546179307107</v>
      </c>
      <c r="AB145" s="173">
        <v>2.1543999999999999</v>
      </c>
      <c r="AC145" s="173">
        <v>2.1543999999999999</v>
      </c>
      <c r="AD145" s="158">
        <f t="shared" si="0"/>
        <v>1.1145290151582275E-2</v>
      </c>
      <c r="AE145" s="158">
        <f t="shared" si="1"/>
        <v>0.26127342664111941</v>
      </c>
      <c r="AF145" s="159">
        <f t="shared" si="2"/>
        <v>5.6942312751127794E-2</v>
      </c>
      <c r="AG145" s="159">
        <f t="shared" si="3"/>
        <v>1.6721151811374211</v>
      </c>
      <c r="AH145" s="160">
        <f t="shared" si="4"/>
        <v>1.2967960089074879</v>
      </c>
      <c r="AI145" s="160">
        <f t="shared" si="5"/>
        <v>38.0805097047921</v>
      </c>
      <c r="AJ145" s="161">
        <f t="shared" si="6"/>
        <v>29.365073182846849</v>
      </c>
      <c r="AK145" s="162">
        <f t="shared" si="50"/>
        <v>629.29818632739125</v>
      </c>
      <c r="AL145" s="162">
        <f t="shared" si="7"/>
        <v>-21.202214840830699</v>
      </c>
      <c r="AM145" s="163">
        <v>0.36599999999999999</v>
      </c>
      <c r="AN145" s="164">
        <f t="shared" si="51"/>
        <v>629.29818632739125</v>
      </c>
      <c r="AO145" s="165">
        <f t="shared" si="52"/>
        <v>0.59536419842119759</v>
      </c>
      <c r="AP145" s="166">
        <f t="shared" si="53"/>
        <v>0.2293641984211976</v>
      </c>
      <c r="AQ145" s="166">
        <f t="shared" si="54"/>
        <v>12.967960089074881</v>
      </c>
      <c r="AR145" s="166">
        <f t="shared" si="55"/>
        <v>29.743857709887426</v>
      </c>
      <c r="AS145" s="166">
        <f t="shared" si="56"/>
        <v>2293.6419842119758</v>
      </c>
      <c r="AT145" s="163">
        <v>1.08</v>
      </c>
      <c r="AU145" s="164">
        <f t="shared" si="57"/>
        <v>-21.202214840830699</v>
      </c>
      <c r="AV145" s="164">
        <f t="shared" si="58"/>
        <v>1.0879094266030973</v>
      </c>
      <c r="AW145" s="168">
        <f t="shared" si="59"/>
        <v>7.909426603097236E-3</v>
      </c>
      <c r="AX145" s="168">
        <f t="shared" si="60"/>
        <v>380.80509704792098</v>
      </c>
      <c r="AY145" s="168">
        <f t="shared" si="61"/>
        <v>30.119499651858508</v>
      </c>
      <c r="AZ145" s="168">
        <f t="shared" si="62"/>
        <v>79.094266030972364</v>
      </c>
    </row>
    <row r="146" spans="1:52" ht="18" x14ac:dyDescent="0.25">
      <c r="I146" s="25" t="s">
        <v>469</v>
      </c>
      <c r="Q146" s="169">
        <v>591</v>
      </c>
      <c r="R146" s="169" t="s">
        <v>266</v>
      </c>
      <c r="S146" s="169">
        <v>4.5054020000000001</v>
      </c>
      <c r="T146" s="169">
        <v>7.9130142033066164</v>
      </c>
      <c r="U146" s="169">
        <v>3.2328945</v>
      </c>
      <c r="V146" s="169">
        <v>-24.104849385865254</v>
      </c>
      <c r="W146" s="169">
        <v>1.823</v>
      </c>
      <c r="X146" s="173">
        <v>5.451099000000001</v>
      </c>
      <c r="Y146" s="173">
        <v>7.7909153345735138</v>
      </c>
      <c r="Z146" s="173">
        <v>3.7938777499999992</v>
      </c>
      <c r="AA146" s="173">
        <v>-24.822546179307107</v>
      </c>
      <c r="AB146" s="173">
        <v>2.1543999999999999</v>
      </c>
      <c r="AC146" s="173">
        <v>2.1543999999999999</v>
      </c>
      <c r="AD146" s="158">
        <f t="shared" si="0"/>
        <v>1.1145290151582275E-2</v>
      </c>
      <c r="AE146" s="158">
        <f t="shared" si="1"/>
        <v>0.26127342664111941</v>
      </c>
      <c r="AF146" s="159">
        <f t="shared" si="2"/>
        <v>5.0214012539519084E-2</v>
      </c>
      <c r="AG146" s="159">
        <f t="shared" si="3"/>
        <v>0.8446694239842284</v>
      </c>
      <c r="AH146" s="160">
        <f t="shared" si="4"/>
        <v>2.7544713406209045</v>
      </c>
      <c r="AI146" s="160">
        <f t="shared" si="5"/>
        <v>46.334033131334529</v>
      </c>
      <c r="AJ146" s="161">
        <f t="shared" si="6"/>
        <v>16.821388717331889</v>
      </c>
      <c r="AK146" s="162">
        <f t="shared" si="50"/>
        <v>2.102098868733103</v>
      </c>
      <c r="AL146" s="162">
        <f t="shared" si="7"/>
        <v>-25.312303206558148</v>
      </c>
      <c r="AM146" s="163">
        <v>0.36599999999999999</v>
      </c>
      <c r="AN146" s="164">
        <f t="shared" si="51"/>
        <v>2.102098868733103</v>
      </c>
      <c r="AO146" s="165">
        <f t="shared" si="52"/>
        <v>0.36702072726578405</v>
      </c>
      <c r="AP146" s="166">
        <f t="shared" si="53"/>
        <v>1.0207272657840605E-3</v>
      </c>
      <c r="AQ146" s="166">
        <f t="shared" si="54"/>
        <v>27.544713406209045</v>
      </c>
      <c r="AR146" s="166">
        <f t="shared" si="55"/>
        <v>0.28115640001925313</v>
      </c>
      <c r="AS146" s="166">
        <f t="shared" si="56"/>
        <v>10.207272657840605</v>
      </c>
      <c r="AT146" s="163">
        <v>1.08</v>
      </c>
      <c r="AU146" s="164">
        <f t="shared" si="57"/>
        <v>-25.312303206558148</v>
      </c>
      <c r="AV146" s="164">
        <f t="shared" si="58"/>
        <v>1.0833906575862076</v>
      </c>
      <c r="AW146" s="168">
        <f t="shared" si="59"/>
        <v>3.3906575862074906E-3</v>
      </c>
      <c r="AX146" s="168">
        <f t="shared" si="60"/>
        <v>463.3403313133453</v>
      </c>
      <c r="AY146" s="168">
        <f t="shared" si="61"/>
        <v>15.710284093634865</v>
      </c>
      <c r="AZ146" s="168">
        <f t="shared" si="62"/>
        <v>33.906575862074902</v>
      </c>
    </row>
    <row r="147" spans="1:52" ht="18" x14ac:dyDescent="0.25">
      <c r="A147">
        <v>3</v>
      </c>
      <c r="B147" t="s">
        <v>52</v>
      </c>
      <c r="C147" t="s">
        <v>28</v>
      </c>
      <c r="D147" t="s">
        <v>428</v>
      </c>
      <c r="E147">
        <v>2</v>
      </c>
      <c r="F147" s="9" t="s">
        <v>120</v>
      </c>
      <c r="G147">
        <v>136</v>
      </c>
      <c r="H147">
        <v>4.673</v>
      </c>
      <c r="Q147" s="154">
        <v>592</v>
      </c>
      <c r="R147" s="154" t="s">
        <v>267</v>
      </c>
      <c r="S147" s="154">
        <v>5.4706760000000001</v>
      </c>
      <c r="T147" s="154">
        <v>64.23372696622215</v>
      </c>
      <c r="U147" s="154">
        <v>6.510707</v>
      </c>
      <c r="V147" s="154">
        <v>-23.895455003108367</v>
      </c>
      <c r="W147" s="156">
        <v>4.673</v>
      </c>
      <c r="X147" s="173">
        <v>5.451099000000001</v>
      </c>
      <c r="Y147" s="173">
        <v>7.7909153345735138</v>
      </c>
      <c r="Z147" s="173">
        <v>3.7938777499999992</v>
      </c>
      <c r="AA147" s="173">
        <v>-24.822546179307107</v>
      </c>
      <c r="AB147" s="173">
        <v>2.1543999999999999</v>
      </c>
      <c r="AC147" s="173">
        <v>2.1543999999999999</v>
      </c>
      <c r="AD147" s="158">
        <f t="shared" si="0"/>
        <v>1.1145290151582275E-2</v>
      </c>
      <c r="AE147" s="158">
        <f t="shared" si="1"/>
        <v>0.26127342664111941</v>
      </c>
      <c r="AF147" s="159">
        <f t="shared" si="2"/>
        <v>6.0972271345297514E-2</v>
      </c>
      <c r="AG147" s="159">
        <f t="shared" si="3"/>
        <v>1.7010747277463227</v>
      </c>
      <c r="AH147" s="160">
        <f t="shared" si="4"/>
        <v>1.3047779016755299</v>
      </c>
      <c r="AI147" s="160">
        <f t="shared" si="5"/>
        <v>36.402198325408143</v>
      </c>
      <c r="AJ147" s="161">
        <f t="shared" si="6"/>
        <v>27.899153011912819</v>
      </c>
      <c r="AK147" s="162">
        <f t="shared" si="50"/>
        <v>58.422811631648635</v>
      </c>
      <c r="AL147" s="162">
        <f t="shared" si="7"/>
        <v>-25.102908823801261</v>
      </c>
      <c r="AM147" s="163">
        <v>0.36599999999999999</v>
      </c>
      <c r="AN147" s="164">
        <f t="shared" si="51"/>
        <v>58.422811631648635</v>
      </c>
      <c r="AO147" s="165">
        <f t="shared" si="52"/>
        <v>0.38756828948361993</v>
      </c>
      <c r="AP147" s="166">
        <f t="shared" si="53"/>
        <v>2.156828948361994E-2</v>
      </c>
      <c r="AQ147" s="166">
        <f t="shared" si="54"/>
        <v>13.0477790167553</v>
      </c>
      <c r="AR147" s="166">
        <f t="shared" si="55"/>
        <v>2.8141827495168026</v>
      </c>
      <c r="AS147" s="166">
        <f t="shared" si="56"/>
        <v>215.68289483619941</v>
      </c>
      <c r="AT147" s="163">
        <v>1.08</v>
      </c>
      <c r="AU147" s="164">
        <f t="shared" si="57"/>
        <v>-25.102908823801261</v>
      </c>
      <c r="AV147" s="164">
        <f t="shared" si="58"/>
        <v>1.0836208827759444</v>
      </c>
      <c r="AW147" s="168">
        <f t="shared" si="59"/>
        <v>3.6208827759443007E-3</v>
      </c>
      <c r="AX147" s="168">
        <f t="shared" si="60"/>
        <v>364.02198325408142</v>
      </c>
      <c r="AY147" s="168">
        <f t="shared" si="61"/>
        <v>13.180809292297882</v>
      </c>
      <c r="AZ147" s="168">
        <f t="shared" si="62"/>
        <v>36.208827759443011</v>
      </c>
    </row>
    <row r="148" spans="1:52" ht="18" x14ac:dyDescent="0.25">
      <c r="A148">
        <v>3</v>
      </c>
      <c r="B148" t="s">
        <v>52</v>
      </c>
      <c r="C148" t="s">
        <v>30</v>
      </c>
      <c r="D148" t="s">
        <v>427</v>
      </c>
      <c r="E148">
        <v>2</v>
      </c>
      <c r="F148" s="9" t="s">
        <v>121</v>
      </c>
      <c r="G148">
        <v>137</v>
      </c>
      <c r="H148">
        <v>4.8639999999999999</v>
      </c>
      <c r="I148" t="s">
        <v>440</v>
      </c>
      <c r="Q148" s="169">
        <v>593</v>
      </c>
      <c r="R148" s="169" t="s">
        <v>268</v>
      </c>
      <c r="S148" s="169">
        <v>5.9004054999999997</v>
      </c>
      <c r="T148" s="169">
        <v>69.568003505440686</v>
      </c>
      <c r="U148" s="169">
        <v>6.7103989999999998</v>
      </c>
      <c r="V148" s="169">
        <v>-24.472002585345415</v>
      </c>
      <c r="W148" s="156">
        <v>4.8639999999999999</v>
      </c>
      <c r="X148" s="173">
        <v>5.451099000000001</v>
      </c>
      <c r="Y148" s="173">
        <v>7.7909153345735138</v>
      </c>
      <c r="Z148" s="173">
        <v>3.7938777499999992</v>
      </c>
      <c r="AA148" s="173">
        <v>-24.822546179307107</v>
      </c>
      <c r="AB148" s="173">
        <v>2.1543999999999999</v>
      </c>
      <c r="AC148" s="173">
        <v>2.1543999999999999</v>
      </c>
      <c r="AD148" s="158">
        <f t="shared" si="0"/>
        <v>1.1145290151582275E-2</v>
      </c>
      <c r="AE148" s="158">
        <f t="shared" si="1"/>
        <v>0.26127342664111941</v>
      </c>
      <c r="AF148" s="159">
        <f t="shared" si="2"/>
        <v>6.576173130949188E-2</v>
      </c>
      <c r="AG148" s="159">
        <f t="shared" si="3"/>
        <v>1.753248940859141</v>
      </c>
      <c r="AH148" s="160">
        <f t="shared" si="4"/>
        <v>1.3520092785668563</v>
      </c>
      <c r="AI148" s="160">
        <f t="shared" si="5"/>
        <v>36.045414080163255</v>
      </c>
      <c r="AJ148" s="161">
        <f t="shared" si="6"/>
        <v>26.660626263136134</v>
      </c>
      <c r="AK148" s="162">
        <f t="shared" si="50"/>
        <v>63.757088170867171</v>
      </c>
      <c r="AL148" s="162">
        <f t="shared" si="7"/>
        <v>-25.679456406038309</v>
      </c>
      <c r="AM148" s="163">
        <v>0.36599999999999999</v>
      </c>
      <c r="AN148" s="164">
        <f t="shared" si="51"/>
        <v>63.757088170867171</v>
      </c>
      <c r="AO148" s="165">
        <f t="shared" si="52"/>
        <v>0.3895139614906446</v>
      </c>
      <c r="AP148" s="166">
        <f t="shared" si="53"/>
        <v>2.3513961490644608E-2</v>
      </c>
      <c r="AQ148" s="166">
        <f t="shared" si="54"/>
        <v>13.520092785668561</v>
      </c>
      <c r="AR148" s="166">
        <f t="shared" si="55"/>
        <v>3.1791094111215257</v>
      </c>
      <c r="AS148" s="166">
        <f t="shared" si="56"/>
        <v>235.13961490644607</v>
      </c>
      <c r="AT148" s="163">
        <v>1.08</v>
      </c>
      <c r="AU148" s="164">
        <f t="shared" si="57"/>
        <v>-25.679456406038309</v>
      </c>
      <c r="AV148" s="164">
        <f t="shared" si="58"/>
        <v>1.0829869769544871</v>
      </c>
      <c r="AW148" s="168">
        <f t="shared" si="59"/>
        <v>2.9869769544870195E-3</v>
      </c>
      <c r="AX148" s="168">
        <f t="shared" si="60"/>
        <v>360.45414080163255</v>
      </c>
      <c r="AY148" s="168">
        <f t="shared" si="61"/>
        <v>10.766682117238956</v>
      </c>
      <c r="AZ148" s="168">
        <f t="shared" si="62"/>
        <v>29.869769544870195</v>
      </c>
    </row>
    <row r="149" spans="1:52" ht="18" x14ac:dyDescent="0.25">
      <c r="A149">
        <v>3</v>
      </c>
      <c r="B149" t="s">
        <v>52</v>
      </c>
      <c r="C149" t="s">
        <v>30</v>
      </c>
      <c r="D149" t="s">
        <v>428</v>
      </c>
      <c r="E149">
        <v>2</v>
      </c>
      <c r="F149" s="9" t="s">
        <v>122</v>
      </c>
      <c r="G149">
        <v>138</v>
      </c>
      <c r="H149">
        <v>4.508</v>
      </c>
      <c r="I149" t="s">
        <v>441</v>
      </c>
      <c r="Q149" s="154">
        <v>594</v>
      </c>
      <c r="R149" s="154" t="s">
        <v>269</v>
      </c>
      <c r="S149" s="154">
        <v>4.4199989999999998</v>
      </c>
      <c r="T149" s="154">
        <v>14.840584550308749</v>
      </c>
      <c r="U149" s="154">
        <v>6.3192424999999997</v>
      </c>
      <c r="V149" s="154">
        <v>-25.194036196744495</v>
      </c>
      <c r="W149" s="156">
        <v>4.508</v>
      </c>
      <c r="X149" s="173">
        <v>5.451099000000001</v>
      </c>
      <c r="Y149" s="173">
        <v>7.7909153345735138</v>
      </c>
      <c r="Z149" s="173">
        <v>3.7938777499999992</v>
      </c>
      <c r="AA149" s="173">
        <v>-24.822546179307107</v>
      </c>
      <c r="AB149" s="173">
        <v>2.1543999999999999</v>
      </c>
      <c r="AC149" s="173">
        <v>2.1543999999999999</v>
      </c>
      <c r="AD149" s="158">
        <f t="shared" si="0"/>
        <v>1.1145290151582275E-2</v>
      </c>
      <c r="AE149" s="158">
        <f t="shared" si="1"/>
        <v>0.26127342664111941</v>
      </c>
      <c r="AF149" s="159">
        <f t="shared" si="2"/>
        <v>4.9262171324703501E-2</v>
      </c>
      <c r="AG149" s="159">
        <f t="shared" si="3"/>
        <v>1.651050141751194</v>
      </c>
      <c r="AH149" s="160">
        <f t="shared" si="4"/>
        <v>1.0927722121717722</v>
      </c>
      <c r="AI149" s="160">
        <f t="shared" si="5"/>
        <v>36.624892230505637</v>
      </c>
      <c r="AJ149" s="161">
        <f t="shared" si="6"/>
        <v>33.515577924256903</v>
      </c>
      <c r="AK149" s="162">
        <f t="shared" si="50"/>
        <v>9.0296692157352361</v>
      </c>
      <c r="AL149" s="162">
        <f t="shared" si="7"/>
        <v>-26.401490017437389</v>
      </c>
      <c r="AM149" s="163">
        <v>0.36599999999999999</v>
      </c>
      <c r="AN149" s="164">
        <f t="shared" si="51"/>
        <v>9.0296692157352361</v>
      </c>
      <c r="AO149" s="165">
        <f t="shared" si="52"/>
        <v>0.36954857937625712</v>
      </c>
      <c r="AP149" s="166">
        <f t="shared" si="53"/>
        <v>3.5485793762571327E-3</v>
      </c>
      <c r="AQ149" s="166">
        <f t="shared" si="54"/>
        <v>10.927722121717721</v>
      </c>
      <c r="AR149" s="166">
        <f t="shared" si="55"/>
        <v>0.3877788935059634</v>
      </c>
      <c r="AS149" s="166">
        <f t="shared" si="56"/>
        <v>35.485793762571326</v>
      </c>
      <c r="AT149" s="163">
        <v>1.08</v>
      </c>
      <c r="AU149" s="164">
        <f t="shared" si="57"/>
        <v>-26.401490017437389</v>
      </c>
      <c r="AV149" s="164">
        <f t="shared" si="58"/>
        <v>1.0821930998657145</v>
      </c>
      <c r="AW149" s="168">
        <f t="shared" si="59"/>
        <v>2.1930998657144762E-3</v>
      </c>
      <c r="AX149" s="168">
        <f t="shared" si="60"/>
        <v>366.24892230505634</v>
      </c>
      <c r="AY149" s="168">
        <f t="shared" si="61"/>
        <v>8.0322046232529072</v>
      </c>
      <c r="AZ149" s="168">
        <f t="shared" si="62"/>
        <v>21.930998657144762</v>
      </c>
    </row>
    <row r="150" spans="1:52" ht="18" x14ac:dyDescent="0.25">
      <c r="A150">
        <v>3</v>
      </c>
      <c r="B150" t="s">
        <v>56</v>
      </c>
      <c r="C150" t="s">
        <v>26</v>
      </c>
      <c r="D150" t="s">
        <v>427</v>
      </c>
      <c r="E150">
        <v>2</v>
      </c>
      <c r="F150" s="9" t="s">
        <v>72</v>
      </c>
      <c r="G150">
        <v>139</v>
      </c>
      <c r="H150">
        <v>4.7110000000000003</v>
      </c>
      <c r="Q150" s="169">
        <v>595</v>
      </c>
      <c r="R150" s="169" t="s">
        <v>270</v>
      </c>
      <c r="S150" s="169">
        <v>5.2890024999999996</v>
      </c>
      <c r="T150" s="169">
        <v>696.00385347508029</v>
      </c>
      <c r="U150" s="169">
        <v>7.0122355000000001</v>
      </c>
      <c r="V150" s="169">
        <v>-22.448061683442685</v>
      </c>
      <c r="W150" s="156">
        <v>4.7110000000000003</v>
      </c>
      <c r="X150" s="173">
        <v>5.451099000000001</v>
      </c>
      <c r="Y150" s="173">
        <v>7.7909153345735138</v>
      </c>
      <c r="Z150" s="173">
        <v>3.7938777499999992</v>
      </c>
      <c r="AA150" s="173">
        <v>-24.822546179307107</v>
      </c>
      <c r="AB150" s="173">
        <v>2.1543999999999999</v>
      </c>
      <c r="AC150" s="173">
        <v>2.1543999999999999</v>
      </c>
      <c r="AD150" s="158">
        <f t="shared" si="0"/>
        <v>1.1145290151582275E-2</v>
      </c>
      <c r="AE150" s="158">
        <f t="shared" si="1"/>
        <v>0.26127342664111941</v>
      </c>
      <c r="AF150" s="159">
        <f t="shared" si="2"/>
        <v>5.8947467474944025E-2</v>
      </c>
      <c r="AG150" s="159">
        <f t="shared" si="3"/>
        <v>1.8321107974995032</v>
      </c>
      <c r="AH150" s="160">
        <f t="shared" si="4"/>
        <v>1.2512729245371264</v>
      </c>
      <c r="AI150" s="160">
        <f t="shared" si="5"/>
        <v>38.89006150497778</v>
      </c>
      <c r="AJ150" s="161">
        <f t="shared" si="6"/>
        <v>31.080398802175054</v>
      </c>
      <c r="AK150" s="171">
        <f t="shared" si="50"/>
        <v>690.19293814050673</v>
      </c>
      <c r="AL150" s="162">
        <f t="shared" si="7"/>
        <v>-23.655515504135579</v>
      </c>
      <c r="AM150" s="163">
        <v>0.36599999999999999</v>
      </c>
      <c r="AN150" s="164">
        <f t="shared" si="51"/>
        <v>690.19293814050673</v>
      </c>
      <c r="AO150" s="165">
        <f t="shared" si="52"/>
        <v>0.61747843837000205</v>
      </c>
      <c r="AP150" s="166">
        <f t="shared" si="53"/>
        <v>0.25147843837000206</v>
      </c>
      <c r="AQ150" s="166">
        <f t="shared" si="54"/>
        <v>12.512729245371263</v>
      </c>
      <c r="AR150" s="166">
        <f t="shared" si="55"/>
        <v>31.466816103726195</v>
      </c>
      <c r="AS150" s="166">
        <f t="shared" si="56"/>
        <v>2514.7843837000205</v>
      </c>
      <c r="AT150" s="163">
        <v>1.08</v>
      </c>
      <c r="AU150" s="164">
        <f t="shared" si="57"/>
        <v>-23.655515504135579</v>
      </c>
      <c r="AV150" s="164">
        <f t="shared" si="58"/>
        <v>1.0852122352315208</v>
      </c>
      <c r="AW150" s="168">
        <f t="shared" si="59"/>
        <v>5.212235231520701E-3</v>
      </c>
      <c r="AX150" s="168">
        <f t="shared" si="60"/>
        <v>388.9006150497778</v>
      </c>
      <c r="AY150" s="168">
        <f t="shared" si="61"/>
        <v>20.270414873225214</v>
      </c>
      <c r="AZ150" s="168">
        <f t="shared" si="62"/>
        <v>52.12235231520701</v>
      </c>
    </row>
    <row r="151" spans="1:52" ht="18" x14ac:dyDescent="0.25">
      <c r="A151">
        <v>3</v>
      </c>
      <c r="B151" t="s">
        <v>56</v>
      </c>
      <c r="C151" t="s">
        <v>26</v>
      </c>
      <c r="D151" t="s">
        <v>428</v>
      </c>
      <c r="E151">
        <v>2</v>
      </c>
      <c r="F151" s="9" t="s">
        <v>73</v>
      </c>
      <c r="G151">
        <v>140</v>
      </c>
      <c r="H151">
        <v>4.4240000000000004</v>
      </c>
      <c r="Q151" s="154">
        <v>596</v>
      </c>
      <c r="R151" s="154" t="s">
        <v>271</v>
      </c>
      <c r="S151" s="154">
        <v>4.8677405</v>
      </c>
      <c r="T151" s="154">
        <v>238.04185324520924</v>
      </c>
      <c r="U151" s="154">
        <v>6.7517664999999996</v>
      </c>
      <c r="V151" s="154">
        <v>-24.799787154182287</v>
      </c>
      <c r="W151" s="156">
        <v>4.4240000000000004</v>
      </c>
      <c r="X151" s="173">
        <v>5.451099000000001</v>
      </c>
      <c r="Y151" s="173">
        <v>7.7909153345735138</v>
      </c>
      <c r="Z151" s="173">
        <v>3.7938777499999992</v>
      </c>
      <c r="AA151" s="173">
        <v>-24.822546179307107</v>
      </c>
      <c r="AB151" s="173">
        <v>2.1543999999999999</v>
      </c>
      <c r="AC151" s="173">
        <v>2.1543999999999999</v>
      </c>
      <c r="AD151" s="158">
        <f t="shared" ref="AD151:AD159" si="63">((2.82/100)*AB151)/X151</f>
        <v>1.1145290151582275E-2</v>
      </c>
      <c r="AE151" s="158">
        <f t="shared" ref="AE151:AE159" si="64">((46.01/100)*AC151)/Z151</f>
        <v>0.26127342664111941</v>
      </c>
      <c r="AF151" s="159">
        <f t="shared" ref="AF151:AF159" si="65">S151*AD151</f>
        <v>5.425238025510818E-2</v>
      </c>
      <c r="AG151" s="159">
        <f t="shared" ref="AG151:AG159" si="66">U151*AE151</f>
        <v>1.7640571693357174</v>
      </c>
      <c r="AH151" s="160">
        <f t="shared" ref="AH151:AH159" si="67">100*AF151/W151</f>
        <v>1.2263196260196241</v>
      </c>
      <c r="AI151" s="160">
        <f t="shared" ref="AI151:AI159" si="68">100*AG151/W151</f>
        <v>39.874709975942977</v>
      </c>
      <c r="AJ151" s="161">
        <f t="shared" ref="AJ151:AJ159" si="69">AG151/AF151</f>
        <v>32.515756194303037</v>
      </c>
      <c r="AK151" s="162">
        <f t="shared" ref="AK151:AK159" si="70">T151+(1.98-Y151)</f>
        <v>232.23093791063573</v>
      </c>
      <c r="AL151" s="162">
        <f t="shared" ref="AL151:AL159" si="71">V151+(-26.03-AA151)</f>
        <v>-26.007240974875181</v>
      </c>
      <c r="AM151" s="163">
        <v>0.36599999999999999</v>
      </c>
      <c r="AN151" s="164">
        <f t="shared" si="51"/>
        <v>232.23093791063573</v>
      </c>
      <c r="AO151" s="165">
        <f t="shared" si="52"/>
        <v>0.45092554393972634</v>
      </c>
      <c r="AP151" s="166">
        <f t="shared" si="53"/>
        <v>8.4925543939726345E-2</v>
      </c>
      <c r="AQ151" s="166">
        <f t="shared" si="54"/>
        <v>12.26319626019624</v>
      </c>
      <c r="AR151" s="166">
        <f t="shared" si="55"/>
        <v>10.414586128367835</v>
      </c>
      <c r="AS151" s="166">
        <f t="shared" si="56"/>
        <v>849.25543939726344</v>
      </c>
      <c r="AT151" s="163">
        <v>1.08</v>
      </c>
      <c r="AU151" s="164">
        <f t="shared" si="57"/>
        <v>-26.007240974875181</v>
      </c>
      <c r="AV151" s="164">
        <f t="shared" si="58"/>
        <v>1.082626578886029</v>
      </c>
      <c r="AW151" s="168">
        <f t="shared" si="59"/>
        <v>2.6265788860289074E-3</v>
      </c>
      <c r="AX151" s="168">
        <f t="shared" si="60"/>
        <v>398.74709975942977</v>
      </c>
      <c r="AY151" s="168">
        <f t="shared" si="61"/>
        <v>10.473407130933806</v>
      </c>
      <c r="AZ151" s="168">
        <f t="shared" si="62"/>
        <v>26.265788860289074</v>
      </c>
    </row>
    <row r="152" spans="1:52" ht="18" x14ac:dyDescent="0.25">
      <c r="A152">
        <v>3</v>
      </c>
      <c r="B152" t="s">
        <v>56</v>
      </c>
      <c r="C152" t="s">
        <v>28</v>
      </c>
      <c r="D152" t="s">
        <v>427</v>
      </c>
      <c r="E152">
        <v>2</v>
      </c>
      <c r="F152" s="9" t="s">
        <v>74</v>
      </c>
      <c r="G152">
        <v>141</v>
      </c>
      <c r="H152">
        <v>4.1920000000000002</v>
      </c>
      <c r="Q152" s="169">
        <v>597</v>
      </c>
      <c r="R152" s="169" t="s">
        <v>272</v>
      </c>
      <c r="S152" s="169">
        <v>5.0681649999999996</v>
      </c>
      <c r="T152" s="169">
        <v>159.41486095301281</v>
      </c>
      <c r="U152" s="169">
        <v>6.2420520000000002</v>
      </c>
      <c r="V152" s="169">
        <v>-26.658928761999896</v>
      </c>
      <c r="W152" s="156">
        <v>4.1920000000000002</v>
      </c>
      <c r="X152" s="173">
        <v>5.451099000000001</v>
      </c>
      <c r="Y152" s="173">
        <v>7.7909153345735138</v>
      </c>
      <c r="Z152" s="173">
        <v>3.7938777499999992</v>
      </c>
      <c r="AA152" s="173">
        <v>-24.822546179307107</v>
      </c>
      <c r="AB152" s="173">
        <v>2.1543999999999999</v>
      </c>
      <c r="AC152" s="173">
        <v>2.1543999999999999</v>
      </c>
      <c r="AD152" s="158">
        <f t="shared" si="63"/>
        <v>1.1145290151582275E-2</v>
      </c>
      <c r="AE152" s="158">
        <f t="shared" si="64"/>
        <v>0.26127342664111941</v>
      </c>
      <c r="AF152" s="159">
        <f t="shared" si="65"/>
        <v>5.6486169461093978E-2</v>
      </c>
      <c r="AG152" s="159">
        <f t="shared" si="66"/>
        <v>1.6308823153120526</v>
      </c>
      <c r="AH152" s="160">
        <f t="shared" si="67"/>
        <v>1.3474754165337304</v>
      </c>
      <c r="AI152" s="160">
        <f t="shared" si="68"/>
        <v>38.904635384352396</v>
      </c>
      <c r="AJ152" s="161">
        <f t="shared" si="69"/>
        <v>28.872241309182005</v>
      </c>
      <c r="AK152" s="162">
        <f t="shared" si="70"/>
        <v>153.6039456184393</v>
      </c>
      <c r="AL152" s="162">
        <f t="shared" si="71"/>
        <v>-27.86638258269279</v>
      </c>
      <c r="AM152" s="163">
        <v>0.36599999999999999</v>
      </c>
      <c r="AN152" s="164">
        <f t="shared" si="51"/>
        <v>153.6039456184393</v>
      </c>
      <c r="AO152" s="165">
        <f t="shared" si="52"/>
        <v>0.4222740945707889</v>
      </c>
      <c r="AP152" s="166">
        <f t="shared" si="53"/>
        <v>5.6274094570788913E-2</v>
      </c>
      <c r="AQ152" s="166">
        <f t="shared" si="54"/>
        <v>13.474754165337304</v>
      </c>
      <c r="AR152" s="166">
        <f t="shared" si="55"/>
        <v>7.5827959021832321</v>
      </c>
      <c r="AS152" s="166">
        <f t="shared" si="56"/>
        <v>562.74094570788918</v>
      </c>
      <c r="AT152" s="163">
        <v>1.08</v>
      </c>
      <c r="AU152" s="164">
        <f t="shared" si="57"/>
        <v>-27.86638258269279</v>
      </c>
      <c r="AV152" s="164">
        <f t="shared" si="58"/>
        <v>1.0805824090382208</v>
      </c>
      <c r="AW152" s="168">
        <f t="shared" si="59"/>
        <v>5.8240903822071033E-4</v>
      </c>
      <c r="AX152" s="168">
        <f t="shared" si="60"/>
        <v>389.046353843524</v>
      </c>
      <c r="AY152" s="168">
        <f t="shared" si="61"/>
        <v>2.2658411276528101</v>
      </c>
      <c r="AZ152" s="168">
        <f t="shared" si="62"/>
        <v>5.8240903822071033</v>
      </c>
    </row>
    <row r="153" spans="1:52" ht="18" x14ac:dyDescent="0.25">
      <c r="A153">
        <v>3</v>
      </c>
      <c r="B153" t="s">
        <v>56</v>
      </c>
      <c r="C153" t="s">
        <v>28</v>
      </c>
      <c r="D153" t="s">
        <v>428</v>
      </c>
      <c r="E153">
        <v>2</v>
      </c>
      <c r="F153" s="9" t="s">
        <v>75</v>
      </c>
      <c r="G153">
        <v>142</v>
      </c>
      <c r="H153">
        <v>4.7610000000000001</v>
      </c>
      <c r="Q153" s="154">
        <v>598</v>
      </c>
      <c r="R153" s="154" t="s">
        <v>273</v>
      </c>
      <c r="S153" s="154">
        <v>5.0123755000000001</v>
      </c>
      <c r="T153" s="154">
        <v>110.12778719902521</v>
      </c>
      <c r="U153" s="154">
        <v>6.7313204999999998</v>
      </c>
      <c r="V153" s="154">
        <v>-24.767598066370386</v>
      </c>
      <c r="W153" s="156">
        <v>4.7610000000000001</v>
      </c>
      <c r="X153" s="173">
        <v>5.451099000000001</v>
      </c>
      <c r="Y153" s="173">
        <v>7.7909153345735138</v>
      </c>
      <c r="Z153" s="173">
        <v>3.7938777499999992</v>
      </c>
      <c r="AA153" s="173">
        <v>-24.822546179307107</v>
      </c>
      <c r="AB153" s="173">
        <v>2.1543999999999999</v>
      </c>
      <c r="AC153" s="173">
        <v>2.1543999999999999</v>
      </c>
      <c r="AD153" s="158">
        <f t="shared" si="63"/>
        <v>1.1145290151582275E-2</v>
      </c>
      <c r="AE153" s="158">
        <f t="shared" si="64"/>
        <v>0.26127342664111941</v>
      </c>
      <c r="AF153" s="159">
        <f t="shared" si="65"/>
        <v>5.5864379296182279E-2</v>
      </c>
      <c r="AG153" s="159">
        <f t="shared" si="66"/>
        <v>1.7587151728546131</v>
      </c>
      <c r="AH153" s="160">
        <f t="shared" si="67"/>
        <v>1.1733749064520538</v>
      </c>
      <c r="AI153" s="160">
        <f t="shared" si="68"/>
        <v>36.940037237021912</v>
      </c>
      <c r="AJ153" s="161">
        <f t="shared" si="69"/>
        <v>31.481870827387894</v>
      </c>
      <c r="AK153" s="162">
        <f t="shared" si="70"/>
        <v>104.3168718644517</v>
      </c>
      <c r="AL153" s="162">
        <f t="shared" si="71"/>
        <v>-25.97505188706328</v>
      </c>
      <c r="AM153" s="163">
        <v>0.36599999999999999</v>
      </c>
      <c r="AN153" s="164">
        <f t="shared" si="51"/>
        <v>104.3168718644517</v>
      </c>
      <c r="AO153" s="165">
        <f t="shared" si="52"/>
        <v>0.40430561605485316</v>
      </c>
      <c r="AP153" s="166">
        <f t="shared" si="53"/>
        <v>3.8305616054853164E-2</v>
      </c>
      <c r="AQ153" s="166">
        <f t="shared" si="54"/>
        <v>11.733749064520538</v>
      </c>
      <c r="AR153" s="166">
        <f t="shared" si="55"/>
        <v>4.4946848654951621</v>
      </c>
      <c r="AS153" s="166">
        <f t="shared" si="56"/>
        <v>383.05616054853164</v>
      </c>
      <c r="AT153" s="163">
        <v>1.08</v>
      </c>
      <c r="AU153" s="164">
        <f t="shared" si="57"/>
        <v>-25.97505188706328</v>
      </c>
      <c r="AV153" s="164">
        <f t="shared" si="58"/>
        <v>1.08266197079978</v>
      </c>
      <c r="AW153" s="168">
        <f t="shared" si="59"/>
        <v>2.6619707997799225E-3</v>
      </c>
      <c r="AX153" s="168">
        <f t="shared" si="60"/>
        <v>369.40037237021909</v>
      </c>
      <c r="AY153" s="168">
        <f t="shared" si="61"/>
        <v>9.8333300467735327</v>
      </c>
      <c r="AZ153" s="168">
        <f t="shared" si="62"/>
        <v>26.619707997799221</v>
      </c>
    </row>
    <row r="154" spans="1:52" ht="18" x14ac:dyDescent="0.25">
      <c r="A154">
        <v>3</v>
      </c>
      <c r="B154" t="s">
        <v>56</v>
      </c>
      <c r="C154" t="s">
        <v>30</v>
      </c>
      <c r="D154" t="s">
        <v>427</v>
      </c>
      <c r="E154">
        <v>2</v>
      </c>
      <c r="F154" s="9" t="s">
        <v>76</v>
      </c>
      <c r="G154">
        <v>143</v>
      </c>
      <c r="H154">
        <v>4.3410000000000002</v>
      </c>
      <c r="I154" t="s">
        <v>442</v>
      </c>
      <c r="Q154" s="169">
        <v>599</v>
      </c>
      <c r="R154" s="169" t="s">
        <v>274</v>
      </c>
      <c r="S154" s="169">
        <v>5.4522674999999996</v>
      </c>
      <c r="T154" s="169">
        <v>9.2318380173411594</v>
      </c>
      <c r="U154" s="169">
        <v>5.9756819999999999</v>
      </c>
      <c r="V154" s="169">
        <v>-28.070477357115671</v>
      </c>
      <c r="W154" s="156">
        <v>4.3410000000000002</v>
      </c>
      <c r="X154" s="173">
        <v>5.451099000000001</v>
      </c>
      <c r="Y154" s="173">
        <v>7.7909153345735138</v>
      </c>
      <c r="Z154" s="173">
        <v>3.7938777499999992</v>
      </c>
      <c r="AA154" s="173">
        <v>-24.822546179307107</v>
      </c>
      <c r="AB154" s="173">
        <v>2.1543999999999999</v>
      </c>
      <c r="AC154" s="173">
        <v>2.1543999999999999</v>
      </c>
      <c r="AD154" s="158">
        <f t="shared" si="63"/>
        <v>1.1145290151582275E-2</v>
      </c>
      <c r="AE154" s="158">
        <f t="shared" si="64"/>
        <v>0.26127342664111941</v>
      </c>
      <c r="AF154" s="159">
        <f t="shared" si="65"/>
        <v>6.0767103271542104E-2</v>
      </c>
      <c r="AG154" s="159">
        <f t="shared" si="66"/>
        <v>1.5612869126576576</v>
      </c>
      <c r="AH154" s="160">
        <f t="shared" si="67"/>
        <v>1.3998411258129948</v>
      </c>
      <c r="AI154" s="160">
        <f t="shared" si="68"/>
        <v>35.966065714297571</v>
      </c>
      <c r="AJ154" s="161">
        <f t="shared" si="69"/>
        <v>25.692962616317853</v>
      </c>
      <c r="AK154" s="162">
        <f t="shared" si="70"/>
        <v>3.420922682767646</v>
      </c>
      <c r="AL154" s="162">
        <f t="shared" si="71"/>
        <v>-29.277931177808565</v>
      </c>
      <c r="AM154" s="163">
        <v>0.36599999999999999</v>
      </c>
      <c r="AN154" s="164">
        <f t="shared" si="51"/>
        <v>3.420922682767646</v>
      </c>
      <c r="AO154" s="165">
        <f t="shared" si="52"/>
        <v>0.36750197247548116</v>
      </c>
      <c r="AP154" s="166">
        <f t="shared" si="53"/>
        <v>1.5019724754811725E-3</v>
      </c>
      <c r="AQ154" s="166">
        <f t="shared" si="54"/>
        <v>13.998411258129948</v>
      </c>
      <c r="AR154" s="166">
        <f t="shared" si="55"/>
        <v>0.21025228410176952</v>
      </c>
      <c r="AS154" s="166">
        <f t="shared" si="56"/>
        <v>15.019724754811726</v>
      </c>
      <c r="AT154" s="163">
        <v>1.08</v>
      </c>
      <c r="AU154" s="164">
        <f t="shared" si="57"/>
        <v>-29.277931177808565</v>
      </c>
      <c r="AV154" s="164">
        <f t="shared" si="58"/>
        <v>1.0790303217908284</v>
      </c>
      <c r="AW154" s="168">
        <f t="shared" si="59"/>
        <v>-9.6967820917170933E-4</v>
      </c>
      <c r="AX154" s="168">
        <f t="shared" si="60"/>
        <v>359.66065714297571</v>
      </c>
      <c r="AY154" s="168">
        <f t="shared" si="61"/>
        <v>-3.4875510192792083</v>
      </c>
      <c r="AZ154" s="168">
        <f t="shared" si="62"/>
        <v>-9.6967820917170933</v>
      </c>
    </row>
    <row r="155" spans="1:52" ht="18" x14ac:dyDescent="0.25">
      <c r="A155">
        <v>3</v>
      </c>
      <c r="B155" t="s">
        <v>56</v>
      </c>
      <c r="C155" t="s">
        <v>30</v>
      </c>
      <c r="D155" t="s">
        <v>428</v>
      </c>
      <c r="E155">
        <v>2</v>
      </c>
      <c r="F155" s="9" t="s">
        <v>77</v>
      </c>
      <c r="G155">
        <v>144</v>
      </c>
      <c r="H155">
        <v>4.5069999999999997</v>
      </c>
      <c r="Q155" s="154">
        <v>600</v>
      </c>
      <c r="R155" s="154" t="s">
        <v>275</v>
      </c>
      <c r="S155" s="154">
        <v>4.7691315000000003</v>
      </c>
      <c r="T155" s="154">
        <v>15.720198064903094</v>
      </c>
      <c r="U155" s="154">
        <v>6.2287499999999998</v>
      </c>
      <c r="V155" s="154">
        <v>-24.944956628539824</v>
      </c>
      <c r="W155" s="156">
        <v>4.5069999999999997</v>
      </c>
      <c r="X155" s="173">
        <v>5.451099000000001</v>
      </c>
      <c r="Y155" s="173">
        <v>7.7909153345735138</v>
      </c>
      <c r="Z155" s="173">
        <v>3.7938777499999992</v>
      </c>
      <c r="AA155" s="173">
        <v>-24.822546179307107</v>
      </c>
      <c r="AB155" s="173">
        <v>2.1543999999999999</v>
      </c>
      <c r="AC155" s="173">
        <v>2.1543999999999999</v>
      </c>
      <c r="AD155" s="158">
        <f t="shared" si="63"/>
        <v>1.1145290151582275E-2</v>
      </c>
      <c r="AE155" s="158">
        <f t="shared" si="64"/>
        <v>0.26127342664111941</v>
      </c>
      <c r="AF155" s="159">
        <f t="shared" si="65"/>
        <v>5.3153354338550805E-2</v>
      </c>
      <c r="AG155" s="159">
        <f t="shared" si="66"/>
        <v>1.6274068561908726</v>
      </c>
      <c r="AH155" s="160">
        <f t="shared" si="67"/>
        <v>1.1793511058032131</v>
      </c>
      <c r="AI155" s="160">
        <f t="shared" si="68"/>
        <v>36.108428138248783</v>
      </c>
      <c r="AJ155" s="161">
        <f t="shared" si="69"/>
        <v>30.617199543520716</v>
      </c>
      <c r="AK155" s="162">
        <f t="shared" si="70"/>
        <v>9.909282730329581</v>
      </c>
      <c r="AL155" s="162">
        <f t="shared" si="71"/>
        <v>-26.152410449232718</v>
      </c>
      <c r="AM155" s="163">
        <v>0.36599999999999999</v>
      </c>
      <c r="AN155" s="164">
        <f t="shared" si="51"/>
        <v>9.909282730329581</v>
      </c>
      <c r="AO155" s="165">
        <f t="shared" si="52"/>
        <v>0.36986953884549223</v>
      </c>
      <c r="AP155" s="166">
        <f t="shared" si="53"/>
        <v>3.8695388454922375E-3</v>
      </c>
      <c r="AQ155" s="166">
        <f t="shared" si="54"/>
        <v>11.793511058032131</v>
      </c>
      <c r="AR155" s="166">
        <f t="shared" si="55"/>
        <v>0.45635449163797592</v>
      </c>
      <c r="AS155" s="166">
        <f t="shared" si="56"/>
        <v>38.695388454922373</v>
      </c>
      <c r="AT155" s="163">
        <v>1.08</v>
      </c>
      <c r="AU155" s="164">
        <f t="shared" si="57"/>
        <v>-26.152410449232718</v>
      </c>
      <c r="AV155" s="164">
        <f t="shared" si="58"/>
        <v>1.0824669646815348</v>
      </c>
      <c r="AW155" s="168">
        <f t="shared" si="59"/>
        <v>2.4669646815347335E-3</v>
      </c>
      <c r="AX155" s="168">
        <f t="shared" si="60"/>
        <v>361.0842813824878</v>
      </c>
      <c r="AY155" s="168">
        <f t="shared" si="61"/>
        <v>8.9078216922794713</v>
      </c>
      <c r="AZ155" s="168">
        <f t="shared" si="62"/>
        <v>24.669646815347335</v>
      </c>
    </row>
    <row r="156" spans="1:52" ht="18" x14ac:dyDescent="0.25">
      <c r="A156">
        <v>4</v>
      </c>
      <c r="B156" t="s">
        <v>25</v>
      </c>
      <c r="C156" t="s">
        <v>26</v>
      </c>
      <c r="D156" t="s">
        <v>427</v>
      </c>
      <c r="E156">
        <v>2</v>
      </c>
      <c r="F156" s="9" t="s">
        <v>78</v>
      </c>
      <c r="G156">
        <v>145</v>
      </c>
      <c r="H156">
        <v>4.1890000000000001</v>
      </c>
      <c r="Q156" s="169">
        <v>601</v>
      </c>
      <c r="R156" s="169" t="s">
        <v>276</v>
      </c>
      <c r="S156" s="169">
        <v>4.3486995000000004</v>
      </c>
      <c r="T156" s="169">
        <v>492.68594552276664</v>
      </c>
      <c r="U156" s="169">
        <v>6.2545919999999997</v>
      </c>
      <c r="V156" s="169">
        <v>-24.762571944264518</v>
      </c>
      <c r="W156" s="156">
        <v>4.1890000000000001</v>
      </c>
      <c r="X156" s="173">
        <v>5.451099000000001</v>
      </c>
      <c r="Y156" s="173">
        <v>7.7909153345735138</v>
      </c>
      <c r="Z156" s="173">
        <v>3.7938777499999992</v>
      </c>
      <c r="AA156" s="173">
        <v>-24.822546179307107</v>
      </c>
      <c r="AB156" s="173">
        <v>2.1543999999999999</v>
      </c>
      <c r="AC156" s="173">
        <v>2.1543999999999999</v>
      </c>
      <c r="AD156" s="158">
        <f t="shared" si="63"/>
        <v>1.1145290151582275E-2</v>
      </c>
      <c r="AE156" s="158">
        <f t="shared" si="64"/>
        <v>0.26127342664111941</v>
      </c>
      <c r="AF156" s="159">
        <f t="shared" si="65"/>
        <v>4.8467517709540768E-2</v>
      </c>
      <c r="AG156" s="159">
        <f t="shared" si="66"/>
        <v>1.6341586840821323</v>
      </c>
      <c r="AH156" s="160">
        <f t="shared" si="67"/>
        <v>1.1570188042382614</v>
      </c>
      <c r="AI156" s="160">
        <f t="shared" si="68"/>
        <v>39.010711006973793</v>
      </c>
      <c r="AJ156" s="161">
        <f t="shared" si="69"/>
        <v>33.716574755807024</v>
      </c>
      <c r="AK156" s="162">
        <f t="shared" si="70"/>
        <v>486.87503018819314</v>
      </c>
      <c r="AL156" s="162">
        <f t="shared" si="71"/>
        <v>-25.970025764957413</v>
      </c>
      <c r="AM156" s="163">
        <v>0.36599999999999999</v>
      </c>
      <c r="AN156" s="164">
        <f t="shared" si="51"/>
        <v>486.87503018819314</v>
      </c>
      <c r="AO156" s="165">
        <f t="shared" si="52"/>
        <v>0.54360405580980253</v>
      </c>
      <c r="AP156" s="166">
        <f t="shared" si="53"/>
        <v>0.17760405580980254</v>
      </c>
      <c r="AQ156" s="166">
        <f t="shared" si="54"/>
        <v>11.570188042382613</v>
      </c>
      <c r="AR156" s="166">
        <f t="shared" si="55"/>
        <v>20.54912322809232</v>
      </c>
      <c r="AS156" s="166">
        <f t="shared" si="56"/>
        <v>1776.0405580980255</v>
      </c>
      <c r="AT156" s="163">
        <v>1.08</v>
      </c>
      <c r="AU156" s="164">
        <f t="shared" si="57"/>
        <v>-25.970025764957413</v>
      </c>
      <c r="AV156" s="164">
        <f t="shared" si="58"/>
        <v>1.0826674970205767</v>
      </c>
      <c r="AW156" s="168">
        <f t="shared" si="59"/>
        <v>2.6674970205766702E-3</v>
      </c>
      <c r="AX156" s="168">
        <f t="shared" si="60"/>
        <v>390.10711006973793</v>
      </c>
      <c r="AY156" s="168">
        <f t="shared" si="61"/>
        <v>10.40609553816801</v>
      </c>
      <c r="AZ156" s="168">
        <f t="shared" si="62"/>
        <v>26.674970205766702</v>
      </c>
    </row>
    <row r="157" spans="1:52" ht="18" x14ac:dyDescent="0.25">
      <c r="A157">
        <v>4</v>
      </c>
      <c r="B157" t="s">
        <v>25</v>
      </c>
      <c r="C157" t="s">
        <v>26</v>
      </c>
      <c r="D157" t="s">
        <v>428</v>
      </c>
      <c r="E157">
        <v>2</v>
      </c>
      <c r="F157" s="9" t="s">
        <v>79</v>
      </c>
      <c r="G157">
        <v>146</v>
      </c>
      <c r="H157">
        <v>4.6879999999999997</v>
      </c>
      <c r="Q157" s="154">
        <v>602</v>
      </c>
      <c r="R157" s="154" t="s">
        <v>277</v>
      </c>
      <c r="S157" s="154">
        <v>5.3443265000000002</v>
      </c>
      <c r="T157" s="154">
        <v>125.08375529826928</v>
      </c>
      <c r="U157" s="154">
        <v>6.5984090000000002</v>
      </c>
      <c r="V157" s="154">
        <v>-24.252089499198497</v>
      </c>
      <c r="W157" s="156">
        <v>4.6879999999999997</v>
      </c>
      <c r="X157" s="173">
        <v>5.451099000000001</v>
      </c>
      <c r="Y157" s="173">
        <v>7.7909153345735138</v>
      </c>
      <c r="Z157" s="173">
        <v>3.7938777499999992</v>
      </c>
      <c r="AA157" s="173">
        <v>-24.822546179307107</v>
      </c>
      <c r="AB157" s="173">
        <v>2.1543999999999999</v>
      </c>
      <c r="AC157" s="173">
        <v>2.1543999999999999</v>
      </c>
      <c r="AD157" s="158">
        <f t="shared" si="63"/>
        <v>1.1145290151582275E-2</v>
      </c>
      <c r="AE157" s="158">
        <f t="shared" si="64"/>
        <v>0.26127342664111941</v>
      </c>
      <c r="AF157" s="159">
        <f t="shared" si="65"/>
        <v>5.9564069507290172E-2</v>
      </c>
      <c r="AG157" s="159">
        <f t="shared" si="66"/>
        <v>1.7239889298096021</v>
      </c>
      <c r="AH157" s="160">
        <f t="shared" si="67"/>
        <v>1.2705646225957803</v>
      </c>
      <c r="AI157" s="160">
        <f t="shared" si="68"/>
        <v>36.77450788843008</v>
      </c>
      <c r="AJ157" s="161">
        <f t="shared" si="69"/>
        <v>28.94343761382186</v>
      </c>
      <c r="AK157" s="162">
        <f t="shared" si="70"/>
        <v>119.27283996369577</v>
      </c>
      <c r="AL157" s="162">
        <f t="shared" si="71"/>
        <v>-25.459543319891392</v>
      </c>
      <c r="AM157" s="163">
        <v>0.36599999999999999</v>
      </c>
      <c r="AN157" s="164">
        <f t="shared" si="51"/>
        <v>119.27283996369577</v>
      </c>
      <c r="AO157" s="165">
        <f t="shared" si="52"/>
        <v>0.40975876526469807</v>
      </c>
      <c r="AP157" s="166">
        <f t="shared" si="53"/>
        <v>4.3758765264698074E-2</v>
      </c>
      <c r="AQ157" s="166">
        <f t="shared" si="54"/>
        <v>12.705646225957802</v>
      </c>
      <c r="AR157" s="166">
        <f t="shared" si="55"/>
        <v>5.5598339073798444</v>
      </c>
      <c r="AS157" s="166">
        <f t="shared" si="56"/>
        <v>437.58765264698076</v>
      </c>
      <c r="AT157" s="163">
        <v>1.08</v>
      </c>
      <c r="AU157" s="164">
        <f t="shared" si="57"/>
        <v>-25.459543319891392</v>
      </c>
      <c r="AV157" s="164">
        <f t="shared" si="58"/>
        <v>1.0832287692062093</v>
      </c>
      <c r="AW157" s="168">
        <f t="shared" si="59"/>
        <v>3.2287692062091811E-3</v>
      </c>
      <c r="AX157" s="168">
        <f t="shared" si="60"/>
        <v>367.74507888430082</v>
      </c>
      <c r="AY157" s="168">
        <f t="shared" si="61"/>
        <v>11.873639864365966</v>
      </c>
      <c r="AZ157" s="168">
        <f t="shared" si="62"/>
        <v>32.287692062091807</v>
      </c>
    </row>
    <row r="158" spans="1:52" ht="18" x14ac:dyDescent="0.25">
      <c r="A158">
        <v>4</v>
      </c>
      <c r="B158" t="s">
        <v>25</v>
      </c>
      <c r="C158" t="s">
        <v>28</v>
      </c>
      <c r="D158" t="s">
        <v>427</v>
      </c>
      <c r="E158">
        <v>2</v>
      </c>
      <c r="F158" s="9" t="s">
        <v>80</v>
      </c>
      <c r="G158">
        <v>147</v>
      </c>
      <c r="H158">
        <v>4.4610000000000003</v>
      </c>
      <c r="Q158" s="169">
        <v>603</v>
      </c>
      <c r="R158" s="169" t="s">
        <v>278</v>
      </c>
      <c r="S158" s="169">
        <v>6.0623174999999998</v>
      </c>
      <c r="T158" s="169">
        <v>296.004760428336</v>
      </c>
      <c r="U158" s="169">
        <v>6.3560509999999999</v>
      </c>
      <c r="V158" s="169">
        <v>-22.584729414446194</v>
      </c>
      <c r="W158" s="156">
        <v>4.4610000000000003</v>
      </c>
      <c r="X158" s="173">
        <v>5.451099000000001</v>
      </c>
      <c r="Y158" s="173">
        <v>7.7909153345735138</v>
      </c>
      <c r="Z158" s="173">
        <v>3.7938777499999992</v>
      </c>
      <c r="AA158" s="173">
        <v>-24.822546179307107</v>
      </c>
      <c r="AB158" s="173">
        <v>2.1543999999999999</v>
      </c>
      <c r="AC158" s="173">
        <v>2.1543999999999999</v>
      </c>
      <c r="AD158" s="158">
        <f t="shared" si="63"/>
        <v>1.1145290151582275E-2</v>
      </c>
      <c r="AE158" s="158">
        <f t="shared" si="64"/>
        <v>0.26127342664111941</v>
      </c>
      <c r="AF158" s="159">
        <f t="shared" si="65"/>
        <v>6.7566287528514873E-2</v>
      </c>
      <c r="AG158" s="159">
        <f t="shared" si="66"/>
        <v>1.6606672246757137</v>
      </c>
      <c r="AH158" s="160">
        <f t="shared" si="67"/>
        <v>1.5145995859339805</v>
      </c>
      <c r="AI158" s="160">
        <f t="shared" si="68"/>
        <v>37.226344422230746</v>
      </c>
      <c r="AJ158" s="161">
        <f t="shared" si="69"/>
        <v>24.578340551489756</v>
      </c>
      <c r="AK158" s="162">
        <f t="shared" si="70"/>
        <v>290.19384509376249</v>
      </c>
      <c r="AL158" s="162">
        <f t="shared" si="71"/>
        <v>-23.792183235139088</v>
      </c>
      <c r="AM158" s="163">
        <v>0.36599999999999999</v>
      </c>
      <c r="AN158" s="164">
        <f t="shared" si="51"/>
        <v>290.19384509376249</v>
      </c>
      <c r="AO158" s="165">
        <f t="shared" si="52"/>
        <v>0.47203650510658429</v>
      </c>
      <c r="AP158" s="166">
        <f t="shared" si="53"/>
        <v>0.1060365051065843</v>
      </c>
      <c r="AQ158" s="166">
        <f t="shared" si="54"/>
        <v>15.145995859339806</v>
      </c>
      <c r="AR158" s="166">
        <f t="shared" si="55"/>
        <v>16.060284672831898</v>
      </c>
      <c r="AS158" s="166">
        <f t="shared" si="56"/>
        <v>1060.3650510658429</v>
      </c>
      <c r="AT158" s="163">
        <v>1.08</v>
      </c>
      <c r="AU158" s="164">
        <f t="shared" si="57"/>
        <v>-23.792183235139088</v>
      </c>
      <c r="AV158" s="164">
        <f t="shared" si="58"/>
        <v>1.0850619765852665</v>
      </c>
      <c r="AW158" s="168">
        <f t="shared" si="59"/>
        <v>5.0619765852664145E-3</v>
      </c>
      <c r="AX158" s="168">
        <f t="shared" si="60"/>
        <v>372.26344422230744</v>
      </c>
      <c r="AY158" s="168">
        <f t="shared" si="61"/>
        <v>18.843888382039506</v>
      </c>
      <c r="AZ158" s="168">
        <f t="shared" si="62"/>
        <v>50.619765852664145</v>
      </c>
    </row>
    <row r="159" spans="1:52" ht="18" x14ac:dyDescent="0.25">
      <c r="I159" s="25" t="s">
        <v>469</v>
      </c>
      <c r="Q159" s="154">
        <v>604</v>
      </c>
      <c r="R159" s="154" t="s">
        <v>279</v>
      </c>
      <c r="S159" s="154">
        <v>6.2113860000000001</v>
      </c>
      <c r="T159" s="154">
        <v>8.0202644574244033</v>
      </c>
      <c r="U159" s="154">
        <v>4.2412429999999999</v>
      </c>
      <c r="V159" s="154">
        <v>-24.992829806223011</v>
      </c>
      <c r="W159" s="154">
        <v>2.4689999999999999</v>
      </c>
      <c r="X159" s="173">
        <v>5.451099000000001</v>
      </c>
      <c r="Y159" s="173">
        <v>7.7909153345735138</v>
      </c>
      <c r="Z159" s="173">
        <v>3.7938777499999992</v>
      </c>
      <c r="AA159" s="173">
        <v>-24.822546179307107</v>
      </c>
      <c r="AB159" s="173">
        <v>2.1543999999999999</v>
      </c>
      <c r="AC159" s="173">
        <v>2.1543999999999999</v>
      </c>
      <c r="AD159" s="158">
        <f t="shared" si="63"/>
        <v>1.1145290151582275E-2</v>
      </c>
      <c r="AE159" s="158">
        <f t="shared" si="64"/>
        <v>0.26127342664111941</v>
      </c>
      <c r="AF159" s="159">
        <f t="shared" si="65"/>
        <v>6.9227699213476018E-2</v>
      </c>
      <c r="AG159" s="159">
        <f t="shared" si="66"/>
        <v>1.1081240918276611</v>
      </c>
      <c r="AH159" s="160">
        <f t="shared" si="67"/>
        <v>2.8038760313275017</v>
      </c>
      <c r="AI159" s="160">
        <f t="shared" si="68"/>
        <v>44.881494201201349</v>
      </c>
      <c r="AJ159" s="161">
        <f t="shared" si="69"/>
        <v>16.006946705112384</v>
      </c>
      <c r="AK159" s="162">
        <f t="shared" si="70"/>
        <v>2.2093491228508899</v>
      </c>
      <c r="AL159" s="162">
        <f t="shared" si="71"/>
        <v>-26.200283626915905</v>
      </c>
      <c r="AM159" s="163">
        <v>0.36599999999999999</v>
      </c>
      <c r="AN159" s="164">
        <f t="shared" si="51"/>
        <v>2.2093491228508899</v>
      </c>
      <c r="AO159" s="165">
        <f t="shared" si="52"/>
        <v>0.3670598635776357</v>
      </c>
      <c r="AP159" s="166">
        <f t="shared" si="53"/>
        <v>1.0598635776357113E-3</v>
      </c>
      <c r="AQ159" s="166">
        <f t="shared" si="54"/>
        <v>28.03876031327502</v>
      </c>
      <c r="AR159" s="166">
        <f t="shared" si="55"/>
        <v>0.29717260818097857</v>
      </c>
      <c r="AS159" s="166">
        <f t="shared" si="56"/>
        <v>10.598635776357114</v>
      </c>
      <c r="AT159" s="163">
        <v>1.08</v>
      </c>
      <c r="AU159" s="164">
        <f t="shared" si="57"/>
        <v>-26.200283626915905</v>
      </c>
      <c r="AV159" s="164">
        <f t="shared" si="58"/>
        <v>1.0824143278885556</v>
      </c>
      <c r="AW159" s="168">
        <f t="shared" si="59"/>
        <v>2.4143278885555564E-3</v>
      </c>
      <c r="AX159" s="168">
        <f t="shared" si="60"/>
        <v>448.81494201201355</v>
      </c>
      <c r="AY159" s="168">
        <f t="shared" si="61"/>
        <v>10.835864313000492</v>
      </c>
      <c r="AZ159" s="168">
        <f t="shared" si="62"/>
        <v>24.143278885555564</v>
      </c>
    </row>
    <row r="160" spans="1:52" ht="18" x14ac:dyDescent="0.25">
      <c r="A160">
        <v>4</v>
      </c>
      <c r="B160" t="s">
        <v>25</v>
      </c>
      <c r="C160" t="s">
        <v>28</v>
      </c>
      <c r="D160" t="s">
        <v>428</v>
      </c>
      <c r="E160">
        <v>2</v>
      </c>
      <c r="F160" s="9" t="s">
        <v>81</v>
      </c>
      <c r="G160">
        <v>148</v>
      </c>
      <c r="H160">
        <v>4.2380000000000004</v>
      </c>
      <c r="Q160" s="169">
        <v>605</v>
      </c>
      <c r="R160" s="169" t="s">
        <v>280</v>
      </c>
      <c r="S160" s="169">
        <v>4.3328119999999997</v>
      </c>
      <c r="T160" s="169">
        <v>13.014653103123564</v>
      </c>
      <c r="U160" s="169">
        <v>5.97776</v>
      </c>
      <c r="V160" s="169">
        <v>-25.289789104457977</v>
      </c>
      <c r="W160" s="156">
        <v>4.2380000000000004</v>
      </c>
      <c r="X160" s="173">
        <v>5.451099000000001</v>
      </c>
      <c r="Y160" s="173">
        <v>7.7909153345735138</v>
      </c>
      <c r="Z160" s="173">
        <v>3.7938777499999992</v>
      </c>
      <c r="AA160" s="173">
        <v>-24.822546179307107</v>
      </c>
      <c r="AB160" s="173">
        <v>2.1543999999999999</v>
      </c>
      <c r="AC160" s="173">
        <v>2.1543999999999999</v>
      </c>
      <c r="AD160" s="158">
        <f t="shared" ref="AD160:AD223" si="72">((2.82/100)*AB160)/X160</f>
        <v>1.1145290151582275E-2</v>
      </c>
      <c r="AE160" s="158">
        <f t="shared" ref="AE160:AE223" si="73">((46.01/100)*AC160)/Z160</f>
        <v>0.26127342664111941</v>
      </c>
      <c r="AF160" s="159">
        <f t="shared" ref="AF160:AF223" si="74">S160*AD160</f>
        <v>4.8290446912257493E-2</v>
      </c>
      <c r="AG160" s="159">
        <f t="shared" ref="AG160:AG223" si="75">U160*AE160</f>
        <v>1.5618298388382179</v>
      </c>
      <c r="AH160" s="160">
        <f t="shared" ref="AH160:AH223" si="76">100*AF160/W160</f>
        <v>1.139463117325566</v>
      </c>
      <c r="AI160" s="160">
        <f t="shared" ref="AI160:AI223" si="77">100*AG160/W160</f>
        <v>36.852992893775784</v>
      </c>
      <c r="AJ160" s="161">
        <f t="shared" ref="AJ160:AJ223" si="78">AG160/AF160</f>
        <v>32.342418401635889</v>
      </c>
      <c r="AK160" s="162">
        <f t="shared" ref="AK160:AK223" si="79">T160+(1.98-Y160)</f>
        <v>7.2037377685500505</v>
      </c>
      <c r="AL160" s="162">
        <f t="shared" ref="AL160:AL223" si="80">V160+(-26.03-AA160)</f>
        <v>-26.497242925150871</v>
      </c>
      <c r="AM160" s="163">
        <v>0.36599999999999999</v>
      </c>
      <c r="AN160" s="164">
        <f t="shared" si="51"/>
        <v>7.2037377685500505</v>
      </c>
      <c r="AO160" s="165">
        <f t="shared" si="52"/>
        <v>0.36888231426603219</v>
      </c>
      <c r="AP160" s="166">
        <f t="shared" si="53"/>
        <v>2.8823142660321932E-3</v>
      </c>
      <c r="AQ160" s="166">
        <f t="shared" si="54"/>
        <v>11.394631173255661</v>
      </c>
      <c r="AR160" s="166">
        <f t="shared" si="55"/>
        <v>0.3284290798684994</v>
      </c>
      <c r="AS160" s="166">
        <f t="shared" si="56"/>
        <v>28.823142660321928</v>
      </c>
      <c r="AT160" s="163">
        <v>1.08</v>
      </c>
      <c r="AU160" s="164">
        <f t="shared" si="57"/>
        <v>-26.497242925150871</v>
      </c>
      <c r="AV160" s="164">
        <f t="shared" si="58"/>
        <v>1.0820878184364227</v>
      </c>
      <c r="AW160" s="168">
        <f t="shared" si="59"/>
        <v>2.0878184364225838E-3</v>
      </c>
      <c r="AX160" s="168">
        <f t="shared" si="60"/>
        <v>368.5299289377578</v>
      </c>
      <c r="AY160" s="168">
        <f t="shared" si="61"/>
        <v>7.6942358000975544</v>
      </c>
      <c r="AZ160" s="168">
        <f t="shared" si="62"/>
        <v>20.878184364225838</v>
      </c>
    </row>
    <row r="161" spans="1:52" ht="18" x14ac:dyDescent="0.25">
      <c r="A161">
        <v>4</v>
      </c>
      <c r="B161" t="s">
        <v>25</v>
      </c>
      <c r="C161" t="s">
        <v>30</v>
      </c>
      <c r="D161" t="s">
        <v>427</v>
      </c>
      <c r="E161">
        <v>2</v>
      </c>
      <c r="F161" s="9" t="s">
        <v>82</v>
      </c>
      <c r="G161">
        <v>149</v>
      </c>
      <c r="H161">
        <v>4.0810000000000004</v>
      </c>
      <c r="Q161" s="154">
        <v>606</v>
      </c>
      <c r="R161" s="154" t="s">
        <v>281</v>
      </c>
      <c r="S161" s="154">
        <v>3.08441425</v>
      </c>
      <c r="T161" s="154">
        <v>15.193900437447866</v>
      </c>
      <c r="U161" s="154">
        <v>5.8862740000000002</v>
      </c>
      <c r="V161" s="154">
        <v>-26.276716481748643</v>
      </c>
      <c r="W161" s="156">
        <v>4.0810000000000004</v>
      </c>
      <c r="X161" s="173">
        <v>5.451099000000001</v>
      </c>
      <c r="Y161" s="173">
        <v>7.7909153345735138</v>
      </c>
      <c r="Z161" s="173">
        <v>3.7938777499999992</v>
      </c>
      <c r="AA161" s="173">
        <v>-24.822546179307107</v>
      </c>
      <c r="AB161" s="173">
        <v>2.1543999999999999</v>
      </c>
      <c r="AC161" s="173">
        <v>2.1543999999999999</v>
      </c>
      <c r="AD161" s="158">
        <f t="shared" si="72"/>
        <v>1.1145290151582275E-2</v>
      </c>
      <c r="AE161" s="158">
        <f t="shared" si="73"/>
        <v>0.26127342664111941</v>
      </c>
      <c r="AF161" s="159">
        <f t="shared" si="74"/>
        <v>3.4376691763925028E-2</v>
      </c>
      <c r="AG161" s="159">
        <f t="shared" si="75"/>
        <v>1.5379269781285285</v>
      </c>
      <c r="AH161" s="160">
        <f t="shared" si="76"/>
        <v>0.84235951394082398</v>
      </c>
      <c r="AI161" s="160">
        <f t="shared" si="77"/>
        <v>37.685052147231765</v>
      </c>
      <c r="AJ161" s="161">
        <f t="shared" si="78"/>
        <v>44.737492155729548</v>
      </c>
      <c r="AK161" s="162">
        <f t="shared" si="79"/>
        <v>9.3829851028743523</v>
      </c>
      <c r="AL161" s="162">
        <f t="shared" si="80"/>
        <v>-27.484170302441537</v>
      </c>
      <c r="AM161" s="163">
        <v>0.36599999999999999</v>
      </c>
      <c r="AN161" s="164">
        <f t="shared" si="51"/>
        <v>9.3829851028743523</v>
      </c>
      <c r="AO161" s="165">
        <f t="shared" si="52"/>
        <v>0.36967749997184557</v>
      </c>
      <c r="AP161" s="166">
        <f t="shared" si="53"/>
        <v>3.677499971845577E-3</v>
      </c>
      <c r="AQ161" s="166">
        <f t="shared" si="54"/>
        <v>8.4235951394082385</v>
      </c>
      <c r="AR161" s="166">
        <f t="shared" si="55"/>
        <v>0.30977770888012335</v>
      </c>
      <c r="AS161" s="166">
        <f t="shared" si="56"/>
        <v>36.774999718455767</v>
      </c>
      <c r="AT161" s="163">
        <v>1.08</v>
      </c>
      <c r="AU161" s="164">
        <f t="shared" si="57"/>
        <v>-27.484170302441537</v>
      </c>
      <c r="AV161" s="164">
        <f t="shared" si="58"/>
        <v>1.0810026673133637</v>
      </c>
      <c r="AW161" s="168">
        <f t="shared" si="59"/>
        <v>1.0026673133636255E-3</v>
      </c>
      <c r="AX161" s="168">
        <f t="shared" si="60"/>
        <v>376.85052147231767</v>
      </c>
      <c r="AY161" s="168">
        <f t="shared" si="61"/>
        <v>3.7785569990433006</v>
      </c>
      <c r="AZ161" s="168">
        <f t="shared" si="62"/>
        <v>10.026673133636255</v>
      </c>
    </row>
    <row r="162" spans="1:52" ht="18" x14ac:dyDescent="0.25">
      <c r="A162">
        <v>4</v>
      </c>
      <c r="B162" t="s">
        <v>25</v>
      </c>
      <c r="C162" t="s">
        <v>30</v>
      </c>
      <c r="D162" t="s">
        <v>428</v>
      </c>
      <c r="E162">
        <v>2</v>
      </c>
      <c r="F162" s="9" t="s">
        <v>83</v>
      </c>
      <c r="G162">
        <v>150</v>
      </c>
      <c r="H162">
        <v>4.7759999999999998</v>
      </c>
      <c r="Q162" s="169">
        <v>607</v>
      </c>
      <c r="R162" s="169" t="s">
        <v>282</v>
      </c>
      <c r="S162" s="169">
        <v>5.4295974999999999</v>
      </c>
      <c r="T162" s="169">
        <v>13.042392926585238</v>
      </c>
      <c r="U162" s="169">
        <v>6.7796469999999998</v>
      </c>
      <c r="V162" s="169">
        <v>-26.040499206567219</v>
      </c>
      <c r="W162" s="156">
        <v>4.7759999999999998</v>
      </c>
      <c r="X162" s="173">
        <v>5.451099000000001</v>
      </c>
      <c r="Y162" s="173">
        <v>7.7909153345735138</v>
      </c>
      <c r="Z162" s="173">
        <v>3.7938777499999992</v>
      </c>
      <c r="AA162" s="173">
        <v>-24.822546179307107</v>
      </c>
      <c r="AB162" s="173">
        <v>2.1543999999999999</v>
      </c>
      <c r="AC162" s="173">
        <v>2.1543999999999999</v>
      </c>
      <c r="AD162" s="158">
        <f t="shared" si="72"/>
        <v>1.1145290151582275E-2</v>
      </c>
      <c r="AE162" s="158">
        <f t="shared" si="73"/>
        <v>0.26127342664111941</v>
      </c>
      <c r="AF162" s="159">
        <f t="shared" si="74"/>
        <v>6.051443954380574E-2</v>
      </c>
      <c r="AG162" s="159">
        <f t="shared" si="75"/>
        <v>1.7713416031071851</v>
      </c>
      <c r="AH162" s="160">
        <f t="shared" si="76"/>
        <v>1.2670527542672894</v>
      </c>
      <c r="AI162" s="160">
        <f t="shared" si="77"/>
        <v>37.088392024857313</v>
      </c>
      <c r="AJ162" s="161">
        <f t="shared" si="78"/>
        <v>29.271387398786537</v>
      </c>
      <c r="AK162" s="162">
        <f t="shared" si="79"/>
        <v>7.2314775920117249</v>
      </c>
      <c r="AL162" s="162">
        <f t="shared" si="80"/>
        <v>-27.247953027260113</v>
      </c>
      <c r="AM162" s="163">
        <v>0.36599999999999999</v>
      </c>
      <c r="AN162" s="164">
        <f t="shared" si="51"/>
        <v>7.2314775920117249</v>
      </c>
      <c r="AO162" s="165">
        <f t="shared" si="52"/>
        <v>0.36889243633183239</v>
      </c>
      <c r="AP162" s="166">
        <f t="shared" si="53"/>
        <v>2.8924363318323931E-3</v>
      </c>
      <c r="AQ162" s="166">
        <f t="shared" si="54"/>
        <v>12.670527542672893</v>
      </c>
      <c r="AR162" s="166">
        <f t="shared" si="55"/>
        <v>0.36648694207910087</v>
      </c>
      <c r="AS162" s="166">
        <f t="shared" si="56"/>
        <v>28.92436331832393</v>
      </c>
      <c r="AT162" s="163">
        <v>1.08</v>
      </c>
      <c r="AU162" s="164">
        <f t="shared" si="57"/>
        <v>-27.247953027260113</v>
      </c>
      <c r="AV162" s="164">
        <f t="shared" si="58"/>
        <v>1.0812623962319339</v>
      </c>
      <c r="AW162" s="168">
        <f t="shared" si="59"/>
        <v>1.2623962319338045E-3</v>
      </c>
      <c r="AX162" s="168">
        <f t="shared" si="60"/>
        <v>370.88392024857313</v>
      </c>
      <c r="AY162" s="168">
        <f t="shared" si="61"/>
        <v>4.6820246340663632</v>
      </c>
      <c r="AZ162" s="168">
        <f t="shared" si="62"/>
        <v>12.623962319338045</v>
      </c>
    </row>
    <row r="163" spans="1:52" ht="18" x14ac:dyDescent="0.25">
      <c r="A163">
        <v>4</v>
      </c>
      <c r="B163" t="s">
        <v>32</v>
      </c>
      <c r="C163" t="s">
        <v>26</v>
      </c>
      <c r="D163" t="s">
        <v>427</v>
      </c>
      <c r="E163">
        <v>2</v>
      </c>
      <c r="F163" s="9" t="s">
        <v>84</v>
      </c>
      <c r="G163">
        <v>151</v>
      </c>
      <c r="H163">
        <v>4.1440000000000001</v>
      </c>
      <c r="Q163" s="154">
        <v>608</v>
      </c>
      <c r="R163" s="154" t="s">
        <v>283</v>
      </c>
      <c r="S163" s="154">
        <v>6.4903570000000004</v>
      </c>
      <c r="T163" s="154">
        <v>496.12190841471454</v>
      </c>
      <c r="U163" s="154">
        <v>6.4169489999999998</v>
      </c>
      <c r="V163" s="154">
        <v>-23.936007554546539</v>
      </c>
      <c r="W163" s="156">
        <v>4.1440000000000001</v>
      </c>
      <c r="X163" s="173">
        <v>5.451099000000001</v>
      </c>
      <c r="Y163" s="173">
        <v>7.7909153345735138</v>
      </c>
      <c r="Z163" s="173">
        <v>3.7938777499999992</v>
      </c>
      <c r="AA163" s="173">
        <v>-24.822546179307107</v>
      </c>
      <c r="AB163" s="173">
        <v>2.1543999999999999</v>
      </c>
      <c r="AC163" s="173">
        <v>2.1543999999999999</v>
      </c>
      <c r="AD163" s="158">
        <f t="shared" si="72"/>
        <v>1.1145290151582275E-2</v>
      </c>
      <c r="AE163" s="158">
        <f t="shared" si="73"/>
        <v>0.26127342664111941</v>
      </c>
      <c r="AF163" s="159">
        <f t="shared" si="74"/>
        <v>7.2336911952353089E-2</v>
      </c>
      <c r="AG163" s="159">
        <f t="shared" si="75"/>
        <v>1.6765782538113045</v>
      </c>
      <c r="AH163" s="160">
        <f t="shared" si="76"/>
        <v>1.7455818521320725</v>
      </c>
      <c r="AI163" s="160">
        <f t="shared" si="77"/>
        <v>40.457969445253489</v>
      </c>
      <c r="AJ163" s="161">
        <f t="shared" si="78"/>
        <v>23.177354528427117</v>
      </c>
      <c r="AK163" s="162">
        <f t="shared" si="79"/>
        <v>490.31099308014103</v>
      </c>
      <c r="AL163" s="162">
        <f t="shared" si="80"/>
        <v>-25.143461375239433</v>
      </c>
      <c r="AM163" s="163">
        <v>0.36599999999999999</v>
      </c>
      <c r="AN163" s="164">
        <f t="shared" si="51"/>
        <v>490.31099308014103</v>
      </c>
      <c r="AO163" s="165">
        <f t="shared" si="52"/>
        <v>0.54485340530840054</v>
      </c>
      <c r="AP163" s="166">
        <f t="shared" si="53"/>
        <v>0.17885340530840055</v>
      </c>
      <c r="AQ163" s="166">
        <f t="shared" si="54"/>
        <v>17.455818521320722</v>
      </c>
      <c r="AR163" s="166">
        <f t="shared" si="55"/>
        <v>31.220325849836605</v>
      </c>
      <c r="AS163" s="166">
        <f t="shared" si="56"/>
        <v>1788.5340530840053</v>
      </c>
      <c r="AT163" s="163">
        <v>1.08</v>
      </c>
      <c r="AU163" s="164">
        <f t="shared" si="57"/>
        <v>-25.143461375239433</v>
      </c>
      <c r="AV163" s="164">
        <f t="shared" si="58"/>
        <v>1.0835762960912168</v>
      </c>
      <c r="AW163" s="168">
        <f t="shared" si="59"/>
        <v>3.5762960912166797E-3</v>
      </c>
      <c r="AX163" s="168">
        <f t="shared" si="60"/>
        <v>404.57969445253491</v>
      </c>
      <c r="AY163" s="168">
        <f t="shared" si="61"/>
        <v>14.468967798562392</v>
      </c>
      <c r="AZ163" s="168">
        <f t="shared" si="62"/>
        <v>35.762960912166797</v>
      </c>
    </row>
    <row r="164" spans="1:52" ht="18" x14ac:dyDescent="0.25">
      <c r="A164">
        <v>4</v>
      </c>
      <c r="B164" t="s">
        <v>32</v>
      </c>
      <c r="C164" t="s">
        <v>26</v>
      </c>
      <c r="D164" t="s">
        <v>428</v>
      </c>
      <c r="E164">
        <v>2</v>
      </c>
      <c r="F164" s="9" t="s">
        <v>85</v>
      </c>
      <c r="G164">
        <v>152</v>
      </c>
      <c r="H164">
        <v>4.8460000000000001</v>
      </c>
      <c r="Q164" s="169">
        <v>609</v>
      </c>
      <c r="R164" s="169" t="s">
        <v>284</v>
      </c>
      <c r="S164" s="169">
        <v>8.189425</v>
      </c>
      <c r="T164" s="169">
        <v>217.70977430911495</v>
      </c>
      <c r="U164" s="169">
        <v>6.9263674999999996</v>
      </c>
      <c r="V164" s="169">
        <v>-22.22528978990557</v>
      </c>
      <c r="W164" s="156">
        <v>4.8460000000000001</v>
      </c>
      <c r="X164" s="173">
        <v>5.451099000000001</v>
      </c>
      <c r="Y164" s="173">
        <v>7.7909153345735138</v>
      </c>
      <c r="Z164" s="173">
        <v>3.7938777499999992</v>
      </c>
      <c r="AA164" s="173">
        <v>-24.822546179307107</v>
      </c>
      <c r="AB164" s="173">
        <v>2.1543999999999999</v>
      </c>
      <c r="AC164" s="173">
        <v>2.1543999999999999</v>
      </c>
      <c r="AD164" s="158">
        <f t="shared" si="72"/>
        <v>1.1145290151582275E-2</v>
      </c>
      <c r="AE164" s="158">
        <f t="shared" si="73"/>
        <v>0.26127342664111941</v>
      </c>
      <c r="AF164" s="159">
        <f t="shared" si="74"/>
        <v>9.1273517799621673E-2</v>
      </c>
      <c r="AG164" s="159">
        <f t="shared" si="75"/>
        <v>1.8096757709006834</v>
      </c>
      <c r="AH164" s="160">
        <f t="shared" si="76"/>
        <v>1.8834815889315242</v>
      </c>
      <c r="AI164" s="160">
        <f t="shared" si="77"/>
        <v>37.343701421805271</v>
      </c>
      <c r="AJ164" s="161">
        <f t="shared" si="78"/>
        <v>19.826953255746922</v>
      </c>
      <c r="AK164" s="162">
        <f t="shared" si="79"/>
        <v>211.89885897454144</v>
      </c>
      <c r="AL164" s="162">
        <f t="shared" si="80"/>
        <v>-23.432743610598465</v>
      </c>
      <c r="AM164" s="163">
        <v>0.36599999999999999</v>
      </c>
      <c r="AN164" s="164">
        <f t="shared" si="51"/>
        <v>211.89885897454144</v>
      </c>
      <c r="AO164" s="165">
        <f t="shared" si="52"/>
        <v>0.44351817361549173</v>
      </c>
      <c r="AP164" s="166">
        <f t="shared" si="53"/>
        <v>7.7518173615491737E-2</v>
      </c>
      <c r="AQ164" s="166">
        <f t="shared" si="54"/>
        <v>18.834815889315241</v>
      </c>
      <c r="AR164" s="166">
        <f t="shared" si="55"/>
        <v>14.600405281237613</v>
      </c>
      <c r="AS164" s="166">
        <f t="shared" si="56"/>
        <v>775.18173615491742</v>
      </c>
      <c r="AT164" s="163">
        <v>1.08</v>
      </c>
      <c r="AU164" s="164">
        <f t="shared" si="57"/>
        <v>-23.432743610598465</v>
      </c>
      <c r="AV164" s="164">
        <f t="shared" si="58"/>
        <v>1.0854571596856575</v>
      </c>
      <c r="AW164" s="168">
        <f t="shared" si="59"/>
        <v>5.4571596856574089E-3</v>
      </c>
      <c r="AX164" s="168">
        <f t="shared" si="60"/>
        <v>373.4370142180527</v>
      </c>
      <c r="AY164" s="168">
        <f t="shared" si="61"/>
        <v>20.379054191230299</v>
      </c>
      <c r="AZ164" s="168">
        <f t="shared" si="62"/>
        <v>54.571596856574089</v>
      </c>
    </row>
    <row r="165" spans="1:52" ht="18" x14ac:dyDescent="0.25">
      <c r="A165">
        <v>4</v>
      </c>
      <c r="B165" t="s">
        <v>32</v>
      </c>
      <c r="C165" t="s">
        <v>28</v>
      </c>
      <c r="D165" t="s">
        <v>427</v>
      </c>
      <c r="E165">
        <v>2</v>
      </c>
      <c r="F165" s="9" t="s">
        <v>86</v>
      </c>
      <c r="G165">
        <v>153</v>
      </c>
      <c r="H165">
        <v>4.274</v>
      </c>
      <c r="Q165" s="154">
        <v>610</v>
      </c>
      <c r="R165" s="154" t="s">
        <v>285</v>
      </c>
      <c r="S165" s="154">
        <v>4.7656355000000001</v>
      </c>
      <c r="T165" s="154">
        <v>124.43898825776965</v>
      </c>
      <c r="U165" s="154">
        <v>5.9247585000000003</v>
      </c>
      <c r="V165" s="154">
        <v>-25.662717584132789</v>
      </c>
      <c r="W165" s="156">
        <v>4.274</v>
      </c>
      <c r="X165" s="173">
        <v>5.451099000000001</v>
      </c>
      <c r="Y165" s="173">
        <v>7.7909153345735138</v>
      </c>
      <c r="Z165" s="173">
        <v>3.7938777499999992</v>
      </c>
      <c r="AA165" s="173">
        <v>-24.822546179307107</v>
      </c>
      <c r="AB165" s="173">
        <v>2.1543999999999999</v>
      </c>
      <c r="AC165" s="173">
        <v>2.1543999999999999</v>
      </c>
      <c r="AD165" s="158">
        <f t="shared" si="72"/>
        <v>1.1145290151582275E-2</v>
      </c>
      <c r="AE165" s="158">
        <f t="shared" si="73"/>
        <v>0.26127342664111941</v>
      </c>
      <c r="AF165" s="159">
        <f t="shared" si="74"/>
        <v>5.3114390404180874E-2</v>
      </c>
      <c r="AG165" s="159">
        <f t="shared" si="75"/>
        <v>1.5479819553160987</v>
      </c>
      <c r="AH165" s="160">
        <f t="shared" si="76"/>
        <v>1.2427325784787289</v>
      </c>
      <c r="AI165" s="160">
        <f t="shared" si="77"/>
        <v>36.218576399534363</v>
      </c>
      <c r="AJ165" s="161">
        <f t="shared" si="78"/>
        <v>29.144304274915488</v>
      </c>
      <c r="AK165" s="162">
        <f t="shared" si="79"/>
        <v>118.62807292319614</v>
      </c>
      <c r="AL165" s="162">
        <f t="shared" si="80"/>
        <v>-26.870171404825683</v>
      </c>
      <c r="AM165" s="163">
        <v>0.36599999999999999</v>
      </c>
      <c r="AN165" s="164">
        <f t="shared" si="51"/>
        <v>118.62807292319614</v>
      </c>
      <c r="AO165" s="165">
        <f t="shared" si="52"/>
        <v>0.40952368675681489</v>
      </c>
      <c r="AP165" s="166">
        <f t="shared" si="53"/>
        <v>4.3523686756814894E-2</v>
      </c>
      <c r="AQ165" s="166">
        <f t="shared" si="54"/>
        <v>12.427325784787289</v>
      </c>
      <c r="AR165" s="166">
        <f t="shared" si="55"/>
        <v>5.4088303468197072</v>
      </c>
      <c r="AS165" s="166">
        <f t="shared" si="56"/>
        <v>435.23686756814897</v>
      </c>
      <c r="AT165" s="163">
        <v>1.08</v>
      </c>
      <c r="AU165" s="164">
        <f t="shared" si="57"/>
        <v>-26.870171404825683</v>
      </c>
      <c r="AV165" s="164">
        <f t="shared" si="58"/>
        <v>1.0816777771244319</v>
      </c>
      <c r="AW165" s="168">
        <f t="shared" si="59"/>
        <v>1.6777771244318451E-3</v>
      </c>
      <c r="AX165" s="168">
        <f t="shared" si="60"/>
        <v>362.18576399534362</v>
      </c>
      <c r="AY165" s="168">
        <f t="shared" si="61"/>
        <v>6.0766698962625858</v>
      </c>
      <c r="AZ165" s="168">
        <f t="shared" si="62"/>
        <v>16.777771244318451</v>
      </c>
    </row>
    <row r="166" spans="1:52" ht="18" x14ac:dyDescent="0.25">
      <c r="A166">
        <v>4</v>
      </c>
      <c r="B166" t="s">
        <v>32</v>
      </c>
      <c r="C166" t="s">
        <v>28</v>
      </c>
      <c r="D166" t="s">
        <v>428</v>
      </c>
      <c r="E166">
        <v>2</v>
      </c>
      <c r="F166" s="9" t="s">
        <v>429</v>
      </c>
      <c r="G166">
        <v>154</v>
      </c>
      <c r="H166">
        <v>5.0949999999999998</v>
      </c>
      <c r="Q166" s="169">
        <v>611</v>
      </c>
      <c r="R166" s="169" t="s">
        <v>286</v>
      </c>
      <c r="S166" s="169">
        <v>6.5260020000000001</v>
      </c>
      <c r="T166" s="169">
        <v>41.971210832162427</v>
      </c>
      <c r="U166" s="169">
        <v>6.9915450000000003</v>
      </c>
      <c r="V166" s="169">
        <v>-25.232280471642962</v>
      </c>
      <c r="W166" s="156">
        <v>5.0949999999999998</v>
      </c>
      <c r="X166" s="173">
        <v>5.451099000000001</v>
      </c>
      <c r="Y166" s="173">
        <v>7.7909153345735138</v>
      </c>
      <c r="Z166" s="173">
        <v>3.7938777499999992</v>
      </c>
      <c r="AA166" s="173">
        <v>-24.822546179307107</v>
      </c>
      <c r="AB166" s="173">
        <v>2.1543999999999999</v>
      </c>
      <c r="AC166" s="173">
        <v>2.1543999999999999</v>
      </c>
      <c r="AD166" s="158">
        <f t="shared" si="72"/>
        <v>1.1145290151582275E-2</v>
      </c>
      <c r="AE166" s="158">
        <f t="shared" si="73"/>
        <v>0.26127342664111941</v>
      </c>
      <c r="AF166" s="159">
        <f t="shared" si="74"/>
        <v>7.273418581980623E-2</v>
      </c>
      <c r="AG166" s="159">
        <f t="shared" si="75"/>
        <v>1.8267049196655853</v>
      </c>
      <c r="AH166" s="160">
        <f t="shared" si="76"/>
        <v>1.427560074971663</v>
      </c>
      <c r="AI166" s="160">
        <f t="shared" si="77"/>
        <v>35.852893418362811</v>
      </c>
      <c r="AJ166" s="161">
        <f t="shared" si="78"/>
        <v>25.11480535701763</v>
      </c>
      <c r="AK166" s="162">
        <f t="shared" si="79"/>
        <v>36.160295497588912</v>
      </c>
      <c r="AL166" s="162">
        <f t="shared" si="80"/>
        <v>-26.439734292335856</v>
      </c>
      <c r="AM166" s="163">
        <v>0.36599999999999999</v>
      </c>
      <c r="AN166" s="164">
        <f t="shared" si="51"/>
        <v>36.160295497588912</v>
      </c>
      <c r="AO166" s="165">
        <f t="shared" si="52"/>
        <v>0.37944723845872863</v>
      </c>
      <c r="AP166" s="166">
        <f t="shared" si="53"/>
        <v>1.3447238458728639E-2</v>
      </c>
      <c r="AQ166" s="166">
        <f t="shared" si="54"/>
        <v>14.275600749716631</v>
      </c>
      <c r="AR166" s="166">
        <f t="shared" si="55"/>
        <v>1.9196740742304488</v>
      </c>
      <c r="AS166" s="166">
        <f t="shared" si="56"/>
        <v>134.4723845872864</v>
      </c>
      <c r="AT166" s="163">
        <v>1.08</v>
      </c>
      <c r="AU166" s="164">
        <f t="shared" si="57"/>
        <v>-26.439734292335856</v>
      </c>
      <c r="AV166" s="164">
        <f t="shared" si="58"/>
        <v>1.082151049870097</v>
      </c>
      <c r="AW166" s="168">
        <f t="shared" si="59"/>
        <v>2.1510498700969549E-3</v>
      </c>
      <c r="AX166" s="168">
        <f t="shared" si="60"/>
        <v>358.52893418362811</v>
      </c>
      <c r="AY166" s="168">
        <f t="shared" si="61"/>
        <v>7.7121361730169307</v>
      </c>
      <c r="AZ166" s="168">
        <f t="shared" si="62"/>
        <v>21.510498700969549</v>
      </c>
    </row>
    <row r="167" spans="1:52" ht="18" x14ac:dyDescent="0.25">
      <c r="A167">
        <v>4</v>
      </c>
      <c r="B167" t="s">
        <v>32</v>
      </c>
      <c r="C167" t="s">
        <v>30</v>
      </c>
      <c r="D167" t="s">
        <v>427</v>
      </c>
      <c r="E167">
        <v>2</v>
      </c>
      <c r="F167" s="9" t="s">
        <v>430</v>
      </c>
      <c r="G167">
        <v>155</v>
      </c>
      <c r="H167">
        <v>4.8689999999999998</v>
      </c>
      <c r="Q167" s="154">
        <v>612</v>
      </c>
      <c r="R167" s="154" t="s">
        <v>287</v>
      </c>
      <c r="S167" s="154">
        <v>5.2787594999999996</v>
      </c>
      <c r="T167" s="154">
        <v>6.0064124574982607</v>
      </c>
      <c r="U167" s="154">
        <v>6.1122744999999998</v>
      </c>
      <c r="V167" s="154">
        <v>-26.815381553230743</v>
      </c>
      <c r="W167" s="156">
        <v>4.8689999999999998</v>
      </c>
      <c r="X167" s="173">
        <v>5.451099000000001</v>
      </c>
      <c r="Y167" s="173">
        <v>7.7909153345735138</v>
      </c>
      <c r="Z167" s="173">
        <v>3.7938777499999992</v>
      </c>
      <c r="AA167" s="173">
        <v>-24.822546179307107</v>
      </c>
      <c r="AB167" s="173">
        <v>2.1543999999999999</v>
      </c>
      <c r="AC167" s="173">
        <v>2.1543999999999999</v>
      </c>
      <c r="AD167" s="158">
        <f t="shared" si="72"/>
        <v>1.1145290151582275E-2</v>
      </c>
      <c r="AE167" s="158">
        <f t="shared" si="73"/>
        <v>0.26127342664111941</v>
      </c>
      <c r="AF167" s="159">
        <f t="shared" si="74"/>
        <v>5.8833306267921368E-2</v>
      </c>
      <c r="AG167" s="159">
        <f t="shared" si="75"/>
        <v>1.5969749031861349</v>
      </c>
      <c r="AH167" s="160">
        <f t="shared" si="76"/>
        <v>1.2083242199203403</v>
      </c>
      <c r="AI167" s="160">
        <f t="shared" si="77"/>
        <v>32.798827340031522</v>
      </c>
      <c r="AJ167" s="161">
        <f t="shared" si="78"/>
        <v>27.144061833167434</v>
      </c>
      <c r="AK167" s="162">
        <f t="shared" si="79"/>
        <v>0.1954971229247473</v>
      </c>
      <c r="AL167" s="162">
        <f t="shared" si="80"/>
        <v>-28.022835373923638</v>
      </c>
      <c r="AM167" s="163">
        <v>0.36599999999999999</v>
      </c>
      <c r="AN167" s="164">
        <f t="shared" si="51"/>
        <v>0.1954971229247473</v>
      </c>
      <c r="AO167" s="165">
        <f t="shared" si="52"/>
        <v>0.36632499081763059</v>
      </c>
      <c r="AP167" s="166">
        <f t="shared" si="53"/>
        <v>3.2499081763059934E-4</v>
      </c>
      <c r="AQ167" s="166">
        <f t="shared" si="54"/>
        <v>12.083242199203402</v>
      </c>
      <c r="AR167" s="166">
        <f t="shared" si="55"/>
        <v>3.926942761947675E-2</v>
      </c>
      <c r="AS167" s="166">
        <f t="shared" si="56"/>
        <v>3.2499081763059934</v>
      </c>
      <c r="AT167" s="163">
        <v>1.08</v>
      </c>
      <c r="AU167" s="164">
        <f t="shared" si="57"/>
        <v>-28.022835373923638</v>
      </c>
      <c r="AV167" s="164">
        <f t="shared" si="58"/>
        <v>1.0804103816668666</v>
      </c>
      <c r="AW167" s="168">
        <f t="shared" si="59"/>
        <v>4.1038166686657718E-4</v>
      </c>
      <c r="AX167" s="168">
        <f t="shared" si="60"/>
        <v>327.98827340031522</v>
      </c>
      <c r="AY167" s="168">
        <f t="shared" si="61"/>
        <v>1.3460037435071199</v>
      </c>
      <c r="AZ167" s="168">
        <f t="shared" si="62"/>
        <v>4.1038166686657718</v>
      </c>
    </row>
    <row r="168" spans="1:52" ht="18" x14ac:dyDescent="0.25">
      <c r="A168">
        <v>4</v>
      </c>
      <c r="B168" t="s">
        <v>32</v>
      </c>
      <c r="C168" t="s">
        <v>30</v>
      </c>
      <c r="D168" t="s">
        <v>428</v>
      </c>
      <c r="E168">
        <v>2</v>
      </c>
      <c r="F168" s="9" t="s">
        <v>431</v>
      </c>
      <c r="G168">
        <v>156</v>
      </c>
      <c r="H168">
        <v>4.0430000000000001</v>
      </c>
      <c r="Q168" s="169">
        <v>614</v>
      </c>
      <c r="R168" s="169" t="s">
        <v>288</v>
      </c>
      <c r="S168" s="169">
        <v>3.91316</v>
      </c>
      <c r="T168" s="169">
        <v>5.8959059252020438</v>
      </c>
      <c r="U168" s="169">
        <v>5.7056614999999997</v>
      </c>
      <c r="V168" s="169">
        <v>-25.719509950460104</v>
      </c>
      <c r="W168" s="156">
        <v>4.0430000000000001</v>
      </c>
      <c r="X168" s="173">
        <v>5.451099000000001</v>
      </c>
      <c r="Y168" s="173">
        <v>7.7909153345735138</v>
      </c>
      <c r="Z168" s="173">
        <v>3.7938777499999992</v>
      </c>
      <c r="AA168" s="173">
        <v>-24.822546179307107</v>
      </c>
      <c r="AB168" s="173">
        <v>2.1543999999999999</v>
      </c>
      <c r="AC168" s="173">
        <v>2.1543999999999999</v>
      </c>
      <c r="AD168" s="158">
        <f t="shared" si="72"/>
        <v>1.1145290151582275E-2</v>
      </c>
      <c r="AE168" s="158">
        <f t="shared" si="73"/>
        <v>0.26127342664111941</v>
      </c>
      <c r="AF168" s="159">
        <f t="shared" si="74"/>
        <v>4.3613303609565696E-2</v>
      </c>
      <c r="AG168" s="159">
        <f t="shared" si="75"/>
        <v>1.4907377313593093</v>
      </c>
      <c r="AH168" s="160">
        <f t="shared" si="76"/>
        <v>1.0787361763434502</v>
      </c>
      <c r="AI168" s="160">
        <f t="shared" si="77"/>
        <v>36.872068547101392</v>
      </c>
      <c r="AJ168" s="161">
        <f t="shared" si="78"/>
        <v>34.180802828069787</v>
      </c>
      <c r="AK168" s="162">
        <f t="shared" si="79"/>
        <v>8.4990590628530427E-2</v>
      </c>
      <c r="AL168" s="162">
        <f t="shared" si="80"/>
        <v>-26.926963771152998</v>
      </c>
      <c r="AM168" s="163">
        <v>0.36599999999999999</v>
      </c>
      <c r="AN168" s="164">
        <f t="shared" si="51"/>
        <v>8.4990590628530427E-2</v>
      </c>
      <c r="AO168" s="165">
        <f t="shared" si="52"/>
        <v>0.36628466567346218</v>
      </c>
      <c r="AP168" s="166">
        <f t="shared" si="53"/>
        <v>2.8466567346219218E-4</v>
      </c>
      <c r="AQ168" s="166">
        <f t="shared" si="54"/>
        <v>10.787361763434502</v>
      </c>
      <c r="AR168" s="166">
        <f t="shared" si="55"/>
        <v>3.0707916012683838E-2</v>
      </c>
      <c r="AS168" s="166">
        <f t="shared" si="56"/>
        <v>2.8466567346219218</v>
      </c>
      <c r="AT168" s="163">
        <v>1.08</v>
      </c>
      <c r="AU168" s="164">
        <f t="shared" si="57"/>
        <v>-26.926963771152998</v>
      </c>
      <c r="AV168" s="164">
        <f t="shared" si="58"/>
        <v>1.0816153326373479</v>
      </c>
      <c r="AW168" s="168">
        <f t="shared" si="59"/>
        <v>1.6153326373478105E-3</v>
      </c>
      <c r="AX168" s="168">
        <f t="shared" si="60"/>
        <v>368.72068547101395</v>
      </c>
      <c r="AY168" s="168">
        <f t="shared" si="61"/>
        <v>5.9560655730658549</v>
      </c>
      <c r="AZ168" s="168">
        <f t="shared" si="62"/>
        <v>16.153326373478105</v>
      </c>
    </row>
    <row r="169" spans="1:52" ht="18" x14ac:dyDescent="0.25">
      <c r="A169">
        <v>4</v>
      </c>
      <c r="B169" t="s">
        <v>36</v>
      </c>
      <c r="C169" t="s">
        <v>26</v>
      </c>
      <c r="D169" t="s">
        <v>427</v>
      </c>
      <c r="E169">
        <v>2</v>
      </c>
      <c r="F169" s="9" t="s">
        <v>87</v>
      </c>
      <c r="G169">
        <v>157</v>
      </c>
      <c r="H169">
        <v>4.173</v>
      </c>
      <c r="Q169" s="154">
        <v>615</v>
      </c>
      <c r="R169" s="154" t="s">
        <v>289</v>
      </c>
      <c r="S169" s="154">
        <v>3.87550325</v>
      </c>
      <c r="T169" s="154">
        <v>2173.650617288351</v>
      </c>
      <c r="U169" s="154">
        <v>6.0513880000000002</v>
      </c>
      <c r="V169" s="154">
        <v>-22.826645258042582</v>
      </c>
      <c r="W169" s="156">
        <v>4.173</v>
      </c>
      <c r="X169" s="173">
        <v>5.451099000000001</v>
      </c>
      <c r="Y169" s="173">
        <v>7.7909153345735138</v>
      </c>
      <c r="Z169" s="173">
        <v>3.7938777499999992</v>
      </c>
      <c r="AA169" s="173">
        <v>-24.822546179307107</v>
      </c>
      <c r="AB169" s="173">
        <v>2.1543999999999999</v>
      </c>
      <c r="AC169" s="173">
        <v>2.1543999999999999</v>
      </c>
      <c r="AD169" s="158">
        <f t="shared" si="72"/>
        <v>1.1145290151582275E-2</v>
      </c>
      <c r="AE169" s="158">
        <f t="shared" si="73"/>
        <v>0.26127342664111941</v>
      </c>
      <c r="AF169" s="159">
        <f t="shared" si="74"/>
        <v>4.3193608204650097E-2</v>
      </c>
      <c r="AG169" s="159">
        <f t="shared" si="75"/>
        <v>1.5810668786949504</v>
      </c>
      <c r="AH169" s="160">
        <f t="shared" si="76"/>
        <v>1.0350732855176155</v>
      </c>
      <c r="AI169" s="160">
        <f t="shared" si="77"/>
        <v>37.888015305414577</v>
      </c>
      <c r="AJ169" s="161">
        <f t="shared" si="78"/>
        <v>36.604186230608477</v>
      </c>
      <c r="AK169" s="162">
        <f t="shared" si="79"/>
        <v>2167.8397019537774</v>
      </c>
      <c r="AL169" s="162">
        <f t="shared" si="80"/>
        <v>-24.034099078735476</v>
      </c>
      <c r="AM169" s="163">
        <v>0.36599999999999999</v>
      </c>
      <c r="AN169" s="164">
        <f t="shared" si="51"/>
        <v>2167.8397019537774</v>
      </c>
      <c r="AO169" s="165">
        <f t="shared" si="52"/>
        <v>1.1510934160752144</v>
      </c>
      <c r="AP169" s="166">
        <f t="shared" si="53"/>
        <v>0.78509341607521443</v>
      </c>
      <c r="AQ169" s="166">
        <f t="shared" si="54"/>
        <v>10.350732855176155</v>
      </c>
      <c r="AR169" s="166">
        <f t="shared" si="55"/>
        <v>81.262922161522042</v>
      </c>
      <c r="AS169" s="166">
        <f t="shared" si="56"/>
        <v>7850.9341607521446</v>
      </c>
      <c r="AT169" s="163">
        <v>1.08</v>
      </c>
      <c r="AU169" s="164">
        <f t="shared" si="57"/>
        <v>-24.034099078735476</v>
      </c>
      <c r="AV169" s="164">
        <f t="shared" si="58"/>
        <v>1.0847960023142385</v>
      </c>
      <c r="AW169" s="168">
        <f t="shared" si="59"/>
        <v>4.796002314238379E-3</v>
      </c>
      <c r="AX169" s="168">
        <f t="shared" si="60"/>
        <v>378.88015305414575</v>
      </c>
      <c r="AY169" s="168">
        <f t="shared" si="61"/>
        <v>18.171100908666741</v>
      </c>
      <c r="AZ169" s="168">
        <f t="shared" si="62"/>
        <v>47.96002314238379</v>
      </c>
    </row>
    <row r="170" spans="1:52" ht="18" x14ac:dyDescent="0.25">
      <c r="A170">
        <v>4</v>
      </c>
      <c r="B170" t="s">
        <v>36</v>
      </c>
      <c r="C170" t="s">
        <v>26</v>
      </c>
      <c r="D170" t="s">
        <v>428</v>
      </c>
      <c r="E170">
        <v>2</v>
      </c>
      <c r="F170" s="9" t="s">
        <v>88</v>
      </c>
      <c r="G170">
        <v>158</v>
      </c>
      <c r="H170">
        <v>4.0640000000000001</v>
      </c>
      <c r="Q170" s="169">
        <v>616</v>
      </c>
      <c r="R170" s="169" t="s">
        <v>290</v>
      </c>
      <c r="S170" s="169">
        <v>4.9512225000000001</v>
      </c>
      <c r="T170" s="169">
        <v>448.34105948421245</v>
      </c>
      <c r="U170" s="169">
        <v>5.8900214999999996</v>
      </c>
      <c r="V170" s="169">
        <v>-22.263314917884454</v>
      </c>
      <c r="W170" s="156">
        <v>4.0640000000000001</v>
      </c>
      <c r="X170" s="173">
        <v>5.451099000000001</v>
      </c>
      <c r="Y170" s="173">
        <v>7.7909153345735138</v>
      </c>
      <c r="Z170" s="173">
        <v>3.7938777499999992</v>
      </c>
      <c r="AA170" s="173">
        <v>-24.822546179307107</v>
      </c>
      <c r="AB170" s="173">
        <v>2.1543999999999999</v>
      </c>
      <c r="AC170" s="173">
        <v>2.1543999999999999</v>
      </c>
      <c r="AD170" s="158">
        <f t="shared" si="72"/>
        <v>1.1145290151582275E-2</v>
      </c>
      <c r="AE170" s="158">
        <f t="shared" si="73"/>
        <v>0.26127342664111941</v>
      </c>
      <c r="AF170" s="159">
        <f t="shared" si="74"/>
        <v>5.5182811367542571E-2</v>
      </c>
      <c r="AG170" s="159">
        <f t="shared" si="75"/>
        <v>1.5389061002948661</v>
      </c>
      <c r="AH170" s="160">
        <f t="shared" si="76"/>
        <v>1.3578447679021302</v>
      </c>
      <c r="AI170" s="160">
        <f t="shared" si="77"/>
        <v>37.866783963948471</v>
      </c>
      <c r="AJ170" s="161">
        <f t="shared" si="78"/>
        <v>27.887417515665394</v>
      </c>
      <c r="AK170" s="162">
        <f t="shared" si="79"/>
        <v>442.53014414963894</v>
      </c>
      <c r="AL170" s="162">
        <f t="shared" si="80"/>
        <v>-23.470768738577348</v>
      </c>
      <c r="AM170" s="163">
        <v>0.36599999999999999</v>
      </c>
      <c r="AN170" s="164">
        <f t="shared" si="51"/>
        <v>442.53014414963894</v>
      </c>
      <c r="AO170" s="165">
        <f t="shared" si="52"/>
        <v>0.52747700713737922</v>
      </c>
      <c r="AP170" s="166">
        <f t="shared" si="53"/>
        <v>0.16147700713737922</v>
      </c>
      <c r="AQ170" s="166">
        <f t="shared" si="54"/>
        <v>13.578447679021302</v>
      </c>
      <c r="AR170" s="166">
        <f t="shared" si="55"/>
        <v>21.926070927798531</v>
      </c>
      <c r="AS170" s="166">
        <f t="shared" si="56"/>
        <v>1614.7700713737922</v>
      </c>
      <c r="AT170" s="163">
        <v>1.08</v>
      </c>
      <c r="AU170" s="164">
        <f t="shared" si="57"/>
        <v>-23.470768738577348</v>
      </c>
      <c r="AV170" s="164">
        <f t="shared" si="58"/>
        <v>1.0854153534037192</v>
      </c>
      <c r="AW170" s="168">
        <f t="shared" si="59"/>
        <v>5.4153534037191253E-3</v>
      </c>
      <c r="AX170" s="168">
        <f t="shared" si="60"/>
        <v>378.66783963948467</v>
      </c>
      <c r="AY170" s="168">
        <f t="shared" si="61"/>
        <v>20.506201742706512</v>
      </c>
      <c r="AZ170" s="168">
        <f t="shared" si="62"/>
        <v>54.15353403719125</v>
      </c>
    </row>
    <row r="171" spans="1:52" ht="18" x14ac:dyDescent="0.25">
      <c r="A171">
        <v>4</v>
      </c>
      <c r="B171" t="s">
        <v>36</v>
      </c>
      <c r="C171" t="s">
        <v>28</v>
      </c>
      <c r="D171" t="s">
        <v>427</v>
      </c>
      <c r="E171">
        <v>2</v>
      </c>
      <c r="F171" s="9" t="s">
        <v>89</v>
      </c>
      <c r="G171">
        <v>159</v>
      </c>
      <c r="H171">
        <v>4.7670000000000003</v>
      </c>
      <c r="Q171" s="154">
        <v>617</v>
      </c>
      <c r="R171" s="154" t="s">
        <v>291</v>
      </c>
      <c r="S171" s="154">
        <v>4.8029359999999999</v>
      </c>
      <c r="T171" s="154">
        <v>495.55620903210183</v>
      </c>
      <c r="U171" s="154">
        <v>6.6257140000000003</v>
      </c>
      <c r="V171" s="154">
        <v>-24.386825518658643</v>
      </c>
      <c r="W171" s="156">
        <v>4.7670000000000003</v>
      </c>
      <c r="X171" s="173">
        <v>5.451099000000001</v>
      </c>
      <c r="Y171" s="173">
        <v>7.7909153345735138</v>
      </c>
      <c r="Z171" s="173">
        <v>3.7938777499999992</v>
      </c>
      <c r="AA171" s="173">
        <v>-24.822546179307107</v>
      </c>
      <c r="AB171" s="173">
        <v>2.1543999999999999</v>
      </c>
      <c r="AC171" s="173">
        <v>2.1543999999999999</v>
      </c>
      <c r="AD171" s="158">
        <f t="shared" si="72"/>
        <v>1.1145290151582275E-2</v>
      </c>
      <c r="AE171" s="158">
        <f t="shared" si="73"/>
        <v>0.26127342664111941</v>
      </c>
      <c r="AF171" s="159">
        <f t="shared" si="74"/>
        <v>5.3530115299479965E-2</v>
      </c>
      <c r="AG171" s="159">
        <f t="shared" si="75"/>
        <v>1.7311230007240379</v>
      </c>
      <c r="AH171" s="160">
        <f t="shared" si="76"/>
        <v>1.1229308852418702</v>
      </c>
      <c r="AI171" s="160">
        <f t="shared" si="77"/>
        <v>36.314726258108621</v>
      </c>
      <c r="AJ171" s="161">
        <f t="shared" si="78"/>
        <v>32.339235419895601</v>
      </c>
      <c r="AK171" s="162">
        <f t="shared" si="79"/>
        <v>489.74529369752833</v>
      </c>
      <c r="AL171" s="162">
        <f t="shared" si="80"/>
        <v>-25.594279339351537</v>
      </c>
      <c r="AM171" s="163">
        <v>0.36599999999999999</v>
      </c>
      <c r="AN171" s="164">
        <f t="shared" si="51"/>
        <v>489.74529369752833</v>
      </c>
      <c r="AO171" s="165">
        <f t="shared" si="52"/>
        <v>0.54464771367382336</v>
      </c>
      <c r="AP171" s="166">
        <f t="shared" si="53"/>
        <v>0.17864771367382337</v>
      </c>
      <c r="AQ171" s="166">
        <f t="shared" si="54"/>
        <v>11.229308852418702</v>
      </c>
      <c r="AR171" s="166">
        <f t="shared" si="55"/>
        <v>20.060903526218265</v>
      </c>
      <c r="AS171" s="166">
        <f t="shared" si="56"/>
        <v>1786.4771367382334</v>
      </c>
      <c r="AT171" s="163">
        <v>1.08</v>
      </c>
      <c r="AU171" s="164">
        <f t="shared" si="57"/>
        <v>-25.594279339351537</v>
      </c>
      <c r="AV171" s="164">
        <f t="shared" si="58"/>
        <v>1.0830806284326873</v>
      </c>
      <c r="AW171" s="168">
        <f t="shared" si="59"/>
        <v>3.0806284326871936E-3</v>
      </c>
      <c r="AX171" s="168">
        <f t="shared" si="60"/>
        <v>363.14726258108618</v>
      </c>
      <c r="AY171" s="168">
        <f t="shared" si="61"/>
        <v>11.187217823598163</v>
      </c>
      <c r="AZ171" s="168">
        <f t="shared" si="62"/>
        <v>30.806284326871939</v>
      </c>
    </row>
    <row r="172" spans="1:52" ht="18" x14ac:dyDescent="0.25">
      <c r="A172">
        <v>4</v>
      </c>
      <c r="B172" t="s">
        <v>36</v>
      </c>
      <c r="C172" t="s">
        <v>28</v>
      </c>
      <c r="D172" t="s">
        <v>428</v>
      </c>
      <c r="E172">
        <v>2</v>
      </c>
      <c r="F172" s="9" t="s">
        <v>90</v>
      </c>
      <c r="G172">
        <v>160</v>
      </c>
      <c r="H172">
        <v>4.49</v>
      </c>
      <c r="I172" s="8"/>
      <c r="J172" s="8"/>
      <c r="K172" s="8"/>
      <c r="L172" s="8"/>
      <c r="M172" s="8"/>
      <c r="N172" s="8"/>
      <c r="O172" s="8"/>
      <c r="P172" s="8"/>
      <c r="Q172" s="169">
        <v>619</v>
      </c>
      <c r="R172" s="169" t="s">
        <v>292</v>
      </c>
      <c r="S172" s="169">
        <v>3.84603875</v>
      </c>
      <c r="T172" s="169">
        <v>1066.200819318414</v>
      </c>
      <c r="U172" s="169">
        <v>6.4870485000000002</v>
      </c>
      <c r="V172" s="169">
        <v>-16.387362263779327</v>
      </c>
      <c r="W172" s="156">
        <v>4.49</v>
      </c>
      <c r="X172" s="173">
        <v>5.451099000000001</v>
      </c>
      <c r="Y172" s="173">
        <v>7.7909153345735138</v>
      </c>
      <c r="Z172" s="173">
        <v>3.7938777499999992</v>
      </c>
      <c r="AA172" s="173">
        <v>-24.822546179307107</v>
      </c>
      <c r="AB172" s="173">
        <v>2.1543999999999999</v>
      </c>
      <c r="AC172" s="173">
        <v>2.1543999999999999</v>
      </c>
      <c r="AD172" s="158">
        <f t="shared" si="72"/>
        <v>1.1145290151582275E-2</v>
      </c>
      <c r="AE172" s="158">
        <f t="shared" si="73"/>
        <v>0.26127342664111941</v>
      </c>
      <c r="AF172" s="159">
        <f t="shared" si="74"/>
        <v>4.2865217802978806E-2</v>
      </c>
      <c r="AG172" s="159">
        <f t="shared" si="75"/>
        <v>1.6948933903821337</v>
      </c>
      <c r="AH172" s="160">
        <f t="shared" si="76"/>
        <v>0.95468191097948329</v>
      </c>
      <c r="AI172" s="160">
        <f t="shared" si="77"/>
        <v>37.748182413855979</v>
      </c>
      <c r="AJ172" s="161">
        <f t="shared" si="78"/>
        <v>39.540062485448317</v>
      </c>
      <c r="AK172" s="162">
        <f t="shared" si="79"/>
        <v>1060.3899039838404</v>
      </c>
      <c r="AL172" s="162">
        <f t="shared" si="80"/>
        <v>-17.594816084472221</v>
      </c>
      <c r="AM172" s="163">
        <v>0.36599999999999999</v>
      </c>
      <c r="AN172" s="164">
        <f t="shared" si="51"/>
        <v>1060.3899039838404</v>
      </c>
      <c r="AO172" s="165">
        <f t="shared" si="52"/>
        <v>0.75170591316432134</v>
      </c>
      <c r="AP172" s="166">
        <f t="shared" si="53"/>
        <v>0.38570591316432135</v>
      </c>
      <c r="AQ172" s="166">
        <f t="shared" si="54"/>
        <v>9.5468191097948321</v>
      </c>
      <c r="AR172" s="166">
        <f t="shared" si="55"/>
        <v>36.822645825580089</v>
      </c>
      <c r="AS172" s="166">
        <f t="shared" si="56"/>
        <v>3857.0591316432137</v>
      </c>
      <c r="AT172" s="163">
        <v>1.08</v>
      </c>
      <c r="AU172" s="164">
        <f t="shared" si="57"/>
        <v>-17.594816084472221</v>
      </c>
      <c r="AV172" s="164">
        <f t="shared" si="58"/>
        <v>1.0918751816114873</v>
      </c>
      <c r="AW172" s="168">
        <f t="shared" si="59"/>
        <v>1.1875181611487262E-2</v>
      </c>
      <c r="AX172" s="168">
        <f t="shared" si="60"/>
        <v>377.48182413855977</v>
      </c>
      <c r="AY172" s="168">
        <f t="shared" si="61"/>
        <v>44.826652166808934</v>
      </c>
      <c r="AZ172" s="168">
        <f t="shared" si="62"/>
        <v>118.75181611487263</v>
      </c>
    </row>
    <row r="173" spans="1:52" ht="18" x14ac:dyDescent="0.25">
      <c r="A173">
        <v>4</v>
      </c>
      <c r="B173" t="s">
        <v>36</v>
      </c>
      <c r="C173" t="s">
        <v>30</v>
      </c>
      <c r="D173" t="s">
        <v>427</v>
      </c>
      <c r="E173">
        <v>2</v>
      </c>
      <c r="F173" s="9" t="s">
        <v>91</v>
      </c>
      <c r="G173">
        <v>161</v>
      </c>
      <c r="H173">
        <v>4.3540000000000001</v>
      </c>
      <c r="I173" s="8"/>
      <c r="J173" s="8"/>
      <c r="K173" s="8"/>
      <c r="L173" s="8"/>
      <c r="M173" s="8"/>
      <c r="N173" s="8"/>
      <c r="O173" s="8"/>
      <c r="P173" s="8"/>
      <c r="Q173" s="154">
        <v>620</v>
      </c>
      <c r="R173" s="154" t="s">
        <v>293</v>
      </c>
      <c r="S173" s="154">
        <v>3.24409525</v>
      </c>
      <c r="T173" s="154">
        <v>18.855805965496128</v>
      </c>
      <c r="U173" s="154">
        <v>6.1652389999999997</v>
      </c>
      <c r="V173" s="154">
        <v>-25.822742925656701</v>
      </c>
      <c r="W173" s="156">
        <v>4.3540000000000001</v>
      </c>
      <c r="X173" s="173">
        <v>5.451099000000001</v>
      </c>
      <c r="Y173" s="173">
        <v>7.7909153345735138</v>
      </c>
      <c r="Z173" s="173">
        <v>3.7938777499999992</v>
      </c>
      <c r="AA173" s="173">
        <v>-24.822546179307107</v>
      </c>
      <c r="AB173" s="173">
        <v>2.1543999999999999</v>
      </c>
      <c r="AC173" s="173">
        <v>2.1543999999999999</v>
      </c>
      <c r="AD173" s="158">
        <f t="shared" si="72"/>
        <v>1.1145290151582275E-2</v>
      </c>
      <c r="AE173" s="158">
        <f t="shared" si="73"/>
        <v>0.26127342664111941</v>
      </c>
      <c r="AF173" s="159">
        <f t="shared" si="74"/>
        <v>3.6156382840619838E-2</v>
      </c>
      <c r="AG173" s="159">
        <f t="shared" si="75"/>
        <v>1.6108131195914683</v>
      </c>
      <c r="AH173" s="160">
        <f t="shared" si="76"/>
        <v>0.83041761232475508</v>
      </c>
      <c r="AI173" s="160">
        <f t="shared" si="77"/>
        <v>36.996167193189443</v>
      </c>
      <c r="AJ173" s="161">
        <f t="shared" si="78"/>
        <v>44.551279553932659</v>
      </c>
      <c r="AK173" s="162">
        <f t="shared" si="79"/>
        <v>13.044890630922614</v>
      </c>
      <c r="AL173" s="162">
        <f t="shared" si="80"/>
        <v>-27.030196746349596</v>
      </c>
      <c r="AM173" s="163">
        <v>0.36599999999999999</v>
      </c>
      <c r="AN173" s="164">
        <f t="shared" si="51"/>
        <v>13.044890630922614</v>
      </c>
      <c r="AO173" s="165">
        <f t="shared" si="52"/>
        <v>0.37101366434090066</v>
      </c>
      <c r="AP173" s="166">
        <f t="shared" si="53"/>
        <v>5.0136643409006698E-3</v>
      </c>
      <c r="AQ173" s="166">
        <f t="shared" si="54"/>
        <v>8.3041761232475508</v>
      </c>
      <c r="AR173" s="166">
        <f t="shared" si="55"/>
        <v>0.41634351709685008</v>
      </c>
      <c r="AS173" s="166">
        <f t="shared" si="56"/>
        <v>50.136643409006695</v>
      </c>
      <c r="AT173" s="163">
        <v>1.08</v>
      </c>
      <c r="AU173" s="164">
        <f t="shared" si="57"/>
        <v>-27.030196746349596</v>
      </c>
      <c r="AV173" s="164">
        <f t="shared" si="58"/>
        <v>1.0815018254519702</v>
      </c>
      <c r="AW173" s="168">
        <f t="shared" si="59"/>
        <v>1.5018254519700847E-3</v>
      </c>
      <c r="AX173" s="168">
        <f t="shared" si="60"/>
        <v>369.96167193189444</v>
      </c>
      <c r="AY173" s="168">
        <f t="shared" si="61"/>
        <v>5.5561785516072559</v>
      </c>
      <c r="AZ173" s="168">
        <f t="shared" si="62"/>
        <v>15.018254519700847</v>
      </c>
    </row>
    <row r="174" spans="1:52" ht="18" x14ac:dyDescent="0.25">
      <c r="A174">
        <v>4</v>
      </c>
      <c r="B174" t="s">
        <v>36</v>
      </c>
      <c r="C174" t="s">
        <v>30</v>
      </c>
      <c r="D174" t="s">
        <v>428</v>
      </c>
      <c r="E174">
        <v>2</v>
      </c>
      <c r="F174" s="9" t="s">
        <v>92</v>
      </c>
      <c r="G174">
        <v>162</v>
      </c>
      <c r="H174">
        <v>4.1879999999999997</v>
      </c>
      <c r="I174" s="8"/>
      <c r="J174" s="8"/>
      <c r="K174" s="8"/>
      <c r="L174" s="8"/>
      <c r="M174" s="8"/>
      <c r="N174" s="8"/>
      <c r="O174" s="8"/>
      <c r="P174" s="8"/>
      <c r="Q174" s="169">
        <v>621</v>
      </c>
      <c r="R174" s="169" t="s">
        <v>294</v>
      </c>
      <c r="S174" s="169">
        <v>4.9667269999999997</v>
      </c>
      <c r="T174" s="169">
        <v>22.522833502591983</v>
      </c>
      <c r="U174" s="169">
        <v>5.9532404999999997</v>
      </c>
      <c r="V174" s="169">
        <v>-25.029747341072319</v>
      </c>
      <c r="W174" s="156">
        <v>4.1879999999999997</v>
      </c>
      <c r="X174" s="173">
        <v>5.451099000000001</v>
      </c>
      <c r="Y174" s="173">
        <v>7.7909153345735138</v>
      </c>
      <c r="Z174" s="173">
        <v>3.7938777499999992</v>
      </c>
      <c r="AA174" s="173">
        <v>-24.822546179307107</v>
      </c>
      <c r="AB174" s="173">
        <v>2.1543999999999999</v>
      </c>
      <c r="AC174" s="173">
        <v>2.1543999999999999</v>
      </c>
      <c r="AD174" s="158">
        <f t="shared" si="72"/>
        <v>1.1145290151582275E-2</v>
      </c>
      <c r="AE174" s="158">
        <f t="shared" si="73"/>
        <v>0.26127342664111941</v>
      </c>
      <c r="AF174" s="159">
        <f t="shared" si="74"/>
        <v>5.5355613518697777E-2</v>
      </c>
      <c r="AG174" s="159">
        <f t="shared" si="75"/>
        <v>1.5554235450536911</v>
      </c>
      <c r="AH174" s="160">
        <f t="shared" si="76"/>
        <v>1.3217672759956489</v>
      </c>
      <c r="AI174" s="160">
        <f t="shared" si="77"/>
        <v>37.140008239104375</v>
      </c>
      <c r="AJ174" s="161">
        <f t="shared" si="78"/>
        <v>28.098749994493456</v>
      </c>
      <c r="AK174" s="162">
        <f t="shared" si="79"/>
        <v>16.711918168018471</v>
      </c>
      <c r="AL174" s="162">
        <f t="shared" si="80"/>
        <v>-26.237201161765213</v>
      </c>
      <c r="AM174" s="163">
        <v>0.36599999999999999</v>
      </c>
      <c r="AN174" s="164">
        <f t="shared" si="51"/>
        <v>16.711918168018471</v>
      </c>
      <c r="AO174" s="165">
        <f t="shared" si="52"/>
        <v>0.372351661726258</v>
      </c>
      <c r="AP174" s="166">
        <f t="shared" si="53"/>
        <v>6.3516617262580066E-3</v>
      </c>
      <c r="AQ174" s="166">
        <f t="shared" si="54"/>
        <v>13.217672759956489</v>
      </c>
      <c r="AR174" s="166">
        <f t="shared" si="55"/>
        <v>0.83954186179618673</v>
      </c>
      <c r="AS174" s="166">
        <f t="shared" si="56"/>
        <v>63.51661726258007</v>
      </c>
      <c r="AT174" s="163">
        <v>1.08</v>
      </c>
      <c r="AU174" s="164">
        <f t="shared" si="57"/>
        <v>-26.237201161765213</v>
      </c>
      <c r="AV174" s="164">
        <f t="shared" si="58"/>
        <v>1.0823737368401933</v>
      </c>
      <c r="AW174" s="168">
        <f t="shared" si="59"/>
        <v>2.3737368401932635E-3</v>
      </c>
      <c r="AX174" s="168">
        <f t="shared" si="60"/>
        <v>371.40008239104378</v>
      </c>
      <c r="AY174" s="168">
        <f t="shared" si="61"/>
        <v>8.8160605802243399</v>
      </c>
      <c r="AZ174" s="168">
        <f t="shared" si="62"/>
        <v>23.737368401932635</v>
      </c>
    </row>
    <row r="175" spans="1:52" ht="18" x14ac:dyDescent="0.25">
      <c r="A175">
        <v>4</v>
      </c>
      <c r="B175" t="s">
        <v>40</v>
      </c>
      <c r="C175" t="s">
        <v>26</v>
      </c>
      <c r="D175" t="s">
        <v>427</v>
      </c>
      <c r="E175">
        <v>2</v>
      </c>
      <c r="F175" s="9" t="s">
        <v>93</v>
      </c>
      <c r="G175">
        <v>163</v>
      </c>
      <c r="H175">
        <v>4.2729999999999997</v>
      </c>
      <c r="I175" s="8"/>
      <c r="J175" s="8"/>
      <c r="K175" s="8"/>
      <c r="L175" s="8"/>
      <c r="M175" s="8"/>
      <c r="N175" s="8"/>
      <c r="O175" s="8"/>
      <c r="P175" s="8"/>
      <c r="Q175" s="154">
        <v>622</v>
      </c>
      <c r="R175" s="154" t="s">
        <v>295</v>
      </c>
      <c r="S175" s="154">
        <v>5.1696439999999999</v>
      </c>
      <c r="T175" s="154">
        <v>141.11993136557817</v>
      </c>
      <c r="U175" s="154">
        <v>6.4926855000000003</v>
      </c>
      <c r="V175" s="154">
        <v>-26.822025992329184</v>
      </c>
      <c r="W175" s="156">
        <v>4.2729999999999997</v>
      </c>
      <c r="X175" s="173">
        <v>5.451099000000001</v>
      </c>
      <c r="Y175" s="173">
        <v>7.7909153345735138</v>
      </c>
      <c r="Z175" s="173">
        <v>3.7938777499999992</v>
      </c>
      <c r="AA175" s="173">
        <v>-24.822546179307107</v>
      </c>
      <c r="AB175" s="173">
        <v>2.1543999999999999</v>
      </c>
      <c r="AC175" s="173">
        <v>2.1543999999999999</v>
      </c>
      <c r="AD175" s="158">
        <f t="shared" si="72"/>
        <v>1.1145290151582275E-2</v>
      </c>
      <c r="AE175" s="158">
        <f t="shared" si="73"/>
        <v>0.26127342664111941</v>
      </c>
      <c r="AF175" s="159">
        <f t="shared" si="74"/>
        <v>5.7617182360386397E-2</v>
      </c>
      <c r="AG175" s="159">
        <f t="shared" si="75"/>
        <v>1.6963661886881098</v>
      </c>
      <c r="AH175" s="160">
        <f t="shared" si="76"/>
        <v>1.3484011785721133</v>
      </c>
      <c r="AI175" s="160">
        <f t="shared" si="77"/>
        <v>39.699653374399951</v>
      </c>
      <c r="AJ175" s="161">
        <f t="shared" si="78"/>
        <v>29.44201918930375</v>
      </c>
      <c r="AK175" s="162">
        <f t="shared" si="79"/>
        <v>135.30901603100466</v>
      </c>
      <c r="AL175" s="162">
        <f t="shared" si="80"/>
        <v>-28.029479813022078</v>
      </c>
      <c r="AM175" s="163">
        <v>0.36599999999999999</v>
      </c>
      <c r="AN175" s="164">
        <f t="shared" si="51"/>
        <v>135.30901603100466</v>
      </c>
      <c r="AO175" s="165">
        <f t="shared" si="52"/>
        <v>0.41560510961467045</v>
      </c>
      <c r="AP175" s="166">
        <f t="shared" si="53"/>
        <v>4.9605109614670462E-2</v>
      </c>
      <c r="AQ175" s="166">
        <f t="shared" si="54"/>
        <v>13.484011785721133</v>
      </c>
      <c r="AR175" s="166">
        <f t="shared" si="55"/>
        <v>6.6887588267620517</v>
      </c>
      <c r="AS175" s="166">
        <f t="shared" si="56"/>
        <v>496.05109614670459</v>
      </c>
      <c r="AT175" s="163">
        <v>1.08</v>
      </c>
      <c r="AU175" s="164">
        <f t="shared" si="57"/>
        <v>-28.029479813022078</v>
      </c>
      <c r="AV175" s="164">
        <f t="shared" si="58"/>
        <v>1.0804030757731498</v>
      </c>
      <c r="AW175" s="168">
        <f t="shared" si="59"/>
        <v>4.030757731496859E-4</v>
      </c>
      <c r="AX175" s="168">
        <f t="shared" si="60"/>
        <v>396.99653374399952</v>
      </c>
      <c r="AY175" s="168">
        <f t="shared" si="61"/>
        <v>1.6001968477660797</v>
      </c>
      <c r="AZ175" s="168">
        <f t="shared" si="62"/>
        <v>4.030757731496859</v>
      </c>
    </row>
    <row r="176" spans="1:52" ht="18" x14ac:dyDescent="0.25">
      <c r="A176">
        <v>4</v>
      </c>
      <c r="B176" t="s">
        <v>40</v>
      </c>
      <c r="C176" t="s">
        <v>26</v>
      </c>
      <c r="D176" t="s">
        <v>428</v>
      </c>
      <c r="E176">
        <v>2</v>
      </c>
      <c r="F176" s="9" t="s">
        <v>94</v>
      </c>
      <c r="G176">
        <v>164</v>
      </c>
      <c r="H176">
        <v>4.056</v>
      </c>
      <c r="I176" s="8"/>
      <c r="J176" s="8"/>
      <c r="K176" s="8"/>
      <c r="L176" s="8"/>
      <c r="M176" s="8"/>
      <c r="N176" s="8"/>
      <c r="O176" s="8"/>
      <c r="P176" s="8"/>
      <c r="Q176" s="169">
        <v>623</v>
      </c>
      <c r="R176" s="169" t="s">
        <v>296</v>
      </c>
      <c r="S176" s="169">
        <v>5.6265194999999997</v>
      </c>
      <c r="T176" s="169">
        <v>55.259087281037978</v>
      </c>
      <c r="U176" s="169">
        <v>6.0368199999999996</v>
      </c>
      <c r="V176" s="169">
        <v>-24.443598353059951</v>
      </c>
      <c r="W176" s="156">
        <v>4.056</v>
      </c>
      <c r="X176" s="173">
        <v>5.451099000000001</v>
      </c>
      <c r="Y176" s="173">
        <v>7.7909153345735138</v>
      </c>
      <c r="Z176" s="173">
        <v>3.7938777499999992</v>
      </c>
      <c r="AA176" s="173">
        <v>-24.822546179307107</v>
      </c>
      <c r="AB176" s="173">
        <v>2.1543999999999999</v>
      </c>
      <c r="AC176" s="173">
        <v>2.1543999999999999</v>
      </c>
      <c r="AD176" s="158">
        <f t="shared" si="72"/>
        <v>1.1145290151582275E-2</v>
      </c>
      <c r="AE176" s="158">
        <f t="shared" si="73"/>
        <v>0.26127342664111941</v>
      </c>
      <c r="AF176" s="159">
        <f t="shared" si="74"/>
        <v>6.2709192371035616E-2</v>
      </c>
      <c r="AG176" s="159">
        <f t="shared" si="75"/>
        <v>1.5772606474156423</v>
      </c>
      <c r="AH176" s="160">
        <f t="shared" si="76"/>
        <v>1.5460846245324362</v>
      </c>
      <c r="AI176" s="160">
        <f t="shared" si="77"/>
        <v>38.887096829774222</v>
      </c>
      <c r="AJ176" s="161">
        <f t="shared" si="78"/>
        <v>25.151984705581285</v>
      </c>
      <c r="AK176" s="162">
        <f t="shared" si="79"/>
        <v>49.448171946464463</v>
      </c>
      <c r="AL176" s="162">
        <f t="shared" si="80"/>
        <v>-25.651052173752845</v>
      </c>
      <c r="AM176" s="163">
        <v>0.36599999999999999</v>
      </c>
      <c r="AN176" s="164">
        <f t="shared" si="51"/>
        <v>49.448171946464463</v>
      </c>
      <c r="AO176" s="165">
        <f t="shared" si="52"/>
        <v>0.3842946271549359</v>
      </c>
      <c r="AP176" s="166">
        <f t="shared" si="53"/>
        <v>1.8294627154935905E-2</v>
      </c>
      <c r="AQ176" s="166">
        <f t="shared" si="54"/>
        <v>15.460846245324362</v>
      </c>
      <c r="AR176" s="166">
        <f t="shared" si="55"/>
        <v>2.8285041755799991</v>
      </c>
      <c r="AS176" s="166">
        <f t="shared" si="56"/>
        <v>182.94627154935904</v>
      </c>
      <c r="AT176" s="163">
        <v>1.08</v>
      </c>
      <c r="AU176" s="164">
        <f t="shared" si="57"/>
        <v>-25.651052173752845</v>
      </c>
      <c r="AV176" s="164">
        <f t="shared" si="58"/>
        <v>1.0830182071919534</v>
      </c>
      <c r="AW176" s="168">
        <f t="shared" si="59"/>
        <v>3.0182071919533371E-3</v>
      </c>
      <c r="AX176" s="168">
        <f t="shared" si="60"/>
        <v>388.87096829774219</v>
      </c>
      <c r="AY176" s="168">
        <f t="shared" si="61"/>
        <v>11.736931532581037</v>
      </c>
      <c r="AZ176" s="168">
        <f t="shared" si="62"/>
        <v>30.182071919533371</v>
      </c>
    </row>
    <row r="177" spans="1:52" ht="18" x14ac:dyDescent="0.25">
      <c r="A177">
        <v>4</v>
      </c>
      <c r="B177" t="s">
        <v>40</v>
      </c>
      <c r="C177" t="s">
        <v>28</v>
      </c>
      <c r="D177" t="s">
        <v>427</v>
      </c>
      <c r="E177">
        <v>2</v>
      </c>
      <c r="F177" s="9" t="s">
        <v>95</v>
      </c>
      <c r="G177">
        <v>165</v>
      </c>
      <c r="H177">
        <v>4.1360000000000001</v>
      </c>
      <c r="I177" s="8"/>
      <c r="J177" s="8"/>
      <c r="K177" s="8"/>
      <c r="L177" s="8"/>
      <c r="M177" s="8"/>
      <c r="N177" s="8"/>
      <c r="O177" s="8"/>
      <c r="P177" s="8"/>
      <c r="Q177" s="154">
        <v>624</v>
      </c>
      <c r="R177" s="154" t="s">
        <v>297</v>
      </c>
      <c r="S177" s="154">
        <v>4.4161010000000003</v>
      </c>
      <c r="T177" s="154">
        <v>163.4996380554046</v>
      </c>
      <c r="U177" s="154">
        <v>5.7725720000000003</v>
      </c>
      <c r="V177" s="154">
        <v>-24.659879476970261</v>
      </c>
      <c r="W177" s="156">
        <v>4.1360000000000001</v>
      </c>
      <c r="X177" s="173">
        <v>5.451099000000001</v>
      </c>
      <c r="Y177" s="173">
        <v>7.7909153345735138</v>
      </c>
      <c r="Z177" s="173">
        <v>3.7938777499999992</v>
      </c>
      <c r="AA177" s="173">
        <v>-24.822546179307107</v>
      </c>
      <c r="AB177" s="173">
        <v>2.1543999999999999</v>
      </c>
      <c r="AC177" s="173">
        <v>2.1543999999999999</v>
      </c>
      <c r="AD177" s="158">
        <f t="shared" si="72"/>
        <v>1.1145290151582275E-2</v>
      </c>
      <c r="AE177" s="158">
        <f t="shared" si="73"/>
        <v>0.26127342664111941</v>
      </c>
      <c r="AF177" s="159">
        <f t="shared" si="74"/>
        <v>4.9218726983692639E-2</v>
      </c>
      <c r="AG177" s="159">
        <f t="shared" si="75"/>
        <v>1.50821966697258</v>
      </c>
      <c r="AH177" s="160">
        <f t="shared" si="76"/>
        <v>1.1900079057952766</v>
      </c>
      <c r="AI177" s="160">
        <f t="shared" si="77"/>
        <v>36.46565925949178</v>
      </c>
      <c r="AJ177" s="161">
        <f t="shared" si="78"/>
        <v>30.64320756350098</v>
      </c>
      <c r="AK177" s="162">
        <f t="shared" si="79"/>
        <v>157.68872272083109</v>
      </c>
      <c r="AL177" s="162">
        <f t="shared" si="80"/>
        <v>-25.867333297663155</v>
      </c>
      <c r="AM177" s="163">
        <v>0.36599999999999999</v>
      </c>
      <c r="AN177" s="164">
        <f t="shared" si="51"/>
        <v>157.68872272083109</v>
      </c>
      <c r="AO177" s="165">
        <f t="shared" si="52"/>
        <v>0.42376298171453969</v>
      </c>
      <c r="AP177" s="166">
        <f t="shared" si="53"/>
        <v>5.7762981714539696E-2</v>
      </c>
      <c r="AQ177" s="166">
        <f t="shared" si="54"/>
        <v>11.900079057952766</v>
      </c>
      <c r="AR177" s="166">
        <f t="shared" si="55"/>
        <v>6.8738404902610242</v>
      </c>
      <c r="AS177" s="166">
        <f t="shared" si="56"/>
        <v>577.62981714539694</v>
      </c>
      <c r="AT177" s="163">
        <v>1.08</v>
      </c>
      <c r="AU177" s="164">
        <f t="shared" si="57"/>
        <v>-25.867333297663155</v>
      </c>
      <c r="AV177" s="164">
        <f t="shared" si="58"/>
        <v>1.0827804072438023</v>
      </c>
      <c r="AW177" s="168">
        <f t="shared" si="59"/>
        <v>2.7804072438022409E-3</v>
      </c>
      <c r="AX177" s="168">
        <f t="shared" si="60"/>
        <v>364.65659259491781</v>
      </c>
      <c r="AY177" s="168">
        <f t="shared" si="61"/>
        <v>10.13893831551152</v>
      </c>
      <c r="AZ177" s="168">
        <f t="shared" si="62"/>
        <v>27.804072438022409</v>
      </c>
    </row>
    <row r="178" spans="1:52" ht="18" x14ac:dyDescent="0.25">
      <c r="A178">
        <v>4</v>
      </c>
      <c r="B178" t="s">
        <v>40</v>
      </c>
      <c r="C178" t="s">
        <v>28</v>
      </c>
      <c r="D178" t="s">
        <v>428</v>
      </c>
      <c r="E178">
        <v>2</v>
      </c>
      <c r="F178" s="9" t="s">
        <v>96</v>
      </c>
      <c r="G178">
        <v>166</v>
      </c>
      <c r="H178">
        <v>4.6879999999999997</v>
      </c>
      <c r="I178" s="8"/>
      <c r="J178" s="8"/>
      <c r="K178" s="8"/>
      <c r="L178" s="8"/>
      <c r="M178" s="8"/>
      <c r="N178" s="8"/>
      <c r="O178" s="8"/>
      <c r="P178" s="8"/>
      <c r="Q178" s="169">
        <v>625</v>
      </c>
      <c r="R178" s="169" t="s">
        <v>298</v>
      </c>
      <c r="S178" s="169">
        <v>4.3881284999999997</v>
      </c>
      <c r="T178" s="169">
        <v>379.46381557733218</v>
      </c>
      <c r="U178" s="169">
        <v>6.4968110000000001</v>
      </c>
      <c r="V178" s="169">
        <v>-20.911765665359194</v>
      </c>
      <c r="W178" s="156">
        <v>4.6879999999999997</v>
      </c>
      <c r="X178" s="173">
        <v>5.451099000000001</v>
      </c>
      <c r="Y178" s="173">
        <v>7.7909153345735138</v>
      </c>
      <c r="Z178" s="173">
        <v>3.7938777499999992</v>
      </c>
      <c r="AA178" s="173">
        <v>-24.822546179307107</v>
      </c>
      <c r="AB178" s="173">
        <v>2.1543999999999999</v>
      </c>
      <c r="AC178" s="173">
        <v>2.1543999999999999</v>
      </c>
      <c r="AD178" s="158">
        <f t="shared" si="72"/>
        <v>1.1145290151582275E-2</v>
      </c>
      <c r="AE178" s="158">
        <f t="shared" si="73"/>
        <v>0.26127342664111941</v>
      </c>
      <c r="AF178" s="159">
        <f t="shared" si="74"/>
        <v>4.8906965354927494E-2</v>
      </c>
      <c r="AG178" s="159">
        <f t="shared" si="75"/>
        <v>1.6974440722097177</v>
      </c>
      <c r="AH178" s="160">
        <f t="shared" si="76"/>
        <v>1.0432373155914567</v>
      </c>
      <c r="AI178" s="160">
        <f t="shared" si="77"/>
        <v>36.208277990821628</v>
      </c>
      <c r="AJ178" s="161">
        <f t="shared" si="78"/>
        <v>34.707613933741982</v>
      </c>
      <c r="AK178" s="162">
        <f t="shared" si="79"/>
        <v>373.65290024275868</v>
      </c>
      <c r="AL178" s="162">
        <f t="shared" si="80"/>
        <v>-22.119219486052089</v>
      </c>
      <c r="AM178" s="163">
        <v>0.36599999999999999</v>
      </c>
      <c r="AN178" s="164">
        <f t="shared" si="51"/>
        <v>373.65290024275868</v>
      </c>
      <c r="AO178" s="165">
        <f t="shared" si="52"/>
        <v>0.50241782318421946</v>
      </c>
      <c r="AP178" s="166">
        <f t="shared" si="53"/>
        <v>0.13641782318421947</v>
      </c>
      <c r="AQ178" s="166">
        <f t="shared" si="54"/>
        <v>10.432373155914568</v>
      </c>
      <c r="AR178" s="166">
        <f t="shared" si="55"/>
        <v>14.231616365753514</v>
      </c>
      <c r="AS178" s="166">
        <f t="shared" si="56"/>
        <v>1364.1782318421945</v>
      </c>
      <c r="AT178" s="163">
        <v>1.08</v>
      </c>
      <c r="AU178" s="164">
        <f t="shared" si="57"/>
        <v>-22.119219486052089</v>
      </c>
      <c r="AV178" s="164">
        <f t="shared" si="58"/>
        <v>1.0869012767176127</v>
      </c>
      <c r="AW178" s="168">
        <f t="shared" si="59"/>
        <v>6.9012767176126477E-3</v>
      </c>
      <c r="AX178" s="168">
        <f t="shared" si="60"/>
        <v>362.08277990821631</v>
      </c>
      <c r="AY178" s="168">
        <f t="shared" si="61"/>
        <v>24.988334588290378</v>
      </c>
      <c r="AZ178" s="168">
        <f t="shared" si="62"/>
        <v>69.012767176126474</v>
      </c>
    </row>
    <row r="179" spans="1:52" ht="18" x14ac:dyDescent="0.25">
      <c r="A179">
        <v>4</v>
      </c>
      <c r="B179" t="s">
        <v>40</v>
      </c>
      <c r="C179" t="s">
        <v>30</v>
      </c>
      <c r="D179" t="s">
        <v>427</v>
      </c>
      <c r="E179">
        <v>2</v>
      </c>
      <c r="F179" s="9" t="s">
        <v>97</v>
      </c>
      <c r="G179">
        <v>167</v>
      </c>
      <c r="H179">
        <v>4.2279999999999998</v>
      </c>
      <c r="I179" s="8"/>
      <c r="J179" s="8"/>
      <c r="K179" s="8"/>
      <c r="L179" s="8"/>
      <c r="M179" s="8"/>
      <c r="N179" s="8"/>
      <c r="O179" s="8"/>
      <c r="P179" s="8"/>
      <c r="Q179" s="154">
        <v>626</v>
      </c>
      <c r="R179" s="154" t="s">
        <v>299</v>
      </c>
      <c r="S179" s="154">
        <v>3.10605325</v>
      </c>
      <c r="T179" s="154">
        <v>6.264363011667351</v>
      </c>
      <c r="U179" s="154">
        <v>5.9747824999999999</v>
      </c>
      <c r="V179" s="154">
        <v>-24.99388946318</v>
      </c>
      <c r="W179" s="156">
        <v>4.2279999999999998</v>
      </c>
      <c r="X179" s="173">
        <v>5.451099000000001</v>
      </c>
      <c r="Y179" s="173">
        <v>7.7909153345735138</v>
      </c>
      <c r="Z179" s="173">
        <v>3.7938777499999992</v>
      </c>
      <c r="AA179" s="173">
        <v>-24.822546179307107</v>
      </c>
      <c r="AB179" s="173">
        <v>2.1543999999999999</v>
      </c>
      <c r="AC179" s="173">
        <v>2.1543999999999999</v>
      </c>
      <c r="AD179" s="158">
        <f t="shared" si="72"/>
        <v>1.1145290151582275E-2</v>
      </c>
      <c r="AE179" s="158">
        <f t="shared" si="73"/>
        <v>0.26127342664111941</v>
      </c>
      <c r="AF179" s="159">
        <f t="shared" si="74"/>
        <v>3.461786469751512E-2</v>
      </c>
      <c r="AG179" s="159">
        <f t="shared" si="75"/>
        <v>1.5610518972103939</v>
      </c>
      <c r="AH179" s="160">
        <f t="shared" si="76"/>
        <v>0.81877636465267556</v>
      </c>
      <c r="AI179" s="160">
        <f t="shared" si="77"/>
        <v>36.92175726609257</v>
      </c>
      <c r="AJ179" s="161">
        <f t="shared" si="78"/>
        <v>45.093823979341124</v>
      </c>
      <c r="AK179" s="162">
        <f t="shared" si="79"/>
        <v>0.4534476770938376</v>
      </c>
      <c r="AL179" s="162">
        <f t="shared" si="80"/>
        <v>-26.201343283872895</v>
      </c>
      <c r="AM179" s="163">
        <v>0.36599999999999999</v>
      </c>
      <c r="AN179" s="164">
        <f t="shared" si="51"/>
        <v>0.4534476770938376</v>
      </c>
      <c r="AO179" s="165">
        <f t="shared" si="52"/>
        <v>0.36641911990694193</v>
      </c>
      <c r="AP179" s="166">
        <f t="shared" si="53"/>
        <v>4.191199069419338E-4</v>
      </c>
      <c r="AQ179" s="166">
        <f t="shared" si="54"/>
        <v>8.187763646526756</v>
      </c>
      <c r="AR179" s="166">
        <f t="shared" si="55"/>
        <v>3.4316547375948421E-2</v>
      </c>
      <c r="AS179" s="166">
        <f t="shared" si="56"/>
        <v>4.191199069419338</v>
      </c>
      <c r="AT179" s="163">
        <v>1.08</v>
      </c>
      <c r="AU179" s="164">
        <f t="shared" si="57"/>
        <v>-26.201343283872895</v>
      </c>
      <c r="AV179" s="164">
        <f t="shared" si="58"/>
        <v>1.0824131627899158</v>
      </c>
      <c r="AW179" s="168">
        <f t="shared" si="59"/>
        <v>2.4131627899157682E-3</v>
      </c>
      <c r="AX179" s="168">
        <f t="shared" si="60"/>
        <v>369.21757266092573</v>
      </c>
      <c r="AY179" s="168">
        <f t="shared" si="61"/>
        <v>8.9098210772836737</v>
      </c>
      <c r="AZ179" s="168">
        <f t="shared" si="62"/>
        <v>24.131627899157682</v>
      </c>
    </row>
    <row r="180" spans="1:52" ht="18" x14ac:dyDescent="0.25">
      <c r="A180">
        <v>4</v>
      </c>
      <c r="B180" t="s">
        <v>40</v>
      </c>
      <c r="C180" t="s">
        <v>30</v>
      </c>
      <c r="D180" t="s">
        <v>428</v>
      </c>
      <c r="E180">
        <v>2</v>
      </c>
      <c r="F180" s="9" t="s">
        <v>98</v>
      </c>
      <c r="G180">
        <v>168</v>
      </c>
      <c r="H180">
        <v>4.21</v>
      </c>
      <c r="I180" s="8"/>
      <c r="J180" s="8"/>
      <c r="K180" s="8"/>
      <c r="L180" s="8"/>
      <c r="M180" s="8"/>
      <c r="N180" s="8"/>
      <c r="O180" s="8"/>
      <c r="P180" s="8"/>
      <c r="Q180" s="169">
        <v>627</v>
      </c>
      <c r="R180" s="169" t="s">
        <v>300</v>
      </c>
      <c r="S180" s="169">
        <v>2.517665</v>
      </c>
      <c r="T180" s="169">
        <v>9.6370673833496685</v>
      </c>
      <c r="U180" s="169">
        <v>5.927441</v>
      </c>
      <c r="V180" s="169">
        <v>-25.199219155834289</v>
      </c>
      <c r="W180" s="156">
        <v>4.21</v>
      </c>
      <c r="X180" s="173">
        <v>5.451099000000001</v>
      </c>
      <c r="Y180" s="173">
        <v>7.7909153345735138</v>
      </c>
      <c r="Z180" s="173">
        <v>3.7938777499999992</v>
      </c>
      <c r="AA180" s="173">
        <v>-24.822546179307107</v>
      </c>
      <c r="AB180" s="173">
        <v>2.1543999999999999</v>
      </c>
      <c r="AC180" s="173">
        <v>2.1543999999999999</v>
      </c>
      <c r="AD180" s="158">
        <f t="shared" si="72"/>
        <v>1.1145290151582275E-2</v>
      </c>
      <c r="AE180" s="158">
        <f t="shared" si="73"/>
        <v>0.26127342664111941</v>
      </c>
      <c r="AF180" s="159">
        <f t="shared" si="74"/>
        <v>2.8060106929483387E-2</v>
      </c>
      <c r="AG180" s="159">
        <f t="shared" si="75"/>
        <v>1.5486828212830634</v>
      </c>
      <c r="AH180" s="160">
        <f t="shared" si="76"/>
        <v>0.66651085343190941</v>
      </c>
      <c r="AI180" s="160">
        <f t="shared" si="77"/>
        <v>36.785815232376798</v>
      </c>
      <c r="AJ180" s="161">
        <f t="shared" si="78"/>
        <v>55.191622226351086</v>
      </c>
      <c r="AK180" s="162">
        <f t="shared" si="79"/>
        <v>3.8261520487761551</v>
      </c>
      <c r="AL180" s="162">
        <f t="shared" si="80"/>
        <v>-26.406672976527183</v>
      </c>
      <c r="AM180" s="163">
        <v>0.36599999999999999</v>
      </c>
      <c r="AN180" s="164">
        <f t="shared" si="51"/>
        <v>3.8261520487761551</v>
      </c>
      <c r="AO180" s="165">
        <f t="shared" si="52"/>
        <v>0.36764984170392534</v>
      </c>
      <c r="AP180" s="166">
        <f t="shared" si="53"/>
        <v>1.6498417039253477E-3</v>
      </c>
      <c r="AQ180" s="166">
        <f t="shared" si="54"/>
        <v>6.6651085343190948</v>
      </c>
      <c r="AR180" s="166">
        <f t="shared" si="55"/>
        <v>0.10996374021108392</v>
      </c>
      <c r="AS180" s="166">
        <f t="shared" si="56"/>
        <v>16.498417039253475</v>
      </c>
      <c r="AT180" s="163">
        <v>1.08</v>
      </c>
      <c r="AU180" s="164">
        <f t="shared" si="57"/>
        <v>-26.406672976527183</v>
      </c>
      <c r="AV180" s="164">
        <f t="shared" si="58"/>
        <v>1.0821874011479982</v>
      </c>
      <c r="AW180" s="168">
        <f t="shared" si="59"/>
        <v>2.1874011479980915E-3</v>
      </c>
      <c r="AX180" s="168">
        <f t="shared" si="60"/>
        <v>367.85815232376802</v>
      </c>
      <c r="AY180" s="168">
        <f t="shared" si="61"/>
        <v>8.046533446934669</v>
      </c>
      <c r="AZ180" s="168">
        <f t="shared" si="62"/>
        <v>21.874011479980915</v>
      </c>
    </row>
    <row r="181" spans="1:52" ht="18" x14ac:dyDescent="0.25">
      <c r="A181">
        <v>4</v>
      </c>
      <c r="B181" t="s">
        <v>44</v>
      </c>
      <c r="C181" t="s">
        <v>26</v>
      </c>
      <c r="D181" t="s">
        <v>427</v>
      </c>
      <c r="E181">
        <v>2</v>
      </c>
      <c r="F181" s="9" t="s">
        <v>99</v>
      </c>
      <c r="G181">
        <v>169</v>
      </c>
      <c r="H181">
        <v>4.3310000000000004</v>
      </c>
      <c r="Q181" s="154">
        <v>628</v>
      </c>
      <c r="R181" s="154" t="s">
        <v>301</v>
      </c>
      <c r="S181" s="154">
        <v>4.9111684999999996</v>
      </c>
      <c r="T181" s="154">
        <v>116.04688196901085</v>
      </c>
      <c r="U181" s="154">
        <v>6.7021670000000002</v>
      </c>
      <c r="V181" s="154">
        <v>-27.211169676721934</v>
      </c>
      <c r="W181" s="156">
        <v>4.3310000000000004</v>
      </c>
      <c r="X181" s="173">
        <v>5.451099000000001</v>
      </c>
      <c r="Y181" s="173">
        <v>7.7909153345735138</v>
      </c>
      <c r="Z181" s="173">
        <v>3.7938777499999992</v>
      </c>
      <c r="AA181" s="173">
        <v>-24.822546179307107</v>
      </c>
      <c r="AB181" s="173">
        <v>2.1543999999999999</v>
      </c>
      <c r="AC181" s="173">
        <v>2.1543999999999999</v>
      </c>
      <c r="AD181" s="158">
        <f t="shared" si="72"/>
        <v>1.1145290151582275E-2</v>
      </c>
      <c r="AE181" s="158">
        <f t="shared" si="73"/>
        <v>0.26127342664111941</v>
      </c>
      <c r="AF181" s="159">
        <f t="shared" si="74"/>
        <v>5.4736397915811093E-2</v>
      </c>
      <c r="AG181" s="159">
        <f t="shared" si="75"/>
        <v>1.7510981380110313</v>
      </c>
      <c r="AH181" s="160">
        <f t="shared" si="76"/>
        <v>1.2638281670702167</v>
      </c>
      <c r="AI181" s="160">
        <f t="shared" si="77"/>
        <v>40.431727961464588</v>
      </c>
      <c r="AJ181" s="161">
        <f t="shared" si="78"/>
        <v>31.991475593705648</v>
      </c>
      <c r="AK181" s="162">
        <f t="shared" si="79"/>
        <v>110.23596663443735</v>
      </c>
      <c r="AL181" s="162">
        <f t="shared" si="80"/>
        <v>-28.418623497414828</v>
      </c>
      <c r="AM181" s="163">
        <v>0.36599999999999999</v>
      </c>
      <c r="AN181" s="164">
        <f t="shared" si="51"/>
        <v>110.23596663443735</v>
      </c>
      <c r="AO181" s="165">
        <f t="shared" si="52"/>
        <v>0.40646386984666533</v>
      </c>
      <c r="AP181" s="166">
        <f t="shared" si="53"/>
        <v>4.0463869846665335E-2</v>
      </c>
      <c r="AQ181" s="166">
        <f t="shared" si="54"/>
        <v>12.638281670702167</v>
      </c>
      <c r="AR181" s="166">
        <f t="shared" si="55"/>
        <v>5.1139378460878859</v>
      </c>
      <c r="AS181" s="166">
        <f t="shared" si="56"/>
        <v>404.63869846665335</v>
      </c>
      <c r="AT181" s="163">
        <v>1.08</v>
      </c>
      <c r="AU181" s="164">
        <f t="shared" si="57"/>
        <v>-28.418623497414828</v>
      </c>
      <c r="AV181" s="164">
        <f t="shared" si="58"/>
        <v>1.0799751909111697</v>
      </c>
      <c r="AW181" s="168">
        <f t="shared" si="59"/>
        <v>-2.4809088830402004E-5</v>
      </c>
      <c r="AX181" s="168">
        <f t="shared" si="60"/>
        <v>404.31727961464588</v>
      </c>
      <c r="AY181" s="168">
        <f t="shared" si="61"/>
        <v>-0.10030743305626234</v>
      </c>
      <c r="AZ181" s="168">
        <f t="shared" si="62"/>
        <v>-0.24809088830402004</v>
      </c>
    </row>
    <row r="182" spans="1:52" ht="18" x14ac:dyDescent="0.25">
      <c r="A182">
        <v>4</v>
      </c>
      <c r="B182" t="s">
        <v>44</v>
      </c>
      <c r="C182" t="s">
        <v>26</v>
      </c>
      <c r="D182" t="s">
        <v>428</v>
      </c>
      <c r="E182">
        <v>2</v>
      </c>
      <c r="F182" s="9" t="s">
        <v>100</v>
      </c>
      <c r="G182">
        <v>170</v>
      </c>
      <c r="H182">
        <v>4.07</v>
      </c>
      <c r="Q182" s="169">
        <v>629</v>
      </c>
      <c r="R182" s="169" t="s">
        <v>302</v>
      </c>
      <c r="S182" s="169">
        <v>4.6174020000000002</v>
      </c>
      <c r="T182" s="169">
        <v>66.493968723785386</v>
      </c>
      <c r="U182" s="169">
        <v>6.4175795000000004</v>
      </c>
      <c r="V182" s="169">
        <v>-27.127111528144457</v>
      </c>
      <c r="W182" s="156">
        <v>4.07</v>
      </c>
      <c r="X182" s="173">
        <v>5.451099000000001</v>
      </c>
      <c r="Y182" s="173">
        <v>7.7909153345735138</v>
      </c>
      <c r="Z182" s="173">
        <v>3.7938777499999992</v>
      </c>
      <c r="AA182" s="173">
        <v>-24.822546179307107</v>
      </c>
      <c r="AB182" s="173">
        <v>2.1543999999999999</v>
      </c>
      <c r="AC182" s="173">
        <v>2.1543999999999999</v>
      </c>
      <c r="AD182" s="158">
        <f t="shared" si="72"/>
        <v>1.1145290151582275E-2</v>
      </c>
      <c r="AE182" s="158">
        <f t="shared" si="73"/>
        <v>0.26127342664111941</v>
      </c>
      <c r="AF182" s="159">
        <f t="shared" si="74"/>
        <v>5.1462285036496302E-2</v>
      </c>
      <c r="AG182" s="159">
        <f t="shared" si="75"/>
        <v>1.676742986706802</v>
      </c>
      <c r="AH182" s="160">
        <f t="shared" si="76"/>
        <v>1.2644296077763217</v>
      </c>
      <c r="AI182" s="160">
        <f t="shared" si="77"/>
        <v>41.197616381002504</v>
      </c>
      <c r="AJ182" s="161">
        <f t="shared" si="78"/>
        <v>32.581976986013743</v>
      </c>
      <c r="AK182" s="162">
        <f t="shared" si="79"/>
        <v>60.683053389211871</v>
      </c>
      <c r="AL182" s="162">
        <f t="shared" si="80"/>
        <v>-28.334565348837351</v>
      </c>
      <c r="AM182" s="163">
        <v>0.36599999999999999</v>
      </c>
      <c r="AN182" s="164">
        <f t="shared" si="51"/>
        <v>60.683053389211871</v>
      </c>
      <c r="AO182" s="165">
        <f t="shared" si="52"/>
        <v>0.38839271967317063</v>
      </c>
      <c r="AP182" s="166">
        <f t="shared" si="53"/>
        <v>2.2392719673170636E-2</v>
      </c>
      <c r="AQ182" s="166">
        <f t="shared" si="54"/>
        <v>12.644296077763217</v>
      </c>
      <c r="AR182" s="166">
        <f t="shared" si="55"/>
        <v>2.8314017753392267</v>
      </c>
      <c r="AS182" s="166">
        <f t="shared" si="56"/>
        <v>223.92719673170635</v>
      </c>
      <c r="AT182" s="163">
        <v>1.08</v>
      </c>
      <c r="AU182" s="164">
        <f t="shared" si="57"/>
        <v>-28.334565348837351</v>
      </c>
      <c r="AV182" s="164">
        <f t="shared" si="58"/>
        <v>1.0800676177774342</v>
      </c>
      <c r="AW182" s="168">
        <f t="shared" si="59"/>
        <v>6.7617777434136883E-5</v>
      </c>
      <c r="AX182" s="168">
        <f t="shared" si="60"/>
        <v>411.97616381002507</v>
      </c>
      <c r="AY182" s="168">
        <f t="shared" si="61"/>
        <v>0.27856912552675794</v>
      </c>
      <c r="AZ182" s="168">
        <f t="shared" si="62"/>
        <v>0.67617777434136883</v>
      </c>
    </row>
    <row r="183" spans="1:52" ht="18" x14ac:dyDescent="0.25">
      <c r="A183">
        <v>4</v>
      </c>
      <c r="B183" t="s">
        <v>44</v>
      </c>
      <c r="C183" t="s">
        <v>28</v>
      </c>
      <c r="D183" t="s">
        <v>427</v>
      </c>
      <c r="E183">
        <v>2</v>
      </c>
      <c r="F183" s="9" t="s">
        <v>101</v>
      </c>
      <c r="G183">
        <v>171</v>
      </c>
      <c r="H183">
        <v>4.7910000000000004</v>
      </c>
      <c r="Q183" s="154">
        <v>630</v>
      </c>
      <c r="R183" s="154" t="s">
        <v>303</v>
      </c>
      <c r="S183" s="154">
        <v>5.8456815000000004</v>
      </c>
      <c r="T183" s="154">
        <v>456.71686757767827</v>
      </c>
      <c r="U183" s="154">
        <v>7.1138484999999996</v>
      </c>
      <c r="V183" s="154">
        <v>-22.867088916172527</v>
      </c>
      <c r="W183" s="156">
        <v>4.7910000000000004</v>
      </c>
      <c r="X183" s="173">
        <v>5.451099000000001</v>
      </c>
      <c r="Y183" s="173">
        <v>7.7909153345735138</v>
      </c>
      <c r="Z183" s="173">
        <v>3.7938777499999992</v>
      </c>
      <c r="AA183" s="173">
        <v>-24.822546179307107</v>
      </c>
      <c r="AB183" s="173">
        <v>2.1543999999999999</v>
      </c>
      <c r="AC183" s="173">
        <v>2.1543999999999999</v>
      </c>
      <c r="AD183" s="158">
        <f t="shared" si="72"/>
        <v>1.1145290151582275E-2</v>
      </c>
      <c r="AE183" s="158">
        <f t="shared" si="73"/>
        <v>0.26127342664111941</v>
      </c>
      <c r="AF183" s="159">
        <f t="shared" si="74"/>
        <v>6.5151816451236702E-2</v>
      </c>
      <c r="AG183" s="159">
        <f t="shared" si="75"/>
        <v>1.8586595742007872</v>
      </c>
      <c r="AH183" s="160">
        <f t="shared" si="76"/>
        <v>1.3598792830564954</v>
      </c>
      <c r="AI183" s="160">
        <f t="shared" si="77"/>
        <v>38.794814740154187</v>
      </c>
      <c r="AJ183" s="161">
        <f t="shared" si="78"/>
        <v>28.528131300712282</v>
      </c>
      <c r="AK183" s="162">
        <f t="shared" si="79"/>
        <v>450.90595224310476</v>
      </c>
      <c r="AL183" s="162">
        <f t="shared" si="80"/>
        <v>-24.074542736865421</v>
      </c>
      <c r="AM183" s="163">
        <v>0.36599999999999999</v>
      </c>
      <c r="AN183" s="164">
        <f t="shared" si="51"/>
        <v>450.90595224310476</v>
      </c>
      <c r="AO183" s="165">
        <f t="shared" si="52"/>
        <v>0.5305234650790791</v>
      </c>
      <c r="AP183" s="166">
        <f t="shared" si="53"/>
        <v>0.16452346507907911</v>
      </c>
      <c r="AQ183" s="166">
        <f t="shared" si="54"/>
        <v>13.598792830564953</v>
      </c>
      <c r="AR183" s="166">
        <f t="shared" si="55"/>
        <v>22.373205173770845</v>
      </c>
      <c r="AS183" s="166">
        <f t="shared" si="56"/>
        <v>1645.2346507907912</v>
      </c>
      <c r="AT183" s="163">
        <v>1.08</v>
      </c>
      <c r="AU183" s="164">
        <f t="shared" si="57"/>
        <v>-24.074542736865421</v>
      </c>
      <c r="AV183" s="164">
        <f t="shared" si="58"/>
        <v>1.0847515364120091</v>
      </c>
      <c r="AW183" s="168">
        <f t="shared" si="59"/>
        <v>4.7515364120089831E-3</v>
      </c>
      <c r="AX183" s="168">
        <f t="shared" si="60"/>
        <v>387.94814740154186</v>
      </c>
      <c r="AY183" s="168">
        <f t="shared" si="61"/>
        <v>18.433497483498542</v>
      </c>
      <c r="AZ183" s="168">
        <f t="shared" si="62"/>
        <v>47.515364120089828</v>
      </c>
    </row>
    <row r="184" spans="1:52" ht="18" x14ac:dyDescent="0.25">
      <c r="A184">
        <v>4</v>
      </c>
      <c r="B184" t="s">
        <v>44</v>
      </c>
      <c r="C184" t="s">
        <v>28</v>
      </c>
      <c r="D184" t="s">
        <v>428</v>
      </c>
      <c r="E184">
        <v>2</v>
      </c>
      <c r="F184" s="9" t="s">
        <v>433</v>
      </c>
      <c r="G184">
        <v>172</v>
      </c>
      <c r="H184">
        <v>4.641</v>
      </c>
      <c r="Q184" s="169">
        <v>632</v>
      </c>
      <c r="R184" s="169" t="s">
        <v>304</v>
      </c>
      <c r="S184" s="169">
        <v>4.9972285000000003</v>
      </c>
      <c r="T184" s="169">
        <v>344.97102138197266</v>
      </c>
      <c r="U184" s="169">
        <v>6.6422509999999999</v>
      </c>
      <c r="V184" s="169">
        <v>-21.830431835045708</v>
      </c>
      <c r="W184" s="156">
        <v>4.641</v>
      </c>
      <c r="X184" s="173">
        <v>5.451099000000001</v>
      </c>
      <c r="Y184" s="173">
        <v>7.7909153345735138</v>
      </c>
      <c r="Z184" s="173">
        <v>3.7938777499999992</v>
      </c>
      <c r="AA184" s="173">
        <v>-24.822546179307107</v>
      </c>
      <c r="AB184" s="173">
        <v>2.1543999999999999</v>
      </c>
      <c r="AC184" s="173">
        <v>2.1543999999999999</v>
      </c>
      <c r="AD184" s="158">
        <f t="shared" si="72"/>
        <v>1.1145290151582275E-2</v>
      </c>
      <c r="AE184" s="158">
        <f t="shared" si="73"/>
        <v>0.26127342664111941</v>
      </c>
      <c r="AF184" s="159">
        <f t="shared" si="74"/>
        <v>5.569556158625627E-2</v>
      </c>
      <c r="AG184" s="159">
        <f t="shared" si="75"/>
        <v>1.735443679380402</v>
      </c>
      <c r="AH184" s="160">
        <f t="shared" si="76"/>
        <v>1.2000767417853107</v>
      </c>
      <c r="AI184" s="160">
        <f t="shared" si="77"/>
        <v>37.393744438276279</v>
      </c>
      <c r="AJ184" s="161">
        <f t="shared" si="78"/>
        <v>31.159461004674547</v>
      </c>
      <c r="AK184" s="162">
        <f t="shared" si="79"/>
        <v>339.16010604739915</v>
      </c>
      <c r="AL184" s="162">
        <f t="shared" si="80"/>
        <v>-23.037885655738602</v>
      </c>
      <c r="AM184" s="163">
        <v>0.36599999999999999</v>
      </c>
      <c r="AN184" s="164">
        <f t="shared" si="51"/>
        <v>339.16010604739915</v>
      </c>
      <c r="AO184" s="165">
        <f t="shared" si="52"/>
        <v>0.48986377682658139</v>
      </c>
      <c r="AP184" s="166">
        <f t="shared" si="53"/>
        <v>0.1238637768265814</v>
      </c>
      <c r="AQ184" s="166">
        <f t="shared" si="54"/>
        <v>12.000767417853107</v>
      </c>
      <c r="AR184" s="166">
        <f t="shared" si="55"/>
        <v>14.864603771926665</v>
      </c>
      <c r="AS184" s="166">
        <f t="shared" si="56"/>
        <v>1238.6377682658137</v>
      </c>
      <c r="AT184" s="163">
        <v>1.08</v>
      </c>
      <c r="AU184" s="164">
        <f t="shared" si="57"/>
        <v>-23.037885655738602</v>
      </c>
      <c r="AV184" s="164">
        <f t="shared" si="58"/>
        <v>1.0858912795542326</v>
      </c>
      <c r="AW184" s="168">
        <f t="shared" si="59"/>
        <v>5.8912795542325203E-3</v>
      </c>
      <c r="AX184" s="168">
        <f t="shared" si="60"/>
        <v>373.93744438276275</v>
      </c>
      <c r="AY184" s="168">
        <f t="shared" si="61"/>
        <v>22.029700206541303</v>
      </c>
      <c r="AZ184" s="168">
        <f t="shared" si="62"/>
        <v>58.912795542325199</v>
      </c>
    </row>
    <row r="185" spans="1:52" ht="18" x14ac:dyDescent="0.25">
      <c r="A185">
        <v>4</v>
      </c>
      <c r="B185" t="s">
        <v>44</v>
      </c>
      <c r="C185" t="s">
        <v>30</v>
      </c>
      <c r="D185" t="s">
        <v>427</v>
      </c>
      <c r="E185">
        <v>2</v>
      </c>
      <c r="F185" s="9" t="s">
        <v>434</v>
      </c>
      <c r="G185">
        <v>173</v>
      </c>
      <c r="H185">
        <v>4.1909999999999998</v>
      </c>
      <c r="Q185" s="154">
        <v>633</v>
      </c>
      <c r="R185" s="154" t="s">
        <v>305</v>
      </c>
      <c r="S185" s="154">
        <v>5.4101714999999997</v>
      </c>
      <c r="T185" s="154">
        <v>-0.96061405301406666</v>
      </c>
      <c r="U185" s="154">
        <v>6.1775010000000004</v>
      </c>
      <c r="V185" s="154">
        <v>-27.06198224801232</v>
      </c>
      <c r="W185" s="156">
        <v>4.1909999999999998</v>
      </c>
      <c r="X185" s="173">
        <v>5.451099000000001</v>
      </c>
      <c r="Y185" s="173">
        <v>7.7909153345735138</v>
      </c>
      <c r="Z185" s="173">
        <v>3.7938777499999992</v>
      </c>
      <c r="AA185" s="173">
        <v>-24.822546179307107</v>
      </c>
      <c r="AB185" s="173">
        <v>2.1543999999999999</v>
      </c>
      <c r="AC185" s="173">
        <v>2.1543999999999999</v>
      </c>
      <c r="AD185" s="158">
        <f t="shared" si="72"/>
        <v>1.1145290151582275E-2</v>
      </c>
      <c r="AE185" s="158">
        <f t="shared" si="73"/>
        <v>0.26127342664111941</v>
      </c>
      <c r="AF185" s="159">
        <f t="shared" si="74"/>
        <v>6.0297931137321098E-2</v>
      </c>
      <c r="AG185" s="159">
        <f t="shared" si="75"/>
        <v>1.6140168543489419</v>
      </c>
      <c r="AH185" s="160">
        <f t="shared" si="76"/>
        <v>1.4387480586332879</v>
      </c>
      <c r="AI185" s="160">
        <f t="shared" si="77"/>
        <v>38.511497359793417</v>
      </c>
      <c r="AJ185" s="161">
        <f t="shared" si="78"/>
        <v>26.767367037406601</v>
      </c>
      <c r="AK185" s="162">
        <f t="shared" si="79"/>
        <v>-6.7715293875875799</v>
      </c>
      <c r="AL185" s="162">
        <f t="shared" si="80"/>
        <v>-28.269436068705215</v>
      </c>
      <c r="AM185" s="163">
        <v>0.36599999999999999</v>
      </c>
      <c r="AN185" s="164">
        <f t="shared" si="51"/>
        <v>-6.7715293875875799</v>
      </c>
      <c r="AO185" s="165">
        <f t="shared" si="52"/>
        <v>0.36378257637393085</v>
      </c>
      <c r="AP185" s="166">
        <f t="shared" si="53"/>
        <v>-2.2174236260691371E-3</v>
      </c>
      <c r="AQ185" s="166">
        <f t="shared" si="54"/>
        <v>14.387480586332879</v>
      </c>
      <c r="AR185" s="166">
        <f t="shared" si="55"/>
        <v>-0.31903139371745565</v>
      </c>
      <c r="AS185" s="166">
        <f t="shared" si="56"/>
        <v>-22.174236260691373</v>
      </c>
      <c r="AT185" s="163">
        <v>1.08</v>
      </c>
      <c r="AU185" s="164">
        <f t="shared" si="57"/>
        <v>-28.269436068705215</v>
      </c>
      <c r="AV185" s="164">
        <f t="shared" si="58"/>
        <v>1.0801392311234812</v>
      </c>
      <c r="AW185" s="168">
        <f t="shared" si="59"/>
        <v>1.3923112348113165E-4</v>
      </c>
      <c r="AX185" s="168">
        <f t="shared" si="60"/>
        <v>385.11497359793418</v>
      </c>
      <c r="AY185" s="168">
        <f t="shared" si="61"/>
        <v>0.53619990443446719</v>
      </c>
      <c r="AZ185" s="168">
        <f t="shared" si="62"/>
        <v>1.3923112348113165</v>
      </c>
    </row>
    <row r="186" spans="1:52" ht="18" x14ac:dyDescent="0.25">
      <c r="A186">
        <v>4</v>
      </c>
      <c r="B186" t="s">
        <v>44</v>
      </c>
      <c r="C186" t="s">
        <v>30</v>
      </c>
      <c r="D186" t="s">
        <v>428</v>
      </c>
      <c r="E186">
        <v>2</v>
      </c>
      <c r="F186" s="9" t="s">
        <v>435</v>
      </c>
      <c r="G186">
        <v>174</v>
      </c>
      <c r="H186">
        <v>4.2699999999999996</v>
      </c>
      <c r="Q186" s="169">
        <v>634</v>
      </c>
      <c r="R186" s="169" t="s">
        <v>306</v>
      </c>
      <c r="S186" s="169">
        <v>2.998561</v>
      </c>
      <c r="T186" s="169">
        <v>12.761360079589005</v>
      </c>
      <c r="U186" s="169">
        <v>6.1432035000000003</v>
      </c>
      <c r="V186" s="169">
        <v>-25.67027185095262</v>
      </c>
      <c r="W186" s="156">
        <v>4.2699999999999996</v>
      </c>
      <c r="X186" s="173">
        <v>5.451099000000001</v>
      </c>
      <c r="Y186" s="173">
        <v>7.7909153345735138</v>
      </c>
      <c r="Z186" s="173">
        <v>3.7938777499999992</v>
      </c>
      <c r="AA186" s="173">
        <v>-24.822546179307107</v>
      </c>
      <c r="AB186" s="173">
        <v>2.1543999999999999</v>
      </c>
      <c r="AC186" s="173">
        <v>2.1543999999999999</v>
      </c>
      <c r="AD186" s="158">
        <f t="shared" si="72"/>
        <v>1.1145290151582275E-2</v>
      </c>
      <c r="AE186" s="158">
        <f t="shared" si="73"/>
        <v>0.26127342664111941</v>
      </c>
      <c r="AF186" s="159">
        <f t="shared" si="74"/>
        <v>3.3419832382218698E-2</v>
      </c>
      <c r="AG186" s="159">
        <f t="shared" si="75"/>
        <v>1.605055828998718</v>
      </c>
      <c r="AH186" s="160">
        <f t="shared" si="76"/>
        <v>0.78266586375219438</v>
      </c>
      <c r="AI186" s="160">
        <f t="shared" si="77"/>
        <v>37.589129484747495</v>
      </c>
      <c r="AJ186" s="161">
        <f t="shared" si="78"/>
        <v>48.027046055823469</v>
      </c>
      <c r="AK186" s="162">
        <f t="shared" si="79"/>
        <v>6.950444745015492</v>
      </c>
      <c r="AL186" s="162">
        <f t="shared" si="80"/>
        <v>-26.877725671645514</v>
      </c>
      <c r="AM186" s="163">
        <v>0.36599999999999999</v>
      </c>
      <c r="AN186" s="164">
        <f t="shared" si="51"/>
        <v>6.950444745015492</v>
      </c>
      <c r="AO186" s="165">
        <f t="shared" si="52"/>
        <v>0.36878988933429591</v>
      </c>
      <c r="AP186" s="166">
        <f t="shared" si="53"/>
        <v>2.7898893342959141E-3</v>
      </c>
      <c r="AQ186" s="166">
        <f t="shared" si="54"/>
        <v>7.8266586375219438</v>
      </c>
      <c r="AR186" s="166">
        <f t="shared" si="55"/>
        <v>0.21835511455997461</v>
      </c>
      <c r="AS186" s="166">
        <f t="shared" si="56"/>
        <v>27.898893342959141</v>
      </c>
      <c r="AT186" s="163">
        <v>1.08</v>
      </c>
      <c r="AU186" s="164">
        <f t="shared" si="57"/>
        <v>-26.877725671645514</v>
      </c>
      <c r="AV186" s="164">
        <f t="shared" si="58"/>
        <v>1.0816694710423091</v>
      </c>
      <c r="AW186" s="168">
        <f t="shared" si="59"/>
        <v>1.6694710423090786E-3</v>
      </c>
      <c r="AX186" s="168">
        <f t="shared" si="60"/>
        <v>375.89129484747497</v>
      </c>
      <c r="AY186" s="168">
        <f t="shared" si="61"/>
        <v>6.2753963180392329</v>
      </c>
      <c r="AZ186" s="168">
        <f t="shared" si="62"/>
        <v>16.694710423090786</v>
      </c>
    </row>
    <row r="187" spans="1:52" ht="18" x14ac:dyDescent="0.25">
      <c r="A187">
        <v>4</v>
      </c>
      <c r="B187" t="s">
        <v>48</v>
      </c>
      <c r="C187" t="s">
        <v>26</v>
      </c>
      <c r="D187" t="s">
        <v>427</v>
      </c>
      <c r="E187">
        <v>2</v>
      </c>
      <c r="F187" s="9" t="s">
        <v>102</v>
      </c>
      <c r="G187">
        <v>175</v>
      </c>
      <c r="H187">
        <v>4.3079999999999998</v>
      </c>
      <c r="Q187" s="154">
        <v>635</v>
      </c>
      <c r="R187" s="154" t="s">
        <v>307</v>
      </c>
      <c r="S187" s="154">
        <v>4.2337930000000004</v>
      </c>
      <c r="T187" s="154">
        <v>316.46858215847618</v>
      </c>
      <c r="U187" s="154">
        <v>6.8081544999999997</v>
      </c>
      <c r="V187" s="154">
        <v>-24.998762278778774</v>
      </c>
      <c r="W187" s="156">
        <v>4.3079999999999998</v>
      </c>
      <c r="X187" s="173">
        <v>5.451099000000001</v>
      </c>
      <c r="Y187" s="173">
        <v>7.7909153345735138</v>
      </c>
      <c r="Z187" s="173">
        <v>3.7938777499999992</v>
      </c>
      <c r="AA187" s="173">
        <v>-24.822546179307107</v>
      </c>
      <c r="AB187" s="173">
        <v>2.1543999999999999</v>
      </c>
      <c r="AC187" s="173">
        <v>2.1543999999999999</v>
      </c>
      <c r="AD187" s="158">
        <f t="shared" si="72"/>
        <v>1.1145290151582275E-2</v>
      </c>
      <c r="AE187" s="158">
        <f t="shared" si="73"/>
        <v>0.26127342664111941</v>
      </c>
      <c r="AF187" s="159">
        <f t="shared" si="74"/>
        <v>4.718685142673798E-2</v>
      </c>
      <c r="AG187" s="159">
        <f t="shared" si="75"/>
        <v>1.7787898553171568</v>
      </c>
      <c r="AH187" s="160">
        <f t="shared" si="76"/>
        <v>1.0953308130626271</v>
      </c>
      <c r="AI187" s="160">
        <f t="shared" si="77"/>
        <v>41.290386613675878</v>
      </c>
      <c r="AJ187" s="161">
        <f t="shared" si="78"/>
        <v>37.696726980796655</v>
      </c>
      <c r="AK187" s="162">
        <f t="shared" si="79"/>
        <v>310.65766682390267</v>
      </c>
      <c r="AL187" s="162">
        <f t="shared" si="80"/>
        <v>-26.206216099471668</v>
      </c>
      <c r="AM187" s="163">
        <v>0.36599999999999999</v>
      </c>
      <c r="AN187" s="164">
        <f t="shared" si="51"/>
        <v>310.65766682390267</v>
      </c>
      <c r="AO187" s="165">
        <f t="shared" si="52"/>
        <v>0.47948759782669381</v>
      </c>
      <c r="AP187" s="166">
        <f t="shared" si="53"/>
        <v>0.11348759782669382</v>
      </c>
      <c r="AQ187" s="166">
        <f t="shared" si="54"/>
        <v>10.953308130626272</v>
      </c>
      <c r="AR187" s="166">
        <f t="shared" si="55"/>
        <v>12.4306462800037</v>
      </c>
      <c r="AS187" s="166">
        <f t="shared" si="56"/>
        <v>1134.8759782669381</v>
      </c>
      <c r="AT187" s="163">
        <v>1.08</v>
      </c>
      <c r="AU187" s="164">
        <f t="shared" si="57"/>
        <v>-26.206216099471668</v>
      </c>
      <c r="AV187" s="164">
        <f t="shared" si="58"/>
        <v>1.0824078051020678</v>
      </c>
      <c r="AW187" s="168">
        <f t="shared" si="59"/>
        <v>2.4078051020677282E-3</v>
      </c>
      <c r="AX187" s="168">
        <f t="shared" si="60"/>
        <v>412.90386613675878</v>
      </c>
      <c r="AY187" s="168">
        <f t="shared" si="61"/>
        <v>9.94192035547578</v>
      </c>
      <c r="AZ187" s="168">
        <f t="shared" si="62"/>
        <v>24.078051020677282</v>
      </c>
    </row>
    <row r="188" spans="1:52" ht="18" x14ac:dyDescent="0.25">
      <c r="A188">
        <v>4</v>
      </c>
      <c r="B188" t="s">
        <v>48</v>
      </c>
      <c r="C188" t="s">
        <v>26</v>
      </c>
      <c r="D188" t="s">
        <v>428</v>
      </c>
      <c r="E188">
        <v>2</v>
      </c>
      <c r="F188" s="9" t="s">
        <v>103</v>
      </c>
      <c r="G188">
        <v>176</v>
      </c>
      <c r="H188">
        <v>4.8680000000000003</v>
      </c>
      <c r="Q188" s="169">
        <v>636</v>
      </c>
      <c r="R188" s="169" t="s">
        <v>308</v>
      </c>
      <c r="S188" s="169">
        <v>4.589194</v>
      </c>
      <c r="T188" s="169">
        <v>134.21007968440114</v>
      </c>
      <c r="U188" s="169">
        <v>7.5178025000000002</v>
      </c>
      <c r="V188" s="169">
        <v>-27.151868768490431</v>
      </c>
      <c r="W188" s="156">
        <v>4.8680000000000003</v>
      </c>
      <c r="X188" s="173">
        <v>5.451099000000001</v>
      </c>
      <c r="Y188" s="173">
        <v>7.7909153345735138</v>
      </c>
      <c r="Z188" s="173">
        <v>3.7938777499999992</v>
      </c>
      <c r="AA188" s="173">
        <v>-24.822546179307107</v>
      </c>
      <c r="AB188" s="173">
        <v>2.1543999999999999</v>
      </c>
      <c r="AC188" s="173">
        <v>2.1543999999999999</v>
      </c>
      <c r="AD188" s="158">
        <f t="shared" si="72"/>
        <v>1.1145290151582275E-2</v>
      </c>
      <c r="AE188" s="158">
        <f t="shared" si="73"/>
        <v>0.26127342664111941</v>
      </c>
      <c r="AF188" s="159">
        <f t="shared" si="74"/>
        <v>5.1147898691900465E-2</v>
      </c>
      <c r="AG188" s="159">
        <f t="shared" si="75"/>
        <v>1.9642020199861741</v>
      </c>
      <c r="AH188" s="160">
        <f t="shared" si="76"/>
        <v>1.0506963576807817</v>
      </c>
      <c r="AI188" s="160">
        <f t="shared" si="77"/>
        <v>40.349260887144084</v>
      </c>
      <c r="AJ188" s="161">
        <f t="shared" si="78"/>
        <v>38.402399125288319</v>
      </c>
      <c r="AK188" s="162">
        <f t="shared" si="79"/>
        <v>128.39916434982763</v>
      </c>
      <c r="AL188" s="162">
        <f t="shared" si="80"/>
        <v>-28.359322589183325</v>
      </c>
      <c r="AM188" s="163">
        <v>0.36599999999999999</v>
      </c>
      <c r="AN188" s="164">
        <f t="shared" si="51"/>
        <v>128.39916434982763</v>
      </c>
      <c r="AO188" s="165">
        <f t="shared" si="52"/>
        <v>0.41308605379373631</v>
      </c>
      <c r="AP188" s="166">
        <f t="shared" si="53"/>
        <v>4.7086053793736315E-2</v>
      </c>
      <c r="AQ188" s="166">
        <f t="shared" si="54"/>
        <v>10.506963576807818</v>
      </c>
      <c r="AR188" s="166">
        <f t="shared" si="55"/>
        <v>4.9473145218640111</v>
      </c>
      <c r="AS188" s="166">
        <f t="shared" si="56"/>
        <v>470.86053793736318</v>
      </c>
      <c r="AT188" s="163">
        <v>1.08</v>
      </c>
      <c r="AU188" s="164">
        <f t="shared" si="57"/>
        <v>-28.359322589183325</v>
      </c>
      <c r="AV188" s="164">
        <f t="shared" si="58"/>
        <v>1.0800403957570479</v>
      </c>
      <c r="AW188" s="168">
        <f t="shared" si="59"/>
        <v>4.0395757047839709E-5</v>
      </c>
      <c r="AX188" s="168">
        <f t="shared" si="60"/>
        <v>403.49260887144084</v>
      </c>
      <c r="AY188" s="168">
        <f t="shared" si="61"/>
        <v>0.16299389398569739</v>
      </c>
      <c r="AZ188" s="168">
        <f t="shared" si="62"/>
        <v>0.40395757047839709</v>
      </c>
    </row>
    <row r="189" spans="1:52" ht="18" x14ac:dyDescent="0.25">
      <c r="A189">
        <v>4</v>
      </c>
      <c r="B189" t="s">
        <v>48</v>
      </c>
      <c r="C189" t="s">
        <v>28</v>
      </c>
      <c r="D189" t="s">
        <v>427</v>
      </c>
      <c r="E189">
        <v>2</v>
      </c>
      <c r="F189" s="9" t="s">
        <v>104</v>
      </c>
      <c r="G189">
        <v>177</v>
      </c>
      <c r="H189">
        <v>4.96</v>
      </c>
      <c r="Q189" s="154">
        <v>637</v>
      </c>
      <c r="R189" s="154" t="s">
        <v>309</v>
      </c>
      <c r="S189" s="154">
        <v>5.6848305000000003</v>
      </c>
      <c r="T189" s="154">
        <v>820.08414869844046</v>
      </c>
      <c r="U189" s="154">
        <v>7.2097585000000004</v>
      </c>
      <c r="V189" s="154">
        <v>-18.790895585665474</v>
      </c>
      <c r="W189" s="156">
        <v>4.96</v>
      </c>
      <c r="X189" s="173">
        <v>5.451099000000001</v>
      </c>
      <c r="Y189" s="173">
        <v>7.7909153345735138</v>
      </c>
      <c r="Z189" s="173">
        <v>3.7938777499999992</v>
      </c>
      <c r="AA189" s="173">
        <v>-24.822546179307107</v>
      </c>
      <c r="AB189" s="173">
        <v>2.1543999999999999</v>
      </c>
      <c r="AC189" s="173">
        <v>2.1543999999999999</v>
      </c>
      <c r="AD189" s="158">
        <f t="shared" si="72"/>
        <v>1.1145290151582275E-2</v>
      </c>
      <c r="AE189" s="158">
        <f t="shared" si="73"/>
        <v>0.26127342664111941</v>
      </c>
      <c r="AF189" s="159">
        <f t="shared" si="74"/>
        <v>6.3359085385064545E-2</v>
      </c>
      <c r="AG189" s="159">
        <f t="shared" si="75"/>
        <v>1.8837183085499372</v>
      </c>
      <c r="AH189" s="160">
        <f t="shared" si="76"/>
        <v>1.2774009150214627</v>
      </c>
      <c r="AI189" s="160">
        <f t="shared" si="77"/>
        <v>37.978191704635826</v>
      </c>
      <c r="AJ189" s="161">
        <f t="shared" si="78"/>
        <v>29.730831767877454</v>
      </c>
      <c r="AK189" s="162">
        <f t="shared" si="79"/>
        <v>814.27323336386689</v>
      </c>
      <c r="AL189" s="162">
        <f t="shared" si="80"/>
        <v>-19.998349406358368</v>
      </c>
      <c r="AM189" s="163">
        <v>0.36599999999999999</v>
      </c>
      <c r="AN189" s="164">
        <f t="shared" si="51"/>
        <v>814.27323336386689</v>
      </c>
      <c r="AO189" s="165">
        <f t="shared" si="52"/>
        <v>0.66250839428196517</v>
      </c>
      <c r="AP189" s="166">
        <f t="shared" si="53"/>
        <v>0.29650839428196518</v>
      </c>
      <c r="AQ189" s="166">
        <f t="shared" si="54"/>
        <v>12.774009150214626</v>
      </c>
      <c r="AR189" s="166">
        <f t="shared" si="55"/>
        <v>37.876009416732693</v>
      </c>
      <c r="AS189" s="166">
        <f t="shared" si="56"/>
        <v>2965.0839428196514</v>
      </c>
      <c r="AT189" s="163">
        <v>1.08</v>
      </c>
      <c r="AU189" s="164">
        <f t="shared" si="57"/>
        <v>-19.998349406358368</v>
      </c>
      <c r="AV189" s="164">
        <f t="shared" si="58"/>
        <v>1.0892329184705312</v>
      </c>
      <c r="AW189" s="168">
        <f t="shared" si="59"/>
        <v>9.2329184705310929E-3</v>
      </c>
      <c r="AX189" s="168">
        <f t="shared" si="60"/>
        <v>379.78191704635827</v>
      </c>
      <c r="AY189" s="168">
        <f t="shared" si="61"/>
        <v>35.064954766710287</v>
      </c>
      <c r="AZ189" s="168">
        <f t="shared" si="62"/>
        <v>92.329184705310922</v>
      </c>
    </row>
    <row r="190" spans="1:52" ht="18" x14ac:dyDescent="0.25">
      <c r="A190">
        <v>4</v>
      </c>
      <c r="B190" t="s">
        <v>48</v>
      </c>
      <c r="C190" t="s">
        <v>28</v>
      </c>
      <c r="D190" t="s">
        <v>428</v>
      </c>
      <c r="E190">
        <v>2</v>
      </c>
      <c r="F190" s="9" t="s">
        <v>105</v>
      </c>
      <c r="G190">
        <v>178</v>
      </c>
      <c r="H190">
        <v>4.766</v>
      </c>
      <c r="Q190" s="169">
        <v>638</v>
      </c>
      <c r="R190" s="169" t="s">
        <v>310</v>
      </c>
      <c r="S190" s="169">
        <v>4.2871234999999999</v>
      </c>
      <c r="T190" s="169">
        <v>466.16493950771377</v>
      </c>
      <c r="U190" s="169">
        <v>7.1138500000000002</v>
      </c>
      <c r="V190" s="169">
        <v>-22.767988398031477</v>
      </c>
      <c r="W190" s="156">
        <v>4.766</v>
      </c>
      <c r="X190" s="173">
        <v>5.451099000000001</v>
      </c>
      <c r="Y190" s="173">
        <v>7.7909153345735138</v>
      </c>
      <c r="Z190" s="173">
        <v>3.7938777499999992</v>
      </c>
      <c r="AA190" s="173">
        <v>-24.822546179307107</v>
      </c>
      <c r="AB190" s="173">
        <v>2.1543999999999999</v>
      </c>
      <c r="AC190" s="173">
        <v>2.1543999999999999</v>
      </c>
      <c r="AD190" s="158">
        <f t="shared" si="72"/>
        <v>1.1145290151582275E-2</v>
      </c>
      <c r="AE190" s="158">
        <f t="shared" si="73"/>
        <v>0.26127342664111941</v>
      </c>
      <c r="AF190" s="159">
        <f t="shared" si="74"/>
        <v>4.7781235323166929E-2</v>
      </c>
      <c r="AG190" s="159">
        <f t="shared" si="75"/>
        <v>1.8586599661109273</v>
      </c>
      <c r="AH190" s="160">
        <f t="shared" si="76"/>
        <v>1.0025437541579296</v>
      </c>
      <c r="AI190" s="160">
        <f t="shared" si="77"/>
        <v>38.998320732499522</v>
      </c>
      <c r="AJ190" s="161">
        <f t="shared" si="78"/>
        <v>38.899370297564246</v>
      </c>
      <c r="AK190" s="162">
        <f t="shared" si="79"/>
        <v>460.35402417314026</v>
      </c>
      <c r="AL190" s="162">
        <f t="shared" si="80"/>
        <v>-23.975442218724371</v>
      </c>
      <c r="AM190" s="163">
        <v>0.36599999999999999</v>
      </c>
      <c r="AN190" s="164">
        <f t="shared" si="51"/>
        <v>460.35402417314026</v>
      </c>
      <c r="AO190" s="165">
        <f t="shared" si="52"/>
        <v>0.53395970402160398</v>
      </c>
      <c r="AP190" s="166">
        <f t="shared" si="53"/>
        <v>0.16795970402160398</v>
      </c>
      <c r="AQ190" s="166">
        <f t="shared" si="54"/>
        <v>10.025437541579297</v>
      </c>
      <c r="AR190" s="166">
        <f t="shared" si="55"/>
        <v>16.838695221707358</v>
      </c>
      <c r="AS190" s="166">
        <f t="shared" si="56"/>
        <v>1679.5970402160399</v>
      </c>
      <c r="AT190" s="163">
        <v>1.08</v>
      </c>
      <c r="AU190" s="164">
        <f t="shared" si="57"/>
        <v>-23.975442218724371</v>
      </c>
      <c r="AV190" s="164">
        <f t="shared" si="58"/>
        <v>1.0848604927053143</v>
      </c>
      <c r="AW190" s="168">
        <f t="shared" si="59"/>
        <v>4.86049270531419E-3</v>
      </c>
      <c r="AX190" s="168">
        <f t="shared" si="60"/>
        <v>389.98320732499519</v>
      </c>
      <c r="AY190" s="168">
        <f t="shared" si="61"/>
        <v>18.955105343981703</v>
      </c>
      <c r="AZ190" s="168">
        <f t="shared" si="62"/>
        <v>48.6049270531419</v>
      </c>
    </row>
    <row r="191" spans="1:52" ht="18" x14ac:dyDescent="0.25">
      <c r="A191">
        <v>4</v>
      </c>
      <c r="B191" t="s">
        <v>48</v>
      </c>
      <c r="C191" t="s">
        <v>30</v>
      </c>
      <c r="D191" t="s">
        <v>427</v>
      </c>
      <c r="E191">
        <v>2</v>
      </c>
      <c r="F191" s="9" t="s">
        <v>106</v>
      </c>
      <c r="G191">
        <v>179</v>
      </c>
      <c r="H191">
        <v>4.2149999999999999</v>
      </c>
      <c r="Q191" s="154">
        <v>639</v>
      </c>
      <c r="R191" s="154" t="s">
        <v>311</v>
      </c>
      <c r="S191" s="154">
        <v>3.1820787500000001</v>
      </c>
      <c r="T191" s="154">
        <v>5.5201204216325195</v>
      </c>
      <c r="U191" s="154">
        <v>5.9755855000000002</v>
      </c>
      <c r="V191" s="154">
        <v>-24.693850192598646</v>
      </c>
      <c r="W191" s="156">
        <v>4.2149999999999999</v>
      </c>
      <c r="X191" s="173">
        <v>5.451099000000001</v>
      </c>
      <c r="Y191" s="173">
        <v>7.7909153345735138</v>
      </c>
      <c r="Z191" s="173">
        <v>3.7938777499999992</v>
      </c>
      <c r="AA191" s="173">
        <v>-24.822546179307107</v>
      </c>
      <c r="AB191" s="173">
        <v>2.1543999999999999</v>
      </c>
      <c r="AC191" s="173">
        <v>2.1543999999999999</v>
      </c>
      <c r="AD191" s="158">
        <f t="shared" si="72"/>
        <v>1.1145290151582275E-2</v>
      </c>
      <c r="AE191" s="158">
        <f t="shared" si="73"/>
        <v>0.26127342664111941</v>
      </c>
      <c r="AF191" s="159">
        <f t="shared" si="74"/>
        <v>3.5465190953934238E-2</v>
      </c>
      <c r="AG191" s="159">
        <f t="shared" si="75"/>
        <v>1.5612616997719868</v>
      </c>
      <c r="AH191" s="160">
        <f t="shared" si="76"/>
        <v>0.84140429309452525</v>
      </c>
      <c r="AI191" s="160">
        <f t="shared" si="77"/>
        <v>37.040609721755324</v>
      </c>
      <c r="AJ191" s="161">
        <f t="shared" si="78"/>
        <v>44.022368349853544</v>
      </c>
      <c r="AK191" s="162">
        <f t="shared" si="79"/>
        <v>-0.29079491294099391</v>
      </c>
      <c r="AL191" s="162">
        <f t="shared" si="80"/>
        <v>-25.90130401329154</v>
      </c>
      <c r="AM191" s="163">
        <v>0.36599999999999999</v>
      </c>
      <c r="AN191" s="164">
        <f t="shared" si="51"/>
        <v>-0.29079491294099391</v>
      </c>
      <c r="AO191" s="165">
        <f t="shared" si="52"/>
        <v>0.36614753684241003</v>
      </c>
      <c r="AP191" s="166">
        <f t="shared" si="53"/>
        <v>1.4753684241003429E-4</v>
      </c>
      <c r="AQ191" s="166">
        <f t="shared" si="54"/>
        <v>8.4140429309452536</v>
      </c>
      <c r="AR191" s="166">
        <f t="shared" si="55"/>
        <v>1.2413813259341327E-2</v>
      </c>
      <c r="AS191" s="166">
        <f t="shared" si="56"/>
        <v>1.4753684241003429</v>
      </c>
      <c r="AT191" s="163">
        <v>1.08</v>
      </c>
      <c r="AU191" s="164">
        <f t="shared" si="57"/>
        <v>-25.90130401329154</v>
      </c>
      <c r="AV191" s="164">
        <f t="shared" si="58"/>
        <v>1.0827430565183216</v>
      </c>
      <c r="AW191" s="168">
        <f t="shared" si="59"/>
        <v>2.7430565183215183E-3</v>
      </c>
      <c r="AX191" s="168">
        <f t="shared" si="60"/>
        <v>370.40609721755322</v>
      </c>
      <c r="AY191" s="168">
        <f t="shared" si="61"/>
        <v>10.160448593986434</v>
      </c>
      <c r="AZ191" s="168">
        <f t="shared" si="62"/>
        <v>27.430565183215183</v>
      </c>
    </row>
    <row r="192" spans="1:52" ht="18" x14ac:dyDescent="0.25">
      <c r="A192">
        <v>4</v>
      </c>
      <c r="B192" t="s">
        <v>48</v>
      </c>
      <c r="C192" t="s">
        <v>30</v>
      </c>
      <c r="D192" t="s">
        <v>428</v>
      </c>
      <c r="E192">
        <v>2</v>
      </c>
      <c r="F192" s="9" t="s">
        <v>107</v>
      </c>
      <c r="G192">
        <v>180</v>
      </c>
      <c r="H192">
        <v>4.3929999999999998</v>
      </c>
      <c r="Q192" s="169">
        <v>640</v>
      </c>
      <c r="R192" s="169" t="s">
        <v>312</v>
      </c>
      <c r="S192" s="169">
        <v>3.1680635000000001</v>
      </c>
      <c r="T192" s="169">
        <v>7.0696472531433008</v>
      </c>
      <c r="U192" s="169">
        <v>5.9895339999999999</v>
      </c>
      <c r="V192" s="169">
        <v>-24.527154313814108</v>
      </c>
      <c r="W192" s="156">
        <v>4.3929999999999998</v>
      </c>
      <c r="X192" s="173">
        <v>5.451099000000001</v>
      </c>
      <c r="Y192" s="173">
        <v>7.7909153345735138</v>
      </c>
      <c r="Z192" s="173">
        <v>3.7938777499999992</v>
      </c>
      <c r="AA192" s="173">
        <v>-24.822546179307107</v>
      </c>
      <c r="AB192" s="173">
        <v>2.1543999999999999</v>
      </c>
      <c r="AC192" s="173">
        <v>2.1543999999999999</v>
      </c>
      <c r="AD192" s="158">
        <f t="shared" si="72"/>
        <v>1.1145290151582275E-2</v>
      </c>
      <c r="AE192" s="158">
        <f t="shared" si="73"/>
        <v>0.26127342664111941</v>
      </c>
      <c r="AF192" s="159">
        <f t="shared" si="74"/>
        <v>3.5308986926137272E-2</v>
      </c>
      <c r="AG192" s="159">
        <f t="shared" si="75"/>
        <v>1.5649060721634904</v>
      </c>
      <c r="AH192" s="160">
        <f t="shared" si="76"/>
        <v>0.8037556778087247</v>
      </c>
      <c r="AI192" s="160">
        <f t="shared" si="77"/>
        <v>35.622719603084235</v>
      </c>
      <c r="AJ192" s="161">
        <f t="shared" si="78"/>
        <v>44.320333388128951</v>
      </c>
      <c r="AK192" s="162">
        <f t="shared" si="79"/>
        <v>1.2587319185697874</v>
      </c>
      <c r="AL192" s="162">
        <f t="shared" si="80"/>
        <v>-25.734608134507003</v>
      </c>
      <c r="AM192" s="163">
        <v>0.36599999999999999</v>
      </c>
      <c r="AN192" s="164">
        <f t="shared" si="51"/>
        <v>1.2587319185697874</v>
      </c>
      <c r="AO192" s="165">
        <f t="shared" si="52"/>
        <v>0.36671297613591686</v>
      </c>
      <c r="AP192" s="166">
        <f t="shared" si="53"/>
        <v>7.1297613591686515E-4</v>
      </c>
      <c r="AQ192" s="166">
        <f t="shared" si="54"/>
        <v>8.0375567780872466</v>
      </c>
      <c r="AR192" s="166">
        <f t="shared" si="55"/>
        <v>5.7305861738530535E-2</v>
      </c>
      <c r="AS192" s="166">
        <f t="shared" si="56"/>
        <v>7.1297613591686524</v>
      </c>
      <c r="AT192" s="163">
        <v>1.08</v>
      </c>
      <c r="AU192" s="164">
        <f t="shared" si="57"/>
        <v>-25.734608134507003</v>
      </c>
      <c r="AV192" s="164">
        <f t="shared" si="58"/>
        <v>1.0829263379919856</v>
      </c>
      <c r="AW192" s="168">
        <f t="shared" si="59"/>
        <v>2.9263379919854948E-3</v>
      </c>
      <c r="AX192" s="168">
        <f t="shared" si="60"/>
        <v>356.22719603084238</v>
      </c>
      <c r="AY192" s="168">
        <f t="shared" si="61"/>
        <v>10.424411775235185</v>
      </c>
      <c r="AZ192" s="168">
        <f t="shared" si="62"/>
        <v>29.263379919854952</v>
      </c>
    </row>
    <row r="193" spans="1:52" ht="18" x14ac:dyDescent="0.25">
      <c r="A193">
        <v>4</v>
      </c>
      <c r="B193" t="s">
        <v>52</v>
      </c>
      <c r="C193" t="s">
        <v>26</v>
      </c>
      <c r="D193" t="s">
        <v>427</v>
      </c>
      <c r="E193">
        <v>2</v>
      </c>
      <c r="F193" s="9" t="s">
        <v>108</v>
      </c>
      <c r="G193">
        <v>181</v>
      </c>
      <c r="H193">
        <v>4.1059999999999999</v>
      </c>
      <c r="Q193" s="154">
        <v>641</v>
      </c>
      <c r="R193" s="154" t="s">
        <v>313</v>
      </c>
      <c r="S193" s="154">
        <v>4.7458460000000002</v>
      </c>
      <c r="T193" s="154">
        <v>355.73318667498899</v>
      </c>
      <c r="U193" s="154">
        <v>6.0734145000000002</v>
      </c>
      <c r="V193" s="154">
        <v>-22.98151228859599</v>
      </c>
      <c r="W193" s="156">
        <v>4.1059999999999999</v>
      </c>
      <c r="X193" s="173">
        <v>5.451099000000001</v>
      </c>
      <c r="Y193" s="173">
        <v>7.7909153345735138</v>
      </c>
      <c r="Z193" s="173">
        <v>3.7938777499999992</v>
      </c>
      <c r="AA193" s="173">
        <v>-24.822546179307107</v>
      </c>
      <c r="AB193" s="173">
        <v>2.1543999999999999</v>
      </c>
      <c r="AC193" s="173">
        <v>2.1543999999999999</v>
      </c>
      <c r="AD193" s="158">
        <f t="shared" si="72"/>
        <v>1.1145290151582275E-2</v>
      </c>
      <c r="AE193" s="158">
        <f t="shared" si="73"/>
        <v>0.26127342664111941</v>
      </c>
      <c r="AF193" s="159">
        <f t="shared" si="74"/>
        <v>5.2893830684726133E-2</v>
      </c>
      <c r="AG193" s="159">
        <f t="shared" si="75"/>
        <v>1.5868218178268609</v>
      </c>
      <c r="AH193" s="160">
        <f t="shared" si="76"/>
        <v>1.2882082485320538</v>
      </c>
      <c r="AI193" s="160">
        <f t="shared" si="77"/>
        <v>38.646415436601579</v>
      </c>
      <c r="AJ193" s="161">
        <f t="shared" si="78"/>
        <v>30.000130398668194</v>
      </c>
      <c r="AK193" s="162">
        <f t="shared" si="79"/>
        <v>349.92227134041548</v>
      </c>
      <c r="AL193" s="162">
        <f t="shared" si="80"/>
        <v>-24.188966109288884</v>
      </c>
      <c r="AM193" s="163">
        <v>0.36599999999999999</v>
      </c>
      <c r="AN193" s="164">
        <f t="shared" si="51"/>
        <v>349.92227134041548</v>
      </c>
      <c r="AO193" s="165">
        <f t="shared" si="52"/>
        <v>0.49378112979835453</v>
      </c>
      <c r="AP193" s="166">
        <f t="shared" si="53"/>
        <v>0.12778112979835454</v>
      </c>
      <c r="AQ193" s="166">
        <f t="shared" si="54"/>
        <v>12.882082485320538</v>
      </c>
      <c r="AR193" s="166">
        <f t="shared" si="55"/>
        <v>16.460870541298533</v>
      </c>
      <c r="AS193" s="166">
        <f t="shared" si="56"/>
        <v>1277.8112979835455</v>
      </c>
      <c r="AT193" s="163">
        <v>1.08</v>
      </c>
      <c r="AU193" s="164">
        <f t="shared" si="57"/>
        <v>-24.188966109288884</v>
      </c>
      <c r="AV193" s="164">
        <f t="shared" si="58"/>
        <v>1.0846257330726374</v>
      </c>
      <c r="AW193" s="168">
        <f t="shared" si="59"/>
        <v>4.6257330726373613E-3</v>
      </c>
      <c r="AX193" s="168">
        <f t="shared" si="60"/>
        <v>386.4641543660158</v>
      </c>
      <c r="AY193" s="168">
        <f t="shared" si="61"/>
        <v>17.876800202397099</v>
      </c>
      <c r="AZ193" s="168">
        <f t="shared" si="62"/>
        <v>46.25733072637361</v>
      </c>
    </row>
    <row r="194" spans="1:52" ht="18" x14ac:dyDescent="0.25">
      <c r="A194">
        <v>4</v>
      </c>
      <c r="B194" t="s">
        <v>52</v>
      </c>
      <c r="C194" t="s">
        <v>26</v>
      </c>
      <c r="D194" t="s">
        <v>428</v>
      </c>
      <c r="E194">
        <v>2</v>
      </c>
      <c r="F194" s="9" t="s">
        <v>109</v>
      </c>
      <c r="G194">
        <v>182</v>
      </c>
      <c r="H194">
        <v>5.1120000000000001</v>
      </c>
      <c r="Q194" s="169">
        <v>642</v>
      </c>
      <c r="R194" s="169" t="s">
        <v>314</v>
      </c>
      <c r="S194" s="169">
        <v>5.0732540000000004</v>
      </c>
      <c r="T194" s="169">
        <v>311.69905042475131</v>
      </c>
      <c r="U194" s="169">
        <v>7.5928120000000003</v>
      </c>
      <c r="V194" s="169">
        <v>-24.546816141217132</v>
      </c>
      <c r="W194" s="156">
        <v>5.1120000000000001</v>
      </c>
      <c r="X194" s="173">
        <v>5.451099000000001</v>
      </c>
      <c r="Y194" s="173">
        <v>7.7909153345735138</v>
      </c>
      <c r="Z194" s="173">
        <v>3.7938777499999992</v>
      </c>
      <c r="AA194" s="173">
        <v>-24.822546179307107</v>
      </c>
      <c r="AB194" s="173">
        <v>2.1543999999999999</v>
      </c>
      <c r="AC194" s="173">
        <v>2.1543999999999999</v>
      </c>
      <c r="AD194" s="158">
        <f t="shared" si="72"/>
        <v>1.1145290151582275E-2</v>
      </c>
      <c r="AE194" s="158">
        <f t="shared" si="73"/>
        <v>0.26127342664111941</v>
      </c>
      <c r="AF194" s="159">
        <f t="shared" si="74"/>
        <v>5.6542887842675388E-2</v>
      </c>
      <c r="AG194" s="159">
        <f t="shared" si="75"/>
        <v>1.9838000090818113</v>
      </c>
      <c r="AH194" s="160">
        <f t="shared" si="76"/>
        <v>1.1060815305687675</v>
      </c>
      <c r="AI194" s="160">
        <f t="shared" si="77"/>
        <v>38.806729442132458</v>
      </c>
      <c r="AJ194" s="161">
        <f t="shared" si="78"/>
        <v>35.084872470637251</v>
      </c>
      <c r="AK194" s="162">
        <f t="shared" si="79"/>
        <v>305.8881350901778</v>
      </c>
      <c r="AL194" s="162">
        <f t="shared" si="80"/>
        <v>-25.754269961910026</v>
      </c>
      <c r="AM194" s="163">
        <v>0.36599999999999999</v>
      </c>
      <c r="AN194" s="164">
        <f t="shared" si="51"/>
        <v>305.8881350901778</v>
      </c>
      <c r="AO194" s="165">
        <f t="shared" si="52"/>
        <v>0.47775106087065977</v>
      </c>
      <c r="AP194" s="166">
        <f t="shared" si="53"/>
        <v>0.11175106087065978</v>
      </c>
      <c r="AQ194" s="166">
        <f t="shared" si="54"/>
        <v>11.060815305687674</v>
      </c>
      <c r="AR194" s="166">
        <f t="shared" si="55"/>
        <v>12.360578445050287</v>
      </c>
      <c r="AS194" s="166">
        <f t="shared" si="56"/>
        <v>1117.5106087065978</v>
      </c>
      <c r="AT194" s="163">
        <v>1.08</v>
      </c>
      <c r="AU194" s="164">
        <f t="shared" si="57"/>
        <v>-25.754269961910026</v>
      </c>
      <c r="AV194" s="164">
        <f t="shared" si="58"/>
        <v>1.0829047199241719</v>
      </c>
      <c r="AW194" s="168">
        <f t="shared" si="59"/>
        <v>2.9047199241718502E-3</v>
      </c>
      <c r="AX194" s="168">
        <f t="shared" si="60"/>
        <v>388.06729442132462</v>
      </c>
      <c r="AY194" s="168">
        <f t="shared" si="61"/>
        <v>11.272268020250852</v>
      </c>
      <c r="AZ194" s="168">
        <f t="shared" si="62"/>
        <v>29.047199241718502</v>
      </c>
    </row>
    <row r="195" spans="1:52" ht="18" x14ac:dyDescent="0.25">
      <c r="A195">
        <v>4</v>
      </c>
      <c r="B195" t="s">
        <v>52</v>
      </c>
      <c r="C195" t="s">
        <v>28</v>
      </c>
      <c r="D195" t="s">
        <v>427</v>
      </c>
      <c r="E195">
        <v>2</v>
      </c>
      <c r="F195" s="9" t="s">
        <v>110</v>
      </c>
      <c r="G195">
        <v>183</v>
      </c>
      <c r="H195">
        <v>4.681</v>
      </c>
      <c r="Q195" s="154">
        <v>643</v>
      </c>
      <c r="R195" s="154" t="s">
        <v>315</v>
      </c>
      <c r="S195" s="154">
        <v>4.4657134999999997</v>
      </c>
      <c r="T195" s="154">
        <v>267.55861459036566</v>
      </c>
      <c r="U195" s="154">
        <v>6.5941844999999999</v>
      </c>
      <c r="V195" s="154">
        <v>-24.067846543247995</v>
      </c>
      <c r="W195" s="156">
        <v>4.681</v>
      </c>
      <c r="X195" s="173">
        <v>5.451099000000001</v>
      </c>
      <c r="Y195" s="173">
        <v>7.7909153345735138</v>
      </c>
      <c r="Z195" s="173">
        <v>3.7938777499999992</v>
      </c>
      <c r="AA195" s="173">
        <v>-24.822546179307107</v>
      </c>
      <c r="AB195" s="173">
        <v>2.1543999999999999</v>
      </c>
      <c r="AC195" s="173">
        <v>2.1543999999999999</v>
      </c>
      <c r="AD195" s="158">
        <f t="shared" si="72"/>
        <v>1.1145290151582275E-2</v>
      </c>
      <c r="AE195" s="158">
        <f t="shared" si="73"/>
        <v>0.26127342664111941</v>
      </c>
      <c r="AF195" s="159">
        <f t="shared" si="74"/>
        <v>4.9771672691338011E-2</v>
      </c>
      <c r="AG195" s="159">
        <f t="shared" si="75"/>
        <v>1.7228851802187566</v>
      </c>
      <c r="AH195" s="160">
        <f t="shared" si="76"/>
        <v>1.0632700852667809</v>
      </c>
      <c r="AI195" s="160">
        <f t="shared" si="77"/>
        <v>36.805921388992878</v>
      </c>
      <c r="AJ195" s="161">
        <f t="shared" si="78"/>
        <v>34.615778153636334</v>
      </c>
      <c r="AK195" s="162">
        <f t="shared" si="79"/>
        <v>261.74769925579216</v>
      </c>
      <c r="AL195" s="162">
        <f t="shared" si="80"/>
        <v>-25.27530036394089</v>
      </c>
      <c r="AM195" s="163">
        <v>0.36599999999999999</v>
      </c>
      <c r="AN195" s="164">
        <f t="shared" si="51"/>
        <v>261.74769925579216</v>
      </c>
      <c r="AO195" s="165">
        <f t="shared" si="52"/>
        <v>0.46167711060839567</v>
      </c>
      <c r="AP195" s="166">
        <f t="shared" si="53"/>
        <v>9.5677110608395677E-2</v>
      </c>
      <c r="AQ195" s="166">
        <f t="shared" si="54"/>
        <v>10.63270085266781</v>
      </c>
      <c r="AR195" s="166">
        <f t="shared" si="55"/>
        <v>10.173060955466811</v>
      </c>
      <c r="AS195" s="166">
        <f t="shared" si="56"/>
        <v>956.77110608395662</v>
      </c>
      <c r="AT195" s="163">
        <v>1.08</v>
      </c>
      <c r="AU195" s="164">
        <f t="shared" si="57"/>
        <v>-25.27530036394089</v>
      </c>
      <c r="AV195" s="164">
        <f t="shared" si="58"/>
        <v>1.083431341594413</v>
      </c>
      <c r="AW195" s="168">
        <f t="shared" si="59"/>
        <v>3.43134159441294E-3</v>
      </c>
      <c r="AX195" s="168">
        <f t="shared" si="60"/>
        <v>368.0592138899288</v>
      </c>
      <c r="AY195" s="168">
        <f t="shared" si="61"/>
        <v>12.629368898274416</v>
      </c>
      <c r="AZ195" s="168">
        <f t="shared" si="62"/>
        <v>34.313415944129403</v>
      </c>
    </row>
    <row r="196" spans="1:52" ht="18" x14ac:dyDescent="0.25">
      <c r="A196">
        <v>4</v>
      </c>
      <c r="B196" t="s">
        <v>52</v>
      </c>
      <c r="C196" t="s">
        <v>28</v>
      </c>
      <c r="D196" t="s">
        <v>428</v>
      </c>
      <c r="E196">
        <v>2</v>
      </c>
      <c r="F196" s="9" t="s">
        <v>111</v>
      </c>
      <c r="G196">
        <v>184</v>
      </c>
      <c r="H196">
        <v>4.5940000000000003</v>
      </c>
      <c r="Q196" s="169">
        <v>645</v>
      </c>
      <c r="R196" s="169" t="s">
        <v>316</v>
      </c>
      <c r="S196" s="169">
        <v>5.0687160000000002</v>
      </c>
      <c r="T196" s="169">
        <v>11.164426473314089</v>
      </c>
      <c r="U196" s="169">
        <v>6.6639650000000001</v>
      </c>
      <c r="V196" s="169">
        <v>-25.143210892080372</v>
      </c>
      <c r="W196" s="156">
        <v>4.5940000000000003</v>
      </c>
      <c r="X196" s="173">
        <v>5.451099000000001</v>
      </c>
      <c r="Y196" s="173">
        <v>7.7909153345735138</v>
      </c>
      <c r="Z196" s="173">
        <v>3.7938777499999992</v>
      </c>
      <c r="AA196" s="173">
        <v>-24.822546179307107</v>
      </c>
      <c r="AB196" s="173">
        <v>2.1543999999999999</v>
      </c>
      <c r="AC196" s="173">
        <v>2.1543999999999999</v>
      </c>
      <c r="AD196" s="158">
        <f t="shared" si="72"/>
        <v>1.1145290151582275E-2</v>
      </c>
      <c r="AE196" s="158">
        <f t="shared" si="73"/>
        <v>0.26127342664111941</v>
      </c>
      <c r="AF196" s="159">
        <f t="shared" si="74"/>
        <v>5.6492310515967502E-2</v>
      </c>
      <c r="AG196" s="159">
        <f t="shared" si="75"/>
        <v>1.7411169705664873</v>
      </c>
      <c r="AH196" s="160">
        <f t="shared" si="76"/>
        <v>1.2296976603388658</v>
      </c>
      <c r="AI196" s="160">
        <f t="shared" si="77"/>
        <v>37.899803451599631</v>
      </c>
      <c r="AJ196" s="161">
        <f t="shared" si="78"/>
        <v>30.820424136739142</v>
      </c>
      <c r="AK196" s="162">
        <f t="shared" si="79"/>
        <v>5.3535111387405756</v>
      </c>
      <c r="AL196" s="162">
        <f t="shared" si="80"/>
        <v>-26.350664712773266</v>
      </c>
      <c r="AM196" s="163">
        <v>0.36599999999999999</v>
      </c>
      <c r="AN196" s="164">
        <f t="shared" ref="AN196:AN259" si="81">T196+(1.98-Y196)</f>
        <v>5.3535111387405756</v>
      </c>
      <c r="AO196" s="165">
        <f t="shared" ref="AO196:AO259" si="82">100*0.003676*(AN196/1000+1)/(1+0.003676*(AN196/1000+1))</f>
        <v>0.36820717498370326</v>
      </c>
      <c r="AP196" s="166">
        <f t="shared" ref="AP196:AP259" si="83">AO196-AM196</f>
        <v>2.2071749837032639E-3</v>
      </c>
      <c r="AQ196" s="166">
        <f t="shared" ref="AQ196:AQ259" si="84">(AH196%*W196)/W196*1000</f>
        <v>12.296976603388657</v>
      </c>
      <c r="AR196" s="166">
        <f t="shared" ref="AR196:AR259" si="85">(AQ196*AP196%)*1000</f>
        <v>0.27141579134183774</v>
      </c>
      <c r="AS196" s="166">
        <f t="shared" ref="AS196:AS259" si="86">(((AF196*AP196%)/AF196)*1000)*1000</f>
        <v>22.071749837032641</v>
      </c>
      <c r="AT196" s="163">
        <v>1.08</v>
      </c>
      <c r="AU196" s="164">
        <f t="shared" ref="AU196:AU259" si="87">V196+(-26.03-AA196)</f>
        <v>-26.350664712773266</v>
      </c>
      <c r="AV196" s="164">
        <f t="shared" ref="AV196:AV259" si="88">100*0.011237*(AU196/1000+1)/(1+0.011237*(AU196/1000+1))</f>
        <v>1.0822489827848745</v>
      </c>
      <c r="AW196" s="168">
        <f t="shared" ref="AW196:AW259" si="89">AV196-AT196</f>
        <v>2.2489827848743982E-3</v>
      </c>
      <c r="AX196" s="168">
        <f t="shared" ref="AX196:AX259" si="90">(AI196%*W196)/W196*1000</f>
        <v>378.99803451599627</v>
      </c>
      <c r="AY196" s="168">
        <f t="shared" ref="AY196:AY259" si="91">(AX196*AW196%)*1000</f>
        <v>8.5236005512770863</v>
      </c>
      <c r="AZ196" s="168">
        <f t="shared" ref="AZ196:AZ259" si="92">(((AG196*AW196%)/AG196)*1000)*1000</f>
        <v>22.489827848743982</v>
      </c>
    </row>
    <row r="197" spans="1:52" ht="18" x14ac:dyDescent="0.25">
      <c r="A197">
        <v>4</v>
      </c>
      <c r="B197" t="s">
        <v>52</v>
      </c>
      <c r="C197" t="s">
        <v>30</v>
      </c>
      <c r="D197" t="s">
        <v>427</v>
      </c>
      <c r="E197">
        <v>2</v>
      </c>
      <c r="F197" s="9" t="s">
        <v>112</v>
      </c>
      <c r="G197">
        <v>185</v>
      </c>
      <c r="H197">
        <v>4.1660000000000004</v>
      </c>
      <c r="Q197" s="154">
        <v>646</v>
      </c>
      <c r="R197" s="154" t="s">
        <v>317</v>
      </c>
      <c r="S197" s="154">
        <v>4.3130819999999996</v>
      </c>
      <c r="T197" s="154">
        <v>-0.74571740016948773</v>
      </c>
      <c r="U197" s="154">
        <v>5.6958535000000001</v>
      </c>
      <c r="V197" s="154">
        <v>-26.694411237371899</v>
      </c>
      <c r="W197" s="156">
        <v>4.1660000000000004</v>
      </c>
      <c r="X197" s="173">
        <v>5.451099000000001</v>
      </c>
      <c r="Y197" s="173">
        <v>7.7909153345735138</v>
      </c>
      <c r="Z197" s="173">
        <v>3.7938777499999992</v>
      </c>
      <c r="AA197" s="173">
        <v>-24.822546179307107</v>
      </c>
      <c r="AB197" s="173">
        <v>2.1543999999999999</v>
      </c>
      <c r="AC197" s="173">
        <v>2.1543999999999999</v>
      </c>
      <c r="AD197" s="158">
        <f t="shared" si="72"/>
        <v>1.1145290151582275E-2</v>
      </c>
      <c r="AE197" s="158">
        <f t="shared" si="73"/>
        <v>0.26127342664111941</v>
      </c>
      <c r="AF197" s="159">
        <f t="shared" si="74"/>
        <v>4.8070550337566777E-2</v>
      </c>
      <c r="AG197" s="159">
        <f t="shared" si="75"/>
        <v>1.4881751615908132</v>
      </c>
      <c r="AH197" s="160">
        <f t="shared" si="76"/>
        <v>1.1538778285541711</v>
      </c>
      <c r="AI197" s="160">
        <f t="shared" si="77"/>
        <v>35.721919385281161</v>
      </c>
      <c r="AJ197" s="161">
        <f t="shared" si="78"/>
        <v>30.958146955680167</v>
      </c>
      <c r="AK197" s="162">
        <f t="shared" si="79"/>
        <v>-6.5566327347430011</v>
      </c>
      <c r="AL197" s="162">
        <f t="shared" si="80"/>
        <v>-27.901865058064793</v>
      </c>
      <c r="AM197" s="163">
        <v>0.36599999999999999</v>
      </c>
      <c r="AN197" s="164">
        <f t="shared" si="81"/>
        <v>-6.5566327347430011</v>
      </c>
      <c r="AO197" s="165">
        <f t="shared" si="82"/>
        <v>0.36386099861976917</v>
      </c>
      <c r="AP197" s="166">
        <f t="shared" si="83"/>
        <v>-2.1390013802308205E-3</v>
      </c>
      <c r="AQ197" s="166">
        <f t="shared" si="84"/>
        <v>11.538778285541712</v>
      </c>
      <c r="AR197" s="166">
        <f t="shared" si="85"/>
        <v>-0.24681462678951138</v>
      </c>
      <c r="AS197" s="166">
        <f t="shared" si="86"/>
        <v>-21.390013802308204</v>
      </c>
      <c r="AT197" s="163">
        <v>1.08</v>
      </c>
      <c r="AU197" s="164">
        <f t="shared" si="87"/>
        <v>-27.901865058064793</v>
      </c>
      <c r="AV197" s="164">
        <f t="shared" si="88"/>
        <v>1.0805433944018461</v>
      </c>
      <c r="AW197" s="168">
        <f t="shared" si="89"/>
        <v>5.4339440184603127E-4</v>
      </c>
      <c r="AX197" s="168">
        <f t="shared" si="90"/>
        <v>357.2191938528116</v>
      </c>
      <c r="AY197" s="168">
        <f t="shared" si="91"/>
        <v>1.9411091017157005</v>
      </c>
      <c r="AZ197" s="168">
        <f t="shared" si="92"/>
        <v>5.4339440184603136</v>
      </c>
    </row>
    <row r="198" spans="1:52" ht="18" x14ac:dyDescent="0.25">
      <c r="A198">
        <v>4</v>
      </c>
      <c r="B198" t="s">
        <v>52</v>
      </c>
      <c r="C198" t="s">
        <v>30</v>
      </c>
      <c r="D198" t="s">
        <v>428</v>
      </c>
      <c r="E198">
        <v>2</v>
      </c>
      <c r="F198" s="9" t="s">
        <v>113</v>
      </c>
      <c r="G198">
        <v>186</v>
      </c>
      <c r="H198">
        <v>4.3860000000000001</v>
      </c>
      <c r="Q198" s="169">
        <v>647</v>
      </c>
      <c r="R198" s="169" t="s">
        <v>318</v>
      </c>
      <c r="S198" s="169">
        <v>2.7734304999999999</v>
      </c>
      <c r="T198" s="169">
        <v>13.958642086757996</v>
      </c>
      <c r="U198" s="169">
        <v>6.1061854999999996</v>
      </c>
      <c r="V198" s="169">
        <v>-25.893633524488617</v>
      </c>
      <c r="W198" s="156">
        <v>4.3860000000000001</v>
      </c>
      <c r="X198" s="173">
        <v>5.451099000000001</v>
      </c>
      <c r="Y198" s="173">
        <v>7.7909153345735138</v>
      </c>
      <c r="Z198" s="173">
        <v>3.7938777499999992</v>
      </c>
      <c r="AA198" s="173">
        <v>-24.822546179307107</v>
      </c>
      <c r="AB198" s="173">
        <v>2.1543999999999999</v>
      </c>
      <c r="AC198" s="173">
        <v>2.1543999999999999</v>
      </c>
      <c r="AD198" s="158">
        <f t="shared" si="72"/>
        <v>1.1145290151582275E-2</v>
      </c>
      <c r="AE198" s="158">
        <f t="shared" si="73"/>
        <v>0.26127342664111941</v>
      </c>
      <c r="AF198" s="159">
        <f t="shared" si="74"/>
        <v>3.0910687637747902E-2</v>
      </c>
      <c r="AG198" s="159">
        <f t="shared" si="75"/>
        <v>1.595384009291317</v>
      </c>
      <c r="AH198" s="160">
        <f t="shared" si="76"/>
        <v>0.70475804007633147</v>
      </c>
      <c r="AI198" s="160">
        <f t="shared" si="77"/>
        <v>36.374464416126692</v>
      </c>
      <c r="AJ198" s="161">
        <f t="shared" si="78"/>
        <v>51.612698752875552</v>
      </c>
      <c r="AK198" s="162">
        <f t="shared" si="79"/>
        <v>8.1477267521844823</v>
      </c>
      <c r="AL198" s="162">
        <f t="shared" si="80"/>
        <v>-27.101087345181512</v>
      </c>
      <c r="AM198" s="163">
        <v>0.36599999999999999</v>
      </c>
      <c r="AN198" s="164">
        <f t="shared" si="81"/>
        <v>8.1477267521844823</v>
      </c>
      <c r="AO198" s="165">
        <f t="shared" si="82"/>
        <v>0.369226768027827</v>
      </c>
      <c r="AP198" s="166">
        <f t="shared" si="83"/>
        <v>3.2267680278270094E-3</v>
      </c>
      <c r="AQ198" s="166">
        <f t="shared" si="84"/>
        <v>7.047580400763314</v>
      </c>
      <c r="AR198" s="166">
        <f t="shared" si="85"/>
        <v>0.22740907110723324</v>
      </c>
      <c r="AS198" s="166">
        <f t="shared" si="86"/>
        <v>32.267680278270092</v>
      </c>
      <c r="AT198" s="163">
        <v>1.08</v>
      </c>
      <c r="AU198" s="164">
        <f t="shared" si="87"/>
        <v>-27.101087345181512</v>
      </c>
      <c r="AV198" s="164">
        <f t="shared" si="88"/>
        <v>1.0814238793509132</v>
      </c>
      <c r="AW198" s="168">
        <f t="shared" si="89"/>
        <v>1.4238793509131487E-3</v>
      </c>
      <c r="AX198" s="168">
        <f t="shared" si="90"/>
        <v>363.74464416126688</v>
      </c>
      <c r="AY198" s="168">
        <f t="shared" si="91"/>
        <v>5.1792848782647889</v>
      </c>
      <c r="AZ198" s="168">
        <f t="shared" si="92"/>
        <v>14.238793509131487</v>
      </c>
    </row>
    <row r="199" spans="1:52" ht="18" x14ac:dyDescent="0.25">
      <c r="A199">
        <v>4</v>
      </c>
      <c r="B199" t="s">
        <v>56</v>
      </c>
      <c r="C199" t="s">
        <v>26</v>
      </c>
      <c r="D199" t="s">
        <v>427</v>
      </c>
      <c r="E199">
        <v>2</v>
      </c>
      <c r="F199" s="9" t="s">
        <v>114</v>
      </c>
      <c r="G199">
        <v>187</v>
      </c>
      <c r="H199">
        <v>4.5149999999999997</v>
      </c>
      <c r="Q199" s="154">
        <v>648</v>
      </c>
      <c r="R199" s="154" t="s">
        <v>319</v>
      </c>
      <c r="S199" s="154">
        <v>5.6465430000000003</v>
      </c>
      <c r="T199" s="154">
        <v>623.70176683779277</v>
      </c>
      <c r="U199" s="154">
        <v>6.7860885</v>
      </c>
      <c r="V199" s="154">
        <v>-22.053741173117082</v>
      </c>
      <c r="W199" s="156">
        <v>4.5149999999999997</v>
      </c>
      <c r="X199" s="173">
        <v>5.451099000000001</v>
      </c>
      <c r="Y199" s="173">
        <v>7.7909153345735138</v>
      </c>
      <c r="Z199" s="173">
        <v>3.7938777499999992</v>
      </c>
      <c r="AA199" s="173">
        <v>-24.822546179307107</v>
      </c>
      <c r="AB199" s="173">
        <v>2.1543999999999999</v>
      </c>
      <c r="AC199" s="173">
        <v>2.1543999999999999</v>
      </c>
      <c r="AD199" s="158">
        <f t="shared" si="72"/>
        <v>1.1145290151582275E-2</v>
      </c>
      <c r="AE199" s="158">
        <f t="shared" si="73"/>
        <v>0.26127342664111941</v>
      </c>
      <c r="AF199" s="159">
        <f t="shared" si="74"/>
        <v>6.2932360088385833E-2</v>
      </c>
      <c r="AG199" s="159">
        <f t="shared" si="75"/>
        <v>1.773024595884894</v>
      </c>
      <c r="AH199" s="160">
        <f t="shared" si="76"/>
        <v>1.3938507217804172</v>
      </c>
      <c r="AI199" s="160">
        <f t="shared" si="77"/>
        <v>39.269647749388575</v>
      </c>
      <c r="AJ199" s="161">
        <f t="shared" si="78"/>
        <v>28.173496010554128</v>
      </c>
      <c r="AK199" s="162">
        <f t="shared" si="79"/>
        <v>617.89085150321921</v>
      </c>
      <c r="AL199" s="162">
        <f t="shared" si="80"/>
        <v>-23.261194993809976</v>
      </c>
      <c r="AM199" s="163">
        <v>0.36599999999999999</v>
      </c>
      <c r="AN199" s="164">
        <f t="shared" si="81"/>
        <v>617.89085150321921</v>
      </c>
      <c r="AO199" s="165">
        <f t="shared" si="82"/>
        <v>0.59122047202345296</v>
      </c>
      <c r="AP199" s="166">
        <f t="shared" si="83"/>
        <v>0.22522047202345297</v>
      </c>
      <c r="AQ199" s="166">
        <f t="shared" si="84"/>
        <v>13.938507217804171</v>
      </c>
      <c r="AR199" s="166">
        <f t="shared" si="85"/>
        <v>31.392371748961619</v>
      </c>
      <c r="AS199" s="166">
        <f t="shared" si="86"/>
        <v>2252.2047202345298</v>
      </c>
      <c r="AT199" s="163">
        <v>1.08</v>
      </c>
      <c r="AU199" s="164">
        <f t="shared" si="87"/>
        <v>-23.261194993809976</v>
      </c>
      <c r="AV199" s="164">
        <f t="shared" si="88"/>
        <v>1.0856457663653643</v>
      </c>
      <c r="AW199" s="168">
        <f t="shared" si="89"/>
        <v>5.6457663653641799E-3</v>
      </c>
      <c r="AX199" s="168">
        <f t="shared" si="90"/>
        <v>392.69647749388577</v>
      </c>
      <c r="AY199" s="168">
        <f t="shared" si="91"/>
        <v>22.170725644319717</v>
      </c>
      <c r="AZ199" s="168">
        <f t="shared" si="92"/>
        <v>56.457663653641802</v>
      </c>
    </row>
    <row r="200" spans="1:52" ht="18" x14ac:dyDescent="0.25">
      <c r="A200">
        <v>4</v>
      </c>
      <c r="B200" t="s">
        <v>56</v>
      </c>
      <c r="C200" t="s">
        <v>26</v>
      </c>
      <c r="D200" t="s">
        <v>428</v>
      </c>
      <c r="E200">
        <v>2</v>
      </c>
      <c r="F200" s="9" t="s">
        <v>115</v>
      </c>
      <c r="G200">
        <v>188</v>
      </c>
      <c r="H200">
        <v>4.1040000000000001</v>
      </c>
      <c r="Q200" s="169">
        <v>649</v>
      </c>
      <c r="R200" s="169" t="s">
        <v>320</v>
      </c>
      <c r="S200" s="169">
        <v>3.7332524999999999</v>
      </c>
      <c r="T200" s="169">
        <v>188.46320289591412</v>
      </c>
      <c r="U200" s="169">
        <v>6.5114879999999999</v>
      </c>
      <c r="V200" s="169">
        <v>-26.875677353691596</v>
      </c>
      <c r="W200" s="156">
        <v>4.1040000000000001</v>
      </c>
      <c r="X200" s="173">
        <v>5.451099000000001</v>
      </c>
      <c r="Y200" s="173">
        <v>7.7909153345735138</v>
      </c>
      <c r="Z200" s="173">
        <v>3.7938777499999992</v>
      </c>
      <c r="AA200" s="173">
        <v>-24.822546179307107</v>
      </c>
      <c r="AB200" s="173">
        <v>2.1543999999999999</v>
      </c>
      <c r="AC200" s="173">
        <v>2.1543999999999999</v>
      </c>
      <c r="AD200" s="158">
        <f t="shared" si="72"/>
        <v>1.1145290151582275E-2</v>
      </c>
      <c r="AE200" s="158">
        <f t="shared" si="73"/>
        <v>0.26127342664111941</v>
      </c>
      <c r="AF200" s="159">
        <f t="shared" si="74"/>
        <v>4.1608182321619905E-2</v>
      </c>
      <c r="AG200" s="159">
        <f t="shared" si="75"/>
        <v>1.7012787822925293</v>
      </c>
      <c r="AH200" s="160">
        <f t="shared" si="76"/>
        <v>1.0138445984800173</v>
      </c>
      <c r="AI200" s="160">
        <f t="shared" si="77"/>
        <v>41.454161361903736</v>
      </c>
      <c r="AJ200" s="161">
        <f t="shared" si="78"/>
        <v>40.888082280117601</v>
      </c>
      <c r="AK200" s="162">
        <f t="shared" si="79"/>
        <v>182.65228756134061</v>
      </c>
      <c r="AL200" s="162">
        <f t="shared" si="80"/>
        <v>-28.083131174384491</v>
      </c>
      <c r="AM200" s="163">
        <v>0.36599999999999999</v>
      </c>
      <c r="AN200" s="164">
        <f t="shared" si="81"/>
        <v>182.65228756134061</v>
      </c>
      <c r="AO200" s="165">
        <f t="shared" si="82"/>
        <v>0.43286114745192561</v>
      </c>
      <c r="AP200" s="166">
        <f t="shared" si="83"/>
        <v>6.6861147451925618E-2</v>
      </c>
      <c r="AQ200" s="166">
        <f t="shared" si="84"/>
        <v>10.138445984800173</v>
      </c>
      <c r="AR200" s="166">
        <f t="shared" si="85"/>
        <v>6.778681319231076</v>
      </c>
      <c r="AS200" s="166">
        <f t="shared" si="86"/>
        <v>668.61147451925615</v>
      </c>
      <c r="AT200" s="163">
        <v>1.08</v>
      </c>
      <c r="AU200" s="164">
        <f t="shared" si="87"/>
        <v>-28.083131174384491</v>
      </c>
      <c r="AV200" s="164">
        <f t="shared" si="88"/>
        <v>1.0803440833735234</v>
      </c>
      <c r="AW200" s="168">
        <f t="shared" si="89"/>
        <v>3.4408337352331841E-4</v>
      </c>
      <c r="AX200" s="168">
        <f t="shared" si="90"/>
        <v>414.54161361903738</v>
      </c>
      <c r="AY200" s="168">
        <f t="shared" si="91"/>
        <v>1.4263687687983837</v>
      </c>
      <c r="AZ200" s="168">
        <f t="shared" si="92"/>
        <v>3.4408337352331841</v>
      </c>
    </row>
    <row r="201" spans="1:52" ht="18" x14ac:dyDescent="0.25">
      <c r="A201">
        <v>4</v>
      </c>
      <c r="B201" t="s">
        <v>56</v>
      </c>
      <c r="C201" t="s">
        <v>28</v>
      </c>
      <c r="D201" t="s">
        <v>427</v>
      </c>
      <c r="E201">
        <v>2</v>
      </c>
      <c r="F201" s="9" t="s">
        <v>116</v>
      </c>
      <c r="G201">
        <v>189</v>
      </c>
      <c r="H201">
        <v>4.7910000000000004</v>
      </c>
      <c r="Q201" s="154">
        <v>650</v>
      </c>
      <c r="R201" s="154" t="s">
        <v>321</v>
      </c>
      <c r="S201" s="154">
        <v>5.5638785000000004</v>
      </c>
      <c r="T201" s="154">
        <v>384.47312667844767</v>
      </c>
      <c r="U201" s="154">
        <v>6.9809925000000002</v>
      </c>
      <c r="V201" s="154">
        <v>-23.69948436863136</v>
      </c>
      <c r="W201" s="156">
        <v>4.7910000000000004</v>
      </c>
      <c r="X201" s="173">
        <v>5.451099000000001</v>
      </c>
      <c r="Y201" s="173">
        <v>7.7909153345735138</v>
      </c>
      <c r="Z201" s="173">
        <v>3.7938777499999992</v>
      </c>
      <c r="AA201" s="173">
        <v>-24.822546179307107</v>
      </c>
      <c r="AB201" s="173">
        <v>2.1543999999999999</v>
      </c>
      <c r="AC201" s="173">
        <v>2.1543999999999999</v>
      </c>
      <c r="AD201" s="158">
        <f t="shared" si="72"/>
        <v>1.1145290151582275E-2</v>
      </c>
      <c r="AE201" s="158">
        <f t="shared" si="73"/>
        <v>0.26127342664111941</v>
      </c>
      <c r="AF201" s="159">
        <f t="shared" si="74"/>
        <v>6.2011040250650365E-2</v>
      </c>
      <c r="AG201" s="159">
        <f t="shared" si="75"/>
        <v>1.8239478318309548</v>
      </c>
      <c r="AH201" s="160">
        <f t="shared" si="76"/>
        <v>1.2943235285044949</v>
      </c>
      <c r="AI201" s="160">
        <f t="shared" si="77"/>
        <v>38.070294966206525</v>
      </c>
      <c r="AJ201" s="161">
        <f t="shared" si="78"/>
        <v>29.413275836988163</v>
      </c>
      <c r="AK201" s="162">
        <f t="shared" si="79"/>
        <v>378.66221134387416</v>
      </c>
      <c r="AL201" s="162">
        <f t="shared" si="80"/>
        <v>-24.906938189324254</v>
      </c>
      <c r="AM201" s="163">
        <v>0.36599999999999999</v>
      </c>
      <c r="AN201" s="164">
        <f t="shared" si="81"/>
        <v>378.66221134387416</v>
      </c>
      <c r="AO201" s="165">
        <f t="shared" si="82"/>
        <v>0.5042407557553138</v>
      </c>
      <c r="AP201" s="166">
        <f t="shared" si="83"/>
        <v>0.1382407557553138</v>
      </c>
      <c r="AQ201" s="166">
        <f t="shared" si="84"/>
        <v>12.943235285044951</v>
      </c>
      <c r="AR201" s="166">
        <f t="shared" si="85"/>
        <v>17.892826277234583</v>
      </c>
      <c r="AS201" s="166">
        <f t="shared" si="86"/>
        <v>1382.4075575531381</v>
      </c>
      <c r="AT201" s="163">
        <v>1.08</v>
      </c>
      <c r="AU201" s="164">
        <f t="shared" si="87"/>
        <v>-24.906938189324254</v>
      </c>
      <c r="AV201" s="164">
        <f t="shared" si="88"/>
        <v>1.0838363478358239</v>
      </c>
      <c r="AW201" s="168">
        <f t="shared" si="89"/>
        <v>3.8363478358238723E-3</v>
      </c>
      <c r="AX201" s="168">
        <f t="shared" si="90"/>
        <v>380.70294966206524</v>
      </c>
      <c r="AY201" s="168">
        <f t="shared" si="91"/>
        <v>14.605089370278286</v>
      </c>
      <c r="AZ201" s="168">
        <f t="shared" si="92"/>
        <v>38.363478358238723</v>
      </c>
    </row>
    <row r="202" spans="1:52" ht="18" x14ac:dyDescent="0.25">
      <c r="A202">
        <v>4</v>
      </c>
      <c r="B202" t="s">
        <v>56</v>
      </c>
      <c r="C202" t="s">
        <v>28</v>
      </c>
      <c r="D202" t="s">
        <v>428</v>
      </c>
      <c r="E202">
        <v>2</v>
      </c>
      <c r="F202" s="9" t="s">
        <v>436</v>
      </c>
      <c r="G202">
        <v>190</v>
      </c>
      <c r="H202">
        <v>4.3390000000000004</v>
      </c>
      <c r="Q202" s="169">
        <v>651</v>
      </c>
      <c r="R202" s="169" t="s">
        <v>322</v>
      </c>
      <c r="S202" s="169">
        <v>4.2783119999999997</v>
      </c>
      <c r="T202" s="169">
        <v>212.1824509768428</v>
      </c>
      <c r="U202" s="169">
        <v>6.6859535000000001</v>
      </c>
      <c r="V202" s="169">
        <v>-25.285348735856143</v>
      </c>
      <c r="W202" s="156">
        <v>4.3390000000000004</v>
      </c>
      <c r="X202" s="173">
        <v>5.451099000000001</v>
      </c>
      <c r="Y202" s="173">
        <v>7.7909153345735138</v>
      </c>
      <c r="Z202" s="173">
        <v>3.7938777499999992</v>
      </c>
      <c r="AA202" s="173">
        <v>-24.822546179307107</v>
      </c>
      <c r="AB202" s="173">
        <v>2.1543999999999999</v>
      </c>
      <c r="AC202" s="173">
        <v>2.1543999999999999</v>
      </c>
      <c r="AD202" s="158">
        <f t="shared" si="72"/>
        <v>1.1145290151582275E-2</v>
      </c>
      <c r="AE202" s="158">
        <f t="shared" si="73"/>
        <v>0.26127342664111941</v>
      </c>
      <c r="AF202" s="159">
        <f t="shared" si="74"/>
        <v>4.7683028598996265E-2</v>
      </c>
      <c r="AG202" s="159">
        <f t="shared" si="75"/>
        <v>1.7468619813081856</v>
      </c>
      <c r="AH202" s="160">
        <f t="shared" si="76"/>
        <v>1.0989405070061364</v>
      </c>
      <c r="AI202" s="160">
        <f t="shared" si="77"/>
        <v>40.25955246158528</v>
      </c>
      <c r="AJ202" s="161">
        <f t="shared" si="78"/>
        <v>36.634878962888642</v>
      </c>
      <c r="AK202" s="162">
        <f t="shared" si="79"/>
        <v>206.37153564226929</v>
      </c>
      <c r="AL202" s="162">
        <f t="shared" si="80"/>
        <v>-26.492802556549037</v>
      </c>
      <c r="AM202" s="163">
        <v>0.36599999999999999</v>
      </c>
      <c r="AN202" s="164">
        <f t="shared" si="81"/>
        <v>206.37153564226929</v>
      </c>
      <c r="AO202" s="165">
        <f t="shared" si="82"/>
        <v>0.4415042720479247</v>
      </c>
      <c r="AP202" s="166">
        <f t="shared" si="83"/>
        <v>7.5504272047924703E-2</v>
      </c>
      <c r="AQ202" s="166">
        <f t="shared" si="84"/>
        <v>10.989405070061364</v>
      </c>
      <c r="AR202" s="166">
        <f t="shared" si="85"/>
        <v>8.2974703005475643</v>
      </c>
      <c r="AS202" s="166">
        <f t="shared" si="86"/>
        <v>755.04272047924701</v>
      </c>
      <c r="AT202" s="163">
        <v>1.08</v>
      </c>
      <c r="AU202" s="164">
        <f t="shared" si="87"/>
        <v>-26.492802556549037</v>
      </c>
      <c r="AV202" s="164">
        <f t="shared" si="88"/>
        <v>1.0820927006780028</v>
      </c>
      <c r="AW202" s="168">
        <f t="shared" si="89"/>
        <v>2.0927006780027124E-3</v>
      </c>
      <c r="AX202" s="168">
        <f t="shared" si="90"/>
        <v>402.59552461585281</v>
      </c>
      <c r="AY202" s="168">
        <f t="shared" si="91"/>
        <v>8.4251192732445279</v>
      </c>
      <c r="AZ202" s="168">
        <f t="shared" si="92"/>
        <v>20.927006780027124</v>
      </c>
    </row>
    <row r="203" spans="1:52" ht="18" x14ac:dyDescent="0.25">
      <c r="A203">
        <v>4</v>
      </c>
      <c r="B203" t="s">
        <v>56</v>
      </c>
      <c r="C203" t="s">
        <v>30</v>
      </c>
      <c r="D203" t="s">
        <v>427</v>
      </c>
      <c r="E203">
        <v>2</v>
      </c>
      <c r="F203" s="9" t="s">
        <v>437</v>
      </c>
      <c r="G203">
        <v>191</v>
      </c>
      <c r="H203">
        <v>4.3259999999999996</v>
      </c>
      <c r="Q203" s="154">
        <v>652</v>
      </c>
      <c r="R203" s="154" t="s">
        <v>323</v>
      </c>
      <c r="S203" s="154">
        <v>3.95082925</v>
      </c>
      <c r="T203" s="154">
        <v>2.4656579836530219</v>
      </c>
      <c r="U203" s="154">
        <v>5.7647965000000001</v>
      </c>
      <c r="V203" s="154">
        <v>-25.853960980964903</v>
      </c>
      <c r="W203" s="156">
        <v>4.3259999999999996</v>
      </c>
      <c r="X203" s="173">
        <v>5.451099000000001</v>
      </c>
      <c r="Y203" s="173">
        <v>7.7909153345735138</v>
      </c>
      <c r="Z203" s="173">
        <v>3.7938777499999992</v>
      </c>
      <c r="AA203" s="173">
        <v>-24.822546179307107</v>
      </c>
      <c r="AB203" s="173">
        <v>2.1543999999999999</v>
      </c>
      <c r="AC203" s="173">
        <v>2.1543999999999999</v>
      </c>
      <c r="AD203" s="158">
        <f t="shared" si="72"/>
        <v>1.1145290151582275E-2</v>
      </c>
      <c r="AE203" s="158">
        <f t="shared" si="73"/>
        <v>0.26127342664111941</v>
      </c>
      <c r="AF203" s="159">
        <f t="shared" si="74"/>
        <v>4.4033138330608186E-2</v>
      </c>
      <c r="AG203" s="159">
        <f t="shared" si="75"/>
        <v>1.5061881354437319</v>
      </c>
      <c r="AH203" s="160">
        <f t="shared" si="76"/>
        <v>1.0178718985346322</v>
      </c>
      <c r="AI203" s="160">
        <f t="shared" si="77"/>
        <v>34.817109002397871</v>
      </c>
      <c r="AJ203" s="161">
        <f t="shared" si="78"/>
        <v>34.205786654019953</v>
      </c>
      <c r="AK203" s="162">
        <f t="shared" si="79"/>
        <v>-3.3452573509204915</v>
      </c>
      <c r="AL203" s="162">
        <f t="shared" si="80"/>
        <v>-27.061414801657797</v>
      </c>
      <c r="AM203" s="163">
        <v>0.36599999999999999</v>
      </c>
      <c r="AN203" s="164">
        <f t="shared" si="81"/>
        <v>-3.3452573509204915</v>
      </c>
      <c r="AO203" s="165">
        <f t="shared" si="82"/>
        <v>0.36503291128622695</v>
      </c>
      <c r="AP203" s="166">
        <f t="shared" si="83"/>
        <v>-9.6708871377304551E-4</v>
      </c>
      <c r="AQ203" s="166">
        <f t="shared" si="84"/>
        <v>10.178718985346322</v>
      </c>
      <c r="AR203" s="166">
        <f t="shared" si="85"/>
        <v>-9.8437242513958523E-2</v>
      </c>
      <c r="AS203" s="166">
        <f t="shared" si="86"/>
        <v>-9.6708871377304551</v>
      </c>
      <c r="AT203" s="163">
        <v>1.08</v>
      </c>
      <c r="AU203" s="164">
        <f t="shared" si="87"/>
        <v>-27.061414801657797</v>
      </c>
      <c r="AV203" s="164">
        <f t="shared" si="88"/>
        <v>1.0814675003840357</v>
      </c>
      <c r="AW203" s="168">
        <f t="shared" si="89"/>
        <v>1.4675003840356471E-3</v>
      </c>
      <c r="AX203" s="168">
        <f t="shared" si="90"/>
        <v>348.17109002397871</v>
      </c>
      <c r="AY203" s="168">
        <f t="shared" si="91"/>
        <v>5.1094120832029857</v>
      </c>
      <c r="AZ203" s="168">
        <f t="shared" si="92"/>
        <v>14.675003840356471</v>
      </c>
    </row>
    <row r="204" spans="1:52" ht="18" x14ac:dyDescent="0.25">
      <c r="A204">
        <v>4</v>
      </c>
      <c r="B204" t="s">
        <v>56</v>
      </c>
      <c r="C204" t="s">
        <v>30</v>
      </c>
      <c r="D204" t="s">
        <v>428</v>
      </c>
      <c r="E204">
        <v>2</v>
      </c>
      <c r="F204" s="9" t="s">
        <v>438</v>
      </c>
      <c r="G204">
        <v>192</v>
      </c>
      <c r="H204">
        <v>4.609</v>
      </c>
      <c r="Q204" s="169">
        <v>653</v>
      </c>
      <c r="R204" s="169" t="s">
        <v>324</v>
      </c>
      <c r="S204" s="169">
        <v>4.9660235000000004</v>
      </c>
      <c r="T204" s="169">
        <v>4.1187606177065117</v>
      </c>
      <c r="U204" s="169">
        <v>6.4454979999999997</v>
      </c>
      <c r="V204" s="169">
        <v>-24.623228981737622</v>
      </c>
      <c r="W204" s="156">
        <v>4.609</v>
      </c>
      <c r="X204" s="173">
        <v>5.451099000000001</v>
      </c>
      <c r="Y204" s="173">
        <v>7.7909153345735138</v>
      </c>
      <c r="Z204" s="173">
        <v>3.7938777499999992</v>
      </c>
      <c r="AA204" s="173">
        <v>-24.822546179307107</v>
      </c>
      <c r="AB204" s="173">
        <v>2.1543999999999999</v>
      </c>
      <c r="AC204" s="173">
        <v>2.1543999999999999</v>
      </c>
      <c r="AD204" s="158">
        <f t="shared" si="72"/>
        <v>1.1145290151582275E-2</v>
      </c>
      <c r="AE204" s="158">
        <f t="shared" si="73"/>
        <v>0.26127342664111941</v>
      </c>
      <c r="AF204" s="159">
        <f t="shared" si="74"/>
        <v>5.5347772807076145E-2</v>
      </c>
      <c r="AG204" s="159">
        <f t="shared" si="75"/>
        <v>1.6840373488684819</v>
      </c>
      <c r="AH204" s="160">
        <f t="shared" si="76"/>
        <v>1.2008629378840561</v>
      </c>
      <c r="AI204" s="160">
        <f t="shared" si="77"/>
        <v>36.538020153362595</v>
      </c>
      <c r="AJ204" s="161">
        <f t="shared" si="78"/>
        <v>30.426469999768081</v>
      </c>
      <c r="AK204" s="162">
        <f t="shared" si="79"/>
        <v>-1.6921547168670017</v>
      </c>
      <c r="AL204" s="162">
        <f t="shared" si="80"/>
        <v>-25.830682802430516</v>
      </c>
      <c r="AM204" s="163">
        <v>0.36599999999999999</v>
      </c>
      <c r="AN204" s="164">
        <f t="shared" si="81"/>
        <v>-1.6921547168670017</v>
      </c>
      <c r="AO204" s="165">
        <f t="shared" si="82"/>
        <v>0.36563615979149933</v>
      </c>
      <c r="AP204" s="166">
        <f t="shared" si="83"/>
        <v>-3.6384020850066534E-4</v>
      </c>
      <c r="AQ204" s="166">
        <f t="shared" si="84"/>
        <v>12.008629378840562</v>
      </c>
      <c r="AR204" s="166">
        <f t="shared" si="85"/>
        <v>-4.3692222170045654E-2</v>
      </c>
      <c r="AS204" s="166">
        <f t="shared" si="86"/>
        <v>-3.6384020850066534</v>
      </c>
      <c r="AT204" s="163">
        <v>1.08</v>
      </c>
      <c r="AU204" s="164">
        <f t="shared" si="87"/>
        <v>-25.830682802430516</v>
      </c>
      <c r="AV204" s="164">
        <f t="shared" si="88"/>
        <v>1.0828207043493019</v>
      </c>
      <c r="AW204" s="168">
        <f t="shared" si="89"/>
        <v>2.8207043493018169E-3</v>
      </c>
      <c r="AX204" s="168">
        <f t="shared" si="90"/>
        <v>365.38020153362595</v>
      </c>
      <c r="AY204" s="168">
        <f t="shared" si="91"/>
        <v>10.306295236146731</v>
      </c>
      <c r="AZ204" s="168">
        <f t="shared" si="92"/>
        <v>28.207043493018169</v>
      </c>
    </row>
    <row r="205" spans="1:52" ht="18" x14ac:dyDescent="0.25">
      <c r="A205">
        <v>5</v>
      </c>
      <c r="B205" t="s">
        <v>25</v>
      </c>
      <c r="C205" t="s">
        <v>26</v>
      </c>
      <c r="D205" t="s">
        <v>427</v>
      </c>
      <c r="E205">
        <v>2</v>
      </c>
      <c r="F205" s="9" t="s">
        <v>117</v>
      </c>
      <c r="G205">
        <v>193</v>
      </c>
      <c r="H205">
        <v>4.3209999999999997</v>
      </c>
      <c r="Q205" s="154">
        <v>654</v>
      </c>
      <c r="R205" s="154" t="s">
        <v>325</v>
      </c>
      <c r="S205" s="154">
        <v>10.394145999999999</v>
      </c>
      <c r="T205" s="154">
        <v>115.20813154451822</v>
      </c>
      <c r="U205" s="154">
        <v>6.8147675000000003</v>
      </c>
      <c r="V205" s="154">
        <v>-26.986901180234401</v>
      </c>
      <c r="W205" s="156">
        <v>4.3209999999999997</v>
      </c>
      <c r="X205" s="173">
        <v>5.451099000000001</v>
      </c>
      <c r="Y205" s="173">
        <v>7.7909153345735138</v>
      </c>
      <c r="Z205" s="173">
        <v>3.7938777499999992</v>
      </c>
      <c r="AA205" s="173">
        <v>-24.822546179307107</v>
      </c>
      <c r="AB205" s="173">
        <v>2.1543999999999999</v>
      </c>
      <c r="AC205" s="173">
        <v>2.1543999999999999</v>
      </c>
      <c r="AD205" s="158">
        <f t="shared" si="72"/>
        <v>1.1145290151582275E-2</v>
      </c>
      <c r="AE205" s="158">
        <f t="shared" si="73"/>
        <v>0.26127342664111941</v>
      </c>
      <c r="AF205" s="159">
        <f t="shared" si="74"/>
        <v>0.11584577304790829</v>
      </c>
      <c r="AG205" s="159">
        <f t="shared" si="75"/>
        <v>1.7805176564875349</v>
      </c>
      <c r="AH205" s="160">
        <f t="shared" si="76"/>
        <v>2.6809945162672597</v>
      </c>
      <c r="AI205" s="160">
        <f t="shared" si="77"/>
        <v>41.206148032574291</v>
      </c>
      <c r="AJ205" s="161">
        <f t="shared" si="78"/>
        <v>15.369724847459024</v>
      </c>
      <c r="AK205" s="162">
        <f t="shared" si="79"/>
        <v>109.39721620994472</v>
      </c>
      <c r="AL205" s="162">
        <f t="shared" si="80"/>
        <v>-28.194355000927295</v>
      </c>
      <c r="AM205" s="163">
        <v>0.36599999999999999</v>
      </c>
      <c r="AN205" s="164">
        <f t="shared" si="81"/>
        <v>109.39721620994472</v>
      </c>
      <c r="AO205" s="165">
        <f t="shared" si="82"/>
        <v>0.40615804561425994</v>
      </c>
      <c r="AP205" s="166">
        <f t="shared" si="83"/>
        <v>4.0158045614259952E-2</v>
      </c>
      <c r="AQ205" s="166">
        <f t="shared" si="84"/>
        <v>26.809945162672594</v>
      </c>
      <c r="AR205" s="166">
        <f t="shared" si="85"/>
        <v>10.766350007584139</v>
      </c>
      <c r="AS205" s="166">
        <f t="shared" si="86"/>
        <v>401.58045614259953</v>
      </c>
      <c r="AT205" s="163">
        <v>1.08</v>
      </c>
      <c r="AU205" s="164">
        <f t="shared" si="87"/>
        <v>-28.194355000927295</v>
      </c>
      <c r="AV205" s="164">
        <f t="shared" si="88"/>
        <v>1.0802217868971296</v>
      </c>
      <c r="AW205" s="168">
        <f t="shared" si="89"/>
        <v>2.2178689712948341E-4</v>
      </c>
      <c r="AX205" s="168">
        <f t="shared" si="90"/>
        <v>412.06148032574293</v>
      </c>
      <c r="AY205" s="168">
        <f t="shared" si="91"/>
        <v>0.91389837148028197</v>
      </c>
      <c r="AZ205" s="168">
        <f t="shared" si="92"/>
        <v>2.2178689712948341</v>
      </c>
    </row>
    <row r="206" spans="1:52" ht="18" x14ac:dyDescent="0.25">
      <c r="A206">
        <v>5</v>
      </c>
      <c r="B206" t="s">
        <v>25</v>
      </c>
      <c r="C206" t="s">
        <v>26</v>
      </c>
      <c r="D206" t="s">
        <v>428</v>
      </c>
      <c r="E206">
        <v>2</v>
      </c>
      <c r="F206" s="9" t="s">
        <v>118</v>
      </c>
      <c r="G206">
        <v>194</v>
      </c>
      <c r="H206">
        <v>4.3280000000000003</v>
      </c>
      <c r="Q206" s="169">
        <v>655</v>
      </c>
      <c r="R206" s="169" t="s">
        <v>326</v>
      </c>
      <c r="S206" s="169">
        <v>9.9079239999999995</v>
      </c>
      <c r="T206" s="169">
        <v>19.95821559003279</v>
      </c>
      <c r="U206" s="169">
        <v>6.8498539999999997</v>
      </c>
      <c r="V206" s="169">
        <v>-29.832060637676655</v>
      </c>
      <c r="W206" s="156">
        <v>4.3280000000000003</v>
      </c>
      <c r="X206" s="173">
        <v>5.451099000000001</v>
      </c>
      <c r="Y206" s="173">
        <v>7.7909153345735138</v>
      </c>
      <c r="Z206" s="173">
        <v>3.7938777499999992</v>
      </c>
      <c r="AA206" s="173">
        <v>-24.822546179307107</v>
      </c>
      <c r="AB206" s="173">
        <v>2.1543999999999999</v>
      </c>
      <c r="AC206" s="173">
        <v>2.1543999999999999</v>
      </c>
      <c r="AD206" s="158">
        <f t="shared" si="72"/>
        <v>1.1145290151582275E-2</v>
      </c>
      <c r="AE206" s="158">
        <f t="shared" si="73"/>
        <v>0.26127342664111941</v>
      </c>
      <c r="AF206" s="159">
        <f t="shared" si="74"/>
        <v>0.11042668777982566</v>
      </c>
      <c r="AG206" s="159">
        <f t="shared" si="75"/>
        <v>1.7896848265713783</v>
      </c>
      <c r="AH206" s="160">
        <f t="shared" si="76"/>
        <v>2.5514484237482824</v>
      </c>
      <c r="AI206" s="160">
        <f t="shared" si="77"/>
        <v>41.351312998414464</v>
      </c>
      <c r="AJ206" s="161">
        <f t="shared" si="78"/>
        <v>16.206995451495771</v>
      </c>
      <c r="AK206" s="162">
        <f t="shared" si="79"/>
        <v>14.147300255459276</v>
      </c>
      <c r="AL206" s="162">
        <f t="shared" si="80"/>
        <v>-31.039514458369549</v>
      </c>
      <c r="AM206" s="163">
        <v>0.36599999999999999</v>
      </c>
      <c r="AN206" s="164">
        <f t="shared" si="81"/>
        <v>14.147300255459276</v>
      </c>
      <c r="AO206" s="165">
        <f t="shared" si="82"/>
        <v>0.37141590703868993</v>
      </c>
      <c r="AP206" s="166">
        <f t="shared" si="83"/>
        <v>5.4159070386899377E-3</v>
      </c>
      <c r="AQ206" s="166">
        <f t="shared" si="84"/>
        <v>25.514484237482826</v>
      </c>
      <c r="AR206" s="166">
        <f t="shared" si="85"/>
        <v>1.381840747703267</v>
      </c>
      <c r="AS206" s="166">
        <f t="shared" si="86"/>
        <v>54.15907038689938</v>
      </c>
      <c r="AT206" s="163">
        <v>1.08</v>
      </c>
      <c r="AU206" s="164">
        <f t="shared" si="87"/>
        <v>-31.039514458369549</v>
      </c>
      <c r="AV206" s="164">
        <f t="shared" si="88"/>
        <v>1.0770932808742919</v>
      </c>
      <c r="AW206" s="168">
        <f t="shared" si="89"/>
        <v>-2.9067191257081681E-3</v>
      </c>
      <c r="AX206" s="168">
        <f t="shared" si="90"/>
        <v>413.51312998414465</v>
      </c>
      <c r="AY206" s="168">
        <f t="shared" si="91"/>
        <v>-12.019665236563611</v>
      </c>
      <c r="AZ206" s="168">
        <f t="shared" si="92"/>
        <v>-29.067191257081681</v>
      </c>
    </row>
    <row r="207" spans="1:52" ht="18" x14ac:dyDescent="0.25">
      <c r="A207">
        <v>5</v>
      </c>
      <c r="B207" t="s">
        <v>25</v>
      </c>
      <c r="C207" t="s">
        <v>28</v>
      </c>
      <c r="D207" t="s">
        <v>427</v>
      </c>
      <c r="E207">
        <v>2</v>
      </c>
      <c r="F207" s="9" t="s">
        <v>119</v>
      </c>
      <c r="G207">
        <v>195</v>
      </c>
      <c r="H207">
        <v>4.3170000000000002</v>
      </c>
      <c r="Q207" s="154">
        <v>656</v>
      </c>
      <c r="R207" s="154" t="s">
        <v>327</v>
      </c>
      <c r="S207" s="154">
        <v>5.9354695</v>
      </c>
      <c r="T207" s="154">
        <v>2.7295089618317085</v>
      </c>
      <c r="U207" s="154">
        <v>6.0198710000000002</v>
      </c>
      <c r="V207" s="154">
        <v>-27.832958872724308</v>
      </c>
      <c r="W207" s="156">
        <v>4.3170000000000002</v>
      </c>
      <c r="X207" s="173">
        <v>5.451099000000001</v>
      </c>
      <c r="Y207" s="173">
        <v>7.7909153345735138</v>
      </c>
      <c r="Z207" s="173">
        <v>3.7938777499999992</v>
      </c>
      <c r="AA207" s="173">
        <v>-24.822546179307107</v>
      </c>
      <c r="AB207" s="173">
        <v>2.1543999999999999</v>
      </c>
      <c r="AC207" s="173">
        <v>2.1543999999999999</v>
      </c>
      <c r="AD207" s="158">
        <f t="shared" si="72"/>
        <v>1.1145290151582275E-2</v>
      </c>
      <c r="AE207" s="158">
        <f t="shared" si="73"/>
        <v>0.26127342664111941</v>
      </c>
      <c r="AF207" s="159">
        <f t="shared" si="74"/>
        <v>6.6152529763366968E-2</v>
      </c>
      <c r="AG207" s="159">
        <f t="shared" si="75"/>
        <v>1.5728323241075022</v>
      </c>
      <c r="AH207" s="160">
        <f t="shared" si="76"/>
        <v>1.5323727070504278</v>
      </c>
      <c r="AI207" s="160">
        <f t="shared" si="77"/>
        <v>36.433456662207604</v>
      </c>
      <c r="AJ207" s="161">
        <f t="shared" si="78"/>
        <v>23.775845454945603</v>
      </c>
      <c r="AK207" s="162">
        <f t="shared" si="79"/>
        <v>-3.0814063727418048</v>
      </c>
      <c r="AL207" s="162">
        <f t="shared" si="80"/>
        <v>-29.040412693417203</v>
      </c>
      <c r="AM207" s="163">
        <v>0.36599999999999999</v>
      </c>
      <c r="AN207" s="164">
        <f t="shared" si="81"/>
        <v>-3.0814063727418048</v>
      </c>
      <c r="AO207" s="165">
        <f t="shared" si="82"/>
        <v>0.36512919600249683</v>
      </c>
      <c r="AP207" s="166">
        <f t="shared" si="83"/>
        <v>-8.7080399750316673E-4</v>
      </c>
      <c r="AQ207" s="166">
        <f t="shared" si="84"/>
        <v>15.323727070504278</v>
      </c>
      <c r="AR207" s="166">
        <f t="shared" si="85"/>
        <v>-0.13343962789642616</v>
      </c>
      <c r="AS207" s="166">
        <f t="shared" si="86"/>
        <v>-8.7080399750316673</v>
      </c>
      <c r="AT207" s="163">
        <v>1.08</v>
      </c>
      <c r="AU207" s="164">
        <f t="shared" si="87"/>
        <v>-29.040412693417203</v>
      </c>
      <c r="AV207" s="164">
        <f t="shared" si="88"/>
        <v>1.0792914918439631</v>
      </c>
      <c r="AW207" s="168">
        <f t="shared" si="89"/>
        <v>-7.0850815603695771E-4</v>
      </c>
      <c r="AX207" s="168">
        <f t="shared" si="90"/>
        <v>364.33456662207601</v>
      </c>
      <c r="AY207" s="168">
        <f t="shared" si="91"/>
        <v>-2.5813401197793122</v>
      </c>
      <c r="AZ207" s="168">
        <f t="shared" si="92"/>
        <v>-7.0850815603695771</v>
      </c>
    </row>
    <row r="208" spans="1:52" ht="18" x14ac:dyDescent="0.25">
      <c r="I208" s="25" t="s">
        <v>469</v>
      </c>
      <c r="Q208" s="169">
        <v>657</v>
      </c>
      <c r="R208" s="169" t="s">
        <v>328</v>
      </c>
      <c r="S208" s="169">
        <v>6.3367205000000002</v>
      </c>
      <c r="T208" s="169">
        <v>1.9241621750642257</v>
      </c>
      <c r="U208" s="169">
        <v>4.2884634999999998</v>
      </c>
      <c r="V208" s="169">
        <v>-25.80384346370381</v>
      </c>
      <c r="W208" s="169">
        <v>2.3679999999999999</v>
      </c>
      <c r="X208" s="173">
        <v>5.451099000000001</v>
      </c>
      <c r="Y208" s="173">
        <v>7.7909153345735138</v>
      </c>
      <c r="Z208" s="173">
        <v>3.7938777499999992</v>
      </c>
      <c r="AA208" s="173">
        <v>-24.822546179307107</v>
      </c>
      <c r="AB208" s="173">
        <v>2.1543999999999999</v>
      </c>
      <c r="AC208" s="173">
        <v>2.1543999999999999</v>
      </c>
      <c r="AD208" s="158">
        <f t="shared" si="72"/>
        <v>1.1145290151582275E-2</v>
      </c>
      <c r="AE208" s="158">
        <f t="shared" si="73"/>
        <v>0.26127342664111941</v>
      </c>
      <c r="AF208" s="159">
        <f t="shared" si="74"/>
        <v>7.0624588581979508E-2</v>
      </c>
      <c r="AG208" s="159">
        <f t="shared" si="75"/>
        <v>1.1204615536703681</v>
      </c>
      <c r="AH208" s="160">
        <f t="shared" si="76"/>
        <v>2.9824572880903513</v>
      </c>
      <c r="AI208" s="160">
        <f t="shared" si="77"/>
        <v>47.316788584052709</v>
      </c>
      <c r="AJ208" s="161">
        <f t="shared" si="78"/>
        <v>15.865034772836381</v>
      </c>
      <c r="AK208" s="162">
        <f t="shared" si="79"/>
        <v>-3.8867531595092877</v>
      </c>
      <c r="AL208" s="162">
        <f t="shared" si="80"/>
        <v>-27.011297284396704</v>
      </c>
      <c r="AM208" s="163">
        <v>0.36599999999999999</v>
      </c>
      <c r="AN208" s="164">
        <f t="shared" si="81"/>
        <v>-3.8867531595092877</v>
      </c>
      <c r="AO208" s="165">
        <f t="shared" si="82"/>
        <v>0.36483530760690935</v>
      </c>
      <c r="AP208" s="166">
        <f t="shared" si="83"/>
        <v>-1.1646923930906383E-3</v>
      </c>
      <c r="AQ208" s="166">
        <f t="shared" si="84"/>
        <v>29.824572880903517</v>
      </c>
      <c r="AR208" s="166">
        <f t="shared" si="85"/>
        <v>-0.34736453161565672</v>
      </c>
      <c r="AS208" s="166">
        <f t="shared" si="86"/>
        <v>-11.646923930906382</v>
      </c>
      <c r="AT208" s="163">
        <v>1.08</v>
      </c>
      <c r="AU208" s="164">
        <f t="shared" si="87"/>
        <v>-27.011297284396704</v>
      </c>
      <c r="AV208" s="164">
        <f t="shared" si="88"/>
        <v>1.0815226058928931</v>
      </c>
      <c r="AW208" s="168">
        <f t="shared" si="89"/>
        <v>1.522605892892992E-3</v>
      </c>
      <c r="AX208" s="168">
        <f t="shared" si="90"/>
        <v>473.16788584052711</v>
      </c>
      <c r="AY208" s="168">
        <f t="shared" si="91"/>
        <v>7.2044821130850512</v>
      </c>
      <c r="AZ208" s="168">
        <f t="shared" si="92"/>
        <v>15.226058928929922</v>
      </c>
    </row>
    <row r="209" spans="1:52" ht="18" x14ac:dyDescent="0.25">
      <c r="I209" s="25" t="s">
        <v>469</v>
      </c>
      <c r="Q209" s="172">
        <v>658</v>
      </c>
      <c r="R209" s="172" t="s">
        <v>329</v>
      </c>
      <c r="S209" s="172">
        <v>4.9956765000000001</v>
      </c>
      <c r="T209" s="172">
        <v>10.323180186484965</v>
      </c>
      <c r="U209" s="172">
        <v>3.5385647499999999</v>
      </c>
      <c r="V209" s="172">
        <v>-25.292452755896409</v>
      </c>
      <c r="W209" s="154">
        <v>2.0169999999999999</v>
      </c>
      <c r="X209" s="173">
        <v>5.451099000000001</v>
      </c>
      <c r="Y209" s="173">
        <v>7.7909153345735138</v>
      </c>
      <c r="Z209" s="173">
        <v>3.7938777499999992</v>
      </c>
      <c r="AA209" s="173">
        <v>-24.822546179307107</v>
      </c>
      <c r="AB209" s="173">
        <v>2.1543999999999999</v>
      </c>
      <c r="AC209" s="173">
        <v>2.1543999999999999</v>
      </c>
      <c r="AD209" s="158">
        <f t="shared" si="72"/>
        <v>1.1145290151582275E-2</v>
      </c>
      <c r="AE209" s="158">
        <f t="shared" si="73"/>
        <v>0.26127342664111941</v>
      </c>
      <c r="AF209" s="159">
        <f t="shared" si="74"/>
        <v>5.567826409594101E-2</v>
      </c>
      <c r="AG209" s="159">
        <f t="shared" si="75"/>
        <v>0.92453293762397604</v>
      </c>
      <c r="AH209" s="160">
        <f t="shared" si="76"/>
        <v>2.7604493850243439</v>
      </c>
      <c r="AI209" s="160">
        <f t="shared" si="77"/>
        <v>45.837032108278436</v>
      </c>
      <c r="AJ209" s="161">
        <f t="shared" si="78"/>
        <v>16.604916705572638</v>
      </c>
      <c r="AK209" s="162">
        <f t="shared" si="79"/>
        <v>4.5122648519114517</v>
      </c>
      <c r="AL209" s="162">
        <f t="shared" si="80"/>
        <v>-26.499906576589304</v>
      </c>
      <c r="AM209" s="163">
        <v>0.36599999999999999</v>
      </c>
      <c r="AN209" s="164">
        <f t="shared" si="81"/>
        <v>4.5122648519114517</v>
      </c>
      <c r="AO209" s="165">
        <f t="shared" si="82"/>
        <v>0.36790020501374088</v>
      </c>
      <c r="AP209" s="166">
        <f t="shared" si="83"/>
        <v>1.9002050137408855E-3</v>
      </c>
      <c r="AQ209" s="166">
        <f t="shared" si="84"/>
        <v>27.60449385024344</v>
      </c>
      <c r="AR209" s="166">
        <f t="shared" si="85"/>
        <v>0.52454197616012022</v>
      </c>
      <c r="AS209" s="166">
        <f t="shared" si="86"/>
        <v>19.002050137408855</v>
      </c>
      <c r="AT209" s="163">
        <v>1.08</v>
      </c>
      <c r="AU209" s="164">
        <f t="shared" si="87"/>
        <v>-26.499906576589304</v>
      </c>
      <c r="AV209" s="164">
        <f t="shared" si="88"/>
        <v>1.0820848897176605</v>
      </c>
      <c r="AW209" s="168">
        <f t="shared" si="89"/>
        <v>2.0848897176604098E-3</v>
      </c>
      <c r="AX209" s="168">
        <f t="shared" si="90"/>
        <v>458.37032108278436</v>
      </c>
      <c r="AY209" s="168">
        <f t="shared" si="91"/>
        <v>9.556515693061975</v>
      </c>
      <c r="AZ209" s="168">
        <f t="shared" si="92"/>
        <v>20.848897176604098</v>
      </c>
    </row>
    <row r="210" spans="1:52" ht="18" x14ac:dyDescent="0.25">
      <c r="A210">
        <v>5</v>
      </c>
      <c r="B210" t="s">
        <v>25</v>
      </c>
      <c r="C210" t="s">
        <v>30</v>
      </c>
      <c r="D210" t="s">
        <v>427</v>
      </c>
      <c r="E210">
        <v>3</v>
      </c>
      <c r="F210" s="9" t="s">
        <v>27</v>
      </c>
      <c r="G210">
        <v>197</v>
      </c>
      <c r="H210">
        <v>4.22</v>
      </c>
      <c r="I210" t="s">
        <v>443</v>
      </c>
      <c r="Q210" s="154">
        <v>9</v>
      </c>
      <c r="R210" s="154" t="s">
        <v>330</v>
      </c>
      <c r="S210" s="154">
        <v>7.0352404999999996</v>
      </c>
      <c r="T210" s="154">
        <v>30.721770404398963</v>
      </c>
      <c r="U210" s="154">
        <v>6.4198634999999999</v>
      </c>
      <c r="V210" s="154">
        <v>-25.421389746749714</v>
      </c>
      <c r="W210" s="156">
        <v>4.22</v>
      </c>
      <c r="X210" s="174">
        <v>6.8209870833333328</v>
      </c>
      <c r="Y210" s="174">
        <v>-2.4654071106332642</v>
      </c>
      <c r="Z210" s="174">
        <v>4.4079328333333327</v>
      </c>
      <c r="AA210" s="174">
        <v>-23.42695482410312</v>
      </c>
      <c r="AB210" s="174">
        <v>3.047333333333333</v>
      </c>
      <c r="AC210" s="174">
        <v>3.047333333333333</v>
      </c>
      <c r="AD210" s="158">
        <f t="shared" si="72"/>
        <v>1.2598587117981274E-2</v>
      </c>
      <c r="AE210" s="158">
        <f t="shared" si="73"/>
        <v>0.31808063318569169</v>
      </c>
      <c r="AF210" s="159">
        <f t="shared" si="74"/>
        <v>8.863409033520013E-2</v>
      </c>
      <c r="AG210" s="159">
        <f t="shared" si="75"/>
        <v>2.0420342470457107</v>
      </c>
      <c r="AH210" s="160">
        <f t="shared" si="76"/>
        <v>2.1003338941990553</v>
      </c>
      <c r="AI210" s="160">
        <f t="shared" si="77"/>
        <v>48.389437133784618</v>
      </c>
      <c r="AJ210" s="161">
        <f t="shared" si="78"/>
        <v>23.038925985735958</v>
      </c>
      <c r="AK210" s="162">
        <f t="shared" si="79"/>
        <v>35.167177515032229</v>
      </c>
      <c r="AL210" s="162">
        <f t="shared" si="80"/>
        <v>-28.024434922646595</v>
      </c>
      <c r="AM210" s="163">
        <v>0.36599999999999999</v>
      </c>
      <c r="AN210" s="164">
        <f t="shared" si="81"/>
        <v>35.167177515032229</v>
      </c>
      <c r="AO210" s="165">
        <f t="shared" si="82"/>
        <v>0.37908493221175976</v>
      </c>
      <c r="AP210" s="166">
        <f t="shared" si="83"/>
        <v>1.308493221175977E-2</v>
      </c>
      <c r="AQ210" s="166">
        <f t="shared" si="84"/>
        <v>21.003338941990553</v>
      </c>
      <c r="AR210" s="166">
        <f t="shared" si="85"/>
        <v>2.7482726627656056</v>
      </c>
      <c r="AS210" s="166">
        <f t="shared" si="86"/>
        <v>130.84932211759769</v>
      </c>
      <c r="AT210" s="163">
        <v>1.08</v>
      </c>
      <c r="AU210" s="164">
        <f t="shared" si="87"/>
        <v>-28.024434922646595</v>
      </c>
      <c r="AV210" s="164">
        <f t="shared" si="88"/>
        <v>1.080408622882997</v>
      </c>
      <c r="AW210" s="168">
        <f t="shared" si="89"/>
        <v>4.0862288299692295E-4</v>
      </c>
      <c r="AX210" s="168">
        <f t="shared" si="90"/>
        <v>483.89437133784617</v>
      </c>
      <c r="AY210" s="168">
        <f t="shared" si="91"/>
        <v>1.9773031308205429</v>
      </c>
      <c r="AZ210" s="168">
        <f t="shared" si="92"/>
        <v>4.0862288299692295</v>
      </c>
    </row>
    <row r="211" spans="1:52" ht="18" x14ac:dyDescent="0.25">
      <c r="A211">
        <v>5</v>
      </c>
      <c r="B211" t="s">
        <v>32</v>
      </c>
      <c r="C211" t="s">
        <v>26</v>
      </c>
      <c r="D211" t="s">
        <v>428</v>
      </c>
      <c r="E211">
        <v>3</v>
      </c>
      <c r="F211" s="9" t="s">
        <v>29</v>
      </c>
      <c r="G211">
        <v>200</v>
      </c>
      <c r="H211">
        <v>4.335</v>
      </c>
      <c r="Q211" s="169">
        <v>10</v>
      </c>
      <c r="R211" s="169" t="s">
        <v>331</v>
      </c>
      <c r="S211" s="169">
        <v>6.4411164999999997</v>
      </c>
      <c r="T211" s="169">
        <v>8.0398707013859809</v>
      </c>
      <c r="U211" s="169">
        <v>6.2531470000000002</v>
      </c>
      <c r="V211" s="169">
        <v>-24.648581415085403</v>
      </c>
      <c r="W211" s="156">
        <v>4.335</v>
      </c>
      <c r="X211" s="174">
        <v>6.8209870833333328</v>
      </c>
      <c r="Y211" s="174">
        <v>-2.4654071106332642</v>
      </c>
      <c r="Z211" s="174">
        <v>4.4079328333333327</v>
      </c>
      <c r="AA211" s="174">
        <v>-23.42695482410312</v>
      </c>
      <c r="AB211" s="174">
        <v>3.047333333333333</v>
      </c>
      <c r="AC211" s="174">
        <v>3.047333333333333</v>
      </c>
      <c r="AD211" s="158">
        <f t="shared" si="72"/>
        <v>1.2598587117981274E-2</v>
      </c>
      <c r="AE211" s="158">
        <f t="shared" si="73"/>
        <v>0.31808063318569169</v>
      </c>
      <c r="AF211" s="159">
        <f t="shared" si="74"/>
        <v>8.1148967362316624E-2</v>
      </c>
      <c r="AG211" s="159">
        <f t="shared" si="75"/>
        <v>1.9890049571632085</v>
      </c>
      <c r="AH211" s="160">
        <f t="shared" si="76"/>
        <v>1.8719484974006142</v>
      </c>
      <c r="AI211" s="160">
        <f t="shared" si="77"/>
        <v>45.882467293268938</v>
      </c>
      <c r="AJ211" s="161">
        <f t="shared" si="78"/>
        <v>24.510539342819147</v>
      </c>
      <c r="AK211" s="162">
        <f t="shared" si="79"/>
        <v>12.485277812019245</v>
      </c>
      <c r="AL211" s="162">
        <f t="shared" si="80"/>
        <v>-27.251626590982283</v>
      </c>
      <c r="AM211" s="163">
        <v>0.36599999999999999</v>
      </c>
      <c r="AN211" s="164">
        <f t="shared" si="81"/>
        <v>12.485277812019245</v>
      </c>
      <c r="AO211" s="165">
        <f t="shared" si="82"/>
        <v>0.37080947387017715</v>
      </c>
      <c r="AP211" s="166">
        <f t="shared" si="83"/>
        <v>4.8094738701771611E-3</v>
      </c>
      <c r="AQ211" s="166">
        <f t="shared" si="84"/>
        <v>18.719484974006143</v>
      </c>
      <c r="AR211" s="166">
        <f t="shared" si="85"/>
        <v>0.90030873845656534</v>
      </c>
      <c r="AS211" s="166">
        <f t="shared" si="86"/>
        <v>48.094738701771611</v>
      </c>
      <c r="AT211" s="163">
        <v>1.08</v>
      </c>
      <c r="AU211" s="164">
        <f t="shared" si="87"/>
        <v>-27.251626590982283</v>
      </c>
      <c r="AV211" s="164">
        <f t="shared" si="88"/>
        <v>1.081258357034268</v>
      </c>
      <c r="AW211" s="168">
        <f t="shared" si="89"/>
        <v>1.2583570342679096E-3</v>
      </c>
      <c r="AX211" s="168">
        <f t="shared" si="90"/>
        <v>458.82467293268934</v>
      </c>
      <c r="AY211" s="168">
        <f t="shared" si="91"/>
        <v>5.7736525468052262</v>
      </c>
      <c r="AZ211" s="168">
        <f t="shared" si="92"/>
        <v>12.583570342679096</v>
      </c>
    </row>
    <row r="212" spans="1:52" ht="18" x14ac:dyDescent="0.25">
      <c r="A212">
        <v>5</v>
      </c>
      <c r="B212" t="s">
        <v>32</v>
      </c>
      <c r="C212" t="s">
        <v>28</v>
      </c>
      <c r="D212" t="s">
        <v>427</v>
      </c>
      <c r="E212">
        <v>3</v>
      </c>
      <c r="F212" s="9" t="s">
        <v>31</v>
      </c>
      <c r="G212">
        <v>201</v>
      </c>
      <c r="H212">
        <v>4.2569999999999997</v>
      </c>
      <c r="Q212" s="154">
        <v>11</v>
      </c>
      <c r="R212" s="154" t="s">
        <v>332</v>
      </c>
      <c r="S212" s="154">
        <v>4.8609299999999998</v>
      </c>
      <c r="T212" s="154">
        <v>149.6411181816774</v>
      </c>
      <c r="U212" s="154">
        <v>6.2421980000000001</v>
      </c>
      <c r="V212" s="154">
        <v>-24.371402859087418</v>
      </c>
      <c r="W212" s="156">
        <v>4.2569999999999997</v>
      </c>
      <c r="X212" s="174">
        <v>6.8209870833333328</v>
      </c>
      <c r="Y212" s="174">
        <v>-2.4654071106332642</v>
      </c>
      <c r="Z212" s="174">
        <v>4.4079328333333327</v>
      </c>
      <c r="AA212" s="174">
        <v>-23.42695482410312</v>
      </c>
      <c r="AB212" s="174">
        <v>3.047333333333333</v>
      </c>
      <c r="AC212" s="174">
        <v>3.047333333333333</v>
      </c>
      <c r="AD212" s="158">
        <f t="shared" si="72"/>
        <v>1.2598587117981274E-2</v>
      </c>
      <c r="AE212" s="158">
        <f t="shared" si="73"/>
        <v>0.31808063318569169</v>
      </c>
      <c r="AF212" s="159">
        <f t="shared" si="74"/>
        <v>6.1240850079408708E-2</v>
      </c>
      <c r="AG212" s="159">
        <f t="shared" si="75"/>
        <v>1.9855222923104583</v>
      </c>
      <c r="AH212" s="160">
        <f t="shared" si="76"/>
        <v>1.4385917331315179</v>
      </c>
      <c r="AI212" s="160">
        <f t="shared" si="77"/>
        <v>46.641350535834121</v>
      </c>
      <c r="AJ212" s="161">
        <f t="shared" si="78"/>
        <v>32.421533824822909</v>
      </c>
      <c r="AK212" s="162">
        <f t="shared" si="79"/>
        <v>154.08652529231065</v>
      </c>
      <c r="AL212" s="162">
        <f t="shared" si="80"/>
        <v>-26.974448034984299</v>
      </c>
      <c r="AM212" s="163">
        <v>0.36599999999999999</v>
      </c>
      <c r="AN212" s="164">
        <f t="shared" si="81"/>
        <v>154.08652529231065</v>
      </c>
      <c r="AO212" s="165">
        <f t="shared" si="82"/>
        <v>0.42244999551429024</v>
      </c>
      <c r="AP212" s="166">
        <f t="shared" si="83"/>
        <v>5.6449995514290252E-2</v>
      </c>
      <c r="AQ212" s="166">
        <f t="shared" si="84"/>
        <v>14.385917331315179</v>
      </c>
      <c r="AR212" s="166">
        <f t="shared" si="85"/>
        <v>8.1208496882169214</v>
      </c>
      <c r="AS212" s="166">
        <f t="shared" si="86"/>
        <v>564.49995514290254</v>
      </c>
      <c r="AT212" s="163">
        <v>1.08</v>
      </c>
      <c r="AU212" s="164">
        <f t="shared" si="87"/>
        <v>-26.974448034984299</v>
      </c>
      <c r="AV212" s="164">
        <f t="shared" si="88"/>
        <v>1.0815631225582814</v>
      </c>
      <c r="AW212" s="168">
        <f t="shared" si="89"/>
        <v>1.5631225582812824E-3</v>
      </c>
      <c r="AX212" s="168">
        <f t="shared" si="90"/>
        <v>466.41350535834118</v>
      </c>
      <c r="AY212" s="168">
        <f t="shared" si="91"/>
        <v>7.2906147171267097</v>
      </c>
      <c r="AZ212" s="168">
        <f t="shared" si="92"/>
        <v>15.631225582812824</v>
      </c>
    </row>
    <row r="213" spans="1:52" ht="18" x14ac:dyDescent="0.25">
      <c r="A213">
        <v>5</v>
      </c>
      <c r="B213" t="s">
        <v>32</v>
      </c>
      <c r="C213" t="s">
        <v>28</v>
      </c>
      <c r="D213" t="s">
        <v>428</v>
      </c>
      <c r="E213">
        <v>3</v>
      </c>
      <c r="F213" s="9" t="s">
        <v>33</v>
      </c>
      <c r="G213">
        <v>202</v>
      </c>
      <c r="H213">
        <v>4.2279999999999998</v>
      </c>
      <c r="Q213" s="169">
        <v>12</v>
      </c>
      <c r="R213" s="169" t="s">
        <v>333</v>
      </c>
      <c r="S213" s="169">
        <v>3.5244917500000001</v>
      </c>
      <c r="T213" s="169">
        <v>-5.6476225581788526</v>
      </c>
      <c r="U213" s="169">
        <v>5.9896254999999998</v>
      </c>
      <c r="V213" s="169">
        <v>-24.785651851729277</v>
      </c>
      <c r="W213" s="156">
        <v>4.2279999999999998</v>
      </c>
      <c r="X213" s="174">
        <v>6.8209870833333328</v>
      </c>
      <c r="Y213" s="174">
        <v>-2.4654071106332642</v>
      </c>
      <c r="Z213" s="174">
        <v>4.4079328333333327</v>
      </c>
      <c r="AA213" s="174">
        <v>-23.42695482410312</v>
      </c>
      <c r="AB213" s="174">
        <v>3.047333333333333</v>
      </c>
      <c r="AC213" s="174">
        <v>3.047333333333333</v>
      </c>
      <c r="AD213" s="158">
        <f t="shared" si="72"/>
        <v>1.2598587117981274E-2</v>
      </c>
      <c r="AE213" s="158">
        <f t="shared" si="73"/>
        <v>0.31808063318569169</v>
      </c>
      <c r="AF213" s="159">
        <f t="shared" si="74"/>
        <v>4.4403616358981275E-2</v>
      </c>
      <c r="AG213" s="159">
        <f t="shared" si="75"/>
        <v>1.905183871585165</v>
      </c>
      <c r="AH213" s="160">
        <f t="shared" si="76"/>
        <v>1.0502274446305884</v>
      </c>
      <c r="AI213" s="160">
        <f t="shared" si="77"/>
        <v>45.061113329828885</v>
      </c>
      <c r="AJ213" s="161">
        <f t="shared" si="78"/>
        <v>42.906051979701289</v>
      </c>
      <c r="AK213" s="162">
        <f t="shared" si="79"/>
        <v>-1.2022154475455888</v>
      </c>
      <c r="AL213" s="162">
        <f t="shared" si="80"/>
        <v>-27.388697027626158</v>
      </c>
      <c r="AM213" s="163">
        <v>0.36599999999999999</v>
      </c>
      <c r="AN213" s="164">
        <f t="shared" si="81"/>
        <v>-1.2022154475455888</v>
      </c>
      <c r="AO213" s="165">
        <f t="shared" si="82"/>
        <v>0.36581494652015772</v>
      </c>
      <c r="AP213" s="166">
        <f t="shared" si="83"/>
        <v>-1.8505347984226761E-4</v>
      </c>
      <c r="AQ213" s="166">
        <f t="shared" si="84"/>
        <v>10.502274446305883</v>
      </c>
      <c r="AR213" s="166">
        <f t="shared" si="85"/>
        <v>-1.9434824325474279E-2</v>
      </c>
      <c r="AS213" s="166">
        <f t="shared" si="86"/>
        <v>-1.8505347984226763</v>
      </c>
      <c r="AT213" s="163">
        <v>1.08</v>
      </c>
      <c r="AU213" s="164">
        <f t="shared" si="87"/>
        <v>-27.388697027626158</v>
      </c>
      <c r="AV213" s="164">
        <f t="shared" si="88"/>
        <v>1.0811076435865632</v>
      </c>
      <c r="AW213" s="168">
        <f t="shared" si="89"/>
        <v>1.1076435865631229E-3</v>
      </c>
      <c r="AX213" s="168">
        <f t="shared" si="90"/>
        <v>450.61113329828885</v>
      </c>
      <c r="AY213" s="168">
        <f t="shared" si="91"/>
        <v>4.9911653183179014</v>
      </c>
      <c r="AZ213" s="168">
        <f t="shared" si="92"/>
        <v>11.076435865631229</v>
      </c>
    </row>
    <row r="214" spans="1:52" ht="18" x14ac:dyDescent="0.25">
      <c r="A214">
        <v>5</v>
      </c>
      <c r="B214" t="s">
        <v>32</v>
      </c>
      <c r="C214" t="s">
        <v>30</v>
      </c>
      <c r="D214" t="s">
        <v>427</v>
      </c>
      <c r="E214">
        <v>3</v>
      </c>
      <c r="F214" s="9" t="s">
        <v>34</v>
      </c>
      <c r="G214">
        <v>203</v>
      </c>
      <c r="H214">
        <v>4.5129999999999999</v>
      </c>
      <c r="Q214" s="154">
        <v>13</v>
      </c>
      <c r="R214" s="154" t="s">
        <v>334</v>
      </c>
      <c r="S214" s="154">
        <v>5.2998810000000001</v>
      </c>
      <c r="T214" s="154">
        <v>-7.8034931785152031</v>
      </c>
      <c r="U214" s="154">
        <v>6.0443030000000002</v>
      </c>
      <c r="V214" s="154">
        <v>-24.716154577220777</v>
      </c>
      <c r="W214" s="156">
        <v>4.5129999999999999</v>
      </c>
      <c r="X214" s="174">
        <v>6.8209870833333328</v>
      </c>
      <c r="Y214" s="174">
        <v>-2.4654071106332642</v>
      </c>
      <c r="Z214" s="174">
        <v>4.4079328333333327</v>
      </c>
      <c r="AA214" s="174">
        <v>-23.42695482410312</v>
      </c>
      <c r="AB214" s="174">
        <v>3.047333333333333</v>
      </c>
      <c r="AC214" s="174">
        <v>3.047333333333333</v>
      </c>
      <c r="AD214" s="158">
        <f t="shared" si="72"/>
        <v>1.2598587117981274E-2</v>
      </c>
      <c r="AE214" s="158">
        <f t="shared" si="73"/>
        <v>0.31808063318569169</v>
      </c>
      <c r="AF214" s="159">
        <f t="shared" si="74"/>
        <v>6.6771012493433715E-2</v>
      </c>
      <c r="AG214" s="159">
        <f t="shared" si="75"/>
        <v>1.9225757254061759</v>
      </c>
      <c r="AH214" s="160">
        <f t="shared" si="76"/>
        <v>1.4795260911463264</v>
      </c>
      <c r="AI214" s="160">
        <f t="shared" si="77"/>
        <v>42.600835927457922</v>
      </c>
      <c r="AJ214" s="161">
        <f t="shared" si="78"/>
        <v>28.793568550353235</v>
      </c>
      <c r="AK214" s="162">
        <f t="shared" si="79"/>
        <v>-3.3580860678819393</v>
      </c>
      <c r="AL214" s="162">
        <f t="shared" si="80"/>
        <v>-27.319199753117658</v>
      </c>
      <c r="AM214" s="163">
        <v>0.36599999999999999</v>
      </c>
      <c r="AN214" s="164">
        <f t="shared" si="81"/>
        <v>-3.3580860678819393</v>
      </c>
      <c r="AO214" s="165">
        <f t="shared" si="82"/>
        <v>0.36502822981552346</v>
      </c>
      <c r="AP214" s="166">
        <f t="shared" si="83"/>
        <v>-9.7177018447652808E-4</v>
      </c>
      <c r="AQ214" s="166">
        <f t="shared" si="84"/>
        <v>14.795260911463261</v>
      </c>
      <c r="AR214" s="166">
        <f t="shared" si="85"/>
        <v>-0.14377593425311019</v>
      </c>
      <c r="AS214" s="166">
        <f t="shared" si="86"/>
        <v>-9.7177018447652799</v>
      </c>
      <c r="AT214" s="163">
        <v>1.08</v>
      </c>
      <c r="AU214" s="164">
        <f t="shared" si="87"/>
        <v>-27.319199753117658</v>
      </c>
      <c r="AV214" s="164">
        <f t="shared" si="88"/>
        <v>1.081184058180191</v>
      </c>
      <c r="AW214" s="168">
        <f t="shared" si="89"/>
        <v>1.1840581801909611E-3</v>
      </c>
      <c r="AX214" s="168">
        <f t="shared" si="90"/>
        <v>426.00835927457922</v>
      </c>
      <c r="AY214" s="168">
        <f t="shared" si="91"/>
        <v>5.0441868262879535</v>
      </c>
      <c r="AZ214" s="168">
        <f t="shared" si="92"/>
        <v>11.840581801909611</v>
      </c>
    </row>
    <row r="215" spans="1:52" ht="18" x14ac:dyDescent="0.25">
      <c r="A215">
        <v>5</v>
      </c>
      <c r="B215" t="s">
        <v>32</v>
      </c>
      <c r="C215" t="s">
        <v>30</v>
      </c>
      <c r="D215" t="s">
        <v>428</v>
      </c>
      <c r="E215">
        <v>3</v>
      </c>
      <c r="F215" s="9" t="s">
        <v>35</v>
      </c>
      <c r="G215">
        <v>204</v>
      </c>
      <c r="H215">
        <v>4.33</v>
      </c>
      <c r="Q215" s="169">
        <v>14</v>
      </c>
      <c r="R215" s="169" t="s">
        <v>335</v>
      </c>
      <c r="S215" s="169">
        <v>3.7222042499999999</v>
      </c>
      <c r="T215" s="169">
        <v>-7.2017902043963575</v>
      </c>
      <c r="U215" s="169">
        <v>5.9053405000000003</v>
      </c>
      <c r="V215" s="169">
        <v>-24.347403980748808</v>
      </c>
      <c r="W215" s="156">
        <v>4.33</v>
      </c>
      <c r="X215" s="174">
        <v>6.8209870833333328</v>
      </c>
      <c r="Y215" s="174">
        <v>-2.4654071106332642</v>
      </c>
      <c r="Z215" s="174">
        <v>4.4079328333333327</v>
      </c>
      <c r="AA215" s="174">
        <v>-23.42695482410312</v>
      </c>
      <c r="AB215" s="174">
        <v>3.047333333333333</v>
      </c>
      <c r="AC215" s="174">
        <v>3.047333333333333</v>
      </c>
      <c r="AD215" s="158">
        <f t="shared" si="72"/>
        <v>1.2598587117981274E-2</v>
      </c>
      <c r="AE215" s="158">
        <f t="shared" si="73"/>
        <v>0.31808063318569169</v>
      </c>
      <c r="AF215" s="159">
        <f t="shared" si="74"/>
        <v>4.6894514514545148E-2</v>
      </c>
      <c r="AG215" s="159">
        <f t="shared" si="75"/>
        <v>1.8783744454171092</v>
      </c>
      <c r="AH215" s="160">
        <f t="shared" si="76"/>
        <v>1.0830141920218279</v>
      </c>
      <c r="AI215" s="160">
        <f t="shared" si="77"/>
        <v>43.380472180533694</v>
      </c>
      <c r="AJ215" s="161">
        <f t="shared" si="78"/>
        <v>40.055312755919431</v>
      </c>
      <c r="AK215" s="162">
        <f t="shared" si="79"/>
        <v>-2.7563830937630938</v>
      </c>
      <c r="AL215" s="162">
        <f t="shared" si="80"/>
        <v>-26.950449156645689</v>
      </c>
      <c r="AM215" s="163">
        <v>0.36599999999999999</v>
      </c>
      <c r="AN215" s="164">
        <f t="shared" si="81"/>
        <v>-2.7563830937630938</v>
      </c>
      <c r="AO215" s="165">
        <f t="shared" si="82"/>
        <v>0.36524780350934472</v>
      </c>
      <c r="AP215" s="166">
        <f t="shared" si="83"/>
        <v>-7.5219649065527694E-4</v>
      </c>
      <c r="AQ215" s="166">
        <f t="shared" si="84"/>
        <v>10.83014192021828</v>
      </c>
      <c r="AR215" s="166">
        <f t="shared" si="85"/>
        <v>-8.1463947456867913E-2</v>
      </c>
      <c r="AS215" s="166">
        <f t="shared" si="86"/>
        <v>-7.5219649065527694</v>
      </c>
      <c r="AT215" s="163">
        <v>1.08</v>
      </c>
      <c r="AU215" s="164">
        <f t="shared" si="87"/>
        <v>-26.950449156645689</v>
      </c>
      <c r="AV215" s="164">
        <f t="shared" si="88"/>
        <v>1.0815895099035102</v>
      </c>
      <c r="AW215" s="168">
        <f t="shared" si="89"/>
        <v>1.5895099035101445E-3</v>
      </c>
      <c r="AX215" s="168">
        <f t="shared" si="90"/>
        <v>433.8047218053369</v>
      </c>
      <c r="AY215" s="168">
        <f t="shared" si="91"/>
        <v>6.895369014990461</v>
      </c>
      <c r="AZ215" s="168">
        <f t="shared" si="92"/>
        <v>15.895099035101445</v>
      </c>
    </row>
    <row r="216" spans="1:52" ht="18" x14ac:dyDescent="0.25">
      <c r="A216">
        <v>5</v>
      </c>
      <c r="B216" t="s">
        <v>36</v>
      </c>
      <c r="C216" t="s">
        <v>26</v>
      </c>
      <c r="D216" t="s">
        <v>427</v>
      </c>
      <c r="E216">
        <v>3</v>
      </c>
      <c r="F216" s="9" t="s">
        <v>37</v>
      </c>
      <c r="G216">
        <v>205</v>
      </c>
      <c r="H216">
        <v>4.2930000000000001</v>
      </c>
      <c r="Q216" s="154">
        <v>15</v>
      </c>
      <c r="R216" s="154" t="s">
        <v>336</v>
      </c>
      <c r="S216" s="154">
        <v>5.2098310000000003</v>
      </c>
      <c r="T216" s="154">
        <v>295.7765541708855</v>
      </c>
      <c r="U216" s="154">
        <v>5.9247725000000004</v>
      </c>
      <c r="V216" s="154">
        <v>-21.911585250338891</v>
      </c>
      <c r="W216" s="156">
        <v>4.2930000000000001</v>
      </c>
      <c r="X216" s="174">
        <v>6.8209870833333328</v>
      </c>
      <c r="Y216" s="174">
        <v>-2.4654071106332642</v>
      </c>
      <c r="Z216" s="174">
        <v>4.4079328333333327</v>
      </c>
      <c r="AA216" s="174">
        <v>-23.42695482410312</v>
      </c>
      <c r="AB216" s="174">
        <v>3.047333333333333</v>
      </c>
      <c r="AC216" s="174">
        <v>3.047333333333333</v>
      </c>
      <c r="AD216" s="158">
        <f t="shared" si="72"/>
        <v>1.2598587117981274E-2</v>
      </c>
      <c r="AE216" s="158">
        <f t="shared" si="73"/>
        <v>0.31808063318569169</v>
      </c>
      <c r="AF216" s="159">
        <f t="shared" si="74"/>
        <v>6.5636509723459496E-2</v>
      </c>
      <c r="AG216" s="159">
        <f t="shared" si="75"/>
        <v>1.8845553882811736</v>
      </c>
      <c r="AH216" s="160">
        <f t="shared" si="76"/>
        <v>1.5289193972387489</v>
      </c>
      <c r="AI216" s="160">
        <f t="shared" si="77"/>
        <v>43.898331895671411</v>
      </c>
      <c r="AJ216" s="161">
        <f t="shared" si="78"/>
        <v>28.711998797943465</v>
      </c>
      <c r="AK216" s="162">
        <f t="shared" si="79"/>
        <v>300.22196128151876</v>
      </c>
      <c r="AL216" s="162">
        <f t="shared" si="80"/>
        <v>-24.514630426235772</v>
      </c>
      <c r="AM216" s="163">
        <v>0.36599999999999999</v>
      </c>
      <c r="AN216" s="164">
        <f t="shared" si="81"/>
        <v>300.22196128151876</v>
      </c>
      <c r="AO216" s="165">
        <f t="shared" si="82"/>
        <v>0.47568798708645471</v>
      </c>
      <c r="AP216" s="166">
        <f t="shared" si="83"/>
        <v>0.10968798708645472</v>
      </c>
      <c r="AQ216" s="166">
        <f t="shared" si="84"/>
        <v>15.289193972387489</v>
      </c>
      <c r="AR216" s="166">
        <f t="shared" si="85"/>
        <v>16.770409110055404</v>
      </c>
      <c r="AS216" s="166">
        <f t="shared" si="86"/>
        <v>1096.879870864547</v>
      </c>
      <c r="AT216" s="163">
        <v>1.08</v>
      </c>
      <c r="AU216" s="164">
        <f t="shared" si="87"/>
        <v>-24.514630426235772</v>
      </c>
      <c r="AV216" s="164">
        <f t="shared" si="88"/>
        <v>1.0842676780867777</v>
      </c>
      <c r="AW216" s="168">
        <f t="shared" si="89"/>
        <v>4.2676780867776376E-3</v>
      </c>
      <c r="AX216" s="168">
        <f t="shared" si="90"/>
        <v>438.98331895671413</v>
      </c>
      <c r="AY216" s="168">
        <f t="shared" si="91"/>
        <v>18.734394907724873</v>
      </c>
      <c r="AZ216" s="168">
        <f t="shared" si="92"/>
        <v>42.676780867776372</v>
      </c>
    </row>
    <row r="217" spans="1:52" ht="18" x14ac:dyDescent="0.25">
      <c r="A217">
        <v>5</v>
      </c>
      <c r="B217" t="s">
        <v>36</v>
      </c>
      <c r="C217" t="s">
        <v>26</v>
      </c>
      <c r="D217" t="s">
        <v>428</v>
      </c>
      <c r="E217">
        <v>3</v>
      </c>
      <c r="F217" s="9" t="s">
        <v>38</v>
      </c>
      <c r="G217">
        <v>206</v>
      </c>
      <c r="H217">
        <v>4.92</v>
      </c>
      <c r="Q217" s="169">
        <v>16</v>
      </c>
      <c r="R217" s="169" t="s">
        <v>337</v>
      </c>
      <c r="S217" s="169">
        <v>4.4857585000000002</v>
      </c>
      <c r="T217" s="169">
        <v>1568.8821882281275</v>
      </c>
      <c r="U217" s="169">
        <v>6.7075725000000004</v>
      </c>
      <c r="V217" s="169">
        <v>-3.594944069783562</v>
      </c>
      <c r="W217" s="156">
        <v>4.92</v>
      </c>
      <c r="X217" s="174">
        <v>6.8209870833333328</v>
      </c>
      <c r="Y217" s="174">
        <v>-2.4654071106332642</v>
      </c>
      <c r="Z217" s="174">
        <v>4.4079328333333327</v>
      </c>
      <c r="AA217" s="174">
        <v>-23.42695482410312</v>
      </c>
      <c r="AB217" s="174">
        <v>3.047333333333333</v>
      </c>
      <c r="AC217" s="174">
        <v>3.047333333333333</v>
      </c>
      <c r="AD217" s="158">
        <f t="shared" si="72"/>
        <v>1.2598587117981274E-2</v>
      </c>
      <c r="AE217" s="158">
        <f t="shared" si="73"/>
        <v>0.31808063318569169</v>
      </c>
      <c r="AF217" s="159">
        <f t="shared" si="74"/>
        <v>5.6514219252475004E-2</v>
      </c>
      <c r="AG217" s="159">
        <f t="shared" si="75"/>
        <v>2.1335489079389331</v>
      </c>
      <c r="AH217" s="160">
        <f t="shared" si="76"/>
        <v>1.1486629929364838</v>
      </c>
      <c r="AI217" s="160">
        <f t="shared" si="77"/>
        <v>43.364815202010831</v>
      </c>
      <c r="AJ217" s="161">
        <f t="shared" si="78"/>
        <v>37.752426489471425</v>
      </c>
      <c r="AK217" s="162">
        <f t="shared" si="79"/>
        <v>1573.3275953387608</v>
      </c>
      <c r="AL217" s="162">
        <f t="shared" si="80"/>
        <v>-6.1979892456804428</v>
      </c>
      <c r="AM217" s="163">
        <v>0.36599999999999999</v>
      </c>
      <c r="AN217" s="164">
        <f t="shared" si="81"/>
        <v>1573.3275953387608</v>
      </c>
      <c r="AO217" s="165">
        <f t="shared" si="82"/>
        <v>0.93709076500094446</v>
      </c>
      <c r="AP217" s="166">
        <f t="shared" si="83"/>
        <v>0.57109076500094447</v>
      </c>
      <c r="AQ217" s="166">
        <f t="shared" si="84"/>
        <v>11.486629929364838</v>
      </c>
      <c r="AR217" s="166">
        <f t="shared" si="85"/>
        <v>65.599082736437111</v>
      </c>
      <c r="AS217" s="166">
        <f t="shared" si="86"/>
        <v>5710.9076500094452</v>
      </c>
      <c r="AT217" s="163">
        <v>1.08</v>
      </c>
      <c r="AU217" s="164">
        <f t="shared" si="87"/>
        <v>-6.1979892456804428</v>
      </c>
      <c r="AV217" s="164">
        <f t="shared" si="88"/>
        <v>1.1044020714832556</v>
      </c>
      <c r="AW217" s="168">
        <f t="shared" si="89"/>
        <v>2.4402071483255572E-2</v>
      </c>
      <c r="AX217" s="168">
        <f t="shared" si="90"/>
        <v>433.64815202010828</v>
      </c>
      <c r="AY217" s="168">
        <f t="shared" si="91"/>
        <v>105.81913204176362</v>
      </c>
      <c r="AZ217" s="168">
        <f t="shared" si="92"/>
        <v>244.02071483255574</v>
      </c>
    </row>
    <row r="218" spans="1:52" ht="18" x14ac:dyDescent="0.25">
      <c r="A218">
        <v>5</v>
      </c>
      <c r="B218" t="s">
        <v>36</v>
      </c>
      <c r="C218" t="s">
        <v>28</v>
      </c>
      <c r="D218" t="s">
        <v>427</v>
      </c>
      <c r="E218">
        <v>3</v>
      </c>
      <c r="F218" s="9" t="s">
        <v>39</v>
      </c>
      <c r="G218">
        <v>207</v>
      </c>
      <c r="H218">
        <v>4.3029999999999999</v>
      </c>
      <c r="Q218" s="154">
        <v>17</v>
      </c>
      <c r="R218" s="154" t="s">
        <v>338</v>
      </c>
      <c r="S218" s="154">
        <v>4.0178802500000002</v>
      </c>
      <c r="T218" s="154">
        <v>724.18871376945833</v>
      </c>
      <c r="U218" s="154">
        <v>5.6259984999999997</v>
      </c>
      <c r="V218" s="154">
        <v>-16.533040032349042</v>
      </c>
      <c r="W218" s="156">
        <v>4.3029999999999999</v>
      </c>
      <c r="X218" s="174">
        <v>6.8209870833333328</v>
      </c>
      <c r="Y218" s="174">
        <v>-2.4654071106332642</v>
      </c>
      <c r="Z218" s="174">
        <v>4.4079328333333327</v>
      </c>
      <c r="AA218" s="174">
        <v>-23.42695482410312</v>
      </c>
      <c r="AB218" s="174">
        <v>3.047333333333333</v>
      </c>
      <c r="AC218" s="174">
        <v>3.047333333333333</v>
      </c>
      <c r="AD218" s="158">
        <f t="shared" si="72"/>
        <v>1.2598587117981274E-2</v>
      </c>
      <c r="AE218" s="158">
        <f t="shared" si="73"/>
        <v>0.31808063318569169</v>
      </c>
      <c r="AF218" s="159">
        <f t="shared" si="74"/>
        <v>5.061961435924138E-2</v>
      </c>
      <c r="AG218" s="159">
        <f t="shared" si="75"/>
        <v>1.7895211651817515</v>
      </c>
      <c r="AH218" s="160">
        <f t="shared" si="76"/>
        <v>1.1763796039795813</v>
      </c>
      <c r="AI218" s="160">
        <f t="shared" si="77"/>
        <v>41.587756569410914</v>
      </c>
      <c r="AJ218" s="161">
        <f t="shared" si="78"/>
        <v>35.352327113393883</v>
      </c>
      <c r="AK218" s="162">
        <f t="shared" si="79"/>
        <v>728.63412088009159</v>
      </c>
      <c r="AL218" s="162">
        <f t="shared" si="80"/>
        <v>-19.136085208245923</v>
      </c>
      <c r="AM218" s="163">
        <v>0.36599999999999999</v>
      </c>
      <c r="AN218" s="164">
        <f t="shared" si="81"/>
        <v>728.63412088009159</v>
      </c>
      <c r="AO218" s="165">
        <f t="shared" si="82"/>
        <v>0.6314334846283195</v>
      </c>
      <c r="AP218" s="166">
        <f t="shared" si="83"/>
        <v>0.2654334846283195</v>
      </c>
      <c r="AQ218" s="166">
        <f t="shared" si="84"/>
        <v>11.763796039795812</v>
      </c>
      <c r="AR218" s="166">
        <f t="shared" si="85"/>
        <v>31.225053752998274</v>
      </c>
      <c r="AS218" s="166">
        <f t="shared" si="86"/>
        <v>2654.334846283195</v>
      </c>
      <c r="AT218" s="163">
        <v>1.08</v>
      </c>
      <c r="AU218" s="164">
        <f t="shared" si="87"/>
        <v>-19.136085208245923</v>
      </c>
      <c r="AV218" s="164">
        <f t="shared" si="88"/>
        <v>1.090180842893482</v>
      </c>
      <c r="AW218" s="168">
        <f t="shared" si="89"/>
        <v>1.0180842893481978E-2</v>
      </c>
      <c r="AX218" s="168">
        <f t="shared" si="90"/>
        <v>415.87756569410914</v>
      </c>
      <c r="AY218" s="168">
        <f t="shared" si="91"/>
        <v>42.339841592554556</v>
      </c>
      <c r="AZ218" s="168">
        <f t="shared" si="92"/>
        <v>101.80842893481979</v>
      </c>
    </row>
    <row r="219" spans="1:52" ht="18" x14ac:dyDescent="0.25">
      <c r="A219">
        <v>5</v>
      </c>
      <c r="B219" t="s">
        <v>36</v>
      </c>
      <c r="C219" t="s">
        <v>28</v>
      </c>
      <c r="D219" t="s">
        <v>428</v>
      </c>
      <c r="E219">
        <v>3</v>
      </c>
      <c r="F219" s="9" t="s">
        <v>41</v>
      </c>
      <c r="G219">
        <v>208</v>
      </c>
      <c r="H219">
        <v>4.444</v>
      </c>
      <c r="Q219" s="169">
        <v>18</v>
      </c>
      <c r="R219" s="169" t="s">
        <v>339</v>
      </c>
      <c r="S219" s="169">
        <v>4.2041445</v>
      </c>
      <c r="T219" s="169">
        <v>341.29667801307278</v>
      </c>
      <c r="U219" s="169">
        <v>5.8783965</v>
      </c>
      <c r="V219" s="169">
        <v>-20.085828421629031</v>
      </c>
      <c r="W219" s="156">
        <v>4.444</v>
      </c>
      <c r="X219" s="174">
        <v>6.8209870833333328</v>
      </c>
      <c r="Y219" s="174">
        <v>-2.4654071106332642</v>
      </c>
      <c r="Z219" s="174">
        <v>4.4079328333333327</v>
      </c>
      <c r="AA219" s="174">
        <v>-23.42695482410312</v>
      </c>
      <c r="AB219" s="174">
        <v>3.047333333333333</v>
      </c>
      <c r="AC219" s="174">
        <v>3.047333333333333</v>
      </c>
      <c r="AD219" s="158">
        <f t="shared" si="72"/>
        <v>1.2598587117981274E-2</v>
      </c>
      <c r="AE219" s="158">
        <f t="shared" si="73"/>
        <v>0.31808063318569169</v>
      </c>
      <c r="AF219" s="159">
        <f t="shared" si="74"/>
        <v>5.2966280739831825E-2</v>
      </c>
      <c r="AG219" s="159">
        <f t="shared" si="75"/>
        <v>1.8698040808365539</v>
      </c>
      <c r="AH219" s="160">
        <f t="shared" si="76"/>
        <v>1.1918605026964857</v>
      </c>
      <c r="AI219" s="160">
        <f t="shared" si="77"/>
        <v>42.074799298752339</v>
      </c>
      <c r="AJ219" s="161">
        <f t="shared" si="78"/>
        <v>35.301781713180013</v>
      </c>
      <c r="AK219" s="162">
        <f t="shared" si="79"/>
        <v>345.74208512370603</v>
      </c>
      <c r="AL219" s="162">
        <f t="shared" si="80"/>
        <v>-22.688873597525912</v>
      </c>
      <c r="AM219" s="163">
        <v>0.36599999999999999</v>
      </c>
      <c r="AN219" s="164">
        <f t="shared" si="81"/>
        <v>345.74208512370603</v>
      </c>
      <c r="AO219" s="165">
        <f t="shared" si="82"/>
        <v>0.49225960785571837</v>
      </c>
      <c r="AP219" s="166">
        <f t="shared" si="83"/>
        <v>0.12625960785571838</v>
      </c>
      <c r="AQ219" s="166">
        <f t="shared" si="84"/>
        <v>11.918605026964856</v>
      </c>
      <c r="AR219" s="166">
        <f t="shared" si="85"/>
        <v>15.048383968917763</v>
      </c>
      <c r="AS219" s="166">
        <f t="shared" si="86"/>
        <v>1262.5960785571838</v>
      </c>
      <c r="AT219" s="163">
        <v>1.08</v>
      </c>
      <c r="AU219" s="164">
        <f t="shared" si="87"/>
        <v>-22.688873597525912</v>
      </c>
      <c r="AV219" s="164">
        <f t="shared" si="88"/>
        <v>1.0862749917582222</v>
      </c>
      <c r="AW219" s="168">
        <f t="shared" si="89"/>
        <v>6.2749917582221038E-3</v>
      </c>
      <c r="AX219" s="168">
        <f t="shared" si="90"/>
        <v>420.74799298752339</v>
      </c>
      <c r="AY219" s="168">
        <f t="shared" si="91"/>
        <v>26.401901882852009</v>
      </c>
      <c r="AZ219" s="168">
        <f t="shared" si="92"/>
        <v>62.749917582221038</v>
      </c>
    </row>
    <row r="220" spans="1:52" ht="18" x14ac:dyDescent="0.25">
      <c r="A220">
        <v>5</v>
      </c>
      <c r="B220" t="s">
        <v>36</v>
      </c>
      <c r="C220" t="s">
        <v>30</v>
      </c>
      <c r="D220" t="s">
        <v>427</v>
      </c>
      <c r="E220">
        <v>3</v>
      </c>
      <c r="F220" s="9" t="s">
        <v>42</v>
      </c>
      <c r="G220">
        <v>209</v>
      </c>
      <c r="H220">
        <v>4.0579999999999998</v>
      </c>
      <c r="Q220" s="154">
        <v>19</v>
      </c>
      <c r="R220" s="154" t="s">
        <v>340</v>
      </c>
      <c r="S220" s="154">
        <v>3.1937992500000001</v>
      </c>
      <c r="T220" s="154">
        <v>-7.1838840357624916</v>
      </c>
      <c r="U220" s="154">
        <v>5.1805574999999999</v>
      </c>
      <c r="V220" s="154">
        <v>-25.144636254992651</v>
      </c>
      <c r="W220" s="156">
        <v>4.0579999999999998</v>
      </c>
      <c r="X220" s="174">
        <v>6.8209870833333328</v>
      </c>
      <c r="Y220" s="174">
        <v>-2.4654071106332642</v>
      </c>
      <c r="Z220" s="174">
        <v>4.4079328333333327</v>
      </c>
      <c r="AA220" s="174">
        <v>-23.42695482410312</v>
      </c>
      <c r="AB220" s="174">
        <v>3.047333333333333</v>
      </c>
      <c r="AC220" s="174">
        <v>3.047333333333333</v>
      </c>
      <c r="AD220" s="158">
        <f t="shared" si="72"/>
        <v>1.2598587117981274E-2</v>
      </c>
      <c r="AE220" s="158">
        <f t="shared" si="73"/>
        <v>0.31808063318569169</v>
      </c>
      <c r="AF220" s="159">
        <f t="shared" si="74"/>
        <v>4.0237358088468254E-2</v>
      </c>
      <c r="AG220" s="159">
        <f t="shared" si="75"/>
        <v>1.647835009854884</v>
      </c>
      <c r="AH220" s="160">
        <f t="shared" si="76"/>
        <v>0.99155638463450602</v>
      </c>
      <c r="AI220" s="160">
        <f t="shared" si="77"/>
        <v>40.607072692333269</v>
      </c>
      <c r="AJ220" s="161">
        <f t="shared" si="78"/>
        <v>40.952862914902504</v>
      </c>
      <c r="AK220" s="162">
        <f t="shared" si="79"/>
        <v>-2.7384769251292278</v>
      </c>
      <c r="AL220" s="162">
        <f t="shared" si="80"/>
        <v>-27.747681430889532</v>
      </c>
      <c r="AM220" s="163">
        <v>0.36599999999999999</v>
      </c>
      <c r="AN220" s="164">
        <f t="shared" si="81"/>
        <v>-2.7384769251292278</v>
      </c>
      <c r="AO220" s="165">
        <f t="shared" si="82"/>
        <v>0.36525433782085021</v>
      </c>
      <c r="AP220" s="166">
        <f t="shared" si="83"/>
        <v>-7.4566217914978639E-4</v>
      </c>
      <c r="AQ220" s="166">
        <f t="shared" si="84"/>
        <v>9.9155638463450604</v>
      </c>
      <c r="AR220" s="166">
        <f t="shared" si="85"/>
        <v>-7.3936609451644958E-2</v>
      </c>
      <c r="AS220" s="166">
        <f t="shared" si="86"/>
        <v>-7.4566217914978647</v>
      </c>
      <c r="AT220" s="163">
        <v>1.08</v>
      </c>
      <c r="AU220" s="164">
        <f t="shared" si="87"/>
        <v>-27.747681430889532</v>
      </c>
      <c r="AV220" s="164">
        <f t="shared" si="88"/>
        <v>1.0807129262664972</v>
      </c>
      <c r="AW220" s="168">
        <f t="shared" si="89"/>
        <v>7.1292626649710478E-4</v>
      </c>
      <c r="AX220" s="168">
        <f t="shared" si="90"/>
        <v>406.0707269233327</v>
      </c>
      <c r="AY220" s="168">
        <f t="shared" si="91"/>
        <v>2.8949848727921697</v>
      </c>
      <c r="AZ220" s="168">
        <f t="shared" si="92"/>
        <v>7.1292626649710478</v>
      </c>
    </row>
    <row r="221" spans="1:52" ht="18" x14ac:dyDescent="0.25">
      <c r="A221">
        <v>5</v>
      </c>
      <c r="B221" t="s">
        <v>40</v>
      </c>
      <c r="C221" t="s">
        <v>26</v>
      </c>
      <c r="D221" t="s">
        <v>427</v>
      </c>
      <c r="E221">
        <v>3</v>
      </c>
      <c r="F221" s="9" t="s">
        <v>43</v>
      </c>
      <c r="G221">
        <v>211</v>
      </c>
      <c r="H221">
        <v>4.3849999999999998</v>
      </c>
      <c r="Q221" s="169">
        <v>20</v>
      </c>
      <c r="R221" s="169" t="s">
        <v>341</v>
      </c>
      <c r="S221" s="169">
        <v>4.6831185</v>
      </c>
      <c r="T221" s="169">
        <v>542.91082245817358</v>
      </c>
      <c r="U221" s="169">
        <v>5.9243889999999997</v>
      </c>
      <c r="V221" s="169">
        <v>-19.238213929829982</v>
      </c>
      <c r="W221" s="156">
        <v>4.3849999999999998</v>
      </c>
      <c r="X221" s="174">
        <v>6.8209870833333328</v>
      </c>
      <c r="Y221" s="174">
        <v>-2.4654071106332642</v>
      </c>
      <c r="Z221" s="174">
        <v>4.4079328333333327</v>
      </c>
      <c r="AA221" s="174">
        <v>-23.42695482410312</v>
      </c>
      <c r="AB221" s="174">
        <v>3.047333333333333</v>
      </c>
      <c r="AC221" s="174">
        <v>3.047333333333333</v>
      </c>
      <c r="AD221" s="158">
        <f t="shared" si="72"/>
        <v>1.2598587117981274E-2</v>
      </c>
      <c r="AE221" s="158">
        <f t="shared" si="73"/>
        <v>0.31808063318569169</v>
      </c>
      <c r="AF221" s="159">
        <f t="shared" si="74"/>
        <v>5.9000676406079783E-2</v>
      </c>
      <c r="AG221" s="159">
        <f t="shared" si="75"/>
        <v>1.8844334043583466</v>
      </c>
      <c r="AH221" s="160">
        <f t="shared" si="76"/>
        <v>1.3455114345742254</v>
      </c>
      <c r="AI221" s="160">
        <f t="shared" si="77"/>
        <v>42.974536017294113</v>
      </c>
      <c r="AJ221" s="161">
        <f t="shared" si="78"/>
        <v>31.93918305933461</v>
      </c>
      <c r="AK221" s="162">
        <f t="shared" si="79"/>
        <v>547.35622956880684</v>
      </c>
      <c r="AL221" s="162">
        <f t="shared" si="80"/>
        <v>-21.841259105726863</v>
      </c>
      <c r="AM221" s="163">
        <v>0.36599999999999999</v>
      </c>
      <c r="AN221" s="164">
        <f t="shared" si="81"/>
        <v>547.35622956880684</v>
      </c>
      <c r="AO221" s="165">
        <f t="shared" si="82"/>
        <v>0.56559102215983925</v>
      </c>
      <c r="AP221" s="166">
        <f t="shared" si="83"/>
        <v>0.19959102215983926</v>
      </c>
      <c r="AQ221" s="166">
        <f t="shared" si="84"/>
        <v>13.455114345742253</v>
      </c>
      <c r="AR221" s="166">
        <f t="shared" si="85"/>
        <v>26.855200255442128</v>
      </c>
      <c r="AS221" s="166">
        <f t="shared" si="86"/>
        <v>1995.9102215983924</v>
      </c>
      <c r="AT221" s="163">
        <v>1.08</v>
      </c>
      <c r="AU221" s="164">
        <f t="shared" si="87"/>
        <v>-21.841259105726863</v>
      </c>
      <c r="AV221" s="164">
        <f t="shared" si="88"/>
        <v>1.0872068670081976</v>
      </c>
      <c r="AW221" s="168">
        <f t="shared" si="89"/>
        <v>7.2068670081975039E-3</v>
      </c>
      <c r="AX221" s="168">
        <f t="shared" si="90"/>
        <v>429.7453601729411</v>
      </c>
      <c r="AY221" s="168">
        <f t="shared" si="91"/>
        <v>30.971176581563231</v>
      </c>
      <c r="AZ221" s="168">
        <f t="shared" si="92"/>
        <v>72.068670081975043</v>
      </c>
    </row>
    <row r="222" spans="1:52" ht="18" x14ac:dyDescent="0.25">
      <c r="I222" s="25" t="s">
        <v>469</v>
      </c>
      <c r="Q222" s="154">
        <v>21</v>
      </c>
      <c r="R222" s="154" t="s">
        <v>342</v>
      </c>
      <c r="S222" s="154">
        <v>7.8658625000000004</v>
      </c>
      <c r="T222" s="154">
        <v>-3.0381340986171264</v>
      </c>
      <c r="U222" s="154">
        <v>4.9701820000000003</v>
      </c>
      <c r="V222" s="154">
        <v>-23.16855633223329</v>
      </c>
      <c r="W222" s="154">
        <v>3.375</v>
      </c>
      <c r="X222" s="174">
        <v>6.8209870833333328</v>
      </c>
      <c r="Y222" s="174">
        <v>-2.4654071106332642</v>
      </c>
      <c r="Z222" s="174">
        <v>4.4079328333333327</v>
      </c>
      <c r="AA222" s="174">
        <v>-23.42695482410312</v>
      </c>
      <c r="AB222" s="174">
        <v>3.047333333333333</v>
      </c>
      <c r="AC222" s="174">
        <v>3.047333333333333</v>
      </c>
      <c r="AD222" s="158">
        <f t="shared" si="72"/>
        <v>1.2598587117981274E-2</v>
      </c>
      <c r="AE222" s="158">
        <f t="shared" si="73"/>
        <v>0.31808063318569169</v>
      </c>
      <c r="AF222" s="159">
        <f t="shared" si="74"/>
        <v>9.9098753964311975E-2</v>
      </c>
      <c r="AG222" s="159">
        <f t="shared" si="75"/>
        <v>1.5809186376081277</v>
      </c>
      <c r="AH222" s="160">
        <f t="shared" si="76"/>
        <v>2.9362593767203546</v>
      </c>
      <c r="AI222" s="160">
        <f t="shared" si="77"/>
        <v>46.842033706907486</v>
      </c>
      <c r="AJ222" s="161">
        <f t="shared" si="78"/>
        <v>15.952961811986631</v>
      </c>
      <c r="AK222" s="162">
        <f t="shared" si="79"/>
        <v>1.4072730120161374</v>
      </c>
      <c r="AL222" s="162">
        <f t="shared" si="80"/>
        <v>-25.771601508130171</v>
      </c>
      <c r="AM222" s="163">
        <v>0.36599999999999999</v>
      </c>
      <c r="AN222" s="164">
        <f t="shared" si="81"/>
        <v>1.4072730120161374</v>
      </c>
      <c r="AO222" s="165">
        <f t="shared" si="82"/>
        <v>0.36676718006893044</v>
      </c>
      <c r="AP222" s="166">
        <f t="shared" si="83"/>
        <v>7.6718006893045088E-4</v>
      </c>
      <c r="AQ222" s="166">
        <f t="shared" si="84"/>
        <v>29.362593767203546</v>
      </c>
      <c r="AR222" s="166">
        <f t="shared" si="85"/>
        <v>0.22526396710300045</v>
      </c>
      <c r="AS222" s="166">
        <f t="shared" si="86"/>
        <v>7.6718006893045096</v>
      </c>
      <c r="AT222" s="163">
        <v>1.08</v>
      </c>
      <c r="AU222" s="164">
        <f t="shared" si="87"/>
        <v>-25.771601508130171</v>
      </c>
      <c r="AV222" s="164">
        <f t="shared" si="88"/>
        <v>1.0828856639794786</v>
      </c>
      <c r="AW222" s="168">
        <f t="shared" si="89"/>
        <v>2.8856639794785366E-3</v>
      </c>
      <c r="AX222" s="168">
        <f t="shared" si="90"/>
        <v>468.42033706907489</v>
      </c>
      <c r="AY222" s="168">
        <f t="shared" si="91"/>
        <v>13.517036939354242</v>
      </c>
      <c r="AZ222" s="168">
        <f t="shared" si="92"/>
        <v>28.856639794785362</v>
      </c>
    </row>
    <row r="223" spans="1:52" ht="18" x14ac:dyDescent="0.25">
      <c r="A223">
        <v>5</v>
      </c>
      <c r="B223" t="s">
        <v>40</v>
      </c>
      <c r="C223" t="s">
        <v>26</v>
      </c>
      <c r="D223" t="s">
        <v>428</v>
      </c>
      <c r="E223">
        <v>3</v>
      </c>
      <c r="F223" s="9" t="s">
        <v>45</v>
      </c>
      <c r="G223">
        <v>212</v>
      </c>
      <c r="H223">
        <v>4.2350000000000003</v>
      </c>
      <c r="Q223" s="169">
        <v>22</v>
      </c>
      <c r="R223" s="169" t="s">
        <v>343</v>
      </c>
      <c r="S223" s="169">
        <v>4.6623535</v>
      </c>
      <c r="T223" s="169">
        <v>600.78702344020201</v>
      </c>
      <c r="U223" s="169">
        <v>5.7553555000000003</v>
      </c>
      <c r="V223" s="169">
        <v>-16.414059289735526</v>
      </c>
      <c r="W223" s="156">
        <v>4.2350000000000003</v>
      </c>
      <c r="X223" s="174">
        <v>6.8209870833333328</v>
      </c>
      <c r="Y223" s="174">
        <v>-2.4654071106332642</v>
      </c>
      <c r="Z223" s="174">
        <v>4.4079328333333327</v>
      </c>
      <c r="AA223" s="174">
        <v>-23.42695482410312</v>
      </c>
      <c r="AB223" s="174">
        <v>3.047333333333333</v>
      </c>
      <c r="AC223" s="174">
        <v>3.047333333333333</v>
      </c>
      <c r="AD223" s="158">
        <f t="shared" si="72"/>
        <v>1.2598587117981274E-2</v>
      </c>
      <c r="AE223" s="158">
        <f t="shared" si="73"/>
        <v>0.31808063318569169</v>
      </c>
      <c r="AF223" s="159">
        <f t="shared" si="74"/>
        <v>5.8739066744574908E-2</v>
      </c>
      <c r="AG223" s="159">
        <f t="shared" si="75"/>
        <v>1.8306671216487533</v>
      </c>
      <c r="AH223" s="160">
        <f t="shared" si="76"/>
        <v>1.3869909502851216</v>
      </c>
      <c r="AI223" s="160">
        <f t="shared" si="77"/>
        <v>43.227086697727344</v>
      </c>
      <c r="AJ223" s="161">
        <f t="shared" si="78"/>
        <v>31.166091378491849</v>
      </c>
      <c r="AK223" s="162">
        <f t="shared" si="79"/>
        <v>605.23243055083526</v>
      </c>
      <c r="AL223" s="162">
        <f t="shared" si="80"/>
        <v>-19.017104465632407</v>
      </c>
      <c r="AM223" s="163">
        <v>0.36599999999999999</v>
      </c>
      <c r="AN223" s="164">
        <f t="shared" si="81"/>
        <v>605.23243055083526</v>
      </c>
      <c r="AO223" s="165">
        <f t="shared" si="82"/>
        <v>0.5866218828755958</v>
      </c>
      <c r="AP223" s="166">
        <f t="shared" si="83"/>
        <v>0.22062188287559581</v>
      </c>
      <c r="AQ223" s="166">
        <f t="shared" si="84"/>
        <v>13.869909502851216</v>
      </c>
      <c r="AR223" s="166">
        <f t="shared" si="85"/>
        <v>30.600055498331542</v>
      </c>
      <c r="AS223" s="166">
        <f t="shared" si="86"/>
        <v>2206.2188287559588</v>
      </c>
      <c r="AT223" s="163">
        <v>1.08</v>
      </c>
      <c r="AU223" s="164">
        <f t="shared" si="87"/>
        <v>-19.017104465632407</v>
      </c>
      <c r="AV223" s="164">
        <f t="shared" si="88"/>
        <v>1.0903116421566283</v>
      </c>
      <c r="AW223" s="168">
        <f t="shared" si="89"/>
        <v>1.0311642156628276E-2</v>
      </c>
      <c r="AX223" s="168">
        <f t="shared" si="90"/>
        <v>432.27086697727344</v>
      </c>
      <c r="AY223" s="168">
        <f t="shared" si="91"/>
        <v>44.574224950051061</v>
      </c>
      <c r="AZ223" s="168">
        <f t="shared" si="92"/>
        <v>103.11642156628275</v>
      </c>
    </row>
    <row r="224" spans="1:52" ht="18" x14ac:dyDescent="0.25">
      <c r="A224">
        <v>5</v>
      </c>
      <c r="B224" t="s">
        <v>40</v>
      </c>
      <c r="C224" t="s">
        <v>28</v>
      </c>
      <c r="D224" t="s">
        <v>427</v>
      </c>
      <c r="E224">
        <v>3</v>
      </c>
      <c r="F224" s="9" t="s">
        <v>46</v>
      </c>
      <c r="G224">
        <v>213</v>
      </c>
      <c r="H224">
        <v>4.3719999999999999</v>
      </c>
      <c r="Q224" s="154">
        <v>23</v>
      </c>
      <c r="R224" s="154" t="s">
        <v>344</v>
      </c>
      <c r="S224" s="154">
        <v>4.3084214999999997</v>
      </c>
      <c r="T224" s="154">
        <v>675.94923744292521</v>
      </c>
      <c r="U224" s="154">
        <v>5.2850080000000004</v>
      </c>
      <c r="V224" s="154">
        <v>-17.430574823079848</v>
      </c>
      <c r="W224" s="156">
        <v>4.3719999999999999</v>
      </c>
      <c r="X224" s="174">
        <v>6.8209870833333328</v>
      </c>
      <c r="Y224" s="174">
        <v>-2.4654071106332642</v>
      </c>
      <c r="Z224" s="174">
        <v>4.4079328333333327</v>
      </c>
      <c r="AA224" s="174">
        <v>-23.42695482410312</v>
      </c>
      <c r="AB224" s="174">
        <v>3.047333333333333</v>
      </c>
      <c r="AC224" s="174">
        <v>3.047333333333333</v>
      </c>
      <c r="AD224" s="158">
        <f t="shared" ref="AD224:AD287" si="93">((2.82/100)*AB224)/X224</f>
        <v>1.2598587117981274E-2</v>
      </c>
      <c r="AE224" s="158">
        <f t="shared" ref="AE224:AE287" si="94">((46.01/100)*AC224)/Z224</f>
        <v>0.31808063318569169</v>
      </c>
      <c r="AF224" s="159">
        <f t="shared" ref="AF224:AF287" si="95">S224*AD224</f>
        <v>5.4280023608733553E-2</v>
      </c>
      <c r="AG224" s="159">
        <f t="shared" ref="AG224:AG287" si="96">U224*AE224</f>
        <v>1.6810586910314462</v>
      </c>
      <c r="AH224" s="160">
        <f t="shared" ref="AH224:AH287" si="97">100*AF224/W224</f>
        <v>1.2415375939783522</v>
      </c>
      <c r="AI224" s="160">
        <f t="shared" ref="AI224:AI287" si="98">100*AG224/W224</f>
        <v>38.450564753692731</v>
      </c>
      <c r="AJ224" s="161">
        <f t="shared" ref="AJ224:AJ287" si="99">AG224/AF224</f>
        <v>30.970117167763483</v>
      </c>
      <c r="AK224" s="162">
        <f t="shared" ref="AK224:AK287" si="100">T224+(1.98-Y224)</f>
        <v>680.39464455355846</v>
      </c>
      <c r="AL224" s="162">
        <f t="shared" ref="AL224:AL287" si="101">V224+(-26.03-AA224)</f>
        <v>-20.033619998976729</v>
      </c>
      <c r="AM224" s="163">
        <v>0.36599999999999999</v>
      </c>
      <c r="AN224" s="164">
        <f t="shared" si="81"/>
        <v>680.39464455355846</v>
      </c>
      <c r="AO224" s="165">
        <f t="shared" si="82"/>
        <v>0.61392080229445278</v>
      </c>
      <c r="AP224" s="166">
        <f t="shared" si="83"/>
        <v>0.24792080229445279</v>
      </c>
      <c r="AQ224" s="166">
        <f t="shared" si="84"/>
        <v>12.415375939783521</v>
      </c>
      <c r="AR224" s="166">
        <f t="shared" si="85"/>
        <v>30.780299637783763</v>
      </c>
      <c r="AS224" s="166">
        <f t="shared" si="86"/>
        <v>2479.2080229445278</v>
      </c>
      <c r="AT224" s="163">
        <v>1.08</v>
      </c>
      <c r="AU224" s="164">
        <f t="shared" si="87"/>
        <v>-20.033619998976729</v>
      </c>
      <c r="AV224" s="164">
        <f t="shared" si="88"/>
        <v>1.0891941435918386</v>
      </c>
      <c r="AW224" s="168">
        <f t="shared" si="89"/>
        <v>9.1941435918385661E-3</v>
      </c>
      <c r="AX224" s="168">
        <f t="shared" si="90"/>
        <v>384.50564753692731</v>
      </c>
      <c r="AY224" s="168">
        <f t="shared" si="91"/>
        <v>35.352001353273785</v>
      </c>
      <c r="AZ224" s="168">
        <f t="shared" si="92"/>
        <v>91.941435918385665</v>
      </c>
    </row>
    <row r="225" spans="1:52" ht="18" x14ac:dyDescent="0.25">
      <c r="A225">
        <v>5</v>
      </c>
      <c r="B225" t="s">
        <v>40</v>
      </c>
      <c r="C225" t="s">
        <v>28</v>
      </c>
      <c r="D225" t="s">
        <v>428</v>
      </c>
      <c r="E225">
        <v>3</v>
      </c>
      <c r="F225" s="9" t="s">
        <v>47</v>
      </c>
      <c r="G225">
        <v>214</v>
      </c>
      <c r="H225">
        <v>4.3499999999999996</v>
      </c>
      <c r="Q225" s="169">
        <v>24</v>
      </c>
      <c r="R225" s="169" t="s">
        <v>345</v>
      </c>
      <c r="S225" s="169">
        <v>3.31867125</v>
      </c>
      <c r="T225" s="169">
        <v>194.92045789859807</v>
      </c>
      <c r="U225" s="169">
        <v>5.5718129999999997</v>
      </c>
      <c r="V225" s="169">
        <v>-22.970969159667167</v>
      </c>
      <c r="W225" s="156">
        <v>4.3499999999999996</v>
      </c>
      <c r="X225" s="174">
        <v>6.8209870833333328</v>
      </c>
      <c r="Y225" s="174">
        <v>-2.4654071106332642</v>
      </c>
      <c r="Z225" s="174">
        <v>4.4079328333333327</v>
      </c>
      <c r="AA225" s="174">
        <v>-23.42695482410312</v>
      </c>
      <c r="AB225" s="174">
        <v>3.047333333333333</v>
      </c>
      <c r="AC225" s="174">
        <v>3.047333333333333</v>
      </c>
      <c r="AD225" s="158">
        <f t="shared" si="93"/>
        <v>1.2598587117981274E-2</v>
      </c>
      <c r="AE225" s="158">
        <f t="shared" si="94"/>
        <v>0.31808063318569169</v>
      </c>
      <c r="AF225" s="159">
        <f t="shared" si="95"/>
        <v>4.1810568859064812E-2</v>
      </c>
      <c r="AG225" s="159">
        <f t="shared" si="96"/>
        <v>1.7722858070322682</v>
      </c>
      <c r="AH225" s="160">
        <f t="shared" si="97"/>
        <v>0.96116250250723723</v>
      </c>
      <c r="AI225" s="160">
        <f t="shared" si="98"/>
        <v>40.742202460511912</v>
      </c>
      <c r="AJ225" s="161">
        <f t="shared" si="99"/>
        <v>42.388464337959483</v>
      </c>
      <c r="AK225" s="162">
        <f t="shared" si="100"/>
        <v>199.36586500923133</v>
      </c>
      <c r="AL225" s="162">
        <f t="shared" si="101"/>
        <v>-25.574014335564048</v>
      </c>
      <c r="AM225" s="163">
        <v>0.36599999999999999</v>
      </c>
      <c r="AN225" s="164">
        <f t="shared" si="81"/>
        <v>199.36586500923133</v>
      </c>
      <c r="AO225" s="165">
        <f t="shared" si="82"/>
        <v>0.4389516118585855</v>
      </c>
      <c r="AP225" s="166">
        <f t="shared" si="83"/>
        <v>7.2951611858585508E-2</v>
      </c>
      <c r="AQ225" s="166">
        <f t="shared" si="84"/>
        <v>9.6116250250723709</v>
      </c>
      <c r="AR225" s="166">
        <f t="shared" si="85"/>
        <v>7.0118353815934675</v>
      </c>
      <c r="AS225" s="166">
        <f t="shared" si="86"/>
        <v>729.51611858585511</v>
      </c>
      <c r="AT225" s="163">
        <v>1.08</v>
      </c>
      <c r="AU225" s="164">
        <f t="shared" si="87"/>
        <v>-25.574014335564048</v>
      </c>
      <c r="AV225" s="164">
        <f t="shared" si="88"/>
        <v>1.0831029096101206</v>
      </c>
      <c r="AW225" s="168">
        <f t="shared" si="89"/>
        <v>3.1029096101204967E-3</v>
      </c>
      <c r="AX225" s="168">
        <f t="shared" si="90"/>
        <v>407.42202460511913</v>
      </c>
      <c r="AY225" s="168">
        <f t="shared" si="91"/>
        <v>12.641937155219736</v>
      </c>
      <c r="AZ225" s="168">
        <f t="shared" si="92"/>
        <v>31.029096101204967</v>
      </c>
    </row>
    <row r="226" spans="1:52" ht="18" x14ac:dyDescent="0.25">
      <c r="A226">
        <v>5</v>
      </c>
      <c r="B226" t="s">
        <v>40</v>
      </c>
      <c r="C226" t="s">
        <v>30</v>
      </c>
      <c r="D226" t="s">
        <v>427</v>
      </c>
      <c r="E226">
        <v>3</v>
      </c>
      <c r="F226" s="9" t="s">
        <v>49</v>
      </c>
      <c r="G226">
        <v>215</v>
      </c>
      <c r="H226">
        <v>4.157</v>
      </c>
      <c r="Q226" s="154">
        <v>25</v>
      </c>
      <c r="R226" s="154" t="s">
        <v>346</v>
      </c>
      <c r="S226" s="154">
        <v>2.95873725</v>
      </c>
      <c r="T226" s="154">
        <v>-5.6241980537940082</v>
      </c>
      <c r="U226" s="154">
        <v>5.48637</v>
      </c>
      <c r="V226" s="154">
        <v>-24.425707319283248</v>
      </c>
      <c r="W226" s="156">
        <v>4.157</v>
      </c>
      <c r="X226" s="174">
        <v>6.8209870833333328</v>
      </c>
      <c r="Y226" s="174">
        <v>-2.4654071106332642</v>
      </c>
      <c r="Z226" s="174">
        <v>4.4079328333333327</v>
      </c>
      <c r="AA226" s="174">
        <v>-23.42695482410312</v>
      </c>
      <c r="AB226" s="174">
        <v>3.047333333333333</v>
      </c>
      <c r="AC226" s="174">
        <v>3.047333333333333</v>
      </c>
      <c r="AD226" s="158">
        <f t="shared" si="93"/>
        <v>1.2598587117981274E-2</v>
      </c>
      <c r="AE226" s="158">
        <f t="shared" si="94"/>
        <v>0.31808063318569169</v>
      </c>
      <c r="AF226" s="159">
        <f t="shared" si="95"/>
        <v>3.7275909003341337E-2</v>
      </c>
      <c r="AG226" s="159">
        <f t="shared" si="96"/>
        <v>1.7451080434909834</v>
      </c>
      <c r="AH226" s="160">
        <f t="shared" si="97"/>
        <v>0.89670216510323153</v>
      </c>
      <c r="AI226" s="160">
        <f t="shared" si="98"/>
        <v>41.979986612725128</v>
      </c>
      <c r="AJ226" s="161">
        <f t="shared" si="99"/>
        <v>46.815975522811677</v>
      </c>
      <c r="AK226" s="162">
        <f t="shared" si="100"/>
        <v>-1.1787909431607444</v>
      </c>
      <c r="AL226" s="162">
        <f t="shared" si="101"/>
        <v>-27.028752495180129</v>
      </c>
      <c r="AM226" s="163">
        <v>0.36599999999999999</v>
      </c>
      <c r="AN226" s="164">
        <f t="shared" si="81"/>
        <v>-1.1787909431607444</v>
      </c>
      <c r="AO226" s="165">
        <f t="shared" si="82"/>
        <v>0.36582349448293044</v>
      </c>
      <c r="AP226" s="166">
        <f t="shared" si="83"/>
        <v>-1.7650551706954731E-4</v>
      </c>
      <c r="AQ226" s="166">
        <f t="shared" si="84"/>
        <v>8.9670216510323151</v>
      </c>
      <c r="AR226" s="166">
        <f t="shared" si="85"/>
        <v>-1.5827287930892844E-2</v>
      </c>
      <c r="AS226" s="166">
        <f t="shared" si="86"/>
        <v>-1.7650551706954731</v>
      </c>
      <c r="AT226" s="163">
        <v>1.08</v>
      </c>
      <c r="AU226" s="164">
        <f t="shared" si="87"/>
        <v>-27.028752495180129</v>
      </c>
      <c r="AV226" s="164">
        <f t="shared" si="88"/>
        <v>1.081503413443311</v>
      </c>
      <c r="AW226" s="168">
        <f t="shared" si="89"/>
        <v>1.5034134433109525E-3</v>
      </c>
      <c r="AX226" s="168">
        <f t="shared" si="90"/>
        <v>419.79986612725128</v>
      </c>
      <c r="AY226" s="168">
        <f t="shared" si="91"/>
        <v>6.3113276223584771</v>
      </c>
      <c r="AZ226" s="168">
        <f t="shared" si="92"/>
        <v>15.034134433109525</v>
      </c>
    </row>
    <row r="227" spans="1:52" ht="18" x14ac:dyDescent="0.25">
      <c r="A227">
        <v>5</v>
      </c>
      <c r="B227" t="s">
        <v>40</v>
      </c>
      <c r="C227" t="s">
        <v>30</v>
      </c>
      <c r="D227" t="s">
        <v>428</v>
      </c>
      <c r="E227">
        <v>3</v>
      </c>
      <c r="F227" s="9" t="s">
        <v>50</v>
      </c>
      <c r="G227">
        <v>216</v>
      </c>
      <c r="H227">
        <v>4.2249999999999996</v>
      </c>
      <c r="Q227" s="169">
        <v>26</v>
      </c>
      <c r="R227" s="169" t="s">
        <v>347</v>
      </c>
      <c r="S227" s="169">
        <v>2.53450175</v>
      </c>
      <c r="T227" s="169">
        <v>-5.3236757367094096</v>
      </c>
      <c r="U227" s="169">
        <v>5.5057115000000003</v>
      </c>
      <c r="V227" s="169">
        <v>-24.320295156494534</v>
      </c>
      <c r="W227" s="156">
        <v>4.2249999999999996</v>
      </c>
      <c r="X227" s="174">
        <v>6.8209870833333328</v>
      </c>
      <c r="Y227" s="174">
        <v>-2.4654071106332642</v>
      </c>
      <c r="Z227" s="174">
        <v>4.4079328333333327</v>
      </c>
      <c r="AA227" s="174">
        <v>-23.42695482410312</v>
      </c>
      <c r="AB227" s="174">
        <v>3.047333333333333</v>
      </c>
      <c r="AC227" s="174">
        <v>3.047333333333333</v>
      </c>
      <c r="AD227" s="158">
        <f t="shared" si="93"/>
        <v>1.2598587117981274E-2</v>
      </c>
      <c r="AE227" s="158">
        <f t="shared" si="94"/>
        <v>0.31808063318569169</v>
      </c>
      <c r="AF227" s="159">
        <f t="shared" si="95"/>
        <v>3.1931141098050994E-2</v>
      </c>
      <c r="AG227" s="159">
        <f t="shared" si="96"/>
        <v>1.7512602000577444</v>
      </c>
      <c r="AH227" s="160">
        <f t="shared" si="97"/>
        <v>0.7557666532083076</v>
      </c>
      <c r="AI227" s="160">
        <f t="shared" si="98"/>
        <v>41.449945563496918</v>
      </c>
      <c r="AJ227" s="161">
        <f t="shared" si="99"/>
        <v>54.844898736319742</v>
      </c>
      <c r="AK227" s="162">
        <f t="shared" si="100"/>
        <v>-0.87826862607614586</v>
      </c>
      <c r="AL227" s="162">
        <f t="shared" si="101"/>
        <v>-26.923340332391415</v>
      </c>
      <c r="AM227" s="163">
        <v>0.36599999999999999</v>
      </c>
      <c r="AN227" s="164">
        <f t="shared" si="81"/>
        <v>-0.87826862607614586</v>
      </c>
      <c r="AO227" s="165">
        <f t="shared" si="82"/>
        <v>0.36593315957930733</v>
      </c>
      <c r="AP227" s="166">
        <f t="shared" si="83"/>
        <v>-6.684042069265983E-5</v>
      </c>
      <c r="AQ227" s="166">
        <f t="shared" si="84"/>
        <v>7.5576665320830765</v>
      </c>
      <c r="AR227" s="166">
        <f t="shared" si="85"/>
        <v>-5.0515761045926829E-3</v>
      </c>
      <c r="AS227" s="166">
        <f t="shared" si="86"/>
        <v>-0.6684042069265983</v>
      </c>
      <c r="AT227" s="163">
        <v>1.08</v>
      </c>
      <c r="AU227" s="164">
        <f t="shared" si="87"/>
        <v>-26.923340332391415</v>
      </c>
      <c r="AV227" s="164">
        <f t="shared" si="88"/>
        <v>1.0816193166923065</v>
      </c>
      <c r="AW227" s="168">
        <f t="shared" si="89"/>
        <v>1.6193166923064162E-3</v>
      </c>
      <c r="AX227" s="168">
        <f t="shared" si="90"/>
        <v>414.49945563496919</v>
      </c>
      <c r="AY227" s="168">
        <f t="shared" si="91"/>
        <v>6.712058874616285</v>
      </c>
      <c r="AZ227" s="168">
        <f t="shared" si="92"/>
        <v>16.193166923064162</v>
      </c>
    </row>
    <row r="228" spans="1:52" ht="18" x14ac:dyDescent="0.25">
      <c r="A228">
        <v>5</v>
      </c>
      <c r="B228" t="s">
        <v>44</v>
      </c>
      <c r="C228" t="s">
        <v>26</v>
      </c>
      <c r="D228" t="s">
        <v>427</v>
      </c>
      <c r="E228">
        <v>3</v>
      </c>
      <c r="F228" s="9" t="s">
        <v>51</v>
      </c>
      <c r="G228">
        <v>217</v>
      </c>
      <c r="H228">
        <v>4.8769999999999998</v>
      </c>
      <c r="Q228" s="154">
        <v>27</v>
      </c>
      <c r="R228" s="154" t="s">
        <v>348</v>
      </c>
      <c r="S228" s="154">
        <v>4.8870189999999996</v>
      </c>
      <c r="T228" s="154">
        <v>512.49171947939521</v>
      </c>
      <c r="U228" s="154">
        <v>6.834854</v>
      </c>
      <c r="V228" s="154">
        <v>-19.77215464271908</v>
      </c>
      <c r="W228" s="156">
        <v>4.8769999999999998</v>
      </c>
      <c r="X228" s="174">
        <v>6.8209870833333328</v>
      </c>
      <c r="Y228" s="174">
        <v>-2.4654071106332642</v>
      </c>
      <c r="Z228" s="174">
        <v>4.4079328333333327</v>
      </c>
      <c r="AA228" s="174">
        <v>-23.42695482410312</v>
      </c>
      <c r="AB228" s="174">
        <v>3.047333333333333</v>
      </c>
      <c r="AC228" s="174">
        <v>3.047333333333333</v>
      </c>
      <c r="AD228" s="158">
        <f t="shared" si="93"/>
        <v>1.2598587117981274E-2</v>
      </c>
      <c r="AE228" s="158">
        <f t="shared" si="94"/>
        <v>0.31808063318569169</v>
      </c>
      <c r="AF228" s="159">
        <f t="shared" si="95"/>
        <v>6.1569534618729722E-2</v>
      </c>
      <c r="AG228" s="159">
        <f t="shared" si="96"/>
        <v>2.1740346880517576</v>
      </c>
      <c r="AH228" s="160">
        <f t="shared" si="97"/>
        <v>1.2624468857643987</v>
      </c>
      <c r="AI228" s="160">
        <f t="shared" si="98"/>
        <v>44.577295223534094</v>
      </c>
      <c r="AJ228" s="161">
        <f t="shared" si="99"/>
        <v>35.310234217531452</v>
      </c>
      <c r="AK228" s="162">
        <f t="shared" si="100"/>
        <v>516.93712659002847</v>
      </c>
      <c r="AL228" s="162">
        <f t="shared" si="101"/>
        <v>-22.375199818615961</v>
      </c>
      <c r="AM228" s="163">
        <v>0.36599999999999999</v>
      </c>
      <c r="AN228" s="164">
        <f t="shared" si="81"/>
        <v>516.93712659002847</v>
      </c>
      <c r="AO228" s="165">
        <f t="shared" si="82"/>
        <v>0.55453386225324863</v>
      </c>
      <c r="AP228" s="166">
        <f t="shared" si="83"/>
        <v>0.18853386225324864</v>
      </c>
      <c r="AQ228" s="166">
        <f t="shared" si="84"/>
        <v>12.624468857643986</v>
      </c>
      <c r="AR228" s="166">
        <f t="shared" si="85"/>
        <v>23.801398726274783</v>
      </c>
      <c r="AS228" s="166">
        <f t="shared" si="86"/>
        <v>1885.3386225324864</v>
      </c>
      <c r="AT228" s="163">
        <v>1.08</v>
      </c>
      <c r="AU228" s="164">
        <f t="shared" si="87"/>
        <v>-22.375199818615961</v>
      </c>
      <c r="AV228" s="164">
        <f t="shared" si="88"/>
        <v>1.0866198496726407</v>
      </c>
      <c r="AW228" s="168">
        <f t="shared" si="89"/>
        <v>6.6198496726406209E-3</v>
      </c>
      <c r="AX228" s="168">
        <f t="shared" si="90"/>
        <v>445.77295223534094</v>
      </c>
      <c r="AY228" s="168">
        <f t="shared" si="91"/>
        <v>29.509499319271651</v>
      </c>
      <c r="AZ228" s="168">
        <f t="shared" si="92"/>
        <v>66.198496726406205</v>
      </c>
    </row>
    <row r="229" spans="1:52" ht="18" x14ac:dyDescent="0.25">
      <c r="A229">
        <v>5</v>
      </c>
      <c r="B229" t="s">
        <v>44</v>
      </c>
      <c r="C229" t="s">
        <v>26</v>
      </c>
      <c r="D229" t="s">
        <v>428</v>
      </c>
      <c r="E229">
        <v>3</v>
      </c>
      <c r="F229" s="9" t="s">
        <v>53</v>
      </c>
      <c r="G229">
        <v>218</v>
      </c>
      <c r="H229">
        <v>4.6859999999999999</v>
      </c>
      <c r="Q229" s="169">
        <v>28</v>
      </c>
      <c r="R229" s="169" t="s">
        <v>349</v>
      </c>
      <c r="S229" s="169">
        <v>3.88920925</v>
      </c>
      <c r="T229" s="169">
        <v>255.78307876549769</v>
      </c>
      <c r="U229" s="169">
        <v>6.6887274999999997</v>
      </c>
      <c r="V229" s="169">
        <v>-24.069494930331068</v>
      </c>
      <c r="W229" s="156">
        <v>4.6859999999999999</v>
      </c>
      <c r="X229" s="174">
        <v>6.8209870833333328</v>
      </c>
      <c r="Y229" s="174">
        <v>-2.4654071106332642</v>
      </c>
      <c r="Z229" s="174">
        <v>4.4079328333333327</v>
      </c>
      <c r="AA229" s="174">
        <v>-23.42695482410312</v>
      </c>
      <c r="AB229" s="174">
        <v>3.047333333333333</v>
      </c>
      <c r="AC229" s="174">
        <v>3.047333333333333</v>
      </c>
      <c r="AD229" s="158">
        <f t="shared" si="93"/>
        <v>1.2598587117981274E-2</v>
      </c>
      <c r="AE229" s="158">
        <f t="shared" si="94"/>
        <v>0.31808063318569169</v>
      </c>
      <c r="AF229" s="159">
        <f t="shared" si="95"/>
        <v>4.8998541556183613E-2</v>
      </c>
      <c r="AG229" s="159">
        <f t="shared" si="96"/>
        <v>2.1275546784065487</v>
      </c>
      <c r="AH229" s="160">
        <f t="shared" si="97"/>
        <v>1.045636823648818</v>
      </c>
      <c r="AI229" s="160">
        <f t="shared" si="98"/>
        <v>45.40236189514615</v>
      </c>
      <c r="AJ229" s="161">
        <f t="shared" si="99"/>
        <v>43.420775615678529</v>
      </c>
      <c r="AK229" s="162">
        <f t="shared" si="100"/>
        <v>260.22848587613095</v>
      </c>
      <c r="AL229" s="162">
        <f t="shared" si="101"/>
        <v>-26.672540106227949</v>
      </c>
      <c r="AM229" s="163">
        <v>0.36599999999999999</v>
      </c>
      <c r="AN229" s="164">
        <f t="shared" si="81"/>
        <v>260.22848587613095</v>
      </c>
      <c r="AO229" s="165">
        <f t="shared" si="82"/>
        <v>0.46112378938099879</v>
      </c>
      <c r="AP229" s="166">
        <f t="shared" si="83"/>
        <v>9.5123789380998802E-2</v>
      </c>
      <c r="AQ229" s="166">
        <f t="shared" si="84"/>
        <v>10.45636823648818</v>
      </c>
      <c r="AR229" s="166">
        <f t="shared" si="85"/>
        <v>9.946493698178676</v>
      </c>
      <c r="AS229" s="166">
        <f t="shared" si="86"/>
        <v>951.23789380998801</v>
      </c>
      <c r="AT229" s="163">
        <v>1.08</v>
      </c>
      <c r="AU229" s="164">
        <f t="shared" si="87"/>
        <v>-26.672540106227949</v>
      </c>
      <c r="AV229" s="164">
        <f t="shared" si="88"/>
        <v>1.08189507657804</v>
      </c>
      <c r="AW229" s="168">
        <f t="shared" si="89"/>
        <v>1.8950765780398893E-3</v>
      </c>
      <c r="AX229" s="168">
        <f t="shared" si="90"/>
        <v>454.02361895146151</v>
      </c>
      <c r="AY229" s="168">
        <f t="shared" si="91"/>
        <v>8.6040952615182231</v>
      </c>
      <c r="AZ229" s="168">
        <f t="shared" si="92"/>
        <v>18.950765780398893</v>
      </c>
    </row>
    <row r="230" spans="1:52" ht="18" x14ac:dyDescent="0.25">
      <c r="A230">
        <v>5</v>
      </c>
      <c r="B230" t="s">
        <v>44</v>
      </c>
      <c r="C230" t="s">
        <v>28</v>
      </c>
      <c r="D230" t="s">
        <v>427</v>
      </c>
      <c r="E230">
        <v>3</v>
      </c>
      <c r="F230" s="9" t="s">
        <v>54</v>
      </c>
      <c r="G230">
        <v>219</v>
      </c>
      <c r="H230">
        <v>4.2030000000000003</v>
      </c>
      <c r="Q230" s="154">
        <v>29</v>
      </c>
      <c r="R230" s="154" t="s">
        <v>350</v>
      </c>
      <c r="S230" s="154">
        <v>4.3908445</v>
      </c>
      <c r="T230" s="154">
        <v>318.78368454985963</v>
      </c>
      <c r="U230" s="154">
        <v>6.0037535000000002</v>
      </c>
      <c r="V230" s="154">
        <v>-20.904131350187956</v>
      </c>
      <c r="W230" s="156">
        <v>4.2030000000000003</v>
      </c>
      <c r="X230" s="174">
        <v>6.8209870833333328</v>
      </c>
      <c r="Y230" s="174">
        <v>-2.4654071106332642</v>
      </c>
      <c r="Z230" s="174">
        <v>4.4079328333333327</v>
      </c>
      <c r="AA230" s="174">
        <v>-23.42695482410312</v>
      </c>
      <c r="AB230" s="174">
        <v>3.047333333333333</v>
      </c>
      <c r="AC230" s="174">
        <v>3.047333333333333</v>
      </c>
      <c r="AD230" s="158">
        <f t="shared" si="93"/>
        <v>1.2598587117981274E-2</v>
      </c>
      <c r="AE230" s="158">
        <f t="shared" si="94"/>
        <v>0.31808063318569169</v>
      </c>
      <c r="AF230" s="159">
        <f t="shared" si="95"/>
        <v>5.531843695475893E-2</v>
      </c>
      <c r="AG230" s="159">
        <f t="shared" si="96"/>
        <v>1.9096777147708126</v>
      </c>
      <c r="AH230" s="160">
        <f t="shared" si="97"/>
        <v>1.3161655235488681</v>
      </c>
      <c r="AI230" s="160">
        <f t="shared" si="98"/>
        <v>45.436062687861352</v>
      </c>
      <c r="AJ230" s="161">
        <f t="shared" si="99"/>
        <v>34.521541458819669</v>
      </c>
      <c r="AK230" s="162">
        <f t="shared" si="100"/>
        <v>323.22909166049288</v>
      </c>
      <c r="AL230" s="162">
        <f t="shared" si="101"/>
        <v>-23.507176526084837</v>
      </c>
      <c r="AM230" s="163">
        <v>0.36599999999999999</v>
      </c>
      <c r="AN230" s="164">
        <f t="shared" si="81"/>
        <v>323.22909166049288</v>
      </c>
      <c r="AO230" s="165">
        <f t="shared" si="82"/>
        <v>0.48406443265350235</v>
      </c>
      <c r="AP230" s="166">
        <f t="shared" si="83"/>
        <v>0.11806443265350236</v>
      </c>
      <c r="AQ230" s="166">
        <f t="shared" si="84"/>
        <v>13.161655235488681</v>
      </c>
      <c r="AR230" s="166">
        <f t="shared" si="85"/>
        <v>15.539233581589702</v>
      </c>
      <c r="AS230" s="166">
        <f t="shared" si="86"/>
        <v>1180.6443265350238</v>
      </c>
      <c r="AT230" s="163">
        <v>1.08</v>
      </c>
      <c r="AU230" s="164">
        <f t="shared" si="87"/>
        <v>-23.507176526084837</v>
      </c>
      <c r="AV230" s="164">
        <f t="shared" si="88"/>
        <v>1.0853753252547174</v>
      </c>
      <c r="AW230" s="168">
        <f t="shared" si="89"/>
        <v>5.3753252547172892E-3</v>
      </c>
      <c r="AX230" s="168">
        <f t="shared" si="90"/>
        <v>454.36062687861352</v>
      </c>
      <c r="AY230" s="168">
        <f t="shared" si="91"/>
        <v>24.423361524097903</v>
      </c>
      <c r="AZ230" s="168">
        <f t="shared" si="92"/>
        <v>53.753252547172892</v>
      </c>
    </row>
    <row r="231" spans="1:52" ht="18" x14ac:dyDescent="0.25">
      <c r="A231">
        <v>5</v>
      </c>
      <c r="B231" t="s">
        <v>44</v>
      </c>
      <c r="C231" t="s">
        <v>28</v>
      </c>
      <c r="D231" t="s">
        <v>428</v>
      </c>
      <c r="E231">
        <v>3</v>
      </c>
      <c r="F231" s="9" t="s">
        <v>55</v>
      </c>
      <c r="G231">
        <v>220</v>
      </c>
      <c r="H231">
        <v>4.3959999999999999</v>
      </c>
      <c r="Q231" s="169">
        <v>30</v>
      </c>
      <c r="R231" s="169" t="s">
        <v>351</v>
      </c>
      <c r="S231" s="169">
        <v>3.5251515000000002</v>
      </c>
      <c r="T231" s="169">
        <v>98.854590564798244</v>
      </c>
      <c r="U231" s="169">
        <v>6.3427860000000003</v>
      </c>
      <c r="V231" s="169">
        <v>-24.160265120201633</v>
      </c>
      <c r="W231" s="156">
        <v>4.3959999999999999</v>
      </c>
      <c r="X231" s="174">
        <v>6.8209870833333328</v>
      </c>
      <c r="Y231" s="174">
        <v>-2.4654071106332642</v>
      </c>
      <c r="Z231" s="174">
        <v>4.4079328333333327</v>
      </c>
      <c r="AA231" s="174">
        <v>-23.42695482410312</v>
      </c>
      <c r="AB231" s="174">
        <v>3.047333333333333</v>
      </c>
      <c r="AC231" s="174">
        <v>3.047333333333333</v>
      </c>
      <c r="AD231" s="158">
        <f t="shared" si="93"/>
        <v>1.2598587117981274E-2</v>
      </c>
      <c r="AE231" s="158">
        <f t="shared" si="94"/>
        <v>0.31808063318569169</v>
      </c>
      <c r="AF231" s="159">
        <f t="shared" si="95"/>
        <v>4.4411928276832366E-2</v>
      </c>
      <c r="AG231" s="159">
        <f t="shared" si="96"/>
        <v>2.0175173870413405</v>
      </c>
      <c r="AH231" s="160">
        <f t="shared" si="97"/>
        <v>1.0102804430580612</v>
      </c>
      <c r="AI231" s="160">
        <f t="shared" si="98"/>
        <v>45.894390060085094</v>
      </c>
      <c r="AJ231" s="161">
        <f t="shared" si="99"/>
        <v>45.427376502672267</v>
      </c>
      <c r="AK231" s="162">
        <f t="shared" si="100"/>
        <v>103.29999767543151</v>
      </c>
      <c r="AL231" s="162">
        <f t="shared" si="101"/>
        <v>-26.763310296098513</v>
      </c>
      <c r="AM231" s="163">
        <v>0.36599999999999999</v>
      </c>
      <c r="AN231" s="164">
        <f t="shared" si="81"/>
        <v>103.29999767543151</v>
      </c>
      <c r="AO231" s="165">
        <f t="shared" si="82"/>
        <v>0.40393482822491578</v>
      </c>
      <c r="AP231" s="166">
        <f t="shared" si="83"/>
        <v>3.7934828224915784E-2</v>
      </c>
      <c r="AQ231" s="166">
        <f t="shared" si="84"/>
        <v>10.102804430580612</v>
      </c>
      <c r="AR231" s="166">
        <f t="shared" si="85"/>
        <v>3.8324815066399367</v>
      </c>
      <c r="AS231" s="166">
        <f t="shared" si="86"/>
        <v>379.34828224915782</v>
      </c>
      <c r="AT231" s="163">
        <v>1.08</v>
      </c>
      <c r="AU231" s="164">
        <f t="shared" si="87"/>
        <v>-26.763310296098513</v>
      </c>
      <c r="AV231" s="164">
        <f t="shared" si="88"/>
        <v>1.0817952731087819</v>
      </c>
      <c r="AW231" s="168">
        <f t="shared" si="89"/>
        <v>1.795273108781803E-3</v>
      </c>
      <c r="AX231" s="168">
        <f t="shared" si="90"/>
        <v>458.9439006008509</v>
      </c>
      <c r="AY231" s="168">
        <f t="shared" si="91"/>
        <v>8.239296431881364</v>
      </c>
      <c r="AZ231" s="168">
        <f t="shared" si="92"/>
        <v>17.95273108781803</v>
      </c>
    </row>
    <row r="232" spans="1:52" ht="18" x14ac:dyDescent="0.25">
      <c r="A232">
        <v>5</v>
      </c>
      <c r="B232" t="s">
        <v>44</v>
      </c>
      <c r="C232" t="s">
        <v>30</v>
      </c>
      <c r="D232" t="s">
        <v>427</v>
      </c>
      <c r="E232">
        <v>3</v>
      </c>
      <c r="F232" s="9" t="s">
        <v>57</v>
      </c>
      <c r="G232">
        <v>221</v>
      </c>
      <c r="H232">
        <v>4.3150000000000004</v>
      </c>
      <c r="Q232" s="154">
        <v>31</v>
      </c>
      <c r="R232" s="154" t="s">
        <v>352</v>
      </c>
      <c r="S232" s="154">
        <v>5.3033074999999998</v>
      </c>
      <c r="T232" s="154">
        <v>-8.3028903627808006</v>
      </c>
      <c r="U232" s="154">
        <v>5.979959</v>
      </c>
      <c r="V232" s="154">
        <v>-25.6443915465338</v>
      </c>
      <c r="W232" s="156">
        <v>4.3150000000000004</v>
      </c>
      <c r="X232" s="174">
        <v>6.8209870833333328</v>
      </c>
      <c r="Y232" s="174">
        <v>-2.4654071106332642</v>
      </c>
      <c r="Z232" s="174">
        <v>4.4079328333333327</v>
      </c>
      <c r="AA232" s="174">
        <v>-23.42695482410312</v>
      </c>
      <c r="AB232" s="174">
        <v>3.047333333333333</v>
      </c>
      <c r="AC232" s="174">
        <v>3.047333333333333</v>
      </c>
      <c r="AD232" s="158">
        <f t="shared" si="93"/>
        <v>1.2598587117981274E-2</v>
      </c>
      <c r="AE232" s="158">
        <f t="shared" si="94"/>
        <v>0.31808063318569169</v>
      </c>
      <c r="AF232" s="159">
        <f t="shared" si="95"/>
        <v>6.6814181552193472E-2</v>
      </c>
      <c r="AG232" s="159">
        <f t="shared" si="96"/>
        <v>1.9021091451444756</v>
      </c>
      <c r="AH232" s="160">
        <f t="shared" si="97"/>
        <v>1.5484167219511813</v>
      </c>
      <c r="AI232" s="160">
        <f t="shared" si="98"/>
        <v>44.081324337067798</v>
      </c>
      <c r="AJ232" s="161">
        <f t="shared" si="99"/>
        <v>28.468643945875446</v>
      </c>
      <c r="AK232" s="162">
        <f t="shared" si="100"/>
        <v>-3.8574832521475368</v>
      </c>
      <c r="AL232" s="162">
        <f t="shared" si="101"/>
        <v>-28.247436722430681</v>
      </c>
      <c r="AM232" s="163">
        <v>0.36599999999999999</v>
      </c>
      <c r="AN232" s="164">
        <f t="shared" si="81"/>
        <v>-3.8574832521475368</v>
      </c>
      <c r="AO232" s="165">
        <f t="shared" si="82"/>
        <v>0.36484598885715575</v>
      </c>
      <c r="AP232" s="166">
        <f t="shared" si="83"/>
        <v>-1.1540111428442468E-3</v>
      </c>
      <c r="AQ232" s="166">
        <f t="shared" si="84"/>
        <v>15.484167219511814</v>
      </c>
      <c r="AR232" s="166">
        <f t="shared" si="85"/>
        <v>-0.17868901508980253</v>
      </c>
      <c r="AS232" s="166">
        <f t="shared" si="86"/>
        <v>-11.540111428442469</v>
      </c>
      <c r="AT232" s="163">
        <v>1.08</v>
      </c>
      <c r="AU232" s="164">
        <f t="shared" si="87"/>
        <v>-28.247436722430681</v>
      </c>
      <c r="AV232" s="164">
        <f t="shared" si="88"/>
        <v>1.0801634206319259</v>
      </c>
      <c r="AW232" s="168">
        <f t="shared" si="89"/>
        <v>1.634206319258702E-4</v>
      </c>
      <c r="AX232" s="168">
        <f t="shared" si="90"/>
        <v>440.81324337067798</v>
      </c>
      <c r="AY232" s="168">
        <f t="shared" si="91"/>
        <v>0.72037978792928614</v>
      </c>
      <c r="AZ232" s="168">
        <f t="shared" si="92"/>
        <v>1.634206319258702</v>
      </c>
    </row>
    <row r="233" spans="1:52" ht="18" x14ac:dyDescent="0.25">
      <c r="A233">
        <v>5</v>
      </c>
      <c r="B233" t="s">
        <v>44</v>
      </c>
      <c r="C233" t="s">
        <v>30</v>
      </c>
      <c r="D233" t="s">
        <v>428</v>
      </c>
      <c r="E233">
        <v>3</v>
      </c>
      <c r="F233" s="9" t="s">
        <v>58</v>
      </c>
      <c r="G233">
        <v>222</v>
      </c>
      <c r="H233">
        <v>4.282</v>
      </c>
      <c r="Q233" s="169">
        <v>32</v>
      </c>
      <c r="R233" s="169" t="s">
        <v>353</v>
      </c>
      <c r="S233" s="169">
        <v>2.4648720000000002</v>
      </c>
      <c r="T233" s="169">
        <v>-5.2211140647272449</v>
      </c>
      <c r="U233" s="169">
        <v>5.6368470000000004</v>
      </c>
      <c r="V233" s="169">
        <v>-23.91148239927098</v>
      </c>
      <c r="W233" s="156">
        <v>4.282</v>
      </c>
      <c r="X233" s="174">
        <v>6.8209870833333328</v>
      </c>
      <c r="Y233" s="174">
        <v>-2.4654071106332642</v>
      </c>
      <c r="Z233" s="174">
        <v>4.4079328333333327</v>
      </c>
      <c r="AA233" s="174">
        <v>-23.42695482410312</v>
      </c>
      <c r="AB233" s="174">
        <v>3.047333333333333</v>
      </c>
      <c r="AC233" s="174">
        <v>3.047333333333333</v>
      </c>
      <c r="AD233" s="158">
        <f t="shared" si="93"/>
        <v>1.2598587117981274E-2</v>
      </c>
      <c r="AE233" s="158">
        <f t="shared" si="94"/>
        <v>0.31808063318569169</v>
      </c>
      <c r="AF233" s="159">
        <f t="shared" si="95"/>
        <v>3.1053904626672742E-2</v>
      </c>
      <c r="AG233" s="159">
        <f t="shared" si="96"/>
        <v>1.7929718629308666</v>
      </c>
      <c r="AH233" s="160">
        <f t="shared" si="97"/>
        <v>0.72521963163644887</v>
      </c>
      <c r="AI233" s="160">
        <f t="shared" si="98"/>
        <v>41.872299461253306</v>
      </c>
      <c r="AJ233" s="161">
        <f t="shared" si="99"/>
        <v>57.737404828340068</v>
      </c>
      <c r="AK233" s="162">
        <f t="shared" si="100"/>
        <v>-0.77570695409398116</v>
      </c>
      <c r="AL233" s="162">
        <f t="shared" si="101"/>
        <v>-26.514527575167861</v>
      </c>
      <c r="AM233" s="163">
        <v>0.36599999999999999</v>
      </c>
      <c r="AN233" s="164">
        <f t="shared" si="81"/>
        <v>-0.77570695409398116</v>
      </c>
      <c r="AO233" s="165">
        <f t="shared" si="82"/>
        <v>0.36597058581489234</v>
      </c>
      <c r="AP233" s="166">
        <f t="shared" si="83"/>
        <v>-2.9414185107656809E-5</v>
      </c>
      <c r="AQ233" s="166">
        <f t="shared" si="84"/>
        <v>7.2521963163644889</v>
      </c>
      <c r="AR233" s="166">
        <f t="shared" si="85"/>
        <v>-2.133174448866119E-3</v>
      </c>
      <c r="AS233" s="166">
        <f t="shared" si="86"/>
        <v>-0.29414185107656809</v>
      </c>
      <c r="AT233" s="163">
        <v>1.08</v>
      </c>
      <c r="AU233" s="164">
        <f t="shared" si="87"/>
        <v>-26.514527575167861</v>
      </c>
      <c r="AV233" s="164">
        <f t="shared" si="88"/>
        <v>1.0820688137399752</v>
      </c>
      <c r="AW233" s="168">
        <f t="shared" si="89"/>
        <v>2.0688137399751394E-3</v>
      </c>
      <c r="AX233" s="168">
        <f t="shared" si="90"/>
        <v>418.72299461253306</v>
      </c>
      <c r="AY233" s="168">
        <f t="shared" si="91"/>
        <v>8.6625988449794455</v>
      </c>
      <c r="AZ233" s="168">
        <f t="shared" si="92"/>
        <v>20.688137399751394</v>
      </c>
    </row>
    <row r="234" spans="1:52" ht="18" x14ac:dyDescent="0.25">
      <c r="A234">
        <v>5</v>
      </c>
      <c r="B234" t="s">
        <v>48</v>
      </c>
      <c r="C234" t="s">
        <v>26</v>
      </c>
      <c r="D234" t="s">
        <v>427</v>
      </c>
      <c r="E234">
        <v>3</v>
      </c>
      <c r="F234" s="9" t="s">
        <v>59</v>
      </c>
      <c r="G234">
        <v>223</v>
      </c>
      <c r="H234">
        <v>4.9050000000000002</v>
      </c>
      <c r="Q234" s="154">
        <v>33</v>
      </c>
      <c r="R234" s="154" t="s">
        <v>354</v>
      </c>
      <c r="S234" s="154">
        <v>5.110112</v>
      </c>
      <c r="T234" s="154">
        <v>396.12589262616348</v>
      </c>
      <c r="U234" s="154">
        <v>6.6968624999999999</v>
      </c>
      <c r="V234" s="154">
        <v>-23.029626610327664</v>
      </c>
      <c r="W234" s="156">
        <v>4.9050000000000002</v>
      </c>
      <c r="X234" s="174">
        <v>6.8209870833333328</v>
      </c>
      <c r="Y234" s="174">
        <v>-2.4654071106332642</v>
      </c>
      <c r="Z234" s="174">
        <v>4.4079328333333327</v>
      </c>
      <c r="AA234" s="174">
        <v>-23.42695482410312</v>
      </c>
      <c r="AB234" s="174">
        <v>3.047333333333333</v>
      </c>
      <c r="AC234" s="174">
        <v>3.047333333333333</v>
      </c>
      <c r="AD234" s="158">
        <f t="shared" si="93"/>
        <v>1.2598587117981274E-2</v>
      </c>
      <c r="AE234" s="158">
        <f t="shared" si="94"/>
        <v>0.31808063318569169</v>
      </c>
      <c r="AF234" s="159">
        <f t="shared" si="95"/>
        <v>6.4380191214641516E-2</v>
      </c>
      <c r="AG234" s="159">
        <f t="shared" si="96"/>
        <v>2.1301422643575143</v>
      </c>
      <c r="AH234" s="160">
        <f t="shared" si="97"/>
        <v>1.3125421246613966</v>
      </c>
      <c r="AI234" s="160">
        <f t="shared" si="98"/>
        <v>43.427976847247997</v>
      </c>
      <c r="AJ234" s="161">
        <f t="shared" si="99"/>
        <v>33.086920435754649</v>
      </c>
      <c r="AK234" s="162">
        <f t="shared" si="100"/>
        <v>400.57129973679673</v>
      </c>
      <c r="AL234" s="162">
        <f t="shared" si="101"/>
        <v>-25.632671786224545</v>
      </c>
      <c r="AM234" s="163">
        <v>0.36599999999999999</v>
      </c>
      <c r="AN234" s="164">
        <f t="shared" si="81"/>
        <v>400.57129973679673</v>
      </c>
      <c r="AO234" s="165">
        <f t="shared" si="82"/>
        <v>0.51221288171164303</v>
      </c>
      <c r="AP234" s="166">
        <f t="shared" si="83"/>
        <v>0.14621288171164304</v>
      </c>
      <c r="AQ234" s="166">
        <f t="shared" si="84"/>
        <v>13.125421246613969</v>
      </c>
      <c r="AR234" s="166">
        <f t="shared" si="85"/>
        <v>19.191056641466545</v>
      </c>
      <c r="AS234" s="166">
        <f t="shared" si="86"/>
        <v>1462.1288171164304</v>
      </c>
      <c r="AT234" s="163">
        <v>1.08</v>
      </c>
      <c r="AU234" s="164">
        <f t="shared" si="87"/>
        <v>-25.632671786224545</v>
      </c>
      <c r="AV234" s="164">
        <f t="shared" si="88"/>
        <v>1.0830384162778024</v>
      </c>
      <c r="AW234" s="168">
        <f t="shared" si="89"/>
        <v>3.0384162778023249E-3</v>
      </c>
      <c r="AX234" s="168">
        <f t="shared" si="90"/>
        <v>434.27976847247993</v>
      </c>
      <c r="AY234" s="168">
        <f t="shared" si="91"/>
        <v>13.19522717647008</v>
      </c>
      <c r="AZ234" s="168">
        <f t="shared" si="92"/>
        <v>30.384162778023253</v>
      </c>
    </row>
    <row r="235" spans="1:52" ht="18" x14ac:dyDescent="0.25">
      <c r="I235" s="25" t="s">
        <v>469</v>
      </c>
      <c r="Q235" s="169">
        <v>34</v>
      </c>
      <c r="R235" s="169" t="s">
        <v>355</v>
      </c>
      <c r="S235" s="169">
        <v>10.158329999999999</v>
      </c>
      <c r="T235" s="169">
        <v>-2.773824665065669</v>
      </c>
      <c r="U235" s="169">
        <v>6.0421630000000004</v>
      </c>
      <c r="V235" s="169">
        <v>-23.223463051666279</v>
      </c>
      <c r="W235" s="169">
        <v>4.2850000000000001</v>
      </c>
      <c r="X235" s="174">
        <v>6.8209870833333328</v>
      </c>
      <c r="Y235" s="174">
        <v>-2.4654071106332642</v>
      </c>
      <c r="Z235" s="174">
        <v>4.4079328333333327</v>
      </c>
      <c r="AA235" s="174">
        <v>-23.42695482410312</v>
      </c>
      <c r="AB235" s="174">
        <v>3.047333333333333</v>
      </c>
      <c r="AC235" s="174">
        <v>3.047333333333333</v>
      </c>
      <c r="AD235" s="158">
        <f t="shared" si="93"/>
        <v>1.2598587117981274E-2</v>
      </c>
      <c r="AE235" s="158">
        <f t="shared" si="94"/>
        <v>0.31808063318569169</v>
      </c>
      <c r="AF235" s="159">
        <f t="shared" si="95"/>
        <v>0.1279806054782027</v>
      </c>
      <c r="AG235" s="159">
        <f t="shared" si="96"/>
        <v>1.9218950328511586</v>
      </c>
      <c r="AH235" s="160">
        <f t="shared" si="97"/>
        <v>2.9867119131435871</v>
      </c>
      <c r="AI235" s="160">
        <f t="shared" si="98"/>
        <v>44.851692715312915</v>
      </c>
      <c r="AJ235" s="161">
        <f t="shared" si="99"/>
        <v>15.017080327678951</v>
      </c>
      <c r="AK235" s="162">
        <f t="shared" si="100"/>
        <v>1.6715824455675947</v>
      </c>
      <c r="AL235" s="162">
        <f t="shared" si="101"/>
        <v>-25.82650822756316</v>
      </c>
      <c r="AM235" s="163">
        <v>0.36599999999999999</v>
      </c>
      <c r="AN235" s="164">
        <f t="shared" si="81"/>
        <v>1.6715824455675947</v>
      </c>
      <c r="AO235" s="165">
        <f t="shared" si="82"/>
        <v>0.3668636287272502</v>
      </c>
      <c r="AP235" s="166">
        <f t="shared" si="83"/>
        <v>8.6362872725020967E-4</v>
      </c>
      <c r="AQ235" s="166">
        <f t="shared" si="84"/>
        <v>29.867119131435867</v>
      </c>
      <c r="AR235" s="166">
        <f t="shared" si="85"/>
        <v>0.25794102082112347</v>
      </c>
      <c r="AS235" s="166">
        <f t="shared" si="86"/>
        <v>8.6362872725020967</v>
      </c>
      <c r="AT235" s="163">
        <v>1.08</v>
      </c>
      <c r="AU235" s="164">
        <f t="shared" si="87"/>
        <v>-25.82650822756316</v>
      </c>
      <c r="AV235" s="164">
        <f t="shared" si="88"/>
        <v>1.0828252942793</v>
      </c>
      <c r="AW235" s="168">
        <f t="shared" si="89"/>
        <v>2.8252942792998947E-3</v>
      </c>
      <c r="AX235" s="168">
        <f t="shared" si="90"/>
        <v>448.51692715312913</v>
      </c>
      <c r="AY235" s="168">
        <f t="shared" si="91"/>
        <v>12.671923084549032</v>
      </c>
      <c r="AZ235" s="168">
        <f t="shared" si="92"/>
        <v>28.252942792998947</v>
      </c>
    </row>
    <row r="236" spans="1:52" ht="18" x14ac:dyDescent="0.25">
      <c r="A236">
        <v>5</v>
      </c>
      <c r="B236" t="s">
        <v>48</v>
      </c>
      <c r="C236" t="s">
        <v>26</v>
      </c>
      <c r="D236" t="s">
        <v>428</v>
      </c>
      <c r="E236">
        <v>3</v>
      </c>
      <c r="F236" s="9" t="s">
        <v>60</v>
      </c>
      <c r="G236">
        <v>224</v>
      </c>
      <c r="H236">
        <v>4.2039999999999997</v>
      </c>
      <c r="Q236" s="154">
        <v>35</v>
      </c>
      <c r="R236" s="154" t="s">
        <v>356</v>
      </c>
      <c r="S236" s="154">
        <v>3.5561310000000002</v>
      </c>
      <c r="T236" s="154">
        <v>118.68642496268052</v>
      </c>
      <c r="U236" s="154">
        <v>6.1697104999999999</v>
      </c>
      <c r="V236" s="154">
        <v>-26.066660943967083</v>
      </c>
      <c r="W236" s="156">
        <v>4.2039999999999997</v>
      </c>
      <c r="X236" s="174">
        <v>6.8209870833333328</v>
      </c>
      <c r="Y236" s="174">
        <v>-2.4654071106332642</v>
      </c>
      <c r="Z236" s="174">
        <v>4.4079328333333327</v>
      </c>
      <c r="AA236" s="174">
        <v>-23.42695482410312</v>
      </c>
      <c r="AB236" s="174">
        <v>3.047333333333333</v>
      </c>
      <c r="AC236" s="174">
        <v>3.047333333333333</v>
      </c>
      <c r="AD236" s="158">
        <f t="shared" si="93"/>
        <v>1.2598587117981274E-2</v>
      </c>
      <c r="AE236" s="158">
        <f t="shared" si="94"/>
        <v>0.31808063318569169</v>
      </c>
      <c r="AF236" s="159">
        <f t="shared" si="95"/>
        <v>4.4802226206453868E-2</v>
      </c>
      <c r="AG236" s="159">
        <f t="shared" si="96"/>
        <v>1.9624654224124105</v>
      </c>
      <c r="AH236" s="160">
        <f t="shared" si="97"/>
        <v>1.0657047147110816</v>
      </c>
      <c r="AI236" s="160">
        <f t="shared" si="98"/>
        <v>46.680909191541645</v>
      </c>
      <c r="AJ236" s="161">
        <f t="shared" si="99"/>
        <v>43.802855094055857</v>
      </c>
      <c r="AK236" s="162">
        <f t="shared" si="100"/>
        <v>123.13183207331379</v>
      </c>
      <c r="AL236" s="162">
        <f t="shared" si="101"/>
        <v>-28.669706119863964</v>
      </c>
      <c r="AM236" s="163">
        <v>0.36599999999999999</v>
      </c>
      <c r="AN236" s="164">
        <f t="shared" si="81"/>
        <v>123.13183207331379</v>
      </c>
      <c r="AO236" s="165">
        <f t="shared" si="82"/>
        <v>0.41116570931263507</v>
      </c>
      <c r="AP236" s="166">
        <f t="shared" si="83"/>
        <v>4.5165709312635083E-2</v>
      </c>
      <c r="AQ236" s="166">
        <f t="shared" si="84"/>
        <v>10.657047147110816</v>
      </c>
      <c r="AR236" s="166">
        <f t="shared" si="85"/>
        <v>4.8133309357745411</v>
      </c>
      <c r="AS236" s="166">
        <f t="shared" si="86"/>
        <v>451.6570931263509</v>
      </c>
      <c r="AT236" s="163">
        <v>1.08</v>
      </c>
      <c r="AU236" s="164">
        <f t="shared" si="87"/>
        <v>-28.669706119863964</v>
      </c>
      <c r="AV236" s="164">
        <f t="shared" si="88"/>
        <v>1.0796991098076512</v>
      </c>
      <c r="AW236" s="168">
        <f t="shared" si="89"/>
        <v>-3.0089019234891268E-4</v>
      </c>
      <c r="AX236" s="168">
        <f t="shared" si="90"/>
        <v>466.80909191541645</v>
      </c>
      <c r="AY236" s="168">
        <f t="shared" si="91"/>
        <v>-1.4045827745665092</v>
      </c>
      <c r="AZ236" s="168">
        <f t="shared" si="92"/>
        <v>-3.0089019234891268</v>
      </c>
    </row>
    <row r="237" spans="1:52" ht="18" x14ac:dyDescent="0.25">
      <c r="A237">
        <v>5</v>
      </c>
      <c r="B237" t="s">
        <v>48</v>
      </c>
      <c r="C237" t="s">
        <v>28</v>
      </c>
      <c r="D237" t="s">
        <v>427</v>
      </c>
      <c r="E237">
        <v>3</v>
      </c>
      <c r="F237" s="9" t="s">
        <v>61</v>
      </c>
      <c r="G237">
        <v>225</v>
      </c>
      <c r="H237">
        <v>4.1870000000000003</v>
      </c>
      <c r="Q237" s="169">
        <v>36</v>
      </c>
      <c r="R237" s="169" t="s">
        <v>357</v>
      </c>
      <c r="S237" s="169">
        <v>4.7566604999999997</v>
      </c>
      <c r="T237" s="169">
        <v>533.2987711441092</v>
      </c>
      <c r="U237" s="169">
        <v>5.5729375000000001</v>
      </c>
      <c r="V237" s="169">
        <v>-20.534641538560091</v>
      </c>
      <c r="W237" s="156">
        <v>4.1870000000000003</v>
      </c>
      <c r="X237" s="174">
        <v>6.8209870833333328</v>
      </c>
      <c r="Y237" s="174">
        <v>-2.4654071106332642</v>
      </c>
      <c r="Z237" s="174">
        <v>4.4079328333333327</v>
      </c>
      <c r="AA237" s="174">
        <v>-23.42695482410312</v>
      </c>
      <c r="AB237" s="174">
        <v>3.047333333333333</v>
      </c>
      <c r="AC237" s="174">
        <v>3.047333333333333</v>
      </c>
      <c r="AD237" s="158">
        <f t="shared" si="93"/>
        <v>1.2598587117981274E-2</v>
      </c>
      <c r="AE237" s="158">
        <f t="shared" si="94"/>
        <v>0.31808063318569169</v>
      </c>
      <c r="AF237" s="159">
        <f t="shared" si="95"/>
        <v>5.9927201699910358E-2</v>
      </c>
      <c r="AG237" s="159">
        <f t="shared" si="96"/>
        <v>1.7726434887042857</v>
      </c>
      <c r="AH237" s="160">
        <f t="shared" si="97"/>
        <v>1.4312682517294089</v>
      </c>
      <c r="AI237" s="160">
        <f t="shared" si="98"/>
        <v>42.336839949947112</v>
      </c>
      <c r="AJ237" s="161">
        <f t="shared" si="99"/>
        <v>29.579947643491206</v>
      </c>
      <c r="AK237" s="162">
        <f t="shared" si="100"/>
        <v>537.74417825474245</v>
      </c>
      <c r="AL237" s="162">
        <f t="shared" si="101"/>
        <v>-23.137686714456972</v>
      </c>
      <c r="AM237" s="163">
        <v>0.36599999999999999</v>
      </c>
      <c r="AN237" s="164">
        <f t="shared" si="81"/>
        <v>537.74417825474245</v>
      </c>
      <c r="AO237" s="165">
        <f t="shared" si="82"/>
        <v>0.5620973653936614</v>
      </c>
      <c r="AP237" s="166">
        <f t="shared" si="83"/>
        <v>0.1960973653936614</v>
      </c>
      <c r="AQ237" s="166">
        <f t="shared" si="84"/>
        <v>14.312682517294087</v>
      </c>
      <c r="AR237" s="166">
        <f t="shared" si="85"/>
        <v>28.066793333572882</v>
      </c>
      <c r="AS237" s="166">
        <f t="shared" si="86"/>
        <v>1960.973653936614</v>
      </c>
      <c r="AT237" s="163">
        <v>1.08</v>
      </c>
      <c r="AU237" s="164">
        <f t="shared" si="87"/>
        <v>-23.137686714456972</v>
      </c>
      <c r="AV237" s="164">
        <f t="shared" si="88"/>
        <v>1.0857815553360108</v>
      </c>
      <c r="AW237" s="168">
        <f t="shared" si="89"/>
        <v>5.7815553360107685E-3</v>
      </c>
      <c r="AX237" s="168">
        <f t="shared" si="90"/>
        <v>423.36839949947114</v>
      </c>
      <c r="AY237" s="168">
        <f t="shared" si="91"/>
        <v>24.47727829224506</v>
      </c>
      <c r="AZ237" s="168">
        <f t="shared" si="92"/>
        <v>57.815553360107685</v>
      </c>
    </row>
    <row r="238" spans="1:52" ht="18" x14ac:dyDescent="0.25">
      <c r="A238">
        <v>5</v>
      </c>
      <c r="B238" t="s">
        <v>48</v>
      </c>
      <c r="C238" t="s">
        <v>28</v>
      </c>
      <c r="D238" t="s">
        <v>428</v>
      </c>
      <c r="E238">
        <v>3</v>
      </c>
      <c r="F238" s="9" t="s">
        <v>62</v>
      </c>
      <c r="G238">
        <v>226</v>
      </c>
      <c r="H238">
        <v>4.5389999999999997</v>
      </c>
      <c r="Q238" s="154">
        <v>37</v>
      </c>
      <c r="R238" s="154" t="s">
        <v>358</v>
      </c>
      <c r="S238" s="154">
        <v>4.0159337500000003</v>
      </c>
      <c r="T238" s="154">
        <v>591.93979709843006</v>
      </c>
      <c r="U238" s="154">
        <v>6.1284869999999998</v>
      </c>
      <c r="V238" s="154">
        <v>-19.818660266272982</v>
      </c>
      <c r="W238" s="156">
        <v>4.5389999999999997</v>
      </c>
      <c r="X238" s="174">
        <v>6.8209870833333328</v>
      </c>
      <c r="Y238" s="174">
        <v>-2.4654071106332642</v>
      </c>
      <c r="Z238" s="174">
        <v>4.4079328333333327</v>
      </c>
      <c r="AA238" s="174">
        <v>-23.42695482410312</v>
      </c>
      <c r="AB238" s="174">
        <v>3.047333333333333</v>
      </c>
      <c r="AC238" s="174">
        <v>3.047333333333333</v>
      </c>
      <c r="AD238" s="158">
        <f t="shared" si="93"/>
        <v>1.2598587117981274E-2</v>
      </c>
      <c r="AE238" s="158">
        <f t="shared" si="94"/>
        <v>0.31808063318569169</v>
      </c>
      <c r="AF238" s="159">
        <f t="shared" si="95"/>
        <v>5.0595091209416236E-2</v>
      </c>
      <c r="AG238" s="159">
        <f t="shared" si="96"/>
        <v>1.94935302543028</v>
      </c>
      <c r="AH238" s="160">
        <f t="shared" si="97"/>
        <v>1.1146748448868966</v>
      </c>
      <c r="AI238" s="160">
        <f t="shared" si="98"/>
        <v>42.946750945809214</v>
      </c>
      <c r="AJ238" s="161">
        <f t="shared" si="99"/>
        <v>38.528501062717453</v>
      </c>
      <c r="AK238" s="162">
        <f t="shared" si="100"/>
        <v>596.38520420906332</v>
      </c>
      <c r="AL238" s="162">
        <f t="shared" si="101"/>
        <v>-22.421705442169863</v>
      </c>
      <c r="AM238" s="163">
        <v>0.36599999999999999</v>
      </c>
      <c r="AN238" s="164">
        <f t="shared" si="81"/>
        <v>596.38520420906332</v>
      </c>
      <c r="AO238" s="165">
        <f t="shared" si="82"/>
        <v>0.58340758333882692</v>
      </c>
      <c r="AP238" s="166">
        <f t="shared" si="83"/>
        <v>0.21740758333882693</v>
      </c>
      <c r="AQ238" s="166">
        <f t="shared" si="84"/>
        <v>11.146748448868966</v>
      </c>
      <c r="AR238" s="166">
        <f t="shared" si="85"/>
        <v>24.233876423544196</v>
      </c>
      <c r="AS238" s="166">
        <f t="shared" si="86"/>
        <v>2174.0758333882691</v>
      </c>
      <c r="AT238" s="163">
        <v>1.08</v>
      </c>
      <c r="AU238" s="164">
        <f t="shared" si="87"/>
        <v>-22.421705442169863</v>
      </c>
      <c r="AV238" s="164">
        <f t="shared" si="88"/>
        <v>1.0865687208062811</v>
      </c>
      <c r="AW238" s="168">
        <f t="shared" si="89"/>
        <v>6.5687208062810143E-3</v>
      </c>
      <c r="AX238" s="168">
        <f t="shared" si="90"/>
        <v>429.46750945809214</v>
      </c>
      <c r="AY238" s="168">
        <f t="shared" si="91"/>
        <v>28.210521649990582</v>
      </c>
      <c r="AZ238" s="168">
        <f t="shared" si="92"/>
        <v>65.687208062810143</v>
      </c>
    </row>
    <row r="239" spans="1:52" ht="18" x14ac:dyDescent="0.25">
      <c r="A239">
        <v>5</v>
      </c>
      <c r="B239" t="s">
        <v>48</v>
      </c>
      <c r="C239" t="s">
        <v>30</v>
      </c>
      <c r="D239" t="s">
        <v>427</v>
      </c>
      <c r="E239">
        <v>3</v>
      </c>
      <c r="F239" s="9" t="s">
        <v>63</v>
      </c>
      <c r="G239">
        <v>227</v>
      </c>
      <c r="H239">
        <v>4.3159999999999998</v>
      </c>
      <c r="Q239" s="169">
        <v>38</v>
      </c>
      <c r="R239" s="169" t="s">
        <v>359</v>
      </c>
      <c r="S239" s="169">
        <v>4.7039945000000003</v>
      </c>
      <c r="T239" s="169">
        <v>-4.0892100993133003</v>
      </c>
      <c r="U239" s="169">
        <v>5.8151365000000004</v>
      </c>
      <c r="V239" s="169">
        <v>-26.214390019721023</v>
      </c>
      <c r="W239" s="156">
        <v>4.3159999999999998</v>
      </c>
      <c r="X239" s="174">
        <v>6.8209870833333328</v>
      </c>
      <c r="Y239" s="174">
        <v>-2.4654071106332642</v>
      </c>
      <c r="Z239" s="174">
        <v>4.4079328333333327</v>
      </c>
      <c r="AA239" s="174">
        <v>-23.42695482410312</v>
      </c>
      <c r="AB239" s="174">
        <v>3.047333333333333</v>
      </c>
      <c r="AC239" s="174">
        <v>3.047333333333333</v>
      </c>
      <c r="AD239" s="158">
        <f t="shared" si="93"/>
        <v>1.2598587117981274E-2</v>
      </c>
      <c r="AE239" s="158">
        <f t="shared" si="94"/>
        <v>0.31808063318569169</v>
      </c>
      <c r="AF239" s="159">
        <f t="shared" si="95"/>
        <v>5.9263684510754769E-2</v>
      </c>
      <c r="AG239" s="159">
        <f t="shared" si="96"/>
        <v>1.849682299981227</v>
      </c>
      <c r="AH239" s="160">
        <f t="shared" si="97"/>
        <v>1.3731159525198047</v>
      </c>
      <c r="AI239" s="160">
        <f t="shared" si="98"/>
        <v>42.856401760454752</v>
      </c>
      <c r="AJ239" s="161">
        <f t="shared" si="99"/>
        <v>31.211058091495463</v>
      </c>
      <c r="AK239" s="162">
        <f t="shared" si="100"/>
        <v>0.35619701131996351</v>
      </c>
      <c r="AL239" s="162">
        <f t="shared" si="101"/>
        <v>-28.817435195617904</v>
      </c>
      <c r="AM239" s="163">
        <v>0.36599999999999999</v>
      </c>
      <c r="AN239" s="164">
        <f t="shared" si="81"/>
        <v>0.35619701131996351</v>
      </c>
      <c r="AO239" s="165">
        <f t="shared" si="82"/>
        <v>0.36638363205445063</v>
      </c>
      <c r="AP239" s="166">
        <f t="shared" si="83"/>
        <v>3.8363205445063331E-4</v>
      </c>
      <c r="AQ239" s="166">
        <f t="shared" si="84"/>
        <v>13.731159525198047</v>
      </c>
      <c r="AR239" s="166">
        <f t="shared" si="85"/>
        <v>5.2677129386411094E-2</v>
      </c>
      <c r="AS239" s="166">
        <f t="shared" si="86"/>
        <v>3.8363205445063335</v>
      </c>
      <c r="AT239" s="163">
        <v>1.08</v>
      </c>
      <c r="AU239" s="164">
        <f t="shared" si="87"/>
        <v>-28.817435195617904</v>
      </c>
      <c r="AV239" s="164">
        <f t="shared" si="88"/>
        <v>1.0795366716959978</v>
      </c>
      <c r="AW239" s="168">
        <f t="shared" si="89"/>
        <v>-4.633283040023084E-4</v>
      </c>
      <c r="AX239" s="168">
        <f t="shared" si="90"/>
        <v>428.56401760454753</v>
      </c>
      <c r="AY239" s="168">
        <f t="shared" si="91"/>
        <v>-1.9856583943313046</v>
      </c>
      <c r="AZ239" s="168">
        <f t="shared" si="92"/>
        <v>-4.633283040023084</v>
      </c>
    </row>
    <row r="240" spans="1:52" ht="18" x14ac:dyDescent="0.25">
      <c r="A240">
        <v>5</v>
      </c>
      <c r="B240" t="s">
        <v>48</v>
      </c>
      <c r="C240" t="s">
        <v>30</v>
      </c>
      <c r="D240" t="s">
        <v>428</v>
      </c>
      <c r="E240">
        <v>3</v>
      </c>
      <c r="F240" s="9" t="s">
        <v>64</v>
      </c>
      <c r="G240">
        <v>228</v>
      </c>
      <c r="H240">
        <v>4.1749999999999998</v>
      </c>
      <c r="Q240" s="154">
        <v>39</v>
      </c>
      <c r="R240" s="154" t="s">
        <v>360</v>
      </c>
      <c r="S240" s="154">
        <v>3.81788975</v>
      </c>
      <c r="T240" s="154">
        <v>-3.1829911041322934</v>
      </c>
      <c r="U240" s="154">
        <v>5.4714869999999998</v>
      </c>
      <c r="V240" s="154">
        <v>-23.387287970682198</v>
      </c>
      <c r="W240" s="156">
        <v>4.1749999999999998</v>
      </c>
      <c r="X240" s="174">
        <v>6.8209870833333328</v>
      </c>
      <c r="Y240" s="174">
        <v>-2.4654071106332642</v>
      </c>
      <c r="Z240" s="174">
        <v>4.4079328333333327</v>
      </c>
      <c r="AA240" s="174">
        <v>-23.42695482410312</v>
      </c>
      <c r="AB240" s="174">
        <v>3.047333333333333</v>
      </c>
      <c r="AC240" s="174">
        <v>3.047333333333333</v>
      </c>
      <c r="AD240" s="158">
        <f t="shared" si="93"/>
        <v>1.2598587117981274E-2</v>
      </c>
      <c r="AE240" s="158">
        <f t="shared" si="94"/>
        <v>0.31808063318569169</v>
      </c>
      <c r="AF240" s="159">
        <f t="shared" si="95"/>
        <v>4.8100016622222748E-2</v>
      </c>
      <c r="AG240" s="159">
        <f t="shared" si="96"/>
        <v>1.7403740494272806</v>
      </c>
      <c r="AH240" s="160">
        <f t="shared" si="97"/>
        <v>1.1520962065203055</v>
      </c>
      <c r="AI240" s="160">
        <f t="shared" si="98"/>
        <v>41.685605974306121</v>
      </c>
      <c r="AJ240" s="161">
        <f t="shared" si="99"/>
        <v>36.182400166223815</v>
      </c>
      <c r="AK240" s="162">
        <f t="shared" si="100"/>
        <v>1.2624160065009704</v>
      </c>
      <c r="AL240" s="162">
        <f t="shared" si="101"/>
        <v>-25.990333146579079</v>
      </c>
      <c r="AM240" s="163">
        <v>0.36599999999999999</v>
      </c>
      <c r="AN240" s="164">
        <f t="shared" si="81"/>
        <v>1.2624160065009704</v>
      </c>
      <c r="AO240" s="165">
        <f t="shared" si="82"/>
        <v>0.36671432049226121</v>
      </c>
      <c r="AP240" s="166">
        <f t="shared" si="83"/>
        <v>7.143204922612223E-4</v>
      </c>
      <c r="AQ240" s="166">
        <f t="shared" si="84"/>
        <v>11.520962065203056</v>
      </c>
      <c r="AR240" s="166">
        <f t="shared" si="85"/>
        <v>8.2296592937387156E-2</v>
      </c>
      <c r="AS240" s="166">
        <f t="shared" si="86"/>
        <v>7.143204922612223</v>
      </c>
      <c r="AT240" s="163">
        <v>1.08</v>
      </c>
      <c r="AU240" s="164">
        <f t="shared" si="87"/>
        <v>-25.990333146579079</v>
      </c>
      <c r="AV240" s="164">
        <f t="shared" si="88"/>
        <v>1.0826451690525447</v>
      </c>
      <c r="AW240" s="168">
        <f t="shared" si="89"/>
        <v>2.6451690525446381E-3</v>
      </c>
      <c r="AX240" s="168">
        <f t="shared" si="90"/>
        <v>416.85605974306122</v>
      </c>
      <c r="AY240" s="168">
        <f t="shared" si="91"/>
        <v>11.026547485980442</v>
      </c>
      <c r="AZ240" s="168">
        <f t="shared" si="92"/>
        <v>26.451690525446377</v>
      </c>
    </row>
    <row r="241" spans="1:52" ht="18" x14ac:dyDescent="0.25">
      <c r="A241">
        <v>5</v>
      </c>
      <c r="B241" t="s">
        <v>52</v>
      </c>
      <c r="C241" t="s">
        <v>26</v>
      </c>
      <c r="D241" t="s">
        <v>427</v>
      </c>
      <c r="E241">
        <v>3</v>
      </c>
      <c r="F241" s="9" t="s">
        <v>65</v>
      </c>
      <c r="G241">
        <v>229</v>
      </c>
      <c r="H241">
        <v>4.8029999999999999</v>
      </c>
      <c r="Q241" s="169">
        <v>40</v>
      </c>
      <c r="R241" s="169" t="s">
        <v>361</v>
      </c>
      <c r="S241" s="169">
        <v>5.1872259999999999</v>
      </c>
      <c r="T241" s="169">
        <v>497.16198966761601</v>
      </c>
      <c r="U241" s="169">
        <v>6.632479</v>
      </c>
      <c r="V241" s="169">
        <v>-21.821984484858625</v>
      </c>
      <c r="W241" s="156">
        <v>4.8029999999999999</v>
      </c>
      <c r="X241" s="174">
        <v>6.8209870833333328</v>
      </c>
      <c r="Y241" s="174">
        <v>-2.4654071106332642</v>
      </c>
      <c r="Z241" s="174">
        <v>4.4079328333333327</v>
      </c>
      <c r="AA241" s="174">
        <v>-23.42695482410312</v>
      </c>
      <c r="AB241" s="174">
        <v>3.047333333333333</v>
      </c>
      <c r="AC241" s="174">
        <v>3.047333333333333</v>
      </c>
      <c r="AD241" s="158">
        <f t="shared" si="93"/>
        <v>1.2598587117981274E-2</v>
      </c>
      <c r="AE241" s="158">
        <f t="shared" si="94"/>
        <v>0.31808063318569169</v>
      </c>
      <c r="AF241" s="159">
        <f t="shared" si="95"/>
        <v>6.5351718661657524E-2</v>
      </c>
      <c r="AG241" s="159">
        <f t="shared" si="96"/>
        <v>2.1096631199108034</v>
      </c>
      <c r="AH241" s="160">
        <f t="shared" si="97"/>
        <v>1.360643736449251</v>
      </c>
      <c r="AI241" s="160">
        <f t="shared" si="98"/>
        <v>43.923862584026722</v>
      </c>
      <c r="AJ241" s="161">
        <f t="shared" si="99"/>
        <v>32.281677714293423</v>
      </c>
      <c r="AK241" s="162">
        <f t="shared" si="100"/>
        <v>501.60739677824927</v>
      </c>
      <c r="AL241" s="162">
        <f t="shared" si="101"/>
        <v>-24.425029660755506</v>
      </c>
      <c r="AM241" s="163">
        <v>0.36599999999999999</v>
      </c>
      <c r="AN241" s="164">
        <f t="shared" si="81"/>
        <v>501.60739677824927</v>
      </c>
      <c r="AO241" s="165">
        <f t="shared" si="82"/>
        <v>0.54896066624839002</v>
      </c>
      <c r="AP241" s="166">
        <f t="shared" si="83"/>
        <v>0.18296066624839002</v>
      </c>
      <c r="AQ241" s="166">
        <f t="shared" si="84"/>
        <v>13.606437364492511</v>
      </c>
      <c r="AR241" s="166">
        <f t="shared" si="85"/>
        <v>24.89442845474538</v>
      </c>
      <c r="AS241" s="166">
        <f t="shared" si="86"/>
        <v>1829.6066624839002</v>
      </c>
      <c r="AT241" s="163">
        <v>1.08</v>
      </c>
      <c r="AU241" s="164">
        <f t="shared" si="87"/>
        <v>-24.425029660755506</v>
      </c>
      <c r="AV241" s="164">
        <f t="shared" si="88"/>
        <v>1.0843661908292768</v>
      </c>
      <c r="AW241" s="168">
        <f t="shared" si="89"/>
        <v>4.3661908292766949E-3</v>
      </c>
      <c r="AX241" s="168">
        <f t="shared" si="90"/>
        <v>439.23862584026716</v>
      </c>
      <c r="AY241" s="168">
        <f t="shared" si="91"/>
        <v>19.177996600078718</v>
      </c>
      <c r="AZ241" s="168">
        <f t="shared" si="92"/>
        <v>43.661908292766952</v>
      </c>
    </row>
    <row r="242" spans="1:52" ht="18" x14ac:dyDescent="0.25">
      <c r="A242">
        <v>5</v>
      </c>
      <c r="B242" t="s">
        <v>52</v>
      </c>
      <c r="C242" t="s">
        <v>26</v>
      </c>
      <c r="D242" t="s">
        <v>428</v>
      </c>
      <c r="E242">
        <v>3</v>
      </c>
      <c r="F242" s="9" t="s">
        <v>66</v>
      </c>
      <c r="G242">
        <v>230</v>
      </c>
      <c r="H242">
        <v>4.1379999999999999</v>
      </c>
      <c r="Q242" s="154">
        <v>41</v>
      </c>
      <c r="R242" s="154" t="s">
        <v>362</v>
      </c>
      <c r="S242" s="154">
        <v>3.2571979999999998</v>
      </c>
      <c r="T242" s="154">
        <v>318.87915262877482</v>
      </c>
      <c r="U242" s="154">
        <v>6.1363060000000003</v>
      </c>
      <c r="V242" s="154">
        <v>-24.644872436273552</v>
      </c>
      <c r="W242" s="156">
        <v>4.1379999999999999</v>
      </c>
      <c r="X242" s="174">
        <v>6.8209870833333328</v>
      </c>
      <c r="Y242" s="174">
        <v>-2.4654071106332642</v>
      </c>
      <c r="Z242" s="174">
        <v>4.4079328333333327</v>
      </c>
      <c r="AA242" s="174">
        <v>-23.42695482410312</v>
      </c>
      <c r="AB242" s="174">
        <v>3.047333333333333</v>
      </c>
      <c r="AC242" s="174">
        <v>3.047333333333333</v>
      </c>
      <c r="AD242" s="158">
        <f t="shared" si="93"/>
        <v>1.2598587117981274E-2</v>
      </c>
      <c r="AE242" s="158">
        <f t="shared" si="94"/>
        <v>0.31808063318569169</v>
      </c>
      <c r="AF242" s="159">
        <f t="shared" si="95"/>
        <v>4.1036092763514366E-2</v>
      </c>
      <c r="AG242" s="159">
        <f t="shared" si="96"/>
        <v>1.9518400979011592</v>
      </c>
      <c r="AH242" s="160">
        <f t="shared" si="97"/>
        <v>0.99168904696748106</v>
      </c>
      <c r="AI242" s="160">
        <f t="shared" si="98"/>
        <v>47.168682887896544</v>
      </c>
      <c r="AJ242" s="161">
        <f t="shared" si="99"/>
        <v>47.563984932711755</v>
      </c>
      <c r="AK242" s="162">
        <f t="shared" si="100"/>
        <v>323.32455973940807</v>
      </c>
      <c r="AL242" s="162">
        <f t="shared" si="101"/>
        <v>-27.247917612170433</v>
      </c>
      <c r="AM242" s="163">
        <v>0.36599999999999999</v>
      </c>
      <c r="AN242" s="164">
        <f t="shared" si="81"/>
        <v>323.32455973940807</v>
      </c>
      <c r="AO242" s="165">
        <f t="shared" si="82"/>
        <v>0.48409918777371092</v>
      </c>
      <c r="AP242" s="166">
        <f t="shared" si="83"/>
        <v>0.11809918777371092</v>
      </c>
      <c r="AQ242" s="166">
        <f t="shared" si="84"/>
        <v>9.9168904696748115</v>
      </c>
      <c r="AR242" s="166">
        <f t="shared" si="85"/>
        <v>11.7117670970945</v>
      </c>
      <c r="AS242" s="166">
        <f t="shared" si="86"/>
        <v>1180.9918777371092</v>
      </c>
      <c r="AT242" s="163">
        <v>1.08</v>
      </c>
      <c r="AU242" s="164">
        <f t="shared" si="87"/>
        <v>-27.247917612170433</v>
      </c>
      <c r="AV242" s="164">
        <f t="shared" si="88"/>
        <v>1.081262435171926</v>
      </c>
      <c r="AW242" s="168">
        <f t="shared" si="89"/>
        <v>1.2624351719259241E-3</v>
      </c>
      <c r="AX242" s="168">
        <f t="shared" si="90"/>
        <v>471.68682887896546</v>
      </c>
      <c r="AY242" s="168">
        <f t="shared" si="91"/>
        <v>5.9547404291101076</v>
      </c>
      <c r="AZ242" s="168">
        <f t="shared" si="92"/>
        <v>12.624351719259241</v>
      </c>
    </row>
    <row r="243" spans="1:52" ht="18" x14ac:dyDescent="0.25">
      <c r="A243">
        <v>5</v>
      </c>
      <c r="B243" t="s">
        <v>52</v>
      </c>
      <c r="C243" t="s">
        <v>28</v>
      </c>
      <c r="D243" t="s">
        <v>427</v>
      </c>
      <c r="E243">
        <v>3</v>
      </c>
      <c r="F243" s="9" t="s">
        <v>67</v>
      </c>
      <c r="G243">
        <v>231</v>
      </c>
      <c r="H243">
        <v>4.5350000000000001</v>
      </c>
      <c r="Q243" s="169">
        <v>42</v>
      </c>
      <c r="R243" s="169" t="s">
        <v>363</v>
      </c>
      <c r="S243" s="169">
        <v>4.3654045000000004</v>
      </c>
      <c r="T243" s="169">
        <v>610.51031096258532</v>
      </c>
      <c r="U243" s="169">
        <v>6.2318480000000003</v>
      </c>
      <c r="V243" s="169">
        <v>-20.148545806936411</v>
      </c>
      <c r="W243" s="156">
        <v>4.5350000000000001</v>
      </c>
      <c r="X243" s="174">
        <v>6.8209870833333328</v>
      </c>
      <c r="Y243" s="174">
        <v>-2.4654071106332642</v>
      </c>
      <c r="Z243" s="174">
        <v>4.4079328333333327</v>
      </c>
      <c r="AA243" s="174">
        <v>-23.42695482410312</v>
      </c>
      <c r="AB243" s="174">
        <v>3.047333333333333</v>
      </c>
      <c r="AC243" s="174">
        <v>3.047333333333333</v>
      </c>
      <c r="AD243" s="158">
        <f t="shared" si="93"/>
        <v>1.2598587117981274E-2</v>
      </c>
      <c r="AE243" s="158">
        <f t="shared" si="94"/>
        <v>0.31808063318569169</v>
      </c>
      <c r="AF243" s="159">
        <f t="shared" si="95"/>
        <v>5.4997928898477488E-2</v>
      </c>
      <c r="AG243" s="159">
        <f t="shared" si="96"/>
        <v>1.9822301577569865</v>
      </c>
      <c r="AH243" s="160">
        <f t="shared" si="97"/>
        <v>1.212743746383186</v>
      </c>
      <c r="AI243" s="160">
        <f t="shared" si="98"/>
        <v>43.709595540396613</v>
      </c>
      <c r="AJ243" s="161">
        <f t="shared" si="99"/>
        <v>36.041905530952832</v>
      </c>
      <c r="AK243" s="162">
        <f t="shared" si="100"/>
        <v>614.95571807321858</v>
      </c>
      <c r="AL243" s="162">
        <f t="shared" si="101"/>
        <v>-22.751590982833292</v>
      </c>
      <c r="AM243" s="163">
        <v>0.36599999999999999</v>
      </c>
      <c r="AN243" s="164">
        <f t="shared" si="81"/>
        <v>614.95571807321858</v>
      </c>
      <c r="AO243" s="165">
        <f t="shared" si="82"/>
        <v>0.59015422583057675</v>
      </c>
      <c r="AP243" s="166">
        <f t="shared" si="83"/>
        <v>0.22415422583057676</v>
      </c>
      <c r="AQ243" s="166">
        <f t="shared" si="84"/>
        <v>12.12743746383186</v>
      </c>
      <c r="AR243" s="166">
        <f t="shared" si="85"/>
        <v>27.184163560139638</v>
      </c>
      <c r="AS243" s="166">
        <f t="shared" si="86"/>
        <v>2241.5422583057675</v>
      </c>
      <c r="AT243" s="163">
        <v>1.08</v>
      </c>
      <c r="AU243" s="164">
        <f t="shared" si="87"/>
        <v>-22.751590982833292</v>
      </c>
      <c r="AV243" s="164">
        <f t="shared" si="88"/>
        <v>1.0862060389842456</v>
      </c>
      <c r="AW243" s="168">
        <f t="shared" si="89"/>
        <v>6.2060389842455432E-3</v>
      </c>
      <c r="AX243" s="168">
        <f t="shared" si="90"/>
        <v>437.09595540396612</v>
      </c>
      <c r="AY243" s="168">
        <f t="shared" si="91"/>
        <v>27.126345390930652</v>
      </c>
      <c r="AZ243" s="168">
        <f t="shared" si="92"/>
        <v>62.060389842455436</v>
      </c>
    </row>
    <row r="244" spans="1:52" ht="18" x14ac:dyDescent="0.25">
      <c r="A244">
        <v>5</v>
      </c>
      <c r="B244" t="s">
        <v>52</v>
      </c>
      <c r="C244" t="s">
        <v>28</v>
      </c>
      <c r="D244" t="s">
        <v>428</v>
      </c>
      <c r="E244">
        <v>3</v>
      </c>
      <c r="F244" s="9" t="s">
        <v>68</v>
      </c>
      <c r="G244">
        <v>232</v>
      </c>
      <c r="H244">
        <v>4.4340000000000002</v>
      </c>
      <c r="Q244" s="154">
        <v>43</v>
      </c>
      <c r="R244" s="154" t="s">
        <v>364</v>
      </c>
      <c r="S244" s="154">
        <v>3.35906875</v>
      </c>
      <c r="T244" s="154">
        <v>228.69175468608159</v>
      </c>
      <c r="U244" s="154">
        <v>6.2275559999999999</v>
      </c>
      <c r="V244" s="154">
        <v>-23.913498352401895</v>
      </c>
      <c r="W244" s="156">
        <v>4.4340000000000002</v>
      </c>
      <c r="X244" s="174">
        <v>6.8209870833333328</v>
      </c>
      <c r="Y244" s="174">
        <v>-2.4654071106332642</v>
      </c>
      <c r="Z244" s="174">
        <v>4.4079328333333327</v>
      </c>
      <c r="AA244" s="174">
        <v>-23.42695482410312</v>
      </c>
      <c r="AB244" s="174">
        <v>3.047333333333333</v>
      </c>
      <c r="AC244" s="174">
        <v>3.047333333333333</v>
      </c>
      <c r="AD244" s="158">
        <f t="shared" si="93"/>
        <v>1.2598587117981274E-2</v>
      </c>
      <c r="AE244" s="158">
        <f t="shared" si="94"/>
        <v>0.31808063318569169</v>
      </c>
      <c r="AF244" s="159">
        <f t="shared" si="95"/>
        <v>4.2319520282163459E-2</v>
      </c>
      <c r="AG244" s="159">
        <f t="shared" si="96"/>
        <v>1.9808649556793534</v>
      </c>
      <c r="AH244" s="160">
        <f t="shared" si="97"/>
        <v>0.95443212183499015</v>
      </c>
      <c r="AI244" s="160">
        <f t="shared" si="98"/>
        <v>44.674446451947524</v>
      </c>
      <c r="AJ244" s="161">
        <f t="shared" si="99"/>
        <v>46.807358459453873</v>
      </c>
      <c r="AK244" s="162">
        <f t="shared" si="100"/>
        <v>233.13716179671485</v>
      </c>
      <c r="AL244" s="162">
        <f t="shared" si="101"/>
        <v>-26.516543528298776</v>
      </c>
      <c r="AM244" s="163">
        <v>0.36599999999999999</v>
      </c>
      <c r="AN244" s="164">
        <f t="shared" si="81"/>
        <v>233.13716179671485</v>
      </c>
      <c r="AO244" s="165">
        <f t="shared" si="82"/>
        <v>0.45125567320147814</v>
      </c>
      <c r="AP244" s="166">
        <f t="shared" si="83"/>
        <v>8.5255673201478144E-2</v>
      </c>
      <c r="AQ244" s="166">
        <f t="shared" si="84"/>
        <v>9.5443212183499018</v>
      </c>
      <c r="AR244" s="166">
        <f t="shared" si="85"/>
        <v>8.1370753072157296</v>
      </c>
      <c r="AS244" s="166">
        <f t="shared" si="86"/>
        <v>852.55673201478157</v>
      </c>
      <c r="AT244" s="163">
        <v>1.08</v>
      </c>
      <c r="AU244" s="164">
        <f t="shared" si="87"/>
        <v>-26.516543528298776</v>
      </c>
      <c r="AV244" s="164">
        <f t="shared" si="88"/>
        <v>1.0820665971729353</v>
      </c>
      <c r="AW244" s="168">
        <f t="shared" si="89"/>
        <v>2.066597172935225E-3</v>
      </c>
      <c r="AX244" s="168">
        <f t="shared" si="90"/>
        <v>446.74446451947523</v>
      </c>
      <c r="AY244" s="168">
        <f t="shared" si="91"/>
        <v>9.2324084740040853</v>
      </c>
      <c r="AZ244" s="168">
        <f t="shared" si="92"/>
        <v>20.66597172935225</v>
      </c>
    </row>
    <row r="245" spans="1:52" ht="18" x14ac:dyDescent="0.25">
      <c r="A245">
        <v>5</v>
      </c>
      <c r="B245" t="s">
        <v>52</v>
      </c>
      <c r="C245" t="s">
        <v>30</v>
      </c>
      <c r="D245" t="s">
        <v>427</v>
      </c>
      <c r="E245">
        <v>3</v>
      </c>
      <c r="F245" s="9" t="s">
        <v>69</v>
      </c>
      <c r="G245">
        <v>233</v>
      </c>
      <c r="H245">
        <v>4.1289999999999996</v>
      </c>
      <c r="Q245" s="169">
        <v>44</v>
      </c>
      <c r="R245" s="169" t="s">
        <v>365</v>
      </c>
      <c r="S245" s="169">
        <v>4.8975179999999998</v>
      </c>
      <c r="T245" s="169">
        <v>-5.0078935471305153</v>
      </c>
      <c r="U245" s="169">
        <v>5.2931875000000002</v>
      </c>
      <c r="V245" s="169">
        <v>-25.335419234150223</v>
      </c>
      <c r="W245" s="156">
        <v>4.1289999999999996</v>
      </c>
      <c r="X245" s="174">
        <v>6.8209870833333328</v>
      </c>
      <c r="Y245" s="174">
        <v>-2.4654071106332642</v>
      </c>
      <c r="Z245" s="174">
        <v>4.4079328333333327</v>
      </c>
      <c r="AA245" s="174">
        <v>-23.42695482410312</v>
      </c>
      <c r="AB245" s="174">
        <v>3.047333333333333</v>
      </c>
      <c r="AC245" s="174">
        <v>3.047333333333333</v>
      </c>
      <c r="AD245" s="158">
        <f t="shared" si="93"/>
        <v>1.2598587117981274E-2</v>
      </c>
      <c r="AE245" s="158">
        <f t="shared" si="94"/>
        <v>0.31808063318569169</v>
      </c>
      <c r="AF245" s="159">
        <f t="shared" si="95"/>
        <v>6.1701807184881406E-2</v>
      </c>
      <c r="AG245" s="159">
        <f t="shared" si="96"/>
        <v>1.6836604315705885</v>
      </c>
      <c r="AH245" s="160">
        <f t="shared" si="97"/>
        <v>1.4943523173863262</v>
      </c>
      <c r="AI245" s="160">
        <f t="shared" si="98"/>
        <v>40.77646964326928</v>
      </c>
      <c r="AJ245" s="161">
        <f t="shared" si="99"/>
        <v>27.287052168921406</v>
      </c>
      <c r="AK245" s="162">
        <f t="shared" si="100"/>
        <v>-0.5624864364972515</v>
      </c>
      <c r="AL245" s="162">
        <f t="shared" si="101"/>
        <v>-27.938464410047104</v>
      </c>
      <c r="AM245" s="163">
        <v>0.36599999999999999</v>
      </c>
      <c r="AN245" s="164">
        <f t="shared" si="81"/>
        <v>-0.5624864364972515</v>
      </c>
      <c r="AO245" s="165">
        <f t="shared" si="82"/>
        <v>0.36604839297169328</v>
      </c>
      <c r="AP245" s="166">
        <f t="shared" si="83"/>
        <v>4.8392971693289599E-5</v>
      </c>
      <c r="AQ245" s="166">
        <f t="shared" si="84"/>
        <v>14.943523173863262</v>
      </c>
      <c r="AR245" s="166">
        <f t="shared" si="85"/>
        <v>7.2316149395078196E-3</v>
      </c>
      <c r="AS245" s="166">
        <f t="shared" si="86"/>
        <v>0.48392971693289599</v>
      </c>
      <c r="AT245" s="163">
        <v>1.08</v>
      </c>
      <c r="AU245" s="164">
        <f t="shared" si="87"/>
        <v>-27.938464410047104</v>
      </c>
      <c r="AV245" s="164">
        <f t="shared" si="88"/>
        <v>1.0805031516753099</v>
      </c>
      <c r="AW245" s="168">
        <f t="shared" si="89"/>
        <v>5.0315167530978755E-4</v>
      </c>
      <c r="AX245" s="168">
        <f t="shared" si="90"/>
        <v>407.7646964326928</v>
      </c>
      <c r="AY245" s="168">
        <f t="shared" si="91"/>
        <v>2.0516749014229636</v>
      </c>
      <c r="AZ245" s="168">
        <f t="shared" si="92"/>
        <v>5.0315167530978755</v>
      </c>
    </row>
    <row r="246" spans="1:52" ht="18" x14ac:dyDescent="0.25">
      <c r="A246">
        <v>5</v>
      </c>
      <c r="B246" t="s">
        <v>52</v>
      </c>
      <c r="C246" t="s">
        <v>30</v>
      </c>
      <c r="D246" t="s">
        <v>428</v>
      </c>
      <c r="E246">
        <v>3</v>
      </c>
      <c r="F246" s="9" t="s">
        <v>70</v>
      </c>
      <c r="G246">
        <v>234</v>
      </c>
      <c r="H246">
        <v>4.4139999999999997</v>
      </c>
      <c r="Q246" s="154">
        <v>45</v>
      </c>
      <c r="R246" s="154" t="s">
        <v>366</v>
      </c>
      <c r="S246" s="154">
        <v>3.92102225</v>
      </c>
      <c r="T246" s="154">
        <v>-1.8764140936145228</v>
      </c>
      <c r="U246" s="154">
        <v>5.7921860000000001</v>
      </c>
      <c r="V246" s="154">
        <v>-23.47522773598368</v>
      </c>
      <c r="W246" s="156">
        <v>4.4139999999999997</v>
      </c>
      <c r="X246" s="174">
        <v>6.8209870833333328</v>
      </c>
      <c r="Y246" s="174">
        <v>-2.4654071106332642</v>
      </c>
      <c r="Z246" s="174">
        <v>4.4079328333333327</v>
      </c>
      <c r="AA246" s="174">
        <v>-23.42695482410312</v>
      </c>
      <c r="AB246" s="174">
        <v>3.047333333333333</v>
      </c>
      <c r="AC246" s="174">
        <v>3.047333333333333</v>
      </c>
      <c r="AD246" s="158">
        <f t="shared" si="93"/>
        <v>1.2598587117981274E-2</v>
      </c>
      <c r="AE246" s="158">
        <f t="shared" si="94"/>
        <v>0.31808063318569169</v>
      </c>
      <c r="AF246" s="159">
        <f t="shared" si="95"/>
        <v>4.9399340408167951E-2</v>
      </c>
      <c r="AG246" s="159">
        <f t="shared" si="96"/>
        <v>1.8423821904092987</v>
      </c>
      <c r="AH246" s="160">
        <f t="shared" si="97"/>
        <v>1.1191513459032161</v>
      </c>
      <c r="AI246" s="160">
        <f t="shared" si="98"/>
        <v>41.739514961696848</v>
      </c>
      <c r="AJ246" s="161">
        <f t="shared" si="99"/>
        <v>37.29568401493615</v>
      </c>
      <c r="AK246" s="162">
        <f t="shared" si="100"/>
        <v>2.5689930170187409</v>
      </c>
      <c r="AL246" s="162">
        <f t="shared" si="101"/>
        <v>-26.078272911880561</v>
      </c>
      <c r="AM246" s="163">
        <v>0.36599999999999999</v>
      </c>
      <c r="AN246" s="164">
        <f t="shared" si="81"/>
        <v>2.5689930170187409</v>
      </c>
      <c r="AO246" s="165">
        <f t="shared" si="82"/>
        <v>0.36719109973781955</v>
      </c>
      <c r="AP246" s="166">
        <f t="shared" si="83"/>
        <v>1.1910997378195565E-3</v>
      </c>
      <c r="AQ246" s="166">
        <f t="shared" si="84"/>
        <v>11.191513459032162</v>
      </c>
      <c r="AR246" s="166">
        <f t="shared" si="85"/>
        <v>0.13330208746857244</v>
      </c>
      <c r="AS246" s="166">
        <f t="shared" si="86"/>
        <v>11.910997378195564</v>
      </c>
      <c r="AT246" s="163">
        <v>1.08</v>
      </c>
      <c r="AU246" s="164">
        <f t="shared" si="87"/>
        <v>-26.078272911880561</v>
      </c>
      <c r="AV246" s="164">
        <f t="shared" si="88"/>
        <v>1.0825484791558619</v>
      </c>
      <c r="AW246" s="168">
        <f t="shared" si="89"/>
        <v>2.5484791558618713E-3</v>
      </c>
      <c r="AX246" s="168">
        <f t="shared" si="90"/>
        <v>417.39514961696852</v>
      </c>
      <c r="AY246" s="168">
        <f t="shared" si="91"/>
        <v>10.637228385566914</v>
      </c>
      <c r="AZ246" s="168">
        <f t="shared" si="92"/>
        <v>25.484791558618713</v>
      </c>
    </row>
    <row r="247" spans="1:52" ht="18" x14ac:dyDescent="0.25">
      <c r="A247">
        <v>5</v>
      </c>
      <c r="B247" t="s">
        <v>56</v>
      </c>
      <c r="C247" t="s">
        <v>26</v>
      </c>
      <c r="D247" t="s">
        <v>427</v>
      </c>
      <c r="E247">
        <v>3</v>
      </c>
      <c r="F247" s="9" t="s">
        <v>71</v>
      </c>
      <c r="G247">
        <v>235</v>
      </c>
      <c r="H247">
        <v>4.8550000000000004</v>
      </c>
      <c r="Q247" s="169">
        <v>46</v>
      </c>
      <c r="R247" s="169" t="s">
        <v>367</v>
      </c>
      <c r="S247" s="169">
        <v>4.7018135000000001</v>
      </c>
      <c r="T247" s="169">
        <v>392.80561093627864</v>
      </c>
      <c r="U247" s="169">
        <v>6.643383</v>
      </c>
      <c r="V247" s="169">
        <v>-23.961823166139848</v>
      </c>
      <c r="W247" s="156">
        <v>4.8550000000000004</v>
      </c>
      <c r="X247" s="174">
        <v>6.8209870833333328</v>
      </c>
      <c r="Y247" s="174">
        <v>-2.4654071106332642</v>
      </c>
      <c r="Z247" s="174">
        <v>4.4079328333333327</v>
      </c>
      <c r="AA247" s="174">
        <v>-23.42695482410312</v>
      </c>
      <c r="AB247" s="174">
        <v>3.047333333333333</v>
      </c>
      <c r="AC247" s="174">
        <v>3.047333333333333</v>
      </c>
      <c r="AD247" s="158">
        <f t="shared" si="93"/>
        <v>1.2598587117981274E-2</v>
      </c>
      <c r="AE247" s="158">
        <f t="shared" si="94"/>
        <v>0.31808063318569169</v>
      </c>
      <c r="AF247" s="159">
        <f t="shared" si="95"/>
        <v>5.9236206992250448E-2</v>
      </c>
      <c r="AG247" s="159">
        <f t="shared" si="96"/>
        <v>2.1131314711350599</v>
      </c>
      <c r="AH247" s="160">
        <f t="shared" si="97"/>
        <v>1.2201072500978463</v>
      </c>
      <c r="AI247" s="160">
        <f t="shared" si="98"/>
        <v>43.524850074872496</v>
      </c>
      <c r="AJ247" s="161">
        <f t="shared" si="99"/>
        <v>35.672970610888534</v>
      </c>
      <c r="AK247" s="162">
        <f t="shared" si="100"/>
        <v>397.25101804691189</v>
      </c>
      <c r="AL247" s="162">
        <f t="shared" si="101"/>
        <v>-26.564868342036728</v>
      </c>
      <c r="AM247" s="163">
        <v>0.36599999999999999</v>
      </c>
      <c r="AN247" s="164">
        <f t="shared" si="81"/>
        <v>397.25101804691189</v>
      </c>
      <c r="AO247" s="165">
        <f t="shared" si="82"/>
        <v>0.5110048029513351</v>
      </c>
      <c r="AP247" s="166">
        <f t="shared" si="83"/>
        <v>0.14500480295133511</v>
      </c>
      <c r="AQ247" s="166">
        <f t="shared" si="84"/>
        <v>12.201072500978462</v>
      </c>
      <c r="AR247" s="166">
        <f t="shared" si="85"/>
        <v>17.692141137993353</v>
      </c>
      <c r="AS247" s="166">
        <f t="shared" si="86"/>
        <v>1450.0480295133511</v>
      </c>
      <c r="AT247" s="163">
        <v>1.08</v>
      </c>
      <c r="AU247" s="164">
        <f t="shared" si="87"/>
        <v>-26.564868342036728</v>
      </c>
      <c r="AV247" s="164">
        <f t="shared" si="88"/>
        <v>1.0820134633735243</v>
      </c>
      <c r="AW247" s="168">
        <f t="shared" si="89"/>
        <v>2.0134633735242602E-3</v>
      </c>
      <c r="AX247" s="168">
        <f t="shared" si="90"/>
        <v>435.24850074872495</v>
      </c>
      <c r="AY247" s="168">
        <f t="shared" si="91"/>
        <v>8.7635691463890417</v>
      </c>
      <c r="AZ247" s="168">
        <f t="shared" si="92"/>
        <v>20.134633735242602</v>
      </c>
    </row>
    <row r="248" spans="1:52" ht="18" x14ac:dyDescent="0.25">
      <c r="I248" s="25" t="s">
        <v>469</v>
      </c>
      <c r="Q248" s="154">
        <v>47</v>
      </c>
      <c r="R248" s="154" t="s">
        <v>368</v>
      </c>
      <c r="S248" s="154">
        <v>8.6348979999999997</v>
      </c>
      <c r="T248" s="154">
        <v>-2.6157582394378376</v>
      </c>
      <c r="U248" s="154">
        <v>5.3537964999999996</v>
      </c>
      <c r="V248" s="154">
        <v>-23.212938753472379</v>
      </c>
      <c r="W248" s="154">
        <v>3.6829999999999998</v>
      </c>
      <c r="X248" s="174">
        <v>6.8209870833333328</v>
      </c>
      <c r="Y248" s="174">
        <v>-2.4654071106332642</v>
      </c>
      <c r="Z248" s="174">
        <v>4.4079328333333327</v>
      </c>
      <c r="AA248" s="174">
        <v>-23.42695482410312</v>
      </c>
      <c r="AB248" s="174">
        <v>3.047333333333333</v>
      </c>
      <c r="AC248" s="174">
        <v>3.047333333333333</v>
      </c>
      <c r="AD248" s="158">
        <f t="shared" si="93"/>
        <v>1.2598587117981274E-2</v>
      </c>
      <c r="AE248" s="158">
        <f t="shared" si="94"/>
        <v>0.31808063318569169</v>
      </c>
      <c r="AF248" s="159">
        <f t="shared" si="95"/>
        <v>0.10878751470788225</v>
      </c>
      <c r="AG248" s="159">
        <f t="shared" si="96"/>
        <v>1.7029389806673398</v>
      </c>
      <c r="AH248" s="160">
        <f t="shared" si="97"/>
        <v>2.9537744965485273</v>
      </c>
      <c r="AI248" s="160">
        <f t="shared" si="98"/>
        <v>46.237821902452893</v>
      </c>
      <c r="AJ248" s="161">
        <f t="shared" si="99"/>
        <v>15.65380903534836</v>
      </c>
      <c r="AK248" s="162">
        <f t="shared" si="100"/>
        <v>1.8296488711954262</v>
      </c>
      <c r="AL248" s="162">
        <f t="shared" si="101"/>
        <v>-25.81598392936926</v>
      </c>
      <c r="AM248" s="163">
        <v>0.36599999999999999</v>
      </c>
      <c r="AN248" s="164">
        <f t="shared" si="81"/>
        <v>1.8296488711954262</v>
      </c>
      <c r="AO248" s="165">
        <f t="shared" si="82"/>
        <v>0.3669213083601281</v>
      </c>
      <c r="AP248" s="166">
        <f t="shared" si="83"/>
        <v>9.2130836012810358E-4</v>
      </c>
      <c r="AQ248" s="166">
        <f t="shared" si="84"/>
        <v>29.537744965485274</v>
      </c>
      <c r="AR248" s="166">
        <f t="shared" si="85"/>
        <v>0.27213371376033385</v>
      </c>
      <c r="AS248" s="166">
        <f t="shared" si="86"/>
        <v>9.2130836012810349</v>
      </c>
      <c r="AT248" s="163">
        <v>1.08</v>
      </c>
      <c r="AU248" s="164">
        <f t="shared" si="87"/>
        <v>-25.81598392936926</v>
      </c>
      <c r="AV248" s="164">
        <f t="shared" si="88"/>
        <v>1.0828368657052849</v>
      </c>
      <c r="AW248" s="168">
        <f t="shared" si="89"/>
        <v>2.8368657052848523E-3</v>
      </c>
      <c r="AX248" s="168">
        <f t="shared" si="90"/>
        <v>462.3782190245289</v>
      </c>
      <c r="AY248" s="168">
        <f t="shared" si="91"/>
        <v>13.117049124213743</v>
      </c>
      <c r="AZ248" s="168">
        <f t="shared" si="92"/>
        <v>28.368657052848523</v>
      </c>
    </row>
    <row r="249" spans="1:52" ht="18" x14ac:dyDescent="0.25">
      <c r="A249">
        <v>5</v>
      </c>
      <c r="B249" t="s">
        <v>56</v>
      </c>
      <c r="C249" t="s">
        <v>26</v>
      </c>
      <c r="D249" t="s">
        <v>428</v>
      </c>
      <c r="E249">
        <v>3</v>
      </c>
      <c r="F249" s="9" t="s">
        <v>120</v>
      </c>
      <c r="G249">
        <v>236</v>
      </c>
      <c r="H249">
        <v>4.0339999999999998</v>
      </c>
      <c r="Q249" s="169">
        <v>48</v>
      </c>
      <c r="R249" s="169" t="s">
        <v>369</v>
      </c>
      <c r="S249" s="169">
        <v>3.5827787500000001</v>
      </c>
      <c r="T249" s="169">
        <v>211.69128389280996</v>
      </c>
      <c r="U249" s="169">
        <v>5.7914985000000003</v>
      </c>
      <c r="V249" s="169">
        <v>-28.610860533341029</v>
      </c>
      <c r="W249" s="156">
        <v>4.0339999999999998</v>
      </c>
      <c r="X249" s="174">
        <v>6.8209870833333328</v>
      </c>
      <c r="Y249" s="174">
        <v>-2.4654071106332642</v>
      </c>
      <c r="Z249" s="174">
        <v>4.4079328333333327</v>
      </c>
      <c r="AA249" s="174">
        <v>-23.42695482410312</v>
      </c>
      <c r="AB249" s="174">
        <v>3.047333333333333</v>
      </c>
      <c r="AC249" s="174">
        <v>3.047333333333333</v>
      </c>
      <c r="AD249" s="158">
        <f t="shared" si="93"/>
        <v>1.2598587117981274E-2</v>
      </c>
      <c r="AE249" s="158">
        <f t="shared" si="94"/>
        <v>0.31808063318569169</v>
      </c>
      <c r="AF249" s="159">
        <f t="shared" si="95"/>
        <v>4.5137950206327049E-2</v>
      </c>
      <c r="AG249" s="159">
        <f t="shared" si="96"/>
        <v>1.8421635099739837</v>
      </c>
      <c r="AH249" s="160">
        <f t="shared" si="97"/>
        <v>1.1189377839942252</v>
      </c>
      <c r="AI249" s="160">
        <f t="shared" si="98"/>
        <v>45.665927366732369</v>
      </c>
      <c r="AJ249" s="161">
        <f t="shared" si="99"/>
        <v>40.81185569024278</v>
      </c>
      <c r="AK249" s="162">
        <f t="shared" si="100"/>
        <v>216.13669100344322</v>
      </c>
      <c r="AL249" s="162">
        <f t="shared" si="101"/>
        <v>-31.21390570923791</v>
      </c>
      <c r="AM249" s="163">
        <v>0.36599999999999999</v>
      </c>
      <c r="AN249" s="164">
        <f t="shared" si="81"/>
        <v>216.13669100344322</v>
      </c>
      <c r="AO249" s="165">
        <f t="shared" si="82"/>
        <v>0.44506218887447607</v>
      </c>
      <c r="AP249" s="166">
        <f t="shared" si="83"/>
        <v>7.906218887447608E-2</v>
      </c>
      <c r="AQ249" s="166">
        <f t="shared" si="84"/>
        <v>11.189377839942251</v>
      </c>
      <c r="AR249" s="166">
        <f t="shared" si="85"/>
        <v>8.8465670416939144</v>
      </c>
      <c r="AS249" s="166">
        <f t="shared" si="86"/>
        <v>790.62188874476067</v>
      </c>
      <c r="AT249" s="163">
        <v>1.08</v>
      </c>
      <c r="AU249" s="164">
        <f t="shared" si="87"/>
        <v>-31.21390570923791</v>
      </c>
      <c r="AV249" s="164">
        <f t="shared" si="88"/>
        <v>1.0769015157379185</v>
      </c>
      <c r="AW249" s="168">
        <f t="shared" si="89"/>
        <v>-3.0984842620815911E-3</v>
      </c>
      <c r="AX249" s="168">
        <f t="shared" si="90"/>
        <v>456.65927366732365</v>
      </c>
      <c r="AY249" s="168">
        <f t="shared" si="91"/>
        <v>-14.149515725918125</v>
      </c>
      <c r="AZ249" s="168">
        <f t="shared" si="92"/>
        <v>-30.984842620815908</v>
      </c>
    </row>
    <row r="250" spans="1:52" ht="18" x14ac:dyDescent="0.25">
      <c r="A250">
        <v>5</v>
      </c>
      <c r="B250" t="s">
        <v>56</v>
      </c>
      <c r="C250" t="s">
        <v>28</v>
      </c>
      <c r="D250" t="s">
        <v>427</v>
      </c>
      <c r="E250">
        <v>3</v>
      </c>
      <c r="F250" s="9" t="s">
        <v>121</v>
      </c>
      <c r="G250">
        <v>237</v>
      </c>
      <c r="H250">
        <v>4.3440000000000003</v>
      </c>
      <c r="Q250" s="154">
        <v>49</v>
      </c>
      <c r="R250" s="154" t="s">
        <v>370</v>
      </c>
      <c r="S250" s="154">
        <v>4.5425209999999998</v>
      </c>
      <c r="T250" s="154">
        <v>876.76938920840803</v>
      </c>
      <c r="U250" s="154">
        <v>5.4783514999999996</v>
      </c>
      <c r="V250" s="154">
        <v>-18.225463001114441</v>
      </c>
      <c r="W250" s="156">
        <v>4.3440000000000003</v>
      </c>
      <c r="X250" s="174">
        <v>6.8209870833333328</v>
      </c>
      <c r="Y250" s="174">
        <v>-2.4654071106332642</v>
      </c>
      <c r="Z250" s="174">
        <v>4.4079328333333327</v>
      </c>
      <c r="AA250" s="174">
        <v>-23.42695482410312</v>
      </c>
      <c r="AB250" s="174">
        <v>3.047333333333333</v>
      </c>
      <c r="AC250" s="174">
        <v>3.047333333333333</v>
      </c>
      <c r="AD250" s="158">
        <f t="shared" si="93"/>
        <v>1.2598587117981274E-2</v>
      </c>
      <c r="AE250" s="158">
        <f t="shared" si="94"/>
        <v>0.31808063318569169</v>
      </c>
      <c r="AF250" s="159">
        <f t="shared" si="95"/>
        <v>5.7229346553759414E-2</v>
      </c>
      <c r="AG250" s="159">
        <f t="shared" si="96"/>
        <v>1.7425575139337837</v>
      </c>
      <c r="AH250" s="160">
        <f t="shared" si="97"/>
        <v>1.3174343129318464</v>
      </c>
      <c r="AI250" s="160">
        <f t="shared" si="98"/>
        <v>40.114123248936089</v>
      </c>
      <c r="AJ250" s="161">
        <f t="shared" si="99"/>
        <v>30.448670461349423</v>
      </c>
      <c r="AK250" s="162">
        <f t="shared" si="100"/>
        <v>881.21479631904128</v>
      </c>
      <c r="AL250" s="162">
        <f t="shared" si="101"/>
        <v>-20.828508177011322</v>
      </c>
      <c r="AM250" s="163">
        <v>0.36599999999999999</v>
      </c>
      <c r="AN250" s="164">
        <f t="shared" si="81"/>
        <v>881.21479631904128</v>
      </c>
      <c r="AO250" s="165">
        <f t="shared" si="82"/>
        <v>0.68678520210733796</v>
      </c>
      <c r="AP250" s="166">
        <f t="shared" si="83"/>
        <v>0.32078520210733796</v>
      </c>
      <c r="AQ250" s="166">
        <f t="shared" si="84"/>
        <v>13.174343129318464</v>
      </c>
      <c r="AR250" s="166">
        <f t="shared" si="85"/>
        <v>42.261343233698426</v>
      </c>
      <c r="AS250" s="166">
        <f t="shared" si="86"/>
        <v>3207.85202107338</v>
      </c>
      <c r="AT250" s="163">
        <v>1.08</v>
      </c>
      <c r="AU250" s="164">
        <f t="shared" si="87"/>
        <v>-20.828508177011322</v>
      </c>
      <c r="AV250" s="164">
        <f t="shared" si="88"/>
        <v>1.0883202717688831</v>
      </c>
      <c r="AW250" s="168">
        <f t="shared" si="89"/>
        <v>8.3202717688830585E-3</v>
      </c>
      <c r="AX250" s="168">
        <f t="shared" si="90"/>
        <v>401.1412324893609</v>
      </c>
      <c r="AY250" s="168">
        <f t="shared" si="91"/>
        <v>33.376040720161846</v>
      </c>
      <c r="AZ250" s="168">
        <f t="shared" si="92"/>
        <v>83.202717688830589</v>
      </c>
    </row>
    <row r="251" spans="1:52" ht="18" x14ac:dyDescent="0.25">
      <c r="A251">
        <v>5</v>
      </c>
      <c r="B251" t="s">
        <v>56</v>
      </c>
      <c r="C251" t="s">
        <v>28</v>
      </c>
      <c r="D251" t="s">
        <v>428</v>
      </c>
      <c r="E251">
        <v>3</v>
      </c>
      <c r="F251" s="9" t="s">
        <v>122</v>
      </c>
      <c r="G251">
        <v>238</v>
      </c>
      <c r="H251">
        <v>4.1950000000000003</v>
      </c>
      <c r="Q251" s="169">
        <v>50</v>
      </c>
      <c r="R251" s="169" t="s">
        <v>371</v>
      </c>
      <c r="S251" s="169">
        <v>3.0646342500000001</v>
      </c>
      <c r="T251" s="169">
        <v>908.40888902629183</v>
      </c>
      <c r="U251" s="169">
        <v>5.6648015000000003</v>
      </c>
      <c r="V251" s="169">
        <v>-21.007500544602131</v>
      </c>
      <c r="W251" s="156">
        <v>4.1950000000000003</v>
      </c>
      <c r="X251" s="174">
        <v>6.8209870833333328</v>
      </c>
      <c r="Y251" s="174">
        <v>-2.4654071106332642</v>
      </c>
      <c r="Z251" s="174">
        <v>4.4079328333333327</v>
      </c>
      <c r="AA251" s="174">
        <v>-23.42695482410312</v>
      </c>
      <c r="AB251" s="174">
        <v>3.047333333333333</v>
      </c>
      <c r="AC251" s="174">
        <v>3.047333333333333</v>
      </c>
      <c r="AD251" s="158">
        <f t="shared" si="93"/>
        <v>1.2598587117981274E-2</v>
      </c>
      <c r="AE251" s="158">
        <f t="shared" si="94"/>
        <v>0.31808063318569169</v>
      </c>
      <c r="AF251" s="159">
        <f t="shared" si="95"/>
        <v>3.8610061583374204E-2</v>
      </c>
      <c r="AG251" s="159">
        <f t="shared" si="96"/>
        <v>1.8018636479912562</v>
      </c>
      <c r="AH251" s="160">
        <f t="shared" si="97"/>
        <v>0.92038287445468892</v>
      </c>
      <c r="AI251" s="160">
        <f t="shared" si="98"/>
        <v>42.952649534952471</v>
      </c>
      <c r="AJ251" s="161">
        <f t="shared" si="99"/>
        <v>46.668240714932004</v>
      </c>
      <c r="AK251" s="162">
        <f t="shared" si="100"/>
        <v>912.85429613692509</v>
      </c>
      <c r="AL251" s="162">
        <f t="shared" si="101"/>
        <v>-23.610545720499012</v>
      </c>
      <c r="AM251" s="163">
        <v>0.36599999999999999</v>
      </c>
      <c r="AN251" s="164">
        <f t="shared" si="81"/>
        <v>912.85429613692509</v>
      </c>
      <c r="AO251" s="165">
        <f t="shared" si="82"/>
        <v>0.69825535035496478</v>
      </c>
      <c r="AP251" s="166">
        <f t="shared" si="83"/>
        <v>0.33225535035496478</v>
      </c>
      <c r="AQ251" s="166">
        <f t="shared" si="84"/>
        <v>9.2038287445468878</v>
      </c>
      <c r="AR251" s="166">
        <f t="shared" si="85"/>
        <v>30.580213441265222</v>
      </c>
      <c r="AS251" s="166">
        <f t="shared" si="86"/>
        <v>3322.5535035496478</v>
      </c>
      <c r="AT251" s="163">
        <v>1.08</v>
      </c>
      <c r="AU251" s="164">
        <f t="shared" si="87"/>
        <v>-23.610545720499012</v>
      </c>
      <c r="AV251" s="164">
        <f t="shared" si="88"/>
        <v>1.0852616769330843</v>
      </c>
      <c r="AW251" s="168">
        <f t="shared" si="89"/>
        <v>5.2616769330842139E-3</v>
      </c>
      <c r="AX251" s="168">
        <f t="shared" si="90"/>
        <v>429.52649534952468</v>
      </c>
      <c r="AY251" s="168">
        <f t="shared" si="91"/>
        <v>22.600296527290979</v>
      </c>
      <c r="AZ251" s="168">
        <f t="shared" si="92"/>
        <v>52.616769330842139</v>
      </c>
    </row>
    <row r="252" spans="1:52" ht="18" x14ac:dyDescent="0.25">
      <c r="A252">
        <v>5</v>
      </c>
      <c r="B252" t="s">
        <v>56</v>
      </c>
      <c r="C252" t="s">
        <v>30</v>
      </c>
      <c r="D252" t="s">
        <v>427</v>
      </c>
      <c r="E252">
        <v>3</v>
      </c>
      <c r="F252" s="9" t="s">
        <v>72</v>
      </c>
      <c r="G252">
        <v>239</v>
      </c>
      <c r="H252">
        <v>4.274</v>
      </c>
      <c r="Q252" s="154">
        <v>51</v>
      </c>
      <c r="R252" s="154" t="s">
        <v>372</v>
      </c>
      <c r="S252" s="154">
        <v>4.4990034999999997</v>
      </c>
      <c r="T252" s="154">
        <v>-1.2193237776744581</v>
      </c>
      <c r="U252" s="154">
        <v>5.8767034999999996</v>
      </c>
      <c r="V252" s="154">
        <v>-29.380927226793311</v>
      </c>
      <c r="W252" s="156">
        <v>4.274</v>
      </c>
      <c r="X252" s="174">
        <v>6.8209870833333328</v>
      </c>
      <c r="Y252" s="174">
        <v>-2.4654071106332642</v>
      </c>
      <c r="Z252" s="174">
        <v>4.4079328333333327</v>
      </c>
      <c r="AA252" s="174">
        <v>-23.42695482410312</v>
      </c>
      <c r="AB252" s="174">
        <v>3.047333333333333</v>
      </c>
      <c r="AC252" s="174">
        <v>3.047333333333333</v>
      </c>
      <c r="AD252" s="158">
        <f t="shared" si="93"/>
        <v>1.2598587117981274E-2</v>
      </c>
      <c r="AE252" s="158">
        <f t="shared" si="94"/>
        <v>0.31808063318569169</v>
      </c>
      <c r="AF252" s="159">
        <f t="shared" si="95"/>
        <v>5.6681087538852662E-2</v>
      </c>
      <c r="AG252" s="159">
        <f t="shared" si="96"/>
        <v>1.8692655703245704</v>
      </c>
      <c r="AH252" s="160">
        <f t="shared" si="97"/>
        <v>1.3261836111102636</v>
      </c>
      <c r="AI252" s="160">
        <f t="shared" si="98"/>
        <v>43.735740999638992</v>
      </c>
      <c r="AJ252" s="161">
        <f t="shared" si="99"/>
        <v>32.978646873055538</v>
      </c>
      <c r="AK252" s="162">
        <f t="shared" si="100"/>
        <v>3.2260833329588054</v>
      </c>
      <c r="AL252" s="162">
        <f t="shared" si="101"/>
        <v>-31.983972402690192</v>
      </c>
      <c r="AM252" s="163">
        <v>0.36599999999999999</v>
      </c>
      <c r="AN252" s="164">
        <f t="shared" si="81"/>
        <v>3.2260833329588054</v>
      </c>
      <c r="AO252" s="165">
        <f t="shared" si="82"/>
        <v>0.36743087494390458</v>
      </c>
      <c r="AP252" s="166">
        <f t="shared" si="83"/>
        <v>1.430874943904592E-3</v>
      </c>
      <c r="AQ252" s="166">
        <f t="shared" si="84"/>
        <v>13.261836111102637</v>
      </c>
      <c r="AR252" s="166">
        <f t="shared" si="85"/>
        <v>0.18976029001545877</v>
      </c>
      <c r="AS252" s="166">
        <f t="shared" si="86"/>
        <v>14.30874943904592</v>
      </c>
      <c r="AT252" s="163">
        <v>1.08</v>
      </c>
      <c r="AU252" s="164">
        <f t="shared" si="87"/>
        <v>-31.983972402690192</v>
      </c>
      <c r="AV252" s="164">
        <f t="shared" si="88"/>
        <v>1.0760547215661311</v>
      </c>
      <c r="AW252" s="168">
        <f t="shared" si="89"/>
        <v>-3.9452784338689373E-3</v>
      </c>
      <c r="AX252" s="168">
        <f t="shared" si="90"/>
        <v>437.35740999638995</v>
      </c>
      <c r="AY252" s="168">
        <f t="shared" si="91"/>
        <v>-17.254967575515323</v>
      </c>
      <c r="AZ252" s="168">
        <f t="shared" si="92"/>
        <v>-39.452784338689369</v>
      </c>
    </row>
    <row r="253" spans="1:52" ht="18" x14ac:dyDescent="0.25">
      <c r="A253">
        <v>5</v>
      </c>
      <c r="B253" t="s">
        <v>56</v>
      </c>
      <c r="C253" t="s">
        <v>30</v>
      </c>
      <c r="D253" t="s">
        <v>428</v>
      </c>
      <c r="E253">
        <v>3</v>
      </c>
      <c r="F253" s="9" t="s">
        <v>73</v>
      </c>
      <c r="G253">
        <v>240</v>
      </c>
      <c r="H253">
        <v>4.9279999999999999</v>
      </c>
      <c r="Q253" s="169">
        <v>52</v>
      </c>
      <c r="R253" s="169" t="s">
        <v>373</v>
      </c>
      <c r="S253" s="169">
        <v>2.75385825</v>
      </c>
      <c r="T253" s="169">
        <v>13.805796668513821</v>
      </c>
      <c r="U253" s="169">
        <v>6.1922625</v>
      </c>
      <c r="V253" s="169">
        <v>-24.62462559572829</v>
      </c>
      <c r="W253" s="156">
        <v>4.9279999999999999</v>
      </c>
      <c r="X253" s="174">
        <v>6.8209870833333328</v>
      </c>
      <c r="Y253" s="174">
        <v>-2.4654071106332642</v>
      </c>
      <c r="Z253" s="174">
        <v>4.4079328333333327</v>
      </c>
      <c r="AA253" s="174">
        <v>-23.42695482410312</v>
      </c>
      <c r="AB253" s="174">
        <v>3.047333333333333</v>
      </c>
      <c r="AC253" s="174">
        <v>3.047333333333333</v>
      </c>
      <c r="AD253" s="158">
        <f t="shared" si="93"/>
        <v>1.2598587117981274E-2</v>
      </c>
      <c r="AE253" s="158">
        <f t="shared" si="94"/>
        <v>0.31808063318569169</v>
      </c>
      <c r="AF253" s="159">
        <f t="shared" si="95"/>
        <v>3.4694723073196453E-2</v>
      </c>
      <c r="AG253" s="159">
        <f t="shared" si="96"/>
        <v>1.9696387768520143</v>
      </c>
      <c r="AH253" s="160">
        <f t="shared" si="97"/>
        <v>0.70403252989440857</v>
      </c>
      <c r="AI253" s="160">
        <f t="shared" si="98"/>
        <v>39.968319335471065</v>
      </c>
      <c r="AJ253" s="161">
        <f t="shared" si="99"/>
        <v>56.770557663671525</v>
      </c>
      <c r="AK253" s="162">
        <f t="shared" si="100"/>
        <v>18.251203779147083</v>
      </c>
      <c r="AL253" s="162">
        <f t="shared" si="101"/>
        <v>-27.227670771625171</v>
      </c>
      <c r="AM253" s="163">
        <v>0.36599999999999999</v>
      </c>
      <c r="AN253" s="164">
        <f t="shared" si="81"/>
        <v>18.251203779147083</v>
      </c>
      <c r="AO253" s="165">
        <f t="shared" si="82"/>
        <v>0.37291329395630374</v>
      </c>
      <c r="AP253" s="166">
        <f t="shared" si="83"/>
        <v>6.9132939563037454E-3</v>
      </c>
      <c r="AQ253" s="166">
        <f t="shared" si="84"/>
        <v>7.0403252989440857</v>
      </c>
      <c r="AR253" s="166">
        <f t="shared" si="85"/>
        <v>0.48671838339602508</v>
      </c>
      <c r="AS253" s="166">
        <f t="shared" si="86"/>
        <v>69.132939563037453</v>
      </c>
      <c r="AT253" s="163">
        <v>1.08</v>
      </c>
      <c r="AU253" s="164">
        <f t="shared" si="87"/>
        <v>-27.227670771625171</v>
      </c>
      <c r="AV253" s="164">
        <f t="shared" si="88"/>
        <v>1.0812846971974279</v>
      </c>
      <c r="AW253" s="168">
        <f t="shared" si="89"/>
        <v>1.2846971974278532E-3</v>
      </c>
      <c r="AX253" s="168">
        <f t="shared" si="90"/>
        <v>399.68319335471062</v>
      </c>
      <c r="AY253" s="168">
        <f t="shared" si="91"/>
        <v>5.1347187836181147</v>
      </c>
      <c r="AZ253" s="168">
        <f t="shared" si="92"/>
        <v>12.846971974278532</v>
      </c>
    </row>
    <row r="254" spans="1:52" ht="18" x14ac:dyDescent="0.25">
      <c r="A254">
        <v>6</v>
      </c>
      <c r="B254" t="s">
        <v>25</v>
      </c>
      <c r="C254" t="s">
        <v>26</v>
      </c>
      <c r="D254" t="s">
        <v>427</v>
      </c>
      <c r="E254">
        <v>3</v>
      </c>
      <c r="F254" s="9" t="s">
        <v>74</v>
      </c>
      <c r="G254">
        <v>241</v>
      </c>
      <c r="H254">
        <v>3.9990000000000001</v>
      </c>
      <c r="I254" t="s">
        <v>444</v>
      </c>
      <c r="Q254" s="154">
        <v>53</v>
      </c>
      <c r="R254" s="154" t="s">
        <v>374</v>
      </c>
      <c r="S254" s="154">
        <v>3.3219767500000001</v>
      </c>
      <c r="T254" s="154">
        <v>0.84261039708977137</v>
      </c>
      <c r="U254" s="154">
        <v>5.4036664999999999</v>
      </c>
      <c r="V254" s="154">
        <v>-25.82872861603413</v>
      </c>
      <c r="W254" s="156">
        <v>3.9990000000000001</v>
      </c>
      <c r="X254" s="174">
        <v>6.8209870833333328</v>
      </c>
      <c r="Y254" s="174">
        <v>-2.4654071106332642</v>
      </c>
      <c r="Z254" s="174">
        <v>4.4079328333333327</v>
      </c>
      <c r="AA254" s="174">
        <v>-23.42695482410312</v>
      </c>
      <c r="AB254" s="174">
        <v>3.047333333333333</v>
      </c>
      <c r="AC254" s="174">
        <v>3.047333333333333</v>
      </c>
      <c r="AD254" s="158">
        <f t="shared" si="93"/>
        <v>1.2598587117981274E-2</v>
      </c>
      <c r="AE254" s="158">
        <f t="shared" si="94"/>
        <v>0.31808063318569169</v>
      </c>
      <c r="AF254" s="159">
        <f t="shared" si="95"/>
        <v>4.1852213488783298E-2</v>
      </c>
      <c r="AG254" s="159">
        <f t="shared" si="96"/>
        <v>1.7188016618443105</v>
      </c>
      <c r="AH254" s="160">
        <f t="shared" si="97"/>
        <v>1.0465669789643235</v>
      </c>
      <c r="AI254" s="160">
        <f t="shared" si="98"/>
        <v>42.980786742793462</v>
      </c>
      <c r="AJ254" s="161">
        <f t="shared" si="99"/>
        <v>41.068357407308028</v>
      </c>
      <c r="AK254" s="162">
        <f t="shared" si="100"/>
        <v>5.2880175077230351</v>
      </c>
      <c r="AL254" s="162">
        <f t="shared" si="101"/>
        <v>-28.431773791931011</v>
      </c>
      <c r="AM254" s="163">
        <v>0.36599999999999999</v>
      </c>
      <c r="AN254" s="164">
        <f t="shared" si="81"/>
        <v>5.2880175077230351</v>
      </c>
      <c r="AO254" s="165">
        <f t="shared" si="82"/>
        <v>0.36818327648793514</v>
      </c>
      <c r="AP254" s="166">
        <f t="shared" si="83"/>
        <v>2.1832764879351485E-3</v>
      </c>
      <c r="AQ254" s="166">
        <f t="shared" si="84"/>
        <v>10.465669789643234</v>
      </c>
      <c r="AR254" s="166">
        <f t="shared" si="85"/>
        <v>0.22849450782221267</v>
      </c>
      <c r="AS254" s="166">
        <f t="shared" si="86"/>
        <v>21.832764879351487</v>
      </c>
      <c r="AT254" s="163">
        <v>1.08</v>
      </c>
      <c r="AU254" s="164">
        <f t="shared" si="87"/>
        <v>-28.431773791931011</v>
      </c>
      <c r="AV254" s="164">
        <f t="shared" si="88"/>
        <v>1.0799607313751642</v>
      </c>
      <c r="AW254" s="168">
        <f t="shared" si="89"/>
        <v>-3.9268624835830934E-5</v>
      </c>
      <c r="AX254" s="168">
        <f t="shared" si="90"/>
        <v>429.80786742793464</v>
      </c>
      <c r="AY254" s="168">
        <f t="shared" si="91"/>
        <v>-0.16877963897516124</v>
      </c>
      <c r="AZ254" s="168">
        <f t="shared" si="92"/>
        <v>-0.39268624835830929</v>
      </c>
    </row>
    <row r="255" spans="1:52" ht="18" x14ac:dyDescent="0.25">
      <c r="A255">
        <v>6</v>
      </c>
      <c r="B255" t="s">
        <v>25</v>
      </c>
      <c r="C255" t="s">
        <v>26</v>
      </c>
      <c r="D255" t="s">
        <v>428</v>
      </c>
      <c r="E255">
        <v>3</v>
      </c>
      <c r="F255" s="9" t="s">
        <v>75</v>
      </c>
      <c r="G255">
        <v>242</v>
      </c>
      <c r="H255">
        <v>3.794</v>
      </c>
      <c r="I255" t="s">
        <v>444</v>
      </c>
      <c r="Q255" s="169">
        <v>54</v>
      </c>
      <c r="R255" s="169" t="s">
        <v>375</v>
      </c>
      <c r="S255" s="169">
        <v>6.5674915</v>
      </c>
      <c r="T255" s="169">
        <v>-2.3922828536701299</v>
      </c>
      <c r="U255" s="169">
        <v>5.4227765000000003</v>
      </c>
      <c r="V255" s="169">
        <v>-26.729353788297541</v>
      </c>
      <c r="W255" s="156">
        <v>3.794</v>
      </c>
      <c r="X255" s="174">
        <v>6.8209870833333328</v>
      </c>
      <c r="Y255" s="174">
        <v>-2.4654071106332642</v>
      </c>
      <c r="Z255" s="174">
        <v>4.4079328333333327</v>
      </c>
      <c r="AA255" s="174">
        <v>-23.42695482410312</v>
      </c>
      <c r="AB255" s="174">
        <v>3.047333333333333</v>
      </c>
      <c r="AC255" s="174">
        <v>3.047333333333333</v>
      </c>
      <c r="AD255" s="158">
        <f t="shared" si="93"/>
        <v>1.2598587117981274E-2</v>
      </c>
      <c r="AE255" s="158">
        <f t="shared" si="94"/>
        <v>0.31808063318569169</v>
      </c>
      <c r="AF255" s="159">
        <f t="shared" si="95"/>
        <v>8.2741113809351508E-2</v>
      </c>
      <c r="AG255" s="159">
        <f t="shared" si="96"/>
        <v>1.7248801827444891</v>
      </c>
      <c r="AH255" s="160">
        <f t="shared" si="97"/>
        <v>2.1808411652438457</v>
      </c>
      <c r="AI255" s="160">
        <f t="shared" si="98"/>
        <v>45.463368021731391</v>
      </c>
      <c r="AJ255" s="161">
        <f t="shared" si="99"/>
        <v>20.846712152302945</v>
      </c>
      <c r="AK255" s="162">
        <f t="shared" si="100"/>
        <v>2.0531242569631338</v>
      </c>
      <c r="AL255" s="162">
        <f t="shared" si="101"/>
        <v>-29.332398964194422</v>
      </c>
      <c r="AM255" s="163">
        <v>0.36599999999999999</v>
      </c>
      <c r="AN255" s="164">
        <f t="shared" si="81"/>
        <v>2.0531242569631338</v>
      </c>
      <c r="AO255" s="165">
        <f t="shared" si="82"/>
        <v>0.36700285610275996</v>
      </c>
      <c r="AP255" s="166">
        <f t="shared" si="83"/>
        <v>1.0028561027599636E-3</v>
      </c>
      <c r="AQ255" s="166">
        <f t="shared" si="84"/>
        <v>21.808411652438458</v>
      </c>
      <c r="AR255" s="166">
        <f t="shared" si="85"/>
        <v>0.21870698717149409</v>
      </c>
      <c r="AS255" s="166">
        <f t="shared" si="86"/>
        <v>10.028561027599636</v>
      </c>
      <c r="AT255" s="163">
        <v>1.08</v>
      </c>
      <c r="AU255" s="164">
        <f t="shared" si="87"/>
        <v>-29.332398964194422</v>
      </c>
      <c r="AV255" s="164">
        <f t="shared" si="88"/>
        <v>1.0789704300275769</v>
      </c>
      <c r="AW255" s="168">
        <f t="shared" si="89"/>
        <v>-1.0295699724232055E-3</v>
      </c>
      <c r="AX255" s="168">
        <f t="shared" si="90"/>
        <v>454.63368021731395</v>
      </c>
      <c r="AY255" s="168">
        <f t="shared" si="91"/>
        <v>-4.6807718560400033</v>
      </c>
      <c r="AZ255" s="168">
        <f t="shared" si="92"/>
        <v>-10.295699724232055</v>
      </c>
    </row>
    <row r="256" spans="1:52" ht="18" x14ac:dyDescent="0.25">
      <c r="A256">
        <v>6</v>
      </c>
      <c r="B256" t="s">
        <v>25</v>
      </c>
      <c r="C256" t="s">
        <v>28</v>
      </c>
      <c r="D256" t="s">
        <v>427</v>
      </c>
      <c r="E256">
        <v>3</v>
      </c>
      <c r="F256" s="9" t="s">
        <v>76</v>
      </c>
      <c r="G256">
        <v>243</v>
      </c>
      <c r="H256">
        <v>4.3159999999999998</v>
      </c>
      <c r="Q256" s="154">
        <v>55</v>
      </c>
      <c r="R256" s="154" t="s">
        <v>376</v>
      </c>
      <c r="S256" s="154">
        <v>4.3782695</v>
      </c>
      <c r="T256" s="154">
        <v>441.42602629373903</v>
      </c>
      <c r="U256" s="154">
        <v>5.3372440000000001</v>
      </c>
      <c r="V256" s="154">
        <v>-20.627165416211049</v>
      </c>
      <c r="W256" s="156">
        <v>4.3159999999999998</v>
      </c>
      <c r="X256" s="174">
        <v>6.8209870833333328</v>
      </c>
      <c r="Y256" s="174">
        <v>-2.4654071106332642</v>
      </c>
      <c r="Z256" s="174">
        <v>4.4079328333333327</v>
      </c>
      <c r="AA256" s="174">
        <v>-23.42695482410312</v>
      </c>
      <c r="AB256" s="174">
        <v>3.047333333333333</v>
      </c>
      <c r="AC256" s="174">
        <v>3.047333333333333</v>
      </c>
      <c r="AD256" s="158">
        <f t="shared" si="93"/>
        <v>1.2598587117981274E-2</v>
      </c>
      <c r="AE256" s="158">
        <f t="shared" si="94"/>
        <v>0.31808063318569169</v>
      </c>
      <c r="AF256" s="159">
        <f t="shared" si="95"/>
        <v>5.5160009721750315E-2</v>
      </c>
      <c r="AG256" s="159">
        <f t="shared" si="96"/>
        <v>1.697673950986534</v>
      </c>
      <c r="AH256" s="160">
        <f t="shared" si="97"/>
        <v>1.2780354430433345</v>
      </c>
      <c r="AI256" s="160">
        <f t="shared" si="98"/>
        <v>39.334428892181045</v>
      </c>
      <c r="AJ256" s="161">
        <f t="shared" si="99"/>
        <v>30.77725982193072</v>
      </c>
      <c r="AK256" s="162">
        <f t="shared" si="100"/>
        <v>445.87143340437228</v>
      </c>
      <c r="AL256" s="162">
        <f t="shared" si="101"/>
        <v>-23.23021059210793</v>
      </c>
      <c r="AM256" s="163">
        <v>0.36599999999999999</v>
      </c>
      <c r="AN256" s="164">
        <f t="shared" si="81"/>
        <v>445.87143340437228</v>
      </c>
      <c r="AO256" s="165">
        <f t="shared" si="82"/>
        <v>0.52869232683662282</v>
      </c>
      <c r="AP256" s="166">
        <f t="shared" si="83"/>
        <v>0.16269232683662282</v>
      </c>
      <c r="AQ256" s="166">
        <f t="shared" si="84"/>
        <v>12.780354430433345</v>
      </c>
      <c r="AR256" s="166">
        <f t="shared" si="85"/>
        <v>20.792656000839422</v>
      </c>
      <c r="AS256" s="166">
        <f t="shared" si="86"/>
        <v>1626.9232683662283</v>
      </c>
      <c r="AT256" s="163">
        <v>1.08</v>
      </c>
      <c r="AU256" s="164">
        <f t="shared" si="87"/>
        <v>-23.23021059210793</v>
      </c>
      <c r="AV256" s="164">
        <f t="shared" si="88"/>
        <v>1.0856798316471583</v>
      </c>
      <c r="AW256" s="168">
        <f t="shared" si="89"/>
        <v>5.67983164715824E-3</v>
      </c>
      <c r="AX256" s="168">
        <f t="shared" si="90"/>
        <v>393.34428892181046</v>
      </c>
      <c r="AY256" s="168">
        <f t="shared" si="91"/>
        <v>22.341293404470534</v>
      </c>
      <c r="AZ256" s="168">
        <f t="shared" si="92"/>
        <v>56.798316471582396</v>
      </c>
    </row>
    <row r="257" spans="1:52" ht="18" x14ac:dyDescent="0.25">
      <c r="A257">
        <v>6</v>
      </c>
      <c r="B257" t="s">
        <v>25</v>
      </c>
      <c r="C257" t="s">
        <v>30</v>
      </c>
      <c r="D257" t="s">
        <v>427</v>
      </c>
      <c r="E257">
        <v>3</v>
      </c>
      <c r="F257" s="9" t="s">
        <v>77</v>
      </c>
      <c r="G257">
        <v>245</v>
      </c>
      <c r="H257">
        <v>4.0750000000000002</v>
      </c>
      <c r="Q257" s="169">
        <v>56</v>
      </c>
      <c r="R257" s="169" t="s">
        <v>377</v>
      </c>
      <c r="S257" s="169">
        <v>3.9363855000000001</v>
      </c>
      <c r="T257" s="169">
        <v>-4.1725551812225534</v>
      </c>
      <c r="U257" s="169">
        <v>4.9112629999999999</v>
      </c>
      <c r="V257" s="169">
        <v>-25.552175598506278</v>
      </c>
      <c r="W257" s="156">
        <v>4.0750000000000002</v>
      </c>
      <c r="X257" s="174">
        <v>6.8209870833333328</v>
      </c>
      <c r="Y257" s="174">
        <v>-2.4654071106332642</v>
      </c>
      <c r="Z257" s="174">
        <v>4.4079328333333327</v>
      </c>
      <c r="AA257" s="174">
        <v>-23.42695482410312</v>
      </c>
      <c r="AB257" s="174">
        <v>3.047333333333333</v>
      </c>
      <c r="AC257" s="174">
        <v>3.047333333333333</v>
      </c>
      <c r="AD257" s="158">
        <f t="shared" si="93"/>
        <v>1.2598587117981274E-2</v>
      </c>
      <c r="AE257" s="158">
        <f t="shared" si="94"/>
        <v>0.31808063318569169</v>
      </c>
      <c r="AF257" s="159">
        <f t="shared" si="95"/>
        <v>4.9592895651708276E-2</v>
      </c>
      <c r="AG257" s="159">
        <f t="shared" si="96"/>
        <v>1.5621776447814597</v>
      </c>
      <c r="AH257" s="160">
        <f t="shared" si="97"/>
        <v>1.2170035742750496</v>
      </c>
      <c r="AI257" s="160">
        <f t="shared" si="98"/>
        <v>38.335647724698397</v>
      </c>
      <c r="AJ257" s="161">
        <f t="shared" si="99"/>
        <v>31.500028870115976</v>
      </c>
      <c r="AK257" s="162">
        <f t="shared" si="100"/>
        <v>0.27285192941071035</v>
      </c>
      <c r="AL257" s="162">
        <f t="shared" si="101"/>
        <v>-28.155220774403158</v>
      </c>
      <c r="AM257" s="163">
        <v>0.36599999999999999</v>
      </c>
      <c r="AN257" s="164">
        <f t="shared" si="81"/>
        <v>0.27285192941071035</v>
      </c>
      <c r="AO257" s="165">
        <f t="shared" si="82"/>
        <v>0.3663532184844715</v>
      </c>
      <c r="AP257" s="166">
        <f t="shared" si="83"/>
        <v>3.5321848447150694E-4</v>
      </c>
      <c r="AQ257" s="166">
        <f t="shared" si="84"/>
        <v>12.170035742750496</v>
      </c>
      <c r="AR257" s="166">
        <f t="shared" si="85"/>
        <v>4.2986815810184008E-2</v>
      </c>
      <c r="AS257" s="166">
        <f t="shared" si="86"/>
        <v>3.5321848447150699</v>
      </c>
      <c r="AT257" s="163">
        <v>1.08</v>
      </c>
      <c r="AU257" s="164">
        <f t="shared" si="87"/>
        <v>-28.155220774403158</v>
      </c>
      <c r="AV257" s="164">
        <f t="shared" si="88"/>
        <v>1.0802648170822453</v>
      </c>
      <c r="AW257" s="168">
        <f t="shared" si="89"/>
        <v>2.6481708224523892E-4</v>
      </c>
      <c r="AX257" s="168">
        <f t="shared" si="90"/>
        <v>383.35647724698396</v>
      </c>
      <c r="AY257" s="168">
        <f t="shared" si="91"/>
        <v>1.015193437643596</v>
      </c>
      <c r="AZ257" s="168">
        <f t="shared" si="92"/>
        <v>2.6481708224523888</v>
      </c>
    </row>
    <row r="258" spans="1:52" ht="18" x14ac:dyDescent="0.25">
      <c r="A258">
        <v>6</v>
      </c>
      <c r="B258" t="s">
        <v>25</v>
      </c>
      <c r="C258" t="s">
        <v>30</v>
      </c>
      <c r="D258" t="s">
        <v>428</v>
      </c>
      <c r="E258">
        <v>3</v>
      </c>
      <c r="F258" s="9" t="s">
        <v>78</v>
      </c>
      <c r="G258">
        <v>246</v>
      </c>
      <c r="H258">
        <v>4.1440000000000001</v>
      </c>
      <c r="Q258" s="154">
        <v>57</v>
      </c>
      <c r="R258" s="154" t="s">
        <v>378</v>
      </c>
      <c r="S258" s="154">
        <v>1.8394246249999999</v>
      </c>
      <c r="T258" s="154">
        <v>-4.2634861435537292</v>
      </c>
      <c r="U258" s="154">
        <v>5.399343</v>
      </c>
      <c r="V258" s="154">
        <v>-24.509307929681725</v>
      </c>
      <c r="W258" s="156">
        <v>4.1440000000000001</v>
      </c>
      <c r="X258" s="174">
        <v>6.8209870833333328</v>
      </c>
      <c r="Y258" s="174">
        <v>-2.4654071106332642</v>
      </c>
      <c r="Z258" s="174">
        <v>4.4079328333333327</v>
      </c>
      <c r="AA258" s="174">
        <v>-23.42695482410312</v>
      </c>
      <c r="AB258" s="174">
        <v>3.047333333333333</v>
      </c>
      <c r="AC258" s="174">
        <v>3.047333333333333</v>
      </c>
      <c r="AD258" s="158">
        <f t="shared" si="93"/>
        <v>1.2598587117981274E-2</v>
      </c>
      <c r="AE258" s="158">
        <f t="shared" si="94"/>
        <v>0.31808063318569169</v>
      </c>
      <c r="AF258" s="159">
        <f t="shared" si="95"/>
        <v>2.3174151385022535E-2</v>
      </c>
      <c r="AG258" s="159">
        <f t="shared" si="96"/>
        <v>1.7174264402267321</v>
      </c>
      <c r="AH258" s="160">
        <f t="shared" si="97"/>
        <v>0.5592217998316249</v>
      </c>
      <c r="AI258" s="160">
        <f t="shared" si="98"/>
        <v>41.443688229409553</v>
      </c>
      <c r="AJ258" s="161">
        <f t="shared" si="99"/>
        <v>74.109571983581048</v>
      </c>
      <c r="AK258" s="162">
        <f t="shared" si="100"/>
        <v>0.18192096707953453</v>
      </c>
      <c r="AL258" s="162">
        <f t="shared" si="101"/>
        <v>-27.112353105578606</v>
      </c>
      <c r="AM258" s="163">
        <v>0.36599999999999999</v>
      </c>
      <c r="AN258" s="164">
        <f t="shared" si="81"/>
        <v>0.18192096707953453</v>
      </c>
      <c r="AO258" s="165">
        <f t="shared" si="82"/>
        <v>0.36632003671911728</v>
      </c>
      <c r="AP258" s="166">
        <f t="shared" si="83"/>
        <v>3.2003671911728926E-4</v>
      </c>
      <c r="AQ258" s="166">
        <f t="shared" si="84"/>
        <v>5.592217998316249</v>
      </c>
      <c r="AR258" s="166">
        <f t="shared" si="85"/>
        <v>1.789715100769787E-2</v>
      </c>
      <c r="AS258" s="166">
        <f t="shared" si="86"/>
        <v>3.200367191172893</v>
      </c>
      <c r="AT258" s="163">
        <v>1.08</v>
      </c>
      <c r="AU258" s="164">
        <f t="shared" si="87"/>
        <v>-27.112353105578606</v>
      </c>
      <c r="AV258" s="164">
        <f t="shared" si="88"/>
        <v>1.0814114923360654</v>
      </c>
      <c r="AW258" s="168">
        <f t="shared" si="89"/>
        <v>1.4114923360653009E-3</v>
      </c>
      <c r="AX258" s="168">
        <f t="shared" si="90"/>
        <v>414.43688229409554</v>
      </c>
      <c r="AY258" s="168">
        <f t="shared" si="91"/>
        <v>5.8497448314091303</v>
      </c>
      <c r="AZ258" s="168">
        <f t="shared" si="92"/>
        <v>14.114923360653009</v>
      </c>
    </row>
    <row r="259" spans="1:52" ht="18" x14ac:dyDescent="0.25">
      <c r="A259">
        <v>6</v>
      </c>
      <c r="B259" t="s">
        <v>32</v>
      </c>
      <c r="C259" t="s">
        <v>26</v>
      </c>
      <c r="D259" t="s">
        <v>427</v>
      </c>
      <c r="E259">
        <v>3</v>
      </c>
      <c r="F259" s="9" t="s">
        <v>79</v>
      </c>
      <c r="G259">
        <v>247</v>
      </c>
      <c r="H259">
        <v>4.7640000000000002</v>
      </c>
      <c r="I259" t="s">
        <v>444</v>
      </c>
      <c r="Q259" s="169">
        <v>58</v>
      </c>
      <c r="R259" s="169" t="s">
        <v>379</v>
      </c>
      <c r="S259" s="169">
        <v>2.2688465</v>
      </c>
      <c r="T259" s="169">
        <v>1140.6727591754729</v>
      </c>
      <c r="U259" s="169">
        <v>6.3536725000000001</v>
      </c>
      <c r="V259" s="169">
        <v>-25.444106700019912</v>
      </c>
      <c r="W259" s="156">
        <v>4.7640000000000002</v>
      </c>
      <c r="X259" s="174">
        <v>6.8209870833333328</v>
      </c>
      <c r="Y259" s="174">
        <v>-2.4654071106332642</v>
      </c>
      <c r="Z259" s="174">
        <v>4.4079328333333327</v>
      </c>
      <c r="AA259" s="174">
        <v>-23.42695482410312</v>
      </c>
      <c r="AB259" s="174">
        <v>3.047333333333333</v>
      </c>
      <c r="AC259" s="174">
        <v>3.047333333333333</v>
      </c>
      <c r="AD259" s="158">
        <f t="shared" si="93"/>
        <v>1.2598587117981274E-2</v>
      </c>
      <c r="AE259" s="158">
        <f t="shared" si="94"/>
        <v>0.31808063318569169</v>
      </c>
      <c r="AF259" s="159">
        <f t="shared" si="95"/>
        <v>2.85842602875769E-2</v>
      </c>
      <c r="AG259" s="159">
        <f t="shared" si="96"/>
        <v>2.0209801718545166</v>
      </c>
      <c r="AH259" s="160">
        <f t="shared" si="97"/>
        <v>0.60000546363511542</v>
      </c>
      <c r="AI259" s="160">
        <f t="shared" si="98"/>
        <v>42.42191796504023</v>
      </c>
      <c r="AJ259" s="161">
        <f t="shared" si="99"/>
        <v>70.702552786816796</v>
      </c>
      <c r="AK259" s="162">
        <f t="shared" si="100"/>
        <v>1145.1181662861063</v>
      </c>
      <c r="AL259" s="162">
        <f t="shared" si="101"/>
        <v>-28.047151875916793</v>
      </c>
      <c r="AM259" s="163">
        <v>0.36599999999999999</v>
      </c>
      <c r="AN259" s="164">
        <f t="shared" si="81"/>
        <v>1145.1181662861063</v>
      </c>
      <c r="AO259" s="165">
        <f t="shared" si="82"/>
        <v>0.78237604729836963</v>
      </c>
      <c r="AP259" s="166">
        <f t="shared" si="83"/>
        <v>0.41637604729836963</v>
      </c>
      <c r="AQ259" s="166">
        <f t="shared" si="84"/>
        <v>6.0000546363511544</v>
      </c>
      <c r="AR259" s="166">
        <f t="shared" si="85"/>
        <v>24.982790330581505</v>
      </c>
      <c r="AS259" s="166">
        <f t="shared" si="86"/>
        <v>4163.7604729836967</v>
      </c>
      <c r="AT259" s="163">
        <v>1.08</v>
      </c>
      <c r="AU259" s="164">
        <f t="shared" si="87"/>
        <v>-28.047151875916793</v>
      </c>
      <c r="AV259" s="164">
        <f t="shared" si="88"/>
        <v>1.0803836444492634</v>
      </c>
      <c r="AW259" s="168">
        <f t="shared" si="89"/>
        <v>3.8364444926330954E-4</v>
      </c>
      <c r="AX259" s="168">
        <f t="shared" si="90"/>
        <v>424.21917965040228</v>
      </c>
      <c r="AY259" s="168">
        <f t="shared" si="91"/>
        <v>1.6274933354391155</v>
      </c>
      <c r="AZ259" s="168">
        <f t="shared" si="92"/>
        <v>3.8364444926330954</v>
      </c>
    </row>
    <row r="260" spans="1:52" ht="18" x14ac:dyDescent="0.25">
      <c r="A260">
        <v>6</v>
      </c>
      <c r="B260" t="s">
        <v>32</v>
      </c>
      <c r="C260" t="s">
        <v>26</v>
      </c>
      <c r="D260" t="s">
        <v>428</v>
      </c>
      <c r="E260">
        <v>3</v>
      </c>
      <c r="F260" s="9" t="s">
        <v>80</v>
      </c>
      <c r="G260">
        <v>248</v>
      </c>
      <c r="H260">
        <v>4.3410000000000002</v>
      </c>
      <c r="Q260" s="154">
        <v>59</v>
      </c>
      <c r="R260" s="154" t="s">
        <v>380</v>
      </c>
      <c r="S260" s="154">
        <v>4.0195557500000003</v>
      </c>
      <c r="T260" s="154">
        <v>300.72745705100942</v>
      </c>
      <c r="U260" s="154">
        <v>5.6619335</v>
      </c>
      <c r="V260" s="154">
        <v>-20.121853645629795</v>
      </c>
      <c r="W260" s="156">
        <v>4.3410000000000002</v>
      </c>
      <c r="X260" s="174">
        <v>6.8209870833333328</v>
      </c>
      <c r="Y260" s="174">
        <v>-2.4654071106332642</v>
      </c>
      <c r="Z260" s="174">
        <v>4.4079328333333327</v>
      </c>
      <c r="AA260" s="174">
        <v>-23.42695482410312</v>
      </c>
      <c r="AB260" s="174">
        <v>3.047333333333333</v>
      </c>
      <c r="AC260" s="174">
        <v>3.047333333333333</v>
      </c>
      <c r="AD260" s="158">
        <f t="shared" si="93"/>
        <v>1.2598587117981274E-2</v>
      </c>
      <c r="AE260" s="158">
        <f t="shared" si="94"/>
        <v>0.31808063318569169</v>
      </c>
      <c r="AF260" s="159">
        <f t="shared" si="95"/>
        <v>5.0640723291957561E-2</v>
      </c>
      <c r="AG260" s="159">
        <f t="shared" si="96"/>
        <v>1.8009513927352794</v>
      </c>
      <c r="AH260" s="160">
        <f t="shared" si="97"/>
        <v>1.1665681477069239</v>
      </c>
      <c r="AI260" s="160">
        <f t="shared" si="98"/>
        <v>41.487016649050432</v>
      </c>
      <c r="AJ260" s="161">
        <f t="shared" si="99"/>
        <v>35.563303121724864</v>
      </c>
      <c r="AK260" s="162">
        <f t="shared" si="100"/>
        <v>305.17286416164268</v>
      </c>
      <c r="AL260" s="162">
        <f t="shared" si="101"/>
        <v>-22.724898821526676</v>
      </c>
      <c r="AM260" s="163">
        <v>0.36599999999999999</v>
      </c>
      <c r="AN260" s="164">
        <f t="shared" ref="AN260:AN302" si="102">T260+(1.98-Y260)</f>
        <v>305.17286416164268</v>
      </c>
      <c r="AO260" s="165">
        <f t="shared" ref="AO260:AO302" si="103">100*0.003676*(AN260/1000+1)/(1+0.003676*(AN260/1000+1))</f>
        <v>0.47749063293055605</v>
      </c>
      <c r="AP260" s="166">
        <f t="shared" ref="AP260:AP302" si="104">AO260-AM260</f>
        <v>0.11149063293055606</v>
      </c>
      <c r="AQ260" s="166">
        <f t="shared" ref="AQ260:AQ302" si="105">(AH260%*W260)/W260*1000</f>
        <v>11.665681477069239</v>
      </c>
      <c r="AR260" s="166">
        <f t="shared" ref="AR260:AR302" si="106">(AQ260*AP260%)*1000</f>
        <v>13.006142114447135</v>
      </c>
      <c r="AS260" s="166">
        <f t="shared" ref="AS260:AS302" si="107">(((AF260*AP260%)/AF260)*1000)*1000</f>
        <v>1114.9063293055606</v>
      </c>
      <c r="AT260" s="163">
        <v>1.08</v>
      </c>
      <c r="AU260" s="164">
        <f t="shared" ref="AU260:AU302" si="108">V260+(-26.03-AA260)</f>
        <v>-22.724898821526676</v>
      </c>
      <c r="AV260" s="164">
        <f t="shared" ref="AV260:AV302" si="109">100*0.011237*(AU260/1000+1)/(1+0.011237*(AU260/1000+1))</f>
        <v>1.0862353849031399</v>
      </c>
      <c r="AW260" s="168">
        <f t="shared" ref="AW260:AW302" si="110">AV260-AT260</f>
        <v>6.2353849031397957E-3</v>
      </c>
      <c r="AX260" s="168">
        <f t="shared" ref="AX260:AX302" si="111">(AI260%*W260)/W260*1000</f>
        <v>414.87016649050435</v>
      </c>
      <c r="AY260" s="168">
        <f t="shared" ref="AY260:AY302" si="112">(AX260*AW260%)*1000</f>
        <v>25.868751728979841</v>
      </c>
      <c r="AZ260" s="168">
        <f t="shared" ref="AZ260:AZ302" si="113">(((AG260*AW260%)/AG260)*1000)*1000</f>
        <v>62.353849031397949</v>
      </c>
    </row>
    <row r="261" spans="1:52" ht="18" x14ac:dyDescent="0.25">
      <c r="I261" s="25" t="s">
        <v>469</v>
      </c>
      <c r="Q261" s="169">
        <v>60</v>
      </c>
      <c r="R261" s="169" t="s">
        <v>381</v>
      </c>
      <c r="S261" s="169">
        <v>4.4430709999999998</v>
      </c>
      <c r="T261" s="169">
        <v>-2.6755912834394158</v>
      </c>
      <c r="U261" s="169">
        <v>3.1928397500000001</v>
      </c>
      <c r="V261" s="169">
        <v>-23.727283135878718</v>
      </c>
      <c r="W261" s="169">
        <v>1.9830000000000001</v>
      </c>
      <c r="X261" s="174">
        <v>6.8209870833333328</v>
      </c>
      <c r="Y261" s="174">
        <v>-2.4654071106332642</v>
      </c>
      <c r="Z261" s="174">
        <v>4.4079328333333327</v>
      </c>
      <c r="AA261" s="174">
        <v>-23.42695482410312</v>
      </c>
      <c r="AB261" s="174">
        <v>3.047333333333333</v>
      </c>
      <c r="AC261" s="174">
        <v>3.047333333333333</v>
      </c>
      <c r="AD261" s="158">
        <f t="shared" si="93"/>
        <v>1.2598587117981274E-2</v>
      </c>
      <c r="AE261" s="158">
        <f t="shared" si="94"/>
        <v>0.31808063318569169</v>
      </c>
      <c r="AF261" s="159">
        <f t="shared" si="95"/>
        <v>5.5976417064876174E-2</v>
      </c>
      <c r="AG261" s="159">
        <f t="shared" si="96"/>
        <v>1.0155804893404456</v>
      </c>
      <c r="AH261" s="160">
        <f t="shared" si="97"/>
        <v>2.8228147788641538</v>
      </c>
      <c r="AI261" s="160">
        <f t="shared" si="98"/>
        <v>51.214346411520204</v>
      </c>
      <c r="AJ261" s="161">
        <f t="shared" si="99"/>
        <v>18.143006333602894</v>
      </c>
      <c r="AK261" s="162">
        <f t="shared" si="100"/>
        <v>1.769815827193848</v>
      </c>
      <c r="AL261" s="162">
        <f t="shared" si="101"/>
        <v>-26.330328311775599</v>
      </c>
      <c r="AM261" s="163">
        <v>0.36599999999999999</v>
      </c>
      <c r="AN261" s="164">
        <f t="shared" si="102"/>
        <v>1.769815827193848</v>
      </c>
      <c r="AO261" s="165">
        <f t="shared" si="103"/>
        <v>0.36689947483819818</v>
      </c>
      <c r="AP261" s="166">
        <f t="shared" si="104"/>
        <v>8.9947483819818874E-4</v>
      </c>
      <c r="AQ261" s="166">
        <f t="shared" si="105"/>
        <v>28.228147788641536</v>
      </c>
      <c r="AR261" s="166">
        <f t="shared" si="106"/>
        <v>0.25390508664822908</v>
      </c>
      <c r="AS261" s="166">
        <f t="shared" si="107"/>
        <v>8.9947483819818874</v>
      </c>
      <c r="AT261" s="163">
        <v>1.08</v>
      </c>
      <c r="AU261" s="164">
        <f t="shared" si="108"/>
        <v>-26.330328311775599</v>
      </c>
      <c r="AV261" s="164">
        <f t="shared" si="109"/>
        <v>1.0822713428388189</v>
      </c>
      <c r="AW261" s="168">
        <f t="shared" si="110"/>
        <v>2.2713428388188017E-3</v>
      </c>
      <c r="AX261" s="168">
        <f t="shared" si="111"/>
        <v>512.14346411520205</v>
      </c>
      <c r="AY261" s="168">
        <f t="shared" si="112"/>
        <v>11.632533896659181</v>
      </c>
      <c r="AZ261" s="168">
        <f t="shared" si="113"/>
        <v>22.713428388188017</v>
      </c>
    </row>
    <row r="262" spans="1:52" ht="18" x14ac:dyDescent="0.25">
      <c r="A262">
        <v>6</v>
      </c>
      <c r="B262" t="s">
        <v>32</v>
      </c>
      <c r="C262" t="s">
        <v>28</v>
      </c>
      <c r="D262" t="s">
        <v>427</v>
      </c>
      <c r="E262">
        <v>3</v>
      </c>
      <c r="F262" s="9" t="s">
        <v>81</v>
      </c>
      <c r="G262">
        <v>249</v>
      </c>
      <c r="H262">
        <v>4.2679999999999998</v>
      </c>
      <c r="I262" t="s">
        <v>443</v>
      </c>
      <c r="Q262" s="154">
        <v>61</v>
      </c>
      <c r="R262" s="154" t="s">
        <v>382</v>
      </c>
      <c r="S262" s="154">
        <v>3.4584950000000001</v>
      </c>
      <c r="T262" s="154">
        <v>314.44351641072609</v>
      </c>
      <c r="U262" s="154">
        <v>5.8719400000000004</v>
      </c>
      <c r="V262" s="154">
        <v>-24.525478651597425</v>
      </c>
      <c r="W262" s="156">
        <v>4.2679999999999998</v>
      </c>
      <c r="X262" s="174">
        <v>6.8209870833333328</v>
      </c>
      <c r="Y262" s="174">
        <v>-2.4654071106332642</v>
      </c>
      <c r="Z262" s="174">
        <v>4.4079328333333327</v>
      </c>
      <c r="AA262" s="174">
        <v>-23.42695482410312</v>
      </c>
      <c r="AB262" s="174">
        <v>3.047333333333333</v>
      </c>
      <c r="AC262" s="174">
        <v>3.047333333333333</v>
      </c>
      <c r="AD262" s="158">
        <f t="shared" si="93"/>
        <v>1.2598587117981274E-2</v>
      </c>
      <c r="AE262" s="158">
        <f t="shared" si="94"/>
        <v>0.31808063318569169</v>
      </c>
      <c r="AF262" s="159">
        <f t="shared" si="95"/>
        <v>4.3572150554602646E-2</v>
      </c>
      <c r="AG262" s="159">
        <f t="shared" si="96"/>
        <v>1.8677503932283905</v>
      </c>
      <c r="AH262" s="160">
        <f t="shared" si="97"/>
        <v>1.0209032463590124</v>
      </c>
      <c r="AI262" s="160">
        <f t="shared" si="98"/>
        <v>43.761724302445892</v>
      </c>
      <c r="AJ262" s="161">
        <f t="shared" si="99"/>
        <v>42.86569217848934</v>
      </c>
      <c r="AK262" s="162">
        <f t="shared" si="100"/>
        <v>318.88892352135935</v>
      </c>
      <c r="AL262" s="162">
        <f t="shared" si="101"/>
        <v>-27.128523827494305</v>
      </c>
      <c r="AM262" s="163">
        <v>0.36599999999999999</v>
      </c>
      <c r="AN262" s="164">
        <f t="shared" si="102"/>
        <v>318.88892352135935</v>
      </c>
      <c r="AO262" s="165">
        <f t="shared" si="103"/>
        <v>0.48248437034571712</v>
      </c>
      <c r="AP262" s="166">
        <f t="shared" si="104"/>
        <v>0.11648437034571713</v>
      </c>
      <c r="AQ262" s="166">
        <f t="shared" si="105"/>
        <v>10.209032463590125</v>
      </c>
      <c r="AR262" s="166">
        <f t="shared" si="106"/>
        <v>11.89192718360281</v>
      </c>
      <c r="AS262" s="166">
        <f t="shared" si="107"/>
        <v>1164.8437034571712</v>
      </c>
      <c r="AT262" s="163">
        <v>1.08</v>
      </c>
      <c r="AU262" s="164">
        <f t="shared" si="108"/>
        <v>-27.128523827494305</v>
      </c>
      <c r="AV262" s="164">
        <f t="shared" si="109"/>
        <v>1.0813937121750734</v>
      </c>
      <c r="AW262" s="168">
        <f t="shared" si="110"/>
        <v>1.3937121750733361E-3</v>
      </c>
      <c r="AX262" s="168">
        <f t="shared" si="111"/>
        <v>437.6172430244589</v>
      </c>
      <c r="AY262" s="168">
        <f t="shared" si="112"/>
        <v>6.0991247962521538</v>
      </c>
      <c r="AZ262" s="168">
        <f t="shared" si="113"/>
        <v>13.937121750733361</v>
      </c>
    </row>
    <row r="263" spans="1:52" ht="18" x14ac:dyDescent="0.25">
      <c r="A263">
        <v>6</v>
      </c>
      <c r="B263" t="s">
        <v>32</v>
      </c>
      <c r="C263" t="s">
        <v>28</v>
      </c>
      <c r="D263" t="s">
        <v>428</v>
      </c>
      <c r="E263">
        <v>3</v>
      </c>
      <c r="F263" s="9" t="s">
        <v>82</v>
      </c>
      <c r="G263">
        <v>250</v>
      </c>
      <c r="H263">
        <v>4.9279999999999999</v>
      </c>
      <c r="Q263" s="169">
        <v>62</v>
      </c>
      <c r="R263" s="169" t="s">
        <v>383</v>
      </c>
      <c r="S263" s="169">
        <v>3.07978825</v>
      </c>
      <c r="T263" s="169">
        <v>41.51656881842603</v>
      </c>
      <c r="U263" s="169">
        <v>6.3371075000000001</v>
      </c>
      <c r="V263" s="169">
        <v>-23.87549132028068</v>
      </c>
      <c r="W263" s="156">
        <v>4.9279999999999999</v>
      </c>
      <c r="X263" s="174">
        <v>6.8209870833333328</v>
      </c>
      <c r="Y263" s="174">
        <v>-2.4654071106332642</v>
      </c>
      <c r="Z263" s="174">
        <v>4.4079328333333327</v>
      </c>
      <c r="AA263" s="174">
        <v>-23.42695482410312</v>
      </c>
      <c r="AB263" s="174">
        <v>3.047333333333333</v>
      </c>
      <c r="AC263" s="174">
        <v>3.047333333333333</v>
      </c>
      <c r="AD263" s="158">
        <f t="shared" si="93"/>
        <v>1.2598587117981274E-2</v>
      </c>
      <c r="AE263" s="158">
        <f t="shared" si="94"/>
        <v>0.31808063318569169</v>
      </c>
      <c r="AF263" s="159">
        <f t="shared" si="95"/>
        <v>3.8800980572560088E-2</v>
      </c>
      <c r="AG263" s="159">
        <f t="shared" si="96"/>
        <v>2.0157111661657958</v>
      </c>
      <c r="AH263" s="160">
        <f t="shared" si="97"/>
        <v>0.78735756031980697</v>
      </c>
      <c r="AI263" s="160">
        <f t="shared" si="98"/>
        <v>40.903229832909823</v>
      </c>
      <c r="AJ263" s="161">
        <f t="shared" si="99"/>
        <v>51.950005809680476</v>
      </c>
      <c r="AK263" s="162">
        <f t="shared" si="100"/>
        <v>45.961975929059292</v>
      </c>
      <c r="AL263" s="162">
        <f t="shared" si="101"/>
        <v>-26.478536496177561</v>
      </c>
      <c r="AM263" s="163">
        <v>0.36599999999999999</v>
      </c>
      <c r="AN263" s="164">
        <f t="shared" si="102"/>
        <v>45.961975929059292</v>
      </c>
      <c r="AO263" s="165">
        <f t="shared" si="103"/>
        <v>0.3830229160068726</v>
      </c>
      <c r="AP263" s="166">
        <f t="shared" si="104"/>
        <v>1.7022916006872613E-2</v>
      </c>
      <c r="AQ263" s="166">
        <f t="shared" si="105"/>
        <v>7.8735756031980699</v>
      </c>
      <c r="AR263" s="166">
        <f t="shared" si="106"/>
        <v>1.3403121616700211</v>
      </c>
      <c r="AS263" s="166">
        <f t="shared" si="107"/>
        <v>170.22916006872612</v>
      </c>
      <c r="AT263" s="163">
        <v>1.08</v>
      </c>
      <c r="AU263" s="164">
        <f t="shared" si="108"/>
        <v>-26.478536496177561</v>
      </c>
      <c r="AV263" s="164">
        <f t="shared" si="109"/>
        <v>1.0821083863890093</v>
      </c>
      <c r="AW263" s="168">
        <f t="shared" si="110"/>
        <v>2.1083863890092314E-3</v>
      </c>
      <c r="AX263" s="168">
        <f t="shared" si="111"/>
        <v>409.03229832909818</v>
      </c>
      <c r="AY263" s="168">
        <f t="shared" si="112"/>
        <v>8.6239813046223386</v>
      </c>
      <c r="AZ263" s="168">
        <f t="shared" si="113"/>
        <v>21.083863890092314</v>
      </c>
    </row>
    <row r="264" spans="1:52" ht="18" x14ac:dyDescent="0.25">
      <c r="A264">
        <v>6</v>
      </c>
      <c r="B264" t="s">
        <v>32</v>
      </c>
      <c r="C264" t="s">
        <v>30</v>
      </c>
      <c r="D264" t="s">
        <v>427</v>
      </c>
      <c r="E264">
        <v>3</v>
      </c>
      <c r="F264" s="9" t="s">
        <v>83</v>
      </c>
      <c r="G264">
        <v>251</v>
      </c>
      <c r="H264">
        <v>4.4710000000000001</v>
      </c>
      <c r="Q264" s="154">
        <v>63</v>
      </c>
      <c r="R264" s="154" t="s">
        <v>384</v>
      </c>
      <c r="S264" s="154">
        <v>2.4139870000000001</v>
      </c>
      <c r="T264" s="154">
        <v>-0.69581116134187493</v>
      </c>
      <c r="U264" s="154">
        <v>3.5147515</v>
      </c>
      <c r="V264" s="154">
        <v>-25.647129770924188</v>
      </c>
      <c r="W264" s="156">
        <v>4.4710000000000001</v>
      </c>
      <c r="X264" s="174">
        <v>6.8209870833333328</v>
      </c>
      <c r="Y264" s="174">
        <v>-2.4654071106332642</v>
      </c>
      <c r="Z264" s="174">
        <v>4.4079328333333327</v>
      </c>
      <c r="AA264" s="174">
        <v>-23.42695482410312</v>
      </c>
      <c r="AB264" s="174">
        <v>3.047333333333333</v>
      </c>
      <c r="AC264" s="174">
        <v>3.047333333333333</v>
      </c>
      <c r="AD264" s="158">
        <f t="shared" si="93"/>
        <v>1.2598587117981274E-2</v>
      </c>
      <c r="AE264" s="158">
        <f t="shared" si="94"/>
        <v>0.31808063318569169</v>
      </c>
      <c r="AF264" s="159">
        <f t="shared" si="95"/>
        <v>3.0412825521174261E-2</v>
      </c>
      <c r="AG264" s="159">
        <f t="shared" si="96"/>
        <v>1.1179743826103596</v>
      </c>
      <c r="AH264" s="160">
        <f t="shared" si="97"/>
        <v>0.68022423442572721</v>
      </c>
      <c r="AI264" s="160">
        <f t="shared" si="98"/>
        <v>25.005018622463869</v>
      </c>
      <c r="AJ264" s="161">
        <f t="shared" si="99"/>
        <v>36.759964372004653</v>
      </c>
      <c r="AK264" s="162">
        <f t="shared" si="100"/>
        <v>3.7495959492913888</v>
      </c>
      <c r="AL264" s="162">
        <f t="shared" si="101"/>
        <v>-28.250174946821069</v>
      </c>
      <c r="AM264" s="163">
        <v>0.36599999999999999</v>
      </c>
      <c r="AN264" s="164">
        <f t="shared" si="102"/>
        <v>3.7495959492913888</v>
      </c>
      <c r="AO264" s="165">
        <f t="shared" si="103"/>
        <v>0.36762190622173646</v>
      </c>
      <c r="AP264" s="166">
        <f t="shared" si="104"/>
        <v>1.6219062217364688E-3</v>
      </c>
      <c r="AQ264" s="166">
        <f t="shared" si="105"/>
        <v>6.8022423442572721</v>
      </c>
      <c r="AR264" s="166">
        <f t="shared" si="106"/>
        <v>0.11032599179910133</v>
      </c>
      <c r="AS264" s="166">
        <f t="shared" si="107"/>
        <v>16.219062217364687</v>
      </c>
      <c r="AT264" s="163">
        <v>1.08</v>
      </c>
      <c r="AU264" s="164">
        <f t="shared" si="108"/>
        <v>-28.250174946821069</v>
      </c>
      <c r="AV264" s="164">
        <f t="shared" si="109"/>
        <v>1.0801604098021036</v>
      </c>
      <c r="AW264" s="168">
        <f t="shared" si="110"/>
        <v>1.6040980210352274E-4</v>
      </c>
      <c r="AX264" s="168">
        <f t="shared" si="111"/>
        <v>250.05018622463871</v>
      </c>
      <c r="AY264" s="168">
        <f t="shared" si="112"/>
        <v>0.40110500888243306</v>
      </c>
      <c r="AZ264" s="168">
        <f t="shared" si="113"/>
        <v>1.6040980210352274</v>
      </c>
    </row>
    <row r="265" spans="1:52" ht="18" x14ac:dyDescent="0.25">
      <c r="A265">
        <v>6</v>
      </c>
      <c r="B265" t="s">
        <v>36</v>
      </c>
      <c r="C265" t="s">
        <v>26</v>
      </c>
      <c r="D265" t="s">
        <v>427</v>
      </c>
      <c r="E265">
        <v>3</v>
      </c>
      <c r="F265" s="9" t="s">
        <v>84</v>
      </c>
      <c r="G265">
        <v>253</v>
      </c>
      <c r="H265">
        <v>4.1470000000000002</v>
      </c>
      <c r="Q265" s="169">
        <v>64</v>
      </c>
      <c r="R265" s="169" t="s">
        <v>385</v>
      </c>
      <c r="S265" s="169">
        <v>2.9017292499999998</v>
      </c>
      <c r="T265" s="169">
        <v>2531.9263401235471</v>
      </c>
      <c r="U265" s="169">
        <v>5.415235</v>
      </c>
      <c r="V265" s="169">
        <v>-15.165703529546288</v>
      </c>
      <c r="W265" s="156">
        <v>4.1470000000000002</v>
      </c>
      <c r="X265" s="174">
        <v>6.8209870833333328</v>
      </c>
      <c r="Y265" s="174">
        <v>-2.4654071106332642</v>
      </c>
      <c r="Z265" s="174">
        <v>4.4079328333333327</v>
      </c>
      <c r="AA265" s="174">
        <v>-23.42695482410312</v>
      </c>
      <c r="AB265" s="174">
        <v>3.047333333333333</v>
      </c>
      <c r="AC265" s="174">
        <v>3.047333333333333</v>
      </c>
      <c r="AD265" s="158">
        <f t="shared" si="93"/>
        <v>1.2598587117981274E-2</v>
      </c>
      <c r="AE265" s="158">
        <f t="shared" si="94"/>
        <v>0.31808063318569169</v>
      </c>
      <c r="AF265" s="159">
        <f t="shared" si="95"/>
        <v>3.6557688748919459E-2</v>
      </c>
      <c r="AG265" s="159">
        <f t="shared" si="96"/>
        <v>1.7224813776493191</v>
      </c>
      <c r="AH265" s="160">
        <f t="shared" si="97"/>
        <v>0.88154542437712691</v>
      </c>
      <c r="AI265" s="160">
        <f t="shared" si="98"/>
        <v>41.535601100779331</v>
      </c>
      <c r="AJ265" s="161">
        <f t="shared" si="99"/>
        <v>47.116801871131166</v>
      </c>
      <c r="AK265" s="162">
        <f t="shared" si="100"/>
        <v>2536.3717472341805</v>
      </c>
      <c r="AL265" s="162">
        <f t="shared" si="101"/>
        <v>-17.768748705443169</v>
      </c>
      <c r="AM265" s="163">
        <v>0.36599999999999999</v>
      </c>
      <c r="AN265" s="164">
        <f t="shared" si="102"/>
        <v>2536.3717472341805</v>
      </c>
      <c r="AO265" s="165">
        <f t="shared" si="103"/>
        <v>1.2832878933923655</v>
      </c>
      <c r="AP265" s="166">
        <f t="shared" si="104"/>
        <v>0.91728789339236549</v>
      </c>
      <c r="AQ265" s="166">
        <f t="shared" si="105"/>
        <v>8.8154542437712688</v>
      </c>
      <c r="AR265" s="166">
        <f t="shared" si="106"/>
        <v>80.863094525657345</v>
      </c>
      <c r="AS265" s="166">
        <f t="shared" si="107"/>
        <v>9172.8789339236537</v>
      </c>
      <c r="AT265" s="163">
        <v>1.08</v>
      </c>
      <c r="AU265" s="164">
        <f t="shared" si="108"/>
        <v>-17.768748705443169</v>
      </c>
      <c r="AV265" s="164">
        <f t="shared" si="109"/>
        <v>1.0916839779528178</v>
      </c>
      <c r="AW265" s="168">
        <f t="shared" si="110"/>
        <v>1.1683977952817726E-2</v>
      </c>
      <c r="AX265" s="168">
        <f t="shared" si="111"/>
        <v>415.35601100779331</v>
      </c>
      <c r="AY265" s="168">
        <f t="shared" si="112"/>
        <v>48.530104751853735</v>
      </c>
      <c r="AZ265" s="168">
        <f t="shared" si="113"/>
        <v>116.83977952817725</v>
      </c>
    </row>
    <row r="266" spans="1:52" ht="18" x14ac:dyDescent="0.25">
      <c r="A266">
        <v>6</v>
      </c>
      <c r="B266" t="s">
        <v>36</v>
      </c>
      <c r="C266" t="s">
        <v>26</v>
      </c>
      <c r="D266" t="s">
        <v>428</v>
      </c>
      <c r="E266">
        <v>3</v>
      </c>
      <c r="F266" s="9" t="s">
        <v>85</v>
      </c>
      <c r="G266">
        <v>254</v>
      </c>
      <c r="H266">
        <v>4.1619999999999999</v>
      </c>
      <c r="Q266" s="154">
        <v>65</v>
      </c>
      <c r="R266" s="154" t="s">
        <v>386</v>
      </c>
      <c r="S266" s="154">
        <v>3.5629344999999999</v>
      </c>
      <c r="T266" s="154">
        <v>396.71625645765289</v>
      </c>
      <c r="U266" s="154">
        <v>5.3726839999999996</v>
      </c>
      <c r="V266" s="154">
        <v>-21.718644680819985</v>
      </c>
      <c r="W266" s="156">
        <v>4.1619999999999999</v>
      </c>
      <c r="X266" s="174">
        <v>6.8209870833333328</v>
      </c>
      <c r="Y266" s="174">
        <v>-2.4654071106332642</v>
      </c>
      <c r="Z266" s="174">
        <v>4.4079328333333327</v>
      </c>
      <c r="AA266" s="174">
        <v>-23.42695482410312</v>
      </c>
      <c r="AB266" s="174">
        <v>3.047333333333333</v>
      </c>
      <c r="AC266" s="174">
        <v>3.047333333333333</v>
      </c>
      <c r="AD266" s="158">
        <f t="shared" si="93"/>
        <v>1.2598587117981274E-2</v>
      </c>
      <c r="AE266" s="158">
        <f t="shared" si="94"/>
        <v>0.31808063318569169</v>
      </c>
      <c r="AF266" s="159">
        <f t="shared" si="95"/>
        <v>4.4887940693911048E-2</v>
      </c>
      <c r="AG266" s="159">
        <f t="shared" si="96"/>
        <v>1.7089467286266347</v>
      </c>
      <c r="AH266" s="160">
        <f t="shared" si="97"/>
        <v>1.0785185173933458</v>
      </c>
      <c r="AI266" s="160">
        <f t="shared" si="98"/>
        <v>41.060709481658691</v>
      </c>
      <c r="AJ266" s="161">
        <f t="shared" si="99"/>
        <v>38.071399627794676</v>
      </c>
      <c r="AK266" s="162">
        <f t="shared" si="100"/>
        <v>401.16166356828614</v>
      </c>
      <c r="AL266" s="162">
        <f t="shared" si="101"/>
        <v>-24.321689856716866</v>
      </c>
      <c r="AM266" s="163">
        <v>0.36599999999999999</v>
      </c>
      <c r="AN266" s="164">
        <f t="shared" si="102"/>
        <v>401.16166356828614</v>
      </c>
      <c r="AO266" s="165">
        <f t="shared" si="103"/>
        <v>0.51242768150036888</v>
      </c>
      <c r="AP266" s="166">
        <f t="shared" si="104"/>
        <v>0.14642768150036889</v>
      </c>
      <c r="AQ266" s="166">
        <f t="shared" si="105"/>
        <v>10.785185173933458</v>
      </c>
      <c r="AR266" s="166">
        <f t="shared" si="106"/>
        <v>15.792496595712292</v>
      </c>
      <c r="AS266" s="166">
        <f t="shared" si="107"/>
        <v>1464.2768150036889</v>
      </c>
      <c r="AT266" s="163">
        <v>1.08</v>
      </c>
      <c r="AU266" s="164">
        <f t="shared" si="108"/>
        <v>-24.321689856716866</v>
      </c>
      <c r="AV266" s="164">
        <f t="shared" si="109"/>
        <v>1.0844798088951304</v>
      </c>
      <c r="AW266" s="168">
        <f t="shared" si="110"/>
        <v>4.4798088951303328E-3</v>
      </c>
      <c r="AX266" s="168">
        <f t="shared" si="111"/>
        <v>410.60709481658694</v>
      </c>
      <c r="AY266" s="168">
        <f t="shared" si="112"/>
        <v>18.394413157629703</v>
      </c>
      <c r="AZ266" s="168">
        <f t="shared" si="113"/>
        <v>44.798088951303328</v>
      </c>
    </row>
    <row r="267" spans="1:52" ht="18" x14ac:dyDescent="0.25">
      <c r="A267">
        <v>6</v>
      </c>
      <c r="B267" t="s">
        <v>36</v>
      </c>
      <c r="C267" t="s">
        <v>28</v>
      </c>
      <c r="D267" t="s">
        <v>427</v>
      </c>
      <c r="E267">
        <v>3</v>
      </c>
      <c r="F267" s="9" t="s">
        <v>86</v>
      </c>
      <c r="G267">
        <v>255</v>
      </c>
      <c r="H267">
        <v>4.0129999999999999</v>
      </c>
      <c r="Q267" s="169">
        <v>66</v>
      </c>
      <c r="R267" s="169" t="s">
        <v>387</v>
      </c>
      <c r="S267" s="169">
        <v>2.9738164999999999</v>
      </c>
      <c r="T267" s="169">
        <v>489.55897130797388</v>
      </c>
      <c r="U267" s="169">
        <v>4.9227610000000004</v>
      </c>
      <c r="V267" s="169">
        <v>-22.000358006239384</v>
      </c>
      <c r="W267" s="156">
        <v>4.0129999999999999</v>
      </c>
      <c r="X267" s="174">
        <v>6.8209870833333328</v>
      </c>
      <c r="Y267" s="174">
        <v>-2.4654071106332642</v>
      </c>
      <c r="Z267" s="174">
        <v>4.4079328333333327</v>
      </c>
      <c r="AA267" s="174">
        <v>-23.42695482410312</v>
      </c>
      <c r="AB267" s="174">
        <v>3.047333333333333</v>
      </c>
      <c r="AC267" s="174">
        <v>3.047333333333333</v>
      </c>
      <c r="AD267" s="158">
        <f t="shared" si="93"/>
        <v>1.2598587117981274E-2</v>
      </c>
      <c r="AE267" s="158">
        <f t="shared" si="94"/>
        <v>0.31808063318569169</v>
      </c>
      <c r="AF267" s="159">
        <f t="shared" si="95"/>
        <v>3.7465886248140158E-2</v>
      </c>
      <c r="AG267" s="159">
        <f t="shared" si="96"/>
        <v>1.5658349359018289</v>
      </c>
      <c r="AH267" s="160">
        <f t="shared" si="97"/>
        <v>0.93361291423224912</v>
      </c>
      <c r="AI267" s="160">
        <f t="shared" si="98"/>
        <v>39.019061447840244</v>
      </c>
      <c r="AJ267" s="161">
        <f t="shared" si="99"/>
        <v>41.79361794703464</v>
      </c>
      <c r="AK267" s="162">
        <f t="shared" si="100"/>
        <v>494.00437841860713</v>
      </c>
      <c r="AL267" s="162">
        <f t="shared" si="101"/>
        <v>-24.603403182136265</v>
      </c>
      <c r="AM267" s="163">
        <v>0.36599999999999999</v>
      </c>
      <c r="AN267" s="164">
        <f t="shared" si="102"/>
        <v>494.00437841860713</v>
      </c>
      <c r="AO267" s="165">
        <f t="shared" si="103"/>
        <v>0.5461963211070876</v>
      </c>
      <c r="AP267" s="166">
        <f t="shared" si="104"/>
        <v>0.18019632110708761</v>
      </c>
      <c r="AQ267" s="166">
        <f t="shared" si="105"/>
        <v>9.3361291423224912</v>
      </c>
      <c r="AR267" s="166">
        <f t="shared" si="106"/>
        <v>16.823361248271819</v>
      </c>
      <c r="AS267" s="166">
        <f t="shared" si="107"/>
        <v>1801.9632110708762</v>
      </c>
      <c r="AT267" s="163">
        <v>1.08</v>
      </c>
      <c r="AU267" s="164">
        <f t="shared" si="108"/>
        <v>-24.603403182136265</v>
      </c>
      <c r="AV267" s="164">
        <f t="shared" si="109"/>
        <v>1.0841700755168129</v>
      </c>
      <c r="AW267" s="168">
        <f t="shared" si="110"/>
        <v>4.1700755168128101E-3</v>
      </c>
      <c r="AX267" s="168">
        <f t="shared" si="111"/>
        <v>390.19061447840244</v>
      </c>
      <c r="AY267" s="168">
        <f t="shared" si="112"/>
        <v>16.271243283265317</v>
      </c>
      <c r="AZ267" s="168">
        <f t="shared" si="113"/>
        <v>41.700755168128097</v>
      </c>
    </row>
    <row r="268" spans="1:52" ht="18" x14ac:dyDescent="0.25">
      <c r="A268">
        <v>6</v>
      </c>
      <c r="B268" t="s">
        <v>36</v>
      </c>
      <c r="C268" t="s">
        <v>28</v>
      </c>
      <c r="D268" t="s">
        <v>428</v>
      </c>
      <c r="E268">
        <v>3</v>
      </c>
      <c r="F268" s="9" t="s">
        <v>429</v>
      </c>
      <c r="G268">
        <v>256</v>
      </c>
      <c r="H268">
        <v>4.3410000000000002</v>
      </c>
      <c r="Q268" s="154">
        <v>67</v>
      </c>
      <c r="R268" s="154" t="s">
        <v>388</v>
      </c>
      <c r="S268" s="154">
        <v>3.5337632499999998</v>
      </c>
      <c r="T268" s="154">
        <v>44.564861291420065</v>
      </c>
      <c r="U268" s="154">
        <v>5.3789435000000001</v>
      </c>
      <c r="V268" s="154">
        <v>-23.658304756278348</v>
      </c>
      <c r="W268" s="156">
        <v>4.3410000000000002</v>
      </c>
      <c r="X268" s="174">
        <v>6.8209870833333328</v>
      </c>
      <c r="Y268" s="174">
        <v>-2.4654071106332642</v>
      </c>
      <c r="Z268" s="174">
        <v>4.4079328333333327</v>
      </c>
      <c r="AA268" s="174">
        <v>-23.42695482410312</v>
      </c>
      <c r="AB268" s="174">
        <v>3.047333333333333</v>
      </c>
      <c r="AC268" s="174">
        <v>3.047333333333333</v>
      </c>
      <c r="AD268" s="158">
        <f t="shared" si="93"/>
        <v>1.2598587117981274E-2</v>
      </c>
      <c r="AE268" s="158">
        <f t="shared" si="94"/>
        <v>0.31808063318569169</v>
      </c>
      <c r="AF268" s="159">
        <f t="shared" si="95"/>
        <v>4.4520424159445633E-2</v>
      </c>
      <c r="AG268" s="159">
        <f t="shared" si="96"/>
        <v>1.7109377543500606</v>
      </c>
      <c r="AH268" s="160">
        <f t="shared" si="97"/>
        <v>1.0255799161355825</v>
      </c>
      <c r="AI268" s="160">
        <f t="shared" si="98"/>
        <v>39.413447462567625</v>
      </c>
      <c r="AJ268" s="161">
        <f t="shared" si="99"/>
        <v>38.430401027234176</v>
      </c>
      <c r="AK268" s="162">
        <f t="shared" si="100"/>
        <v>49.010268402053327</v>
      </c>
      <c r="AL268" s="162">
        <f t="shared" si="101"/>
        <v>-26.261349932175229</v>
      </c>
      <c r="AM268" s="163">
        <v>0.36599999999999999</v>
      </c>
      <c r="AN268" s="164">
        <f t="shared" si="102"/>
        <v>49.010268402053327</v>
      </c>
      <c r="AO268" s="165">
        <f t="shared" si="103"/>
        <v>0.38413488840238535</v>
      </c>
      <c r="AP268" s="166">
        <f t="shared" si="104"/>
        <v>1.8134888402385363E-2</v>
      </c>
      <c r="AQ268" s="166">
        <f t="shared" si="105"/>
        <v>10.255799161355826</v>
      </c>
      <c r="AR268" s="166">
        <f t="shared" si="106"/>
        <v>1.859877732684653</v>
      </c>
      <c r="AS268" s="166">
        <f t="shared" si="107"/>
        <v>181.3488840238536</v>
      </c>
      <c r="AT268" s="163">
        <v>1.08</v>
      </c>
      <c r="AU268" s="164">
        <f t="shared" si="108"/>
        <v>-26.261349932175229</v>
      </c>
      <c r="AV268" s="164">
        <f t="shared" si="109"/>
        <v>1.0823471851059847</v>
      </c>
      <c r="AW268" s="168">
        <f t="shared" si="110"/>
        <v>2.3471851059846394E-3</v>
      </c>
      <c r="AX268" s="168">
        <f t="shared" si="111"/>
        <v>394.13447462567626</v>
      </c>
      <c r="AY268" s="168">
        <f t="shared" si="112"/>
        <v>9.2510656859646812</v>
      </c>
      <c r="AZ268" s="168">
        <f t="shared" si="113"/>
        <v>23.471851059846394</v>
      </c>
    </row>
    <row r="269" spans="1:52" ht="18" x14ac:dyDescent="0.25">
      <c r="A269">
        <v>6</v>
      </c>
      <c r="B269" t="s">
        <v>36</v>
      </c>
      <c r="C269" t="s">
        <v>30</v>
      </c>
      <c r="D269" t="s">
        <v>427</v>
      </c>
      <c r="E269">
        <v>3</v>
      </c>
      <c r="F269" s="9" t="s">
        <v>430</v>
      </c>
      <c r="G269">
        <v>257</v>
      </c>
      <c r="H269">
        <v>4.2690000000000001</v>
      </c>
      <c r="Q269" s="169">
        <v>68</v>
      </c>
      <c r="R269" s="169" t="s">
        <v>389</v>
      </c>
      <c r="S269" s="169">
        <v>3.48585375</v>
      </c>
      <c r="T269" s="169">
        <v>-2.835440302367684</v>
      </c>
      <c r="U269" s="169">
        <v>5.2395975000000004</v>
      </c>
      <c r="V269" s="169">
        <v>-24.465565924966352</v>
      </c>
      <c r="W269" s="156">
        <v>4.2690000000000001</v>
      </c>
      <c r="X269" s="174">
        <v>6.8209870833333328</v>
      </c>
      <c r="Y269" s="174">
        <v>-2.4654071106332642</v>
      </c>
      <c r="Z269" s="174">
        <v>4.4079328333333327</v>
      </c>
      <c r="AA269" s="174">
        <v>-23.42695482410312</v>
      </c>
      <c r="AB269" s="174">
        <v>3.047333333333333</v>
      </c>
      <c r="AC269" s="174">
        <v>3.047333333333333</v>
      </c>
      <c r="AD269" s="158">
        <f t="shared" si="93"/>
        <v>1.2598587117981274E-2</v>
      </c>
      <c r="AE269" s="158">
        <f t="shared" si="94"/>
        <v>0.31808063318569169</v>
      </c>
      <c r="AF269" s="159">
        <f t="shared" si="95"/>
        <v>4.3916832149916714E-2</v>
      </c>
      <c r="AG269" s="159">
        <f t="shared" si="96"/>
        <v>1.6666144904381672</v>
      </c>
      <c r="AH269" s="160">
        <f t="shared" si="97"/>
        <v>1.028738162331148</v>
      </c>
      <c r="AI269" s="160">
        <f t="shared" si="98"/>
        <v>39.039927159479205</v>
      </c>
      <c r="AJ269" s="161">
        <f t="shared" si="99"/>
        <v>37.949333065484502</v>
      </c>
      <c r="AK269" s="162">
        <f t="shared" si="100"/>
        <v>1.6099668082655798</v>
      </c>
      <c r="AL269" s="162">
        <f t="shared" si="101"/>
        <v>-27.068611100863233</v>
      </c>
      <c r="AM269" s="163">
        <v>0.36599999999999999</v>
      </c>
      <c r="AN269" s="164">
        <f t="shared" si="102"/>
        <v>1.6099668082655798</v>
      </c>
      <c r="AO269" s="165">
        <f t="shared" si="103"/>
        <v>0.3668411446976122</v>
      </c>
      <c r="AP269" s="166">
        <f t="shared" si="104"/>
        <v>8.4114469761220612E-4</v>
      </c>
      <c r="AQ269" s="166">
        <f t="shared" si="105"/>
        <v>10.287381623311481</v>
      </c>
      <c r="AR269" s="166">
        <f t="shared" si="106"/>
        <v>8.6531765047617004E-2</v>
      </c>
      <c r="AS269" s="166">
        <f t="shared" si="107"/>
        <v>8.4114469761220612</v>
      </c>
      <c r="AT269" s="163">
        <v>1.08</v>
      </c>
      <c r="AU269" s="164">
        <f t="shared" si="108"/>
        <v>-27.068611100863233</v>
      </c>
      <c r="AV269" s="164">
        <f t="shared" si="109"/>
        <v>1.0814595878615503</v>
      </c>
      <c r="AW269" s="168">
        <f t="shared" si="110"/>
        <v>1.4595878615502045E-3</v>
      </c>
      <c r="AX269" s="168">
        <f t="shared" si="111"/>
        <v>390.39927159479203</v>
      </c>
      <c r="AY269" s="168">
        <f t="shared" si="112"/>
        <v>5.6982203797779993</v>
      </c>
      <c r="AZ269" s="168">
        <f t="shared" si="113"/>
        <v>14.595878615502045</v>
      </c>
    </row>
    <row r="270" spans="1:52" ht="18" x14ac:dyDescent="0.25">
      <c r="A270">
        <v>6</v>
      </c>
      <c r="B270" t="s">
        <v>36</v>
      </c>
      <c r="C270" t="s">
        <v>30</v>
      </c>
      <c r="D270" t="s">
        <v>428</v>
      </c>
      <c r="E270">
        <v>3</v>
      </c>
      <c r="F270" s="9" t="s">
        <v>431</v>
      </c>
      <c r="G270">
        <v>258</v>
      </c>
      <c r="H270">
        <v>4.742</v>
      </c>
      <c r="Q270" s="154">
        <v>69</v>
      </c>
      <c r="R270" s="154" t="s">
        <v>390</v>
      </c>
      <c r="S270" s="154">
        <v>3.3917047500000002</v>
      </c>
      <c r="T270" s="154">
        <v>-3.7143910182589641</v>
      </c>
      <c r="U270" s="154">
        <v>6.1352789999999997</v>
      </c>
      <c r="V270" s="154">
        <v>-23.932727153175144</v>
      </c>
      <c r="W270" s="156">
        <v>4.742</v>
      </c>
      <c r="X270" s="174">
        <v>6.8209870833333328</v>
      </c>
      <c r="Y270" s="174">
        <v>-2.4654071106332642</v>
      </c>
      <c r="Z270" s="174">
        <v>4.4079328333333327</v>
      </c>
      <c r="AA270" s="174">
        <v>-23.42695482410312</v>
      </c>
      <c r="AB270" s="174">
        <v>3.047333333333333</v>
      </c>
      <c r="AC270" s="174">
        <v>3.047333333333333</v>
      </c>
      <c r="AD270" s="158">
        <f t="shared" si="93"/>
        <v>1.2598587117981274E-2</v>
      </c>
      <c r="AE270" s="158">
        <f t="shared" si="94"/>
        <v>0.31808063318569169</v>
      </c>
      <c r="AF270" s="159">
        <f t="shared" si="95"/>
        <v>4.27306877713459E-2</v>
      </c>
      <c r="AG270" s="159">
        <f t="shared" si="96"/>
        <v>1.9515134290908771</v>
      </c>
      <c r="AH270" s="160">
        <f t="shared" si="97"/>
        <v>0.90111108754419866</v>
      </c>
      <c r="AI270" s="160">
        <f t="shared" si="98"/>
        <v>41.153804915455019</v>
      </c>
      <c r="AJ270" s="161">
        <f t="shared" si="99"/>
        <v>45.670068301580478</v>
      </c>
      <c r="AK270" s="162">
        <f t="shared" si="100"/>
        <v>0.73101609237429965</v>
      </c>
      <c r="AL270" s="162">
        <f t="shared" si="101"/>
        <v>-26.535772329072024</v>
      </c>
      <c r="AM270" s="163">
        <v>0.36599999999999999</v>
      </c>
      <c r="AN270" s="164">
        <f t="shared" si="102"/>
        <v>0.73101609237429965</v>
      </c>
      <c r="AO270" s="165">
        <f t="shared" si="103"/>
        <v>0.36652040757810561</v>
      </c>
      <c r="AP270" s="166">
        <f t="shared" si="104"/>
        <v>5.2040757810561944E-4</v>
      </c>
      <c r="AQ270" s="166">
        <f t="shared" si="105"/>
        <v>9.0111108754419877</v>
      </c>
      <c r="AR270" s="166">
        <f t="shared" si="106"/>
        <v>4.6894503867299736E-2</v>
      </c>
      <c r="AS270" s="166">
        <f t="shared" si="107"/>
        <v>5.2040757810561944</v>
      </c>
      <c r="AT270" s="163">
        <v>1.08</v>
      </c>
      <c r="AU270" s="164">
        <f t="shared" si="108"/>
        <v>-26.535772329072024</v>
      </c>
      <c r="AV270" s="164">
        <f t="shared" si="109"/>
        <v>1.0820454548480356</v>
      </c>
      <c r="AW270" s="168">
        <f t="shared" si="110"/>
        <v>2.0454548480355328E-3</v>
      </c>
      <c r="AX270" s="168">
        <f t="shared" si="111"/>
        <v>411.53804915455015</v>
      </c>
      <c r="AY270" s="168">
        <f t="shared" si="112"/>
        <v>8.4178249779426011</v>
      </c>
      <c r="AZ270" s="168">
        <f t="shared" si="113"/>
        <v>20.454548480355328</v>
      </c>
    </row>
    <row r="271" spans="1:52" ht="18" x14ac:dyDescent="0.25">
      <c r="A271">
        <v>6</v>
      </c>
      <c r="B271" t="s">
        <v>40</v>
      </c>
      <c r="C271" t="s">
        <v>26</v>
      </c>
      <c r="D271" t="s">
        <v>427</v>
      </c>
      <c r="E271">
        <v>3</v>
      </c>
      <c r="F271" s="9" t="s">
        <v>87</v>
      </c>
      <c r="G271">
        <v>259</v>
      </c>
      <c r="H271">
        <v>1.554</v>
      </c>
      <c r="I271" t="s">
        <v>444</v>
      </c>
      <c r="Q271" s="169">
        <v>70</v>
      </c>
      <c r="R271" s="169" t="s">
        <v>391</v>
      </c>
      <c r="S271" s="169">
        <v>1.0993556250000001</v>
      </c>
      <c r="T271" s="169">
        <v>1570.0157920087677</v>
      </c>
      <c r="U271" s="169">
        <v>1.8740159999999999</v>
      </c>
      <c r="V271" s="169">
        <v>-12.924107354665345</v>
      </c>
      <c r="W271" s="156">
        <v>1.554</v>
      </c>
      <c r="X271" s="174">
        <v>6.8209870833333328</v>
      </c>
      <c r="Y271" s="174">
        <v>-2.4654071106332642</v>
      </c>
      <c r="Z271" s="174">
        <v>4.4079328333333327</v>
      </c>
      <c r="AA271" s="174">
        <v>-23.42695482410312</v>
      </c>
      <c r="AB271" s="174">
        <v>3.047333333333333</v>
      </c>
      <c r="AC271" s="174">
        <v>3.047333333333333</v>
      </c>
      <c r="AD271" s="158">
        <f t="shared" si="93"/>
        <v>1.2598587117981274E-2</v>
      </c>
      <c r="AE271" s="158">
        <f t="shared" si="94"/>
        <v>0.31808063318569169</v>
      </c>
      <c r="AF271" s="159">
        <f t="shared" si="95"/>
        <v>1.3850327615205252E-2</v>
      </c>
      <c r="AG271" s="159">
        <f t="shared" si="96"/>
        <v>0.59608819588011719</v>
      </c>
      <c r="AH271" s="160">
        <f t="shared" si="97"/>
        <v>0.89126947330793116</v>
      </c>
      <c r="AI271" s="160">
        <f t="shared" si="98"/>
        <v>38.358313763199305</v>
      </c>
      <c r="AJ271" s="161">
        <f t="shared" si="99"/>
        <v>43.037840868523283</v>
      </c>
      <c r="AK271" s="162">
        <f t="shared" si="100"/>
        <v>1574.461199119401</v>
      </c>
      <c r="AL271" s="162">
        <f t="shared" si="101"/>
        <v>-15.527152530562226</v>
      </c>
      <c r="AM271" s="163">
        <v>0.36599999999999999</v>
      </c>
      <c r="AN271" s="164">
        <f t="shared" si="102"/>
        <v>1574.461199119401</v>
      </c>
      <c r="AO271" s="165">
        <f t="shared" si="103"/>
        <v>0.93749970270236793</v>
      </c>
      <c r="AP271" s="166">
        <f t="shared" si="104"/>
        <v>0.57149970270236794</v>
      </c>
      <c r="AQ271" s="166">
        <f t="shared" si="105"/>
        <v>8.9126947330793111</v>
      </c>
      <c r="AR271" s="166">
        <f t="shared" si="106"/>
        <v>50.936023902317871</v>
      </c>
      <c r="AS271" s="166">
        <f t="shared" si="107"/>
        <v>5714.9970270236799</v>
      </c>
      <c r="AT271" s="163">
        <v>1.08</v>
      </c>
      <c r="AU271" s="164">
        <f t="shared" si="108"/>
        <v>-15.527152530562226</v>
      </c>
      <c r="AV271" s="164">
        <f t="shared" si="109"/>
        <v>1.0941481019233197</v>
      </c>
      <c r="AW271" s="168">
        <f t="shared" si="110"/>
        <v>1.4148101923319611E-2</v>
      </c>
      <c r="AX271" s="168">
        <f t="shared" si="111"/>
        <v>383.58313763199305</v>
      </c>
      <c r="AY271" s="168">
        <f t="shared" si="112"/>
        <v>54.269733272841719</v>
      </c>
      <c r="AZ271" s="168">
        <f t="shared" si="113"/>
        <v>141.48101923319612</v>
      </c>
    </row>
    <row r="272" spans="1:52" ht="18" x14ac:dyDescent="0.25">
      <c r="A272">
        <v>6</v>
      </c>
      <c r="B272" t="s">
        <v>40</v>
      </c>
      <c r="C272" t="s">
        <v>26</v>
      </c>
      <c r="D272" t="s">
        <v>428</v>
      </c>
      <c r="E272">
        <v>3</v>
      </c>
      <c r="F272" s="9" t="s">
        <v>88</v>
      </c>
      <c r="G272">
        <v>260</v>
      </c>
      <c r="H272">
        <v>4.806</v>
      </c>
      <c r="Q272" s="154">
        <v>71</v>
      </c>
      <c r="R272" s="154" t="s">
        <v>392</v>
      </c>
      <c r="S272" s="154">
        <v>7.4859035</v>
      </c>
      <c r="T272" s="154">
        <v>143.9801119061155</v>
      </c>
      <c r="U272" s="154">
        <v>6.3343945000000001</v>
      </c>
      <c r="V272" s="154">
        <v>-22.631026712526197</v>
      </c>
      <c r="W272" s="156">
        <v>4.806</v>
      </c>
      <c r="X272" s="174">
        <v>6.8209870833333328</v>
      </c>
      <c r="Y272" s="174">
        <v>-2.4654071106332642</v>
      </c>
      <c r="Z272" s="174">
        <v>4.4079328333333327</v>
      </c>
      <c r="AA272" s="174">
        <v>-23.42695482410312</v>
      </c>
      <c r="AB272" s="174">
        <v>3.047333333333333</v>
      </c>
      <c r="AC272" s="174">
        <v>3.047333333333333</v>
      </c>
      <c r="AD272" s="158">
        <f t="shared" si="93"/>
        <v>1.2598587117981274E-2</v>
      </c>
      <c r="AE272" s="158">
        <f t="shared" si="94"/>
        <v>0.31808063318569169</v>
      </c>
      <c r="AF272" s="159">
        <f t="shared" si="95"/>
        <v>9.4311807401550929E-2</v>
      </c>
      <c r="AG272" s="159">
        <f t="shared" si="96"/>
        <v>2.0148482134079631</v>
      </c>
      <c r="AH272" s="160">
        <f t="shared" si="97"/>
        <v>1.9623763504276097</v>
      </c>
      <c r="AI272" s="160">
        <f t="shared" si="98"/>
        <v>41.923599946066652</v>
      </c>
      <c r="AJ272" s="161">
        <f t="shared" si="99"/>
        <v>21.363689965449961</v>
      </c>
      <c r="AK272" s="162">
        <f t="shared" si="100"/>
        <v>148.42551901674875</v>
      </c>
      <c r="AL272" s="162">
        <f t="shared" si="101"/>
        <v>-25.234071888423077</v>
      </c>
      <c r="AM272" s="163">
        <v>0.36599999999999999</v>
      </c>
      <c r="AN272" s="164">
        <f t="shared" si="102"/>
        <v>148.42551901674875</v>
      </c>
      <c r="AO272" s="165">
        <f t="shared" si="103"/>
        <v>0.42038651195962923</v>
      </c>
      <c r="AP272" s="166">
        <f t="shared" si="104"/>
        <v>5.4386511959629236E-2</v>
      </c>
      <c r="AQ272" s="166">
        <f t="shared" si="105"/>
        <v>19.623763504276095</v>
      </c>
      <c r="AR272" s="166">
        <f t="shared" si="106"/>
        <v>10.672680485182475</v>
      </c>
      <c r="AS272" s="166">
        <f t="shared" si="107"/>
        <v>543.8651195962924</v>
      </c>
      <c r="AT272" s="163">
        <v>1.08</v>
      </c>
      <c r="AU272" s="164">
        <f t="shared" si="108"/>
        <v>-25.234071888423077</v>
      </c>
      <c r="AV272" s="164">
        <f t="shared" si="109"/>
        <v>1.0834766715760868</v>
      </c>
      <c r="AW272" s="168">
        <f t="shared" si="110"/>
        <v>3.4766715760867761E-3</v>
      </c>
      <c r="AX272" s="168">
        <f t="shared" si="111"/>
        <v>419.23599946066651</v>
      </c>
      <c r="AY272" s="168">
        <f t="shared" si="112"/>
        <v>14.575458829972304</v>
      </c>
      <c r="AZ272" s="168">
        <f t="shared" si="113"/>
        <v>34.766715760867761</v>
      </c>
    </row>
    <row r="273" spans="1:52" ht="18" x14ac:dyDescent="0.25">
      <c r="A273">
        <v>6</v>
      </c>
      <c r="B273" t="s">
        <v>40</v>
      </c>
      <c r="C273" t="s">
        <v>28</v>
      </c>
      <c r="D273" t="s">
        <v>427</v>
      </c>
      <c r="E273">
        <v>3</v>
      </c>
      <c r="F273" s="9" t="s">
        <v>89</v>
      </c>
      <c r="G273">
        <v>261</v>
      </c>
      <c r="H273">
        <v>4.1790000000000003</v>
      </c>
      <c r="Q273" s="169">
        <v>72</v>
      </c>
      <c r="R273" s="169" t="s">
        <v>393</v>
      </c>
      <c r="S273" s="169">
        <v>5.3453375000000003</v>
      </c>
      <c r="T273" s="169">
        <v>564.5195096532866</v>
      </c>
      <c r="U273" s="169">
        <v>5.3701160000000003</v>
      </c>
      <c r="V273" s="169">
        <v>-20.564906345493373</v>
      </c>
      <c r="W273" s="156">
        <v>4.1790000000000003</v>
      </c>
      <c r="X273" s="174">
        <v>6.8209870833333328</v>
      </c>
      <c r="Y273" s="174">
        <v>-2.4654071106332642</v>
      </c>
      <c r="Z273" s="174">
        <v>4.4079328333333327</v>
      </c>
      <c r="AA273" s="174">
        <v>-23.42695482410312</v>
      </c>
      <c r="AB273" s="174">
        <v>3.047333333333333</v>
      </c>
      <c r="AC273" s="174">
        <v>3.047333333333333</v>
      </c>
      <c r="AD273" s="158">
        <f t="shared" si="93"/>
        <v>1.2598587117981274E-2</v>
      </c>
      <c r="AE273" s="158">
        <f t="shared" si="94"/>
        <v>0.31808063318569169</v>
      </c>
      <c r="AF273" s="159">
        <f t="shared" si="95"/>
        <v>6.7343700168762233E-2</v>
      </c>
      <c r="AG273" s="159">
        <f t="shared" si="96"/>
        <v>1.7081298975606141</v>
      </c>
      <c r="AH273" s="160">
        <f t="shared" si="97"/>
        <v>1.6114788267231928</v>
      </c>
      <c r="AI273" s="160">
        <f t="shared" si="98"/>
        <v>40.874130116310454</v>
      </c>
      <c r="AJ273" s="161">
        <f t="shared" si="99"/>
        <v>25.364360634774567</v>
      </c>
      <c r="AK273" s="162">
        <f t="shared" si="100"/>
        <v>568.96491676391986</v>
      </c>
      <c r="AL273" s="162">
        <f t="shared" si="101"/>
        <v>-23.167951521390254</v>
      </c>
      <c r="AM273" s="163">
        <v>0.36599999999999999</v>
      </c>
      <c r="AN273" s="164">
        <f t="shared" si="102"/>
        <v>568.96491676391986</v>
      </c>
      <c r="AO273" s="165">
        <f t="shared" si="103"/>
        <v>0.5734441556137414</v>
      </c>
      <c r="AP273" s="166">
        <f t="shared" si="104"/>
        <v>0.20744415561374141</v>
      </c>
      <c r="AQ273" s="166">
        <f t="shared" si="105"/>
        <v>16.11478826723193</v>
      </c>
      <c r="AR273" s="166">
        <f t="shared" si="106"/>
        <v>33.429186449901543</v>
      </c>
      <c r="AS273" s="166">
        <f t="shared" si="107"/>
        <v>2074.441556137414</v>
      </c>
      <c r="AT273" s="163">
        <v>1.08</v>
      </c>
      <c r="AU273" s="164">
        <f t="shared" si="108"/>
        <v>-23.167951521390254</v>
      </c>
      <c r="AV273" s="164">
        <f t="shared" si="109"/>
        <v>1.085748281269344</v>
      </c>
      <c r="AW273" s="168">
        <f t="shared" si="110"/>
        <v>5.7482812693439023E-3</v>
      </c>
      <c r="AX273" s="168">
        <f t="shared" si="111"/>
        <v>408.74130116310454</v>
      </c>
      <c r="AY273" s="168">
        <f t="shared" si="112"/>
        <v>23.495599654831288</v>
      </c>
      <c r="AZ273" s="168">
        <f t="shared" si="113"/>
        <v>57.482812693439023</v>
      </c>
    </row>
    <row r="274" spans="1:52" ht="18" x14ac:dyDescent="0.25">
      <c r="I274" s="25" t="s">
        <v>469</v>
      </c>
      <c r="Q274" s="154">
        <v>73</v>
      </c>
      <c r="R274" s="154" t="s">
        <v>394</v>
      </c>
      <c r="S274" s="154">
        <v>5.026078</v>
      </c>
      <c r="T274" s="154">
        <v>-1.4018697228483701</v>
      </c>
      <c r="U274" s="154">
        <v>3.48477025</v>
      </c>
      <c r="V274" s="154">
        <v>-23.611160453445613</v>
      </c>
      <c r="W274" s="154">
        <v>2.8330000000000002</v>
      </c>
      <c r="X274" s="174">
        <v>6.8209870833333328</v>
      </c>
      <c r="Y274" s="174">
        <v>-2.4654071106332642</v>
      </c>
      <c r="Z274" s="174">
        <v>4.4079328333333327</v>
      </c>
      <c r="AA274" s="174">
        <v>-23.42695482410312</v>
      </c>
      <c r="AB274" s="174">
        <v>3.047333333333333</v>
      </c>
      <c r="AC274" s="174">
        <v>3.047333333333333</v>
      </c>
      <c r="AD274" s="158">
        <f t="shared" si="93"/>
        <v>1.2598587117981274E-2</v>
      </c>
      <c r="AE274" s="158">
        <f t="shared" si="94"/>
        <v>0.31808063318569169</v>
      </c>
      <c r="AF274" s="159">
        <f t="shared" si="95"/>
        <v>6.332148154476909E-2</v>
      </c>
      <c r="AG274" s="159">
        <f t="shared" si="96"/>
        <v>1.1084379276266612</v>
      </c>
      <c r="AH274" s="160">
        <f t="shared" si="97"/>
        <v>2.235138776730289</v>
      </c>
      <c r="AI274" s="160">
        <f t="shared" si="98"/>
        <v>39.125941674079108</v>
      </c>
      <c r="AJ274" s="161">
        <f t="shared" si="99"/>
        <v>17.504927247208855</v>
      </c>
      <c r="AK274" s="162">
        <f t="shared" si="100"/>
        <v>3.0435373877848937</v>
      </c>
      <c r="AL274" s="162">
        <f t="shared" si="101"/>
        <v>-26.214205629342494</v>
      </c>
      <c r="AM274" s="163">
        <v>0.36599999999999999</v>
      </c>
      <c r="AN274" s="164">
        <f t="shared" si="102"/>
        <v>3.0435373877848937</v>
      </c>
      <c r="AO274" s="165">
        <f t="shared" si="103"/>
        <v>0.36736426322480098</v>
      </c>
      <c r="AP274" s="166">
        <f t="shared" si="104"/>
        <v>1.3642632248009878E-3</v>
      </c>
      <c r="AQ274" s="166">
        <f t="shared" si="105"/>
        <v>22.351387767302889</v>
      </c>
      <c r="AR274" s="166">
        <f t="shared" si="106"/>
        <v>0.30493176354197987</v>
      </c>
      <c r="AS274" s="166">
        <f t="shared" si="107"/>
        <v>13.642632248009878</v>
      </c>
      <c r="AT274" s="163">
        <v>1.08</v>
      </c>
      <c r="AU274" s="164">
        <f t="shared" si="108"/>
        <v>-26.214205629342494</v>
      </c>
      <c r="AV274" s="164">
        <f t="shared" si="109"/>
        <v>1.0823990205682901</v>
      </c>
      <c r="AW274" s="168">
        <f t="shared" si="110"/>
        <v>2.3990205682900001E-3</v>
      </c>
      <c r="AX274" s="168">
        <f t="shared" si="111"/>
        <v>391.25941674079104</v>
      </c>
      <c r="AY274" s="168">
        <f t="shared" si="112"/>
        <v>9.3863938829830644</v>
      </c>
      <c r="AZ274" s="168">
        <f t="shared" si="113"/>
        <v>23.990205682900001</v>
      </c>
    </row>
    <row r="275" spans="1:52" ht="18" x14ac:dyDescent="0.25">
      <c r="A275">
        <v>6</v>
      </c>
      <c r="B275" t="s">
        <v>40</v>
      </c>
      <c r="C275" t="s">
        <v>28</v>
      </c>
      <c r="D275" t="s">
        <v>428</v>
      </c>
      <c r="E275">
        <v>3</v>
      </c>
      <c r="F275" s="9" t="s">
        <v>90</v>
      </c>
      <c r="G275">
        <v>262</v>
      </c>
      <c r="H275">
        <v>4.2249999999999996</v>
      </c>
      <c r="Q275" s="169">
        <v>74</v>
      </c>
      <c r="R275" s="169" t="s">
        <v>395</v>
      </c>
      <c r="S275" s="169">
        <v>6.0251729999999997</v>
      </c>
      <c r="T275" s="169">
        <v>592.58801462987196</v>
      </c>
      <c r="U275" s="169">
        <v>5.9485975</v>
      </c>
      <c r="V275" s="169">
        <v>-17.981234325201136</v>
      </c>
      <c r="W275" s="156">
        <v>4.2249999999999996</v>
      </c>
      <c r="X275" s="174">
        <v>6.8209870833333328</v>
      </c>
      <c r="Y275" s="174">
        <v>-2.4654071106332642</v>
      </c>
      <c r="Z275" s="174">
        <v>4.4079328333333327</v>
      </c>
      <c r="AA275" s="174">
        <v>-23.42695482410312</v>
      </c>
      <c r="AB275" s="174">
        <v>3.047333333333333</v>
      </c>
      <c r="AC275" s="174">
        <v>3.047333333333333</v>
      </c>
      <c r="AD275" s="158">
        <f t="shared" si="93"/>
        <v>1.2598587117981274E-2</v>
      </c>
      <c r="AE275" s="158">
        <f t="shared" si="94"/>
        <v>0.31808063318569169</v>
      </c>
      <c r="AF275" s="159">
        <f t="shared" si="95"/>
        <v>7.5908666941408576E-2</v>
      </c>
      <c r="AG275" s="159">
        <f t="shared" si="96"/>
        <v>1.8921336593668225</v>
      </c>
      <c r="AH275" s="160">
        <f t="shared" si="97"/>
        <v>1.7966548388499073</v>
      </c>
      <c r="AI275" s="160">
        <f t="shared" si="98"/>
        <v>44.784228624066813</v>
      </c>
      <c r="AJ275" s="161">
        <f t="shared" si="99"/>
        <v>24.926450899569858</v>
      </c>
      <c r="AK275" s="162">
        <f t="shared" si="100"/>
        <v>597.03342174050522</v>
      </c>
      <c r="AL275" s="162">
        <f t="shared" si="101"/>
        <v>-20.584279501098017</v>
      </c>
      <c r="AM275" s="163">
        <v>0.36599999999999999</v>
      </c>
      <c r="AN275" s="164">
        <f t="shared" si="102"/>
        <v>597.03342174050522</v>
      </c>
      <c r="AO275" s="165">
        <f t="shared" si="103"/>
        <v>0.58364309531306247</v>
      </c>
      <c r="AP275" s="166">
        <f t="shared" si="104"/>
        <v>0.21764309531306247</v>
      </c>
      <c r="AQ275" s="166">
        <f t="shared" si="105"/>
        <v>17.966548388499071</v>
      </c>
      <c r="AR275" s="166">
        <f t="shared" si="106"/>
        <v>39.102952033648528</v>
      </c>
      <c r="AS275" s="166">
        <f t="shared" si="107"/>
        <v>2176.4309531306249</v>
      </c>
      <c r="AT275" s="163">
        <v>1.08</v>
      </c>
      <c r="AU275" s="164">
        <f t="shared" si="108"/>
        <v>-20.584279501098017</v>
      </c>
      <c r="AV275" s="164">
        <f t="shared" si="109"/>
        <v>1.0885887697417804</v>
      </c>
      <c r="AW275" s="168">
        <f t="shared" si="110"/>
        <v>8.5887697417803555E-3</v>
      </c>
      <c r="AX275" s="168">
        <f t="shared" si="111"/>
        <v>447.84228624066816</v>
      </c>
      <c r="AY275" s="168">
        <f t="shared" si="112"/>
        <v>38.464142771535876</v>
      </c>
      <c r="AZ275" s="168">
        <f t="shared" si="113"/>
        <v>85.887697417803551</v>
      </c>
    </row>
    <row r="276" spans="1:52" ht="18" x14ac:dyDescent="0.25">
      <c r="A276">
        <v>6</v>
      </c>
      <c r="B276" t="s">
        <v>40</v>
      </c>
      <c r="C276" t="s">
        <v>30</v>
      </c>
      <c r="D276" t="s">
        <v>427</v>
      </c>
      <c r="E276">
        <v>3</v>
      </c>
      <c r="F276" s="9" t="s">
        <v>91</v>
      </c>
      <c r="G276">
        <v>263</v>
      </c>
      <c r="H276">
        <v>4.1959999999999997</v>
      </c>
      <c r="Q276" s="154">
        <v>75</v>
      </c>
      <c r="R276" s="154" t="s">
        <v>396</v>
      </c>
      <c r="S276" s="154">
        <v>3.386863</v>
      </c>
      <c r="T276" s="154">
        <v>2.2883417419089529</v>
      </c>
      <c r="U276" s="154">
        <v>5.4319344999999997</v>
      </c>
      <c r="V276" s="154">
        <v>-25.759728139087439</v>
      </c>
      <c r="W276" s="156">
        <v>4.1959999999999997</v>
      </c>
      <c r="X276" s="174">
        <v>6.8209870833333328</v>
      </c>
      <c r="Y276" s="174">
        <v>-2.4654071106332642</v>
      </c>
      <c r="Z276" s="174">
        <v>4.4079328333333327</v>
      </c>
      <c r="AA276" s="174">
        <v>-23.42695482410312</v>
      </c>
      <c r="AB276" s="174">
        <v>3.047333333333333</v>
      </c>
      <c r="AC276" s="174">
        <v>3.047333333333333</v>
      </c>
      <c r="AD276" s="158">
        <f t="shared" si="93"/>
        <v>1.2598587117981274E-2</v>
      </c>
      <c r="AE276" s="158">
        <f t="shared" si="94"/>
        <v>0.31808063318569169</v>
      </c>
      <c r="AF276" s="159">
        <f t="shared" si="95"/>
        <v>4.2669688562167407E-2</v>
      </c>
      <c r="AG276" s="159">
        <f t="shared" si="96"/>
        <v>1.7277931651832035</v>
      </c>
      <c r="AH276" s="160">
        <f t="shared" si="97"/>
        <v>1.0169134547704339</v>
      </c>
      <c r="AI276" s="160">
        <f t="shared" si="98"/>
        <v>41.177148836587307</v>
      </c>
      <c r="AJ276" s="161">
        <f t="shared" si="99"/>
        <v>40.492284415572968</v>
      </c>
      <c r="AK276" s="162">
        <f t="shared" si="100"/>
        <v>6.7337488525422167</v>
      </c>
      <c r="AL276" s="162">
        <f t="shared" si="101"/>
        <v>-28.36277331498432</v>
      </c>
      <c r="AM276" s="163">
        <v>0.36599999999999999</v>
      </c>
      <c r="AN276" s="164">
        <f t="shared" si="102"/>
        <v>6.7337488525422167</v>
      </c>
      <c r="AO276" s="165">
        <f t="shared" si="103"/>
        <v>0.36871081831502961</v>
      </c>
      <c r="AP276" s="166">
        <f t="shared" si="104"/>
        <v>2.7108183150296172E-3</v>
      </c>
      <c r="AQ276" s="166">
        <f t="shared" si="105"/>
        <v>10.16913454770434</v>
      </c>
      <c r="AR276" s="166">
        <f t="shared" si="106"/>
        <v>0.27566676179917349</v>
      </c>
      <c r="AS276" s="166">
        <f t="shared" si="107"/>
        <v>27.108183150296171</v>
      </c>
      <c r="AT276" s="163">
        <v>1.08</v>
      </c>
      <c r="AU276" s="164">
        <f t="shared" si="108"/>
        <v>-28.36277331498432</v>
      </c>
      <c r="AV276" s="164">
        <f t="shared" si="109"/>
        <v>1.0800366014828786</v>
      </c>
      <c r="AW276" s="168">
        <f t="shared" si="110"/>
        <v>3.6601482878539926E-5</v>
      </c>
      <c r="AX276" s="168">
        <f t="shared" si="111"/>
        <v>411.7714883658731</v>
      </c>
      <c r="AY276" s="168">
        <f t="shared" si="112"/>
        <v>0.15071447081294406</v>
      </c>
      <c r="AZ276" s="168">
        <f t="shared" si="113"/>
        <v>0.36601482878539926</v>
      </c>
    </row>
    <row r="277" spans="1:52" ht="18" x14ac:dyDescent="0.25">
      <c r="A277">
        <v>6</v>
      </c>
      <c r="B277" t="s">
        <v>40</v>
      </c>
      <c r="C277" t="s">
        <v>30</v>
      </c>
      <c r="D277" t="s">
        <v>428</v>
      </c>
      <c r="E277">
        <v>3</v>
      </c>
      <c r="F277" s="9" t="s">
        <v>92</v>
      </c>
      <c r="G277">
        <v>264</v>
      </c>
      <c r="H277">
        <v>3.8</v>
      </c>
      <c r="I277" t="s">
        <v>444</v>
      </c>
      <c r="Q277" s="169">
        <v>76</v>
      </c>
      <c r="R277" s="169" t="s">
        <v>397</v>
      </c>
      <c r="S277" s="169">
        <v>3.5920125000000001</v>
      </c>
      <c r="T277" s="169">
        <v>-9.4191955894939845</v>
      </c>
      <c r="U277" s="169">
        <v>5.5720179999999999</v>
      </c>
      <c r="V277" s="169">
        <v>-24.865112627599345</v>
      </c>
      <c r="W277" s="156">
        <v>3.8</v>
      </c>
      <c r="X277" s="174">
        <v>6.8209870833333328</v>
      </c>
      <c r="Y277" s="174">
        <v>-2.4654071106332642</v>
      </c>
      <c r="Z277" s="174">
        <v>4.4079328333333327</v>
      </c>
      <c r="AA277" s="174">
        <v>-23.42695482410312</v>
      </c>
      <c r="AB277" s="174">
        <v>3.047333333333333</v>
      </c>
      <c r="AC277" s="174">
        <v>3.047333333333333</v>
      </c>
      <c r="AD277" s="158">
        <f t="shared" si="93"/>
        <v>1.2598587117981274E-2</v>
      </c>
      <c r="AE277" s="158">
        <f t="shared" si="94"/>
        <v>0.31808063318569169</v>
      </c>
      <c r="AF277" s="159">
        <f t="shared" si="95"/>
        <v>4.5254282410127709E-2</v>
      </c>
      <c r="AG277" s="159">
        <f t="shared" si="96"/>
        <v>1.7723510135620715</v>
      </c>
      <c r="AH277" s="160">
        <f t="shared" si="97"/>
        <v>1.1909021686875714</v>
      </c>
      <c r="AI277" s="160">
        <f t="shared" si="98"/>
        <v>46.640816146370305</v>
      </c>
      <c r="AJ277" s="161">
        <f t="shared" si="99"/>
        <v>39.164271736754515</v>
      </c>
      <c r="AK277" s="162">
        <f t="shared" si="100"/>
        <v>-4.9737884788607207</v>
      </c>
      <c r="AL277" s="162">
        <f t="shared" si="101"/>
        <v>-27.468157803496226</v>
      </c>
      <c r="AM277" s="163">
        <v>0.36599999999999999</v>
      </c>
      <c r="AN277" s="164">
        <f t="shared" si="102"/>
        <v>-4.9737884788607207</v>
      </c>
      <c r="AO277" s="165">
        <f t="shared" si="103"/>
        <v>0.36443862224671314</v>
      </c>
      <c r="AP277" s="166">
        <f t="shared" si="104"/>
        <v>-1.5613777532868522E-3</v>
      </c>
      <c r="AQ277" s="166">
        <f t="shared" si="105"/>
        <v>11.909021686875713</v>
      </c>
      <c r="AR277" s="166">
        <f t="shared" si="106"/>
        <v>-0.18594481525298401</v>
      </c>
      <c r="AS277" s="166">
        <f t="shared" si="107"/>
        <v>-15.613777532868522</v>
      </c>
      <c r="AT277" s="163">
        <v>1.08</v>
      </c>
      <c r="AU277" s="164">
        <f t="shared" si="108"/>
        <v>-27.468157803496226</v>
      </c>
      <c r="AV277" s="164">
        <f t="shared" si="109"/>
        <v>1.0810202736430075</v>
      </c>
      <c r="AW277" s="168">
        <f t="shared" si="110"/>
        <v>1.0202736430073855E-3</v>
      </c>
      <c r="AX277" s="168">
        <f t="shared" si="111"/>
        <v>466.40816146370304</v>
      </c>
      <c r="AY277" s="168">
        <f t="shared" si="112"/>
        <v>4.7586395402494919</v>
      </c>
      <c r="AZ277" s="168">
        <f t="shared" si="113"/>
        <v>10.202736430073855</v>
      </c>
    </row>
    <row r="278" spans="1:52" ht="18" x14ac:dyDescent="0.25">
      <c r="A278">
        <v>6</v>
      </c>
      <c r="B278" t="s">
        <v>44</v>
      </c>
      <c r="C278" t="s">
        <v>26</v>
      </c>
      <c r="D278" t="s">
        <v>427</v>
      </c>
      <c r="E278">
        <v>3</v>
      </c>
      <c r="F278" s="9" t="s">
        <v>93</v>
      </c>
      <c r="G278">
        <v>265</v>
      </c>
      <c r="H278">
        <v>4.9450000000000003</v>
      </c>
      <c r="Q278" s="154">
        <v>77</v>
      </c>
      <c r="R278" s="154" t="s">
        <v>398</v>
      </c>
      <c r="S278" s="154">
        <v>5.5597174999999996</v>
      </c>
      <c r="T278" s="154">
        <v>191.85119744260777</v>
      </c>
      <c r="U278" s="154">
        <v>6.936153</v>
      </c>
      <c r="V278" s="154">
        <v>-24.96175559924426</v>
      </c>
      <c r="W278" s="156">
        <v>4.9450000000000003</v>
      </c>
      <c r="X278" s="174">
        <v>6.8209870833333328</v>
      </c>
      <c r="Y278" s="174">
        <v>-2.4654071106332642</v>
      </c>
      <c r="Z278" s="174">
        <v>4.4079328333333327</v>
      </c>
      <c r="AA278" s="174">
        <v>-23.42695482410312</v>
      </c>
      <c r="AB278" s="174">
        <v>3.047333333333333</v>
      </c>
      <c r="AC278" s="174">
        <v>3.047333333333333</v>
      </c>
      <c r="AD278" s="158">
        <f t="shared" si="93"/>
        <v>1.2598587117981274E-2</v>
      </c>
      <c r="AE278" s="158">
        <f t="shared" si="94"/>
        <v>0.31808063318569169</v>
      </c>
      <c r="AF278" s="159">
        <f t="shared" si="95"/>
        <v>7.0044585275115048E-2</v>
      </c>
      <c r="AG278" s="159">
        <f t="shared" si="96"/>
        <v>2.206255938112835</v>
      </c>
      <c r="AH278" s="160">
        <f t="shared" si="97"/>
        <v>1.4164729074846318</v>
      </c>
      <c r="AI278" s="160">
        <f t="shared" si="98"/>
        <v>44.615893591766124</v>
      </c>
      <c r="AJ278" s="161">
        <f t="shared" si="99"/>
        <v>31.497879949567753</v>
      </c>
      <c r="AK278" s="162">
        <f t="shared" si="100"/>
        <v>196.29660455324102</v>
      </c>
      <c r="AL278" s="162">
        <f t="shared" si="101"/>
        <v>-27.564800775141141</v>
      </c>
      <c r="AM278" s="163">
        <v>0.36599999999999999</v>
      </c>
      <c r="AN278" s="164">
        <f t="shared" si="102"/>
        <v>196.29660455324102</v>
      </c>
      <c r="AO278" s="165">
        <f t="shared" si="103"/>
        <v>0.43783322244503342</v>
      </c>
      <c r="AP278" s="166">
        <f t="shared" si="104"/>
        <v>7.1833222445033429E-2</v>
      </c>
      <c r="AQ278" s="166">
        <f t="shared" si="105"/>
        <v>14.164729074846317</v>
      </c>
      <c r="AR278" s="166">
        <f t="shared" si="106"/>
        <v>10.174981345070682</v>
      </c>
      <c r="AS278" s="166">
        <f t="shared" si="107"/>
        <v>718.33222445033425</v>
      </c>
      <c r="AT278" s="163">
        <v>1.08</v>
      </c>
      <c r="AU278" s="164">
        <f t="shared" si="108"/>
        <v>-27.564800775141141</v>
      </c>
      <c r="AV278" s="164">
        <f t="shared" si="109"/>
        <v>1.0809140110573021</v>
      </c>
      <c r="AW278" s="168">
        <f t="shared" si="110"/>
        <v>9.1401105730204435E-4</v>
      </c>
      <c r="AX278" s="168">
        <f t="shared" si="111"/>
        <v>446.15893591766127</v>
      </c>
      <c r="AY278" s="168">
        <f t="shared" si="112"/>
        <v>4.0779420074285655</v>
      </c>
      <c r="AZ278" s="168">
        <f t="shared" si="113"/>
        <v>9.1401105730204435</v>
      </c>
    </row>
    <row r="279" spans="1:52" ht="18" x14ac:dyDescent="0.25">
      <c r="A279">
        <v>6</v>
      </c>
      <c r="B279" t="s">
        <v>44</v>
      </c>
      <c r="C279" t="s">
        <v>26</v>
      </c>
      <c r="D279" t="s">
        <v>428</v>
      </c>
      <c r="E279">
        <v>3</v>
      </c>
      <c r="F279" s="9" t="s">
        <v>94</v>
      </c>
      <c r="G279">
        <v>266</v>
      </c>
      <c r="H279">
        <v>4.0999999999999996</v>
      </c>
      <c r="Q279" s="169">
        <v>78</v>
      </c>
      <c r="R279" s="169" t="s">
        <v>399</v>
      </c>
      <c r="S279" s="169">
        <v>3.2530542499999999</v>
      </c>
      <c r="T279" s="169">
        <v>28.618482247211169</v>
      </c>
      <c r="U279" s="169">
        <v>6.0015799999999997</v>
      </c>
      <c r="V279" s="169">
        <v>-26.98690593315332</v>
      </c>
      <c r="W279" s="156">
        <v>4.0999999999999996</v>
      </c>
      <c r="X279" s="174">
        <v>6.8209870833333328</v>
      </c>
      <c r="Y279" s="174">
        <v>-2.4654071106332642</v>
      </c>
      <c r="Z279" s="174">
        <v>4.4079328333333327</v>
      </c>
      <c r="AA279" s="174">
        <v>-23.42695482410312</v>
      </c>
      <c r="AB279" s="174">
        <v>3.047333333333333</v>
      </c>
      <c r="AC279" s="174">
        <v>3.047333333333333</v>
      </c>
      <c r="AD279" s="158">
        <f t="shared" si="93"/>
        <v>1.2598587117981274E-2</v>
      </c>
      <c r="AE279" s="158">
        <f t="shared" si="94"/>
        <v>0.31808063318569169</v>
      </c>
      <c r="AF279" s="159">
        <f t="shared" si="95"/>
        <v>4.0983887368144234E-2</v>
      </c>
      <c r="AG279" s="159">
        <f t="shared" si="96"/>
        <v>1.9089863665145834</v>
      </c>
      <c r="AH279" s="160">
        <f t="shared" si="97"/>
        <v>0.9996070089791278</v>
      </c>
      <c r="AI279" s="160">
        <f t="shared" si="98"/>
        <v>46.560643085721551</v>
      </c>
      <c r="AJ279" s="161">
        <f t="shared" si="99"/>
        <v>46.578948194123512</v>
      </c>
      <c r="AK279" s="162">
        <f t="shared" si="100"/>
        <v>33.063889357844431</v>
      </c>
      <c r="AL279" s="162">
        <f t="shared" si="101"/>
        <v>-29.589951109050201</v>
      </c>
      <c r="AM279" s="163">
        <v>0.36599999999999999</v>
      </c>
      <c r="AN279" s="164">
        <f t="shared" si="102"/>
        <v>33.063889357844431</v>
      </c>
      <c r="AO279" s="165">
        <f t="shared" si="103"/>
        <v>0.37831760839639489</v>
      </c>
      <c r="AP279" s="166">
        <f t="shared" si="104"/>
        <v>1.2317608396394897E-2</v>
      </c>
      <c r="AQ279" s="166">
        <f t="shared" si="105"/>
        <v>9.996070089791278</v>
      </c>
      <c r="AR279" s="166">
        <f t="shared" si="106"/>
        <v>1.2312767686896495</v>
      </c>
      <c r="AS279" s="166">
        <f t="shared" si="107"/>
        <v>123.17608396394898</v>
      </c>
      <c r="AT279" s="163">
        <v>1.08</v>
      </c>
      <c r="AU279" s="164">
        <f t="shared" si="108"/>
        <v>-29.589951109050201</v>
      </c>
      <c r="AV279" s="164">
        <f t="shared" si="109"/>
        <v>1.0786872295046941</v>
      </c>
      <c r="AW279" s="168">
        <f t="shared" si="110"/>
        <v>-1.3127704953059816E-3</v>
      </c>
      <c r="AX279" s="168">
        <f t="shared" si="111"/>
        <v>465.60643085721551</v>
      </c>
      <c r="AY279" s="168">
        <f t="shared" si="112"/>
        <v>-6.1123438485407711</v>
      </c>
      <c r="AZ279" s="168">
        <f t="shared" si="113"/>
        <v>-13.127704953059816</v>
      </c>
    </row>
    <row r="280" spans="1:52" ht="18" x14ac:dyDescent="0.25">
      <c r="A280">
        <v>6</v>
      </c>
      <c r="B280" t="s">
        <v>44</v>
      </c>
      <c r="C280" t="s">
        <v>28</v>
      </c>
      <c r="D280" t="s">
        <v>427</v>
      </c>
      <c r="E280">
        <v>3</v>
      </c>
      <c r="F280" s="9" t="s">
        <v>95</v>
      </c>
      <c r="G280">
        <v>267</v>
      </c>
      <c r="H280">
        <v>4.2590000000000003</v>
      </c>
      <c r="Q280" s="154">
        <v>79</v>
      </c>
      <c r="R280" s="154" t="s">
        <v>400</v>
      </c>
      <c r="S280" s="154">
        <v>4.7392399999999997</v>
      </c>
      <c r="T280" s="154">
        <v>514.09534552825721</v>
      </c>
      <c r="U280" s="154">
        <v>5.6894790000000004</v>
      </c>
      <c r="V280" s="154">
        <v>-20.327048723432455</v>
      </c>
      <c r="W280" s="156">
        <v>4.2590000000000003</v>
      </c>
      <c r="X280" s="174">
        <v>6.8209870833333328</v>
      </c>
      <c r="Y280" s="174">
        <v>-2.4654071106332642</v>
      </c>
      <c r="Z280" s="174">
        <v>4.4079328333333327</v>
      </c>
      <c r="AA280" s="174">
        <v>-23.42695482410312</v>
      </c>
      <c r="AB280" s="174">
        <v>3.047333333333333</v>
      </c>
      <c r="AC280" s="174">
        <v>3.047333333333333</v>
      </c>
      <c r="AD280" s="158">
        <f t="shared" si="93"/>
        <v>1.2598587117981274E-2</v>
      </c>
      <c r="AE280" s="158">
        <f t="shared" si="94"/>
        <v>0.31808063318569169</v>
      </c>
      <c r="AF280" s="159">
        <f t="shared" si="95"/>
        <v>5.9707728013021565E-2</v>
      </c>
      <c r="AG280" s="159">
        <f t="shared" si="96"/>
        <v>1.8097130828166961</v>
      </c>
      <c r="AH280" s="160">
        <f t="shared" si="97"/>
        <v>1.4019189484156271</v>
      </c>
      <c r="AI280" s="160">
        <f t="shared" si="98"/>
        <v>42.491502296705704</v>
      </c>
      <c r="AJ280" s="161">
        <f t="shared" si="99"/>
        <v>30.30952848217602</v>
      </c>
      <c r="AK280" s="162">
        <f t="shared" si="100"/>
        <v>518.54075263889047</v>
      </c>
      <c r="AL280" s="162">
        <f t="shared" si="101"/>
        <v>-22.930093899329336</v>
      </c>
      <c r="AM280" s="163">
        <v>0.36599999999999999</v>
      </c>
      <c r="AN280" s="164">
        <f t="shared" si="102"/>
        <v>518.54075263889047</v>
      </c>
      <c r="AO280" s="165">
        <f t="shared" si="103"/>
        <v>0.55511683202278295</v>
      </c>
      <c r="AP280" s="166">
        <f t="shared" si="104"/>
        <v>0.18911683202278295</v>
      </c>
      <c r="AQ280" s="166">
        <f t="shared" si="105"/>
        <v>14.019189484156271</v>
      </c>
      <c r="AR280" s="166">
        <f t="shared" si="106"/>
        <v>26.51264702770747</v>
      </c>
      <c r="AS280" s="166">
        <f t="shared" si="107"/>
        <v>1891.1683202278296</v>
      </c>
      <c r="AT280" s="163">
        <v>1.08</v>
      </c>
      <c r="AU280" s="164">
        <f t="shared" si="108"/>
        <v>-22.930093899329336</v>
      </c>
      <c r="AV280" s="164">
        <f t="shared" si="109"/>
        <v>1.0860097887069846</v>
      </c>
      <c r="AW280" s="168">
        <f t="shared" si="110"/>
        <v>6.0097887069845424E-3</v>
      </c>
      <c r="AX280" s="168">
        <f t="shared" si="111"/>
        <v>424.91502296705704</v>
      </c>
      <c r="AY280" s="168">
        <f t="shared" si="112"/>
        <v>25.53649506455497</v>
      </c>
      <c r="AZ280" s="168">
        <f t="shared" si="113"/>
        <v>60.097887069845427</v>
      </c>
    </row>
    <row r="281" spans="1:52" ht="18" x14ac:dyDescent="0.25">
      <c r="A281">
        <v>6</v>
      </c>
      <c r="B281" t="s">
        <v>44</v>
      </c>
      <c r="C281" t="s">
        <v>28</v>
      </c>
      <c r="D281" t="s">
        <v>428</v>
      </c>
      <c r="E281">
        <v>3</v>
      </c>
      <c r="F281" s="9" t="s">
        <v>96</v>
      </c>
      <c r="G281">
        <v>268</v>
      </c>
      <c r="H281">
        <v>4.28</v>
      </c>
      <c r="Q281" s="169">
        <v>80</v>
      </c>
      <c r="R281" s="169" t="s">
        <v>401</v>
      </c>
      <c r="S281" s="169">
        <v>3.3648614999999999</v>
      </c>
      <c r="T281" s="169">
        <v>383.25639248672223</v>
      </c>
      <c r="U281" s="169">
        <v>6.0994799999999998</v>
      </c>
      <c r="V281" s="169">
        <v>-23.796268309016014</v>
      </c>
      <c r="W281" s="156">
        <v>4.28</v>
      </c>
      <c r="X281" s="174">
        <v>6.8209870833333328</v>
      </c>
      <c r="Y281" s="174">
        <v>-2.4654071106332642</v>
      </c>
      <c r="Z281" s="174">
        <v>4.4079328333333327</v>
      </c>
      <c r="AA281" s="174">
        <v>-23.42695482410312</v>
      </c>
      <c r="AB281" s="174">
        <v>3.047333333333333</v>
      </c>
      <c r="AC281" s="174">
        <v>3.047333333333333</v>
      </c>
      <c r="AD281" s="158">
        <f t="shared" si="93"/>
        <v>1.2598587117981274E-2</v>
      </c>
      <c r="AE281" s="158">
        <f t="shared" si="94"/>
        <v>0.31808063318569169</v>
      </c>
      <c r="AF281" s="159">
        <f t="shared" si="95"/>
        <v>4.2392500747691145E-2</v>
      </c>
      <c r="AG281" s="159">
        <f t="shared" si="96"/>
        <v>1.9401264605034627</v>
      </c>
      <c r="AH281" s="160">
        <f t="shared" si="97"/>
        <v>0.99047898943203605</v>
      </c>
      <c r="AI281" s="160">
        <f t="shared" si="98"/>
        <v>45.330057488398658</v>
      </c>
      <c r="AJ281" s="161">
        <f t="shared" si="99"/>
        <v>45.765794097653682</v>
      </c>
      <c r="AK281" s="162">
        <f t="shared" si="100"/>
        <v>387.70179959735549</v>
      </c>
      <c r="AL281" s="162">
        <f t="shared" si="101"/>
        <v>-26.399313484912895</v>
      </c>
      <c r="AM281" s="163">
        <v>0.36599999999999999</v>
      </c>
      <c r="AN281" s="164">
        <f t="shared" si="102"/>
        <v>387.70179959735549</v>
      </c>
      <c r="AO281" s="165">
        <f t="shared" si="103"/>
        <v>0.50753017276863266</v>
      </c>
      <c r="AP281" s="166">
        <f t="shared" si="104"/>
        <v>0.14153017276863267</v>
      </c>
      <c r="AQ281" s="166">
        <f t="shared" si="105"/>
        <v>9.9047898943203592</v>
      </c>
      <c r="AR281" s="166">
        <f t="shared" si="106"/>
        <v>14.018266249801673</v>
      </c>
      <c r="AS281" s="166">
        <f t="shared" si="107"/>
        <v>1415.3017276863266</v>
      </c>
      <c r="AT281" s="163">
        <v>1.08</v>
      </c>
      <c r="AU281" s="164">
        <f t="shared" si="108"/>
        <v>-26.399313484912895</v>
      </c>
      <c r="AV281" s="164">
        <f t="shared" si="109"/>
        <v>1.0821954929857895</v>
      </c>
      <c r="AW281" s="168">
        <f t="shared" si="110"/>
        <v>2.1954929857894712E-3</v>
      </c>
      <c r="AX281" s="168">
        <f t="shared" si="111"/>
        <v>453.30057488398654</v>
      </c>
      <c r="AY281" s="168">
        <f t="shared" si="112"/>
        <v>9.9521823261212745</v>
      </c>
      <c r="AZ281" s="168">
        <f t="shared" si="113"/>
        <v>21.954929857894712</v>
      </c>
    </row>
    <row r="282" spans="1:52" ht="18" x14ac:dyDescent="0.25">
      <c r="A282">
        <v>6</v>
      </c>
      <c r="B282" t="s">
        <v>44</v>
      </c>
      <c r="C282" t="s">
        <v>30</v>
      </c>
      <c r="D282" t="s">
        <v>427</v>
      </c>
      <c r="E282">
        <v>3</v>
      </c>
      <c r="F282" s="9" t="s">
        <v>97</v>
      </c>
      <c r="G282">
        <v>269</v>
      </c>
      <c r="H282">
        <v>4.3460000000000001</v>
      </c>
      <c r="Q282" s="154">
        <v>81</v>
      </c>
      <c r="R282" s="154" t="s">
        <v>402</v>
      </c>
      <c r="S282" s="154">
        <v>4.4574030000000002</v>
      </c>
      <c r="T282" s="154">
        <v>-3.4921453406880882</v>
      </c>
      <c r="U282" s="154">
        <v>5.6527120000000002</v>
      </c>
      <c r="V282" s="154">
        <v>-25.281590554921632</v>
      </c>
      <c r="W282" s="156">
        <v>4.3460000000000001</v>
      </c>
      <c r="X282" s="174">
        <v>6.8209870833333328</v>
      </c>
      <c r="Y282" s="174">
        <v>-2.4654071106332642</v>
      </c>
      <c r="Z282" s="174">
        <v>4.4079328333333327</v>
      </c>
      <c r="AA282" s="174">
        <v>-23.42695482410312</v>
      </c>
      <c r="AB282" s="174">
        <v>3.047333333333333</v>
      </c>
      <c r="AC282" s="174">
        <v>3.047333333333333</v>
      </c>
      <c r="AD282" s="158">
        <f t="shared" si="93"/>
        <v>1.2598587117981274E-2</v>
      </c>
      <c r="AE282" s="158">
        <f t="shared" si="94"/>
        <v>0.31808063318569169</v>
      </c>
      <c r="AF282" s="159">
        <f t="shared" si="95"/>
        <v>5.6156980015451087E-2</v>
      </c>
      <c r="AG282" s="159">
        <f t="shared" si="96"/>
        <v>1.7980182121763577</v>
      </c>
      <c r="AH282" s="160">
        <f t="shared" si="97"/>
        <v>1.2921532447181567</v>
      </c>
      <c r="AI282" s="160">
        <f t="shared" si="98"/>
        <v>41.371795033970493</v>
      </c>
      <c r="AJ282" s="161">
        <f t="shared" si="99"/>
        <v>32.017715548123299</v>
      </c>
      <c r="AK282" s="162">
        <f t="shared" si="100"/>
        <v>0.95326176994517553</v>
      </c>
      <c r="AL282" s="162">
        <f t="shared" si="101"/>
        <v>-27.884635730818513</v>
      </c>
      <c r="AM282" s="163">
        <v>0.36599999999999999</v>
      </c>
      <c r="AN282" s="164">
        <f t="shared" si="102"/>
        <v>0.95326176994517553</v>
      </c>
      <c r="AO282" s="165">
        <f t="shared" si="103"/>
        <v>0.36660150724456747</v>
      </c>
      <c r="AP282" s="166">
        <f t="shared" si="104"/>
        <v>6.0150724456747851E-4</v>
      </c>
      <c r="AQ282" s="166">
        <f t="shared" si="105"/>
        <v>12.921532447181567</v>
      </c>
      <c r="AR282" s="166">
        <f t="shared" si="106"/>
        <v>7.7723953778934526E-2</v>
      </c>
      <c r="AS282" s="166">
        <f t="shared" si="107"/>
        <v>6.0150724456747851</v>
      </c>
      <c r="AT282" s="163">
        <v>1.08</v>
      </c>
      <c r="AU282" s="164">
        <f t="shared" si="108"/>
        <v>-27.884635730818513</v>
      </c>
      <c r="AV282" s="164">
        <f t="shared" si="109"/>
        <v>1.0805623388544763</v>
      </c>
      <c r="AW282" s="168">
        <f t="shared" si="110"/>
        <v>5.6233885447620757E-4</v>
      </c>
      <c r="AX282" s="168">
        <f t="shared" si="111"/>
        <v>413.71795033970494</v>
      </c>
      <c r="AY282" s="168">
        <f t="shared" si="112"/>
        <v>2.3264967827027419</v>
      </c>
      <c r="AZ282" s="168">
        <f t="shared" si="113"/>
        <v>5.6233885447620757</v>
      </c>
    </row>
    <row r="283" spans="1:52" ht="18" x14ac:dyDescent="0.25">
      <c r="A283">
        <v>6</v>
      </c>
      <c r="B283" t="s">
        <v>44</v>
      </c>
      <c r="C283" t="s">
        <v>30</v>
      </c>
      <c r="D283" t="s">
        <v>428</v>
      </c>
      <c r="E283">
        <v>3</v>
      </c>
      <c r="F283" s="9" t="s">
        <v>98</v>
      </c>
      <c r="G283">
        <v>270</v>
      </c>
      <c r="H283">
        <v>4.74</v>
      </c>
      <c r="Q283" s="169">
        <v>82</v>
      </c>
      <c r="R283" s="169" t="s">
        <v>403</v>
      </c>
      <c r="S283" s="169">
        <v>3.3681352499999999</v>
      </c>
      <c r="T283" s="169">
        <v>-2.8354090012871063</v>
      </c>
      <c r="U283" s="169">
        <v>6.039955</v>
      </c>
      <c r="V283" s="169">
        <v>-24.05839694164256</v>
      </c>
      <c r="W283" s="156">
        <v>4.74</v>
      </c>
      <c r="X283" s="174">
        <v>6.8209870833333328</v>
      </c>
      <c r="Y283" s="174">
        <v>-2.4654071106332642</v>
      </c>
      <c r="Z283" s="174">
        <v>4.4079328333333327</v>
      </c>
      <c r="AA283" s="174">
        <v>-23.42695482410312</v>
      </c>
      <c r="AB283" s="174">
        <v>3.047333333333333</v>
      </c>
      <c r="AC283" s="174">
        <v>3.047333333333333</v>
      </c>
      <c r="AD283" s="158">
        <f t="shared" si="93"/>
        <v>1.2598587117981274E-2</v>
      </c>
      <c r="AE283" s="158">
        <f t="shared" si="94"/>
        <v>0.31808063318569169</v>
      </c>
      <c r="AF283" s="159">
        <f t="shared" si="95"/>
        <v>4.2433745372268634E-2</v>
      </c>
      <c r="AG283" s="159">
        <f t="shared" si="96"/>
        <v>1.9211927108130844</v>
      </c>
      <c r="AH283" s="160">
        <f t="shared" si="97"/>
        <v>0.89522669561748169</v>
      </c>
      <c r="AI283" s="160">
        <f t="shared" si="98"/>
        <v>40.531491789305576</v>
      </c>
      <c r="AJ283" s="161">
        <f t="shared" si="99"/>
        <v>45.275115216877019</v>
      </c>
      <c r="AK283" s="162">
        <f t="shared" si="100"/>
        <v>1.6099981093461575</v>
      </c>
      <c r="AL283" s="162">
        <f t="shared" si="101"/>
        <v>-26.66144211753944</v>
      </c>
      <c r="AM283" s="163">
        <v>0.36599999999999999</v>
      </c>
      <c r="AN283" s="164">
        <f t="shared" si="102"/>
        <v>1.6099981093461575</v>
      </c>
      <c r="AO283" s="165">
        <f t="shared" si="103"/>
        <v>0.36684115611962476</v>
      </c>
      <c r="AP283" s="166">
        <f t="shared" si="104"/>
        <v>8.4115611962476411E-4</v>
      </c>
      <c r="AQ283" s="166">
        <f t="shared" si="105"/>
        <v>8.9522669561748174</v>
      </c>
      <c r="AR283" s="166">
        <f t="shared" si="106"/>
        <v>7.5302541347010088E-2</v>
      </c>
      <c r="AS283" s="166">
        <f t="shared" si="107"/>
        <v>8.4115611962476411</v>
      </c>
      <c r="AT283" s="163">
        <v>1.08</v>
      </c>
      <c r="AU283" s="164">
        <f t="shared" si="108"/>
        <v>-26.66144211753944</v>
      </c>
      <c r="AV283" s="164">
        <f t="shared" si="109"/>
        <v>1.0819072790039723</v>
      </c>
      <c r="AW283" s="168">
        <f t="shared" si="110"/>
        <v>1.9072790039722509E-3</v>
      </c>
      <c r="AX283" s="168">
        <f t="shared" si="111"/>
        <v>405.31491789305574</v>
      </c>
      <c r="AY283" s="168">
        <f t="shared" si="112"/>
        <v>7.7304863289416197</v>
      </c>
      <c r="AZ283" s="168">
        <f t="shared" si="113"/>
        <v>19.072790039722509</v>
      </c>
    </row>
    <row r="284" spans="1:52" ht="18" x14ac:dyDescent="0.25">
      <c r="A284">
        <v>6</v>
      </c>
      <c r="B284" t="s">
        <v>48</v>
      </c>
      <c r="C284" t="s">
        <v>26</v>
      </c>
      <c r="D284" t="s">
        <v>427</v>
      </c>
      <c r="E284">
        <v>3</v>
      </c>
      <c r="F284" s="9" t="s">
        <v>99</v>
      </c>
      <c r="G284">
        <v>271</v>
      </c>
      <c r="H284">
        <v>4.1520000000000001</v>
      </c>
      <c r="Q284" s="154">
        <v>83</v>
      </c>
      <c r="R284" s="154" t="s">
        <v>404</v>
      </c>
      <c r="S284" s="154">
        <v>4.0282359999999997</v>
      </c>
      <c r="T284" s="154">
        <v>301.61334119872294</v>
      </c>
      <c r="U284" s="154">
        <v>5.9946210000000004</v>
      </c>
      <c r="V284" s="154">
        <v>-24.913055023370617</v>
      </c>
      <c r="W284" s="156">
        <v>4.1520000000000001</v>
      </c>
      <c r="X284" s="174">
        <v>6.8209870833333328</v>
      </c>
      <c r="Y284" s="174">
        <v>-2.4654071106332642</v>
      </c>
      <c r="Z284" s="174">
        <v>4.4079328333333327</v>
      </c>
      <c r="AA284" s="174">
        <v>-23.42695482410312</v>
      </c>
      <c r="AB284" s="174">
        <v>3.047333333333333</v>
      </c>
      <c r="AC284" s="174">
        <v>3.047333333333333</v>
      </c>
      <c r="AD284" s="158">
        <f t="shared" si="93"/>
        <v>1.2598587117981274E-2</v>
      </c>
      <c r="AE284" s="158">
        <f t="shared" si="94"/>
        <v>0.31808063318569169</v>
      </c>
      <c r="AF284" s="159">
        <f t="shared" si="95"/>
        <v>5.0750082177788411E-2</v>
      </c>
      <c r="AG284" s="159">
        <f t="shared" si="96"/>
        <v>1.9067728433882445</v>
      </c>
      <c r="AH284" s="160">
        <f t="shared" si="97"/>
        <v>1.2223044840507804</v>
      </c>
      <c r="AI284" s="160">
        <f t="shared" si="98"/>
        <v>45.92420143035271</v>
      </c>
      <c r="AJ284" s="161">
        <f t="shared" si="99"/>
        <v>37.571817848657084</v>
      </c>
      <c r="AK284" s="162">
        <f t="shared" si="100"/>
        <v>306.05874830935619</v>
      </c>
      <c r="AL284" s="162">
        <f t="shared" si="101"/>
        <v>-27.516100199267498</v>
      </c>
      <c r="AM284" s="163">
        <v>0.36599999999999999</v>
      </c>
      <c r="AN284" s="164">
        <f t="shared" si="102"/>
        <v>306.05874830935619</v>
      </c>
      <c r="AO284" s="165">
        <f t="shared" si="103"/>
        <v>0.47781318041648374</v>
      </c>
      <c r="AP284" s="166">
        <f t="shared" si="104"/>
        <v>0.11181318041648375</v>
      </c>
      <c r="AQ284" s="166">
        <f t="shared" si="105"/>
        <v>12.223044840507805</v>
      </c>
      <c r="AR284" s="166">
        <f t="shared" si="106"/>
        <v>13.6669751799047</v>
      </c>
      <c r="AS284" s="166">
        <f t="shared" si="107"/>
        <v>1118.1318041648374</v>
      </c>
      <c r="AT284" s="163">
        <v>1.08</v>
      </c>
      <c r="AU284" s="164">
        <f t="shared" si="108"/>
        <v>-27.516100199267498</v>
      </c>
      <c r="AV284" s="164">
        <f t="shared" si="109"/>
        <v>1.0809675592024739</v>
      </c>
      <c r="AW284" s="168">
        <f t="shared" si="110"/>
        <v>9.6755920247382221E-4</v>
      </c>
      <c r="AX284" s="168">
        <f t="shared" si="111"/>
        <v>459.24201430352713</v>
      </c>
      <c r="AY284" s="168">
        <f t="shared" si="112"/>
        <v>4.4434383710199228</v>
      </c>
      <c r="AZ284" s="168">
        <f t="shared" si="113"/>
        <v>9.6755920247382221</v>
      </c>
    </row>
    <row r="285" spans="1:52" ht="18" x14ac:dyDescent="0.25">
      <c r="A285">
        <v>6</v>
      </c>
      <c r="B285" t="s">
        <v>48</v>
      </c>
      <c r="C285" t="s">
        <v>26</v>
      </c>
      <c r="D285" t="s">
        <v>428</v>
      </c>
      <c r="E285">
        <v>3</v>
      </c>
      <c r="F285" s="9" t="s">
        <v>100</v>
      </c>
      <c r="G285">
        <v>272</v>
      </c>
      <c r="H285">
        <v>4.5309999999999997</v>
      </c>
      <c r="Q285" s="169">
        <v>84</v>
      </c>
      <c r="R285" s="169" t="s">
        <v>405</v>
      </c>
      <c r="S285" s="169">
        <v>3.49336475</v>
      </c>
      <c r="T285" s="169">
        <v>167.29502704986848</v>
      </c>
      <c r="U285" s="169">
        <v>6.5686679999999997</v>
      </c>
      <c r="V285" s="169">
        <v>-26.51423113972038</v>
      </c>
      <c r="W285" s="156">
        <v>4.5309999999999997</v>
      </c>
      <c r="X285" s="174">
        <v>6.8209870833333328</v>
      </c>
      <c r="Y285" s="174">
        <v>-2.4654071106332642</v>
      </c>
      <c r="Z285" s="174">
        <v>4.4079328333333327</v>
      </c>
      <c r="AA285" s="174">
        <v>-23.42695482410312</v>
      </c>
      <c r="AB285" s="174">
        <v>3.047333333333333</v>
      </c>
      <c r="AC285" s="174">
        <v>3.047333333333333</v>
      </c>
      <c r="AD285" s="158">
        <f t="shared" si="93"/>
        <v>1.2598587117981274E-2</v>
      </c>
      <c r="AE285" s="158">
        <f t="shared" si="94"/>
        <v>0.31808063318569169</v>
      </c>
      <c r="AF285" s="159">
        <f t="shared" si="95"/>
        <v>4.4011460137759875E-2</v>
      </c>
      <c r="AG285" s="159">
        <f t="shared" si="96"/>
        <v>2.0893660766265909</v>
      </c>
      <c r="AH285" s="160">
        <f t="shared" si="97"/>
        <v>0.97134098737055563</v>
      </c>
      <c r="AI285" s="160">
        <f t="shared" si="98"/>
        <v>46.112692046492853</v>
      </c>
      <c r="AJ285" s="161">
        <f t="shared" si="99"/>
        <v>47.473227883980329</v>
      </c>
      <c r="AK285" s="162">
        <f t="shared" si="100"/>
        <v>171.74043416050174</v>
      </c>
      <c r="AL285" s="162">
        <f t="shared" si="101"/>
        <v>-29.117276315617261</v>
      </c>
      <c r="AM285" s="163">
        <v>0.36599999999999999</v>
      </c>
      <c r="AN285" s="164">
        <f t="shared" si="102"/>
        <v>171.74043416050174</v>
      </c>
      <c r="AO285" s="165">
        <f t="shared" si="103"/>
        <v>0.42888444199084153</v>
      </c>
      <c r="AP285" s="166">
        <f t="shared" si="104"/>
        <v>6.2884441990841533E-2</v>
      </c>
      <c r="AQ285" s="166">
        <f t="shared" si="105"/>
        <v>9.7134098737055563</v>
      </c>
      <c r="AR285" s="166">
        <f t="shared" si="106"/>
        <v>6.108223597363045</v>
      </c>
      <c r="AS285" s="166">
        <f t="shared" si="107"/>
        <v>628.84441990841538</v>
      </c>
      <c r="AT285" s="163">
        <v>1.08</v>
      </c>
      <c r="AU285" s="164">
        <f t="shared" si="108"/>
        <v>-29.117276315617261</v>
      </c>
      <c r="AV285" s="164">
        <f t="shared" si="109"/>
        <v>1.0792069744620987</v>
      </c>
      <c r="AW285" s="168">
        <f t="shared" si="110"/>
        <v>-7.9302553790139285E-4</v>
      </c>
      <c r="AX285" s="168">
        <f t="shared" si="111"/>
        <v>461.1269204649285</v>
      </c>
      <c r="AY285" s="168">
        <f t="shared" si="112"/>
        <v>-3.6568542414251271</v>
      </c>
      <c r="AZ285" s="168">
        <f t="shared" si="113"/>
        <v>-7.9302553790139285</v>
      </c>
    </row>
    <row r="286" spans="1:52" ht="18" x14ac:dyDescent="0.25">
      <c r="A286">
        <v>6</v>
      </c>
      <c r="B286" t="s">
        <v>48</v>
      </c>
      <c r="C286" t="s">
        <v>28</v>
      </c>
      <c r="D286" t="s">
        <v>427</v>
      </c>
      <c r="E286">
        <v>3</v>
      </c>
      <c r="F286" s="9" t="s">
        <v>101</v>
      </c>
      <c r="G286">
        <v>273</v>
      </c>
      <c r="H286">
        <v>4.1360000000000001</v>
      </c>
      <c r="Q286" s="154">
        <v>85</v>
      </c>
      <c r="R286" s="154" t="s">
        <v>406</v>
      </c>
      <c r="S286" s="154">
        <v>4.3539120000000002</v>
      </c>
      <c r="T286" s="154">
        <v>578.07558797975901</v>
      </c>
      <c r="U286" s="154">
        <v>5.8494200000000003</v>
      </c>
      <c r="V286" s="154">
        <v>-21.51920671625977</v>
      </c>
      <c r="W286" s="156">
        <v>4.1360000000000001</v>
      </c>
      <c r="X286" s="174">
        <v>6.8209870833333328</v>
      </c>
      <c r="Y286" s="174">
        <v>-2.4654071106332642</v>
      </c>
      <c r="Z286" s="174">
        <v>4.4079328333333327</v>
      </c>
      <c r="AA286" s="174">
        <v>-23.42695482410312</v>
      </c>
      <c r="AB286" s="174">
        <v>3.047333333333333</v>
      </c>
      <c r="AC286" s="174">
        <v>3.047333333333333</v>
      </c>
      <c r="AD286" s="158">
        <f t="shared" si="93"/>
        <v>1.2598587117981274E-2</v>
      </c>
      <c r="AE286" s="158">
        <f t="shared" si="94"/>
        <v>0.31808063318569169</v>
      </c>
      <c r="AF286" s="159">
        <f t="shared" si="95"/>
        <v>5.4853139636024083E-2</v>
      </c>
      <c r="AG286" s="159">
        <f t="shared" si="96"/>
        <v>1.8605872173690488</v>
      </c>
      <c r="AH286" s="160">
        <f t="shared" si="97"/>
        <v>1.326236451547971</v>
      </c>
      <c r="AI286" s="160">
        <f t="shared" si="98"/>
        <v>44.985184172365784</v>
      </c>
      <c r="AJ286" s="161">
        <f t="shared" si="99"/>
        <v>33.919429766735398</v>
      </c>
      <c r="AK286" s="162">
        <f t="shared" si="100"/>
        <v>582.52099509039226</v>
      </c>
      <c r="AL286" s="162">
        <f t="shared" si="101"/>
        <v>-24.122251892156651</v>
      </c>
      <c r="AM286" s="163">
        <v>0.36599999999999999</v>
      </c>
      <c r="AN286" s="164">
        <f t="shared" si="102"/>
        <v>582.52099509039226</v>
      </c>
      <c r="AO286" s="165">
        <f t="shared" si="103"/>
        <v>0.5783701379056706</v>
      </c>
      <c r="AP286" s="166">
        <f t="shared" si="104"/>
        <v>0.21237013790567061</v>
      </c>
      <c r="AQ286" s="166">
        <f t="shared" si="105"/>
        <v>13.26236451547971</v>
      </c>
      <c r="AR286" s="166">
        <f t="shared" si="106"/>
        <v>28.165301811076983</v>
      </c>
      <c r="AS286" s="166">
        <f t="shared" si="107"/>
        <v>2123.7013790567062</v>
      </c>
      <c r="AT286" s="163">
        <v>1.08</v>
      </c>
      <c r="AU286" s="164">
        <f t="shared" si="108"/>
        <v>-24.122251892156651</v>
      </c>
      <c r="AV286" s="164">
        <f t="shared" si="109"/>
        <v>1.0846990823855593</v>
      </c>
      <c r="AW286" s="168">
        <f t="shared" si="110"/>
        <v>4.6990823855592723E-3</v>
      </c>
      <c r="AX286" s="168">
        <f t="shared" si="111"/>
        <v>449.85184172365786</v>
      </c>
      <c r="AY286" s="168">
        <f t="shared" si="112"/>
        <v>21.138908655550384</v>
      </c>
      <c r="AZ286" s="168">
        <f t="shared" si="113"/>
        <v>46.990823855592723</v>
      </c>
    </row>
    <row r="287" spans="1:52" ht="18" x14ac:dyDescent="0.25">
      <c r="I287" s="25" t="s">
        <v>469</v>
      </c>
      <c r="Q287" s="169">
        <v>86</v>
      </c>
      <c r="R287" s="169" t="s">
        <v>407</v>
      </c>
      <c r="S287" s="169">
        <v>4.7976830000000001</v>
      </c>
      <c r="T287" s="169">
        <v>-2.2872646543911634</v>
      </c>
      <c r="U287" s="169">
        <v>3.4038455000000001</v>
      </c>
      <c r="V287" s="169">
        <v>-23.618327217922449</v>
      </c>
      <c r="W287" s="169">
        <v>2.125</v>
      </c>
      <c r="X287" s="174">
        <v>6.8209870833333328</v>
      </c>
      <c r="Y287" s="174">
        <v>-2.4654071106332642</v>
      </c>
      <c r="Z287" s="174">
        <v>4.4079328333333327</v>
      </c>
      <c r="AA287" s="174">
        <v>-23.42695482410312</v>
      </c>
      <c r="AB287" s="174">
        <v>3.047333333333333</v>
      </c>
      <c r="AC287" s="174">
        <v>3.047333333333333</v>
      </c>
      <c r="AD287" s="158">
        <f t="shared" si="93"/>
        <v>1.2598587117981274E-2</v>
      </c>
      <c r="AE287" s="158">
        <f t="shared" si="94"/>
        <v>0.31808063318569169</v>
      </c>
      <c r="AF287" s="159">
        <f t="shared" si="95"/>
        <v>6.0444027239957752E-2</v>
      </c>
      <c r="AG287" s="159">
        <f t="shared" si="96"/>
        <v>1.0826973319062674</v>
      </c>
      <c r="AH287" s="160">
        <f t="shared" si="97"/>
        <v>2.8444248112921295</v>
      </c>
      <c r="AI287" s="160">
        <f t="shared" si="98"/>
        <v>50.950462677941992</v>
      </c>
      <c r="AJ287" s="161">
        <f t="shared" si="99"/>
        <v>17.91239567158636</v>
      </c>
      <c r="AK287" s="162">
        <f t="shared" si="100"/>
        <v>2.1581424562421003</v>
      </c>
      <c r="AL287" s="162">
        <f t="shared" si="101"/>
        <v>-26.22137239381933</v>
      </c>
      <c r="AM287" s="163">
        <v>0.36599999999999999</v>
      </c>
      <c r="AN287" s="164">
        <f t="shared" si="102"/>
        <v>2.1581424562421003</v>
      </c>
      <c r="AO287" s="165">
        <f t="shared" si="103"/>
        <v>0.36704117793741575</v>
      </c>
      <c r="AP287" s="166">
        <f t="shared" si="104"/>
        <v>1.0411779374157604E-3</v>
      </c>
      <c r="AQ287" s="166">
        <f t="shared" si="105"/>
        <v>28.444248112921297</v>
      </c>
      <c r="AR287" s="166">
        <f t="shared" si="106"/>
        <v>0.29615523581553532</v>
      </c>
      <c r="AS287" s="166">
        <f t="shared" si="107"/>
        <v>10.411779374157604</v>
      </c>
      <c r="AT287" s="163">
        <v>1.08</v>
      </c>
      <c r="AU287" s="164">
        <f t="shared" si="108"/>
        <v>-26.22137239381933</v>
      </c>
      <c r="AV287" s="164">
        <f t="shared" si="109"/>
        <v>1.0823911406684401</v>
      </c>
      <c r="AW287" s="168">
        <f t="shared" si="110"/>
        <v>2.3911406684400394E-3</v>
      </c>
      <c r="AX287" s="168">
        <f t="shared" si="111"/>
        <v>509.50462677941988</v>
      </c>
      <c r="AY287" s="168">
        <f t="shared" si="112"/>
        <v>12.182972338506348</v>
      </c>
      <c r="AZ287" s="168">
        <f t="shared" si="113"/>
        <v>23.911406684400394</v>
      </c>
    </row>
    <row r="288" spans="1:52" ht="18" x14ac:dyDescent="0.25">
      <c r="A288">
        <v>6</v>
      </c>
      <c r="B288" t="s">
        <v>48</v>
      </c>
      <c r="C288" t="s">
        <v>28</v>
      </c>
      <c r="D288" t="s">
        <v>428</v>
      </c>
      <c r="E288">
        <v>3</v>
      </c>
      <c r="F288" s="9" t="s">
        <v>433</v>
      </c>
      <c r="G288">
        <v>274</v>
      </c>
      <c r="H288">
        <v>4.25</v>
      </c>
      <c r="Q288" s="154">
        <v>87</v>
      </c>
      <c r="R288" s="154" t="s">
        <v>408</v>
      </c>
      <c r="S288" s="154">
        <v>4.3574780000000004</v>
      </c>
      <c r="T288" s="154">
        <v>131.29981444349258</v>
      </c>
      <c r="U288" s="154">
        <v>5.9066904999999998</v>
      </c>
      <c r="V288" s="154">
        <v>-24.294277075274675</v>
      </c>
      <c r="W288" s="156">
        <v>4.25</v>
      </c>
      <c r="X288" s="174">
        <v>6.8209870833333328</v>
      </c>
      <c r="Y288" s="174">
        <v>-2.4654071106332642</v>
      </c>
      <c r="Z288" s="174">
        <v>4.4079328333333327</v>
      </c>
      <c r="AA288" s="174">
        <v>-23.42695482410312</v>
      </c>
      <c r="AB288" s="174">
        <v>3.047333333333333</v>
      </c>
      <c r="AC288" s="174">
        <v>3.047333333333333</v>
      </c>
      <c r="AD288" s="158">
        <f t="shared" ref="AD288:AD305" si="114">((2.82/100)*AB288)/X288</f>
        <v>1.2598587117981274E-2</v>
      </c>
      <c r="AE288" s="158">
        <f t="shared" ref="AE288:AE305" si="115">((46.01/100)*AC288)/Z288</f>
        <v>0.31808063318569169</v>
      </c>
      <c r="AF288" s="159">
        <f t="shared" ref="AF288:AF305" si="116">S288*AD288</f>
        <v>5.4898066197686807E-2</v>
      </c>
      <c r="AG288" s="159">
        <f t="shared" ref="AG288:AG305" si="117">U288*AE288</f>
        <v>1.8788038542719097</v>
      </c>
      <c r="AH288" s="160">
        <f t="shared" ref="AH288:AH305" si="118">100*AF288/W288</f>
        <v>1.2917192046514543</v>
      </c>
      <c r="AI288" s="160">
        <f t="shared" ref="AI288:AI305" si="119">100*AG288/W288</f>
        <v>44.207149512280225</v>
      </c>
      <c r="AJ288" s="161">
        <f t="shared" ref="AJ288:AJ305" si="120">AG288/AF288</f>
        <v>34.223497918968143</v>
      </c>
      <c r="AK288" s="162">
        <f t="shared" ref="AK288:AK305" si="121">T288+(1.98-Y288)</f>
        <v>135.74522155412583</v>
      </c>
      <c r="AL288" s="162">
        <f t="shared" ref="AL288:AL305" si="122">V288+(-26.03-AA288)</f>
        <v>-26.897322251171556</v>
      </c>
      <c r="AM288" s="163">
        <v>0.36599999999999999</v>
      </c>
      <c r="AN288" s="164">
        <f t="shared" si="102"/>
        <v>135.74522155412583</v>
      </c>
      <c r="AO288" s="165">
        <f t="shared" si="103"/>
        <v>0.41576412844219296</v>
      </c>
      <c r="AP288" s="166">
        <f t="shared" si="104"/>
        <v>4.9764128442192967E-2</v>
      </c>
      <c r="AQ288" s="166">
        <f t="shared" si="105"/>
        <v>12.917192046514543</v>
      </c>
      <c r="AR288" s="166">
        <f t="shared" si="106"/>
        <v>6.428128041152231</v>
      </c>
      <c r="AS288" s="166">
        <f t="shared" si="107"/>
        <v>497.64128442192964</v>
      </c>
      <c r="AT288" s="163">
        <v>1.08</v>
      </c>
      <c r="AU288" s="164">
        <f t="shared" si="108"/>
        <v>-26.897322251171556</v>
      </c>
      <c r="AV288" s="164">
        <f t="shared" si="109"/>
        <v>1.0816479241666315</v>
      </c>
      <c r="AW288" s="168">
        <f t="shared" si="110"/>
        <v>1.6479241666313982E-3</v>
      </c>
      <c r="AX288" s="168">
        <f t="shared" si="111"/>
        <v>442.07149512280228</v>
      </c>
      <c r="AY288" s="168">
        <f t="shared" si="112"/>
        <v>7.285003001917401</v>
      </c>
      <c r="AZ288" s="168">
        <f t="shared" si="113"/>
        <v>16.479241666313982</v>
      </c>
    </row>
    <row r="289" spans="1:52" ht="18" x14ac:dyDescent="0.25">
      <c r="A289">
        <v>6</v>
      </c>
      <c r="B289" t="s">
        <v>48</v>
      </c>
      <c r="C289" t="s">
        <v>30</v>
      </c>
      <c r="D289" t="s">
        <v>427</v>
      </c>
      <c r="E289">
        <v>3</v>
      </c>
      <c r="F289" s="9" t="s">
        <v>434</v>
      </c>
      <c r="G289">
        <v>275</v>
      </c>
      <c r="H289">
        <v>4.3380000000000001</v>
      </c>
      <c r="Q289" s="169">
        <v>88</v>
      </c>
      <c r="R289" s="169" t="s">
        <v>409</v>
      </c>
      <c r="S289" s="169">
        <v>3.8033077500000001</v>
      </c>
      <c r="T289" s="169">
        <v>0.35098143911876656</v>
      </c>
      <c r="U289" s="169">
        <v>5.5319989999999999</v>
      </c>
      <c r="V289" s="169">
        <v>-26.04050032209037</v>
      </c>
      <c r="W289" s="156">
        <v>4.3380000000000001</v>
      </c>
      <c r="X289" s="174">
        <v>6.8209870833333328</v>
      </c>
      <c r="Y289" s="174">
        <v>-2.4654071106332642</v>
      </c>
      <c r="Z289" s="174">
        <v>4.4079328333333327</v>
      </c>
      <c r="AA289" s="174">
        <v>-23.42695482410312</v>
      </c>
      <c r="AB289" s="174">
        <v>3.047333333333333</v>
      </c>
      <c r="AC289" s="174">
        <v>3.047333333333333</v>
      </c>
      <c r="AD289" s="158">
        <f t="shared" si="114"/>
        <v>1.2598587117981274E-2</v>
      </c>
      <c r="AE289" s="158">
        <f t="shared" si="115"/>
        <v>0.31808063318569169</v>
      </c>
      <c r="AF289" s="159">
        <f t="shared" si="116"/>
        <v>4.7916304024868343E-2</v>
      </c>
      <c r="AG289" s="159">
        <f t="shared" si="117"/>
        <v>1.7596217447026132</v>
      </c>
      <c r="AH289" s="160">
        <f t="shared" si="118"/>
        <v>1.1045713237636778</v>
      </c>
      <c r="AI289" s="160">
        <f t="shared" si="119"/>
        <v>40.562972445887809</v>
      </c>
      <c r="AJ289" s="161">
        <f t="shared" si="120"/>
        <v>36.722818683790337</v>
      </c>
      <c r="AK289" s="162">
        <f t="shared" si="121"/>
        <v>4.79638854975203</v>
      </c>
      <c r="AL289" s="162">
        <f t="shared" si="122"/>
        <v>-28.643545497987251</v>
      </c>
      <c r="AM289" s="163">
        <v>0.36599999999999999</v>
      </c>
      <c r="AN289" s="164">
        <f t="shared" si="102"/>
        <v>4.79638854975203</v>
      </c>
      <c r="AO289" s="165">
        <f t="shared" si="103"/>
        <v>0.36800388169240172</v>
      </c>
      <c r="AP289" s="166">
        <f t="shared" si="104"/>
        <v>2.0038816924017322E-3</v>
      </c>
      <c r="AQ289" s="166">
        <f t="shared" si="105"/>
        <v>11.045713237636779</v>
      </c>
      <c r="AR289" s="166">
        <f t="shared" si="106"/>
        <v>0.22134302536419803</v>
      </c>
      <c r="AS289" s="166">
        <f t="shared" si="107"/>
        <v>20.038816924017322</v>
      </c>
      <c r="AT289" s="163">
        <v>1.08</v>
      </c>
      <c r="AU289" s="164">
        <f t="shared" si="108"/>
        <v>-28.643545497987251</v>
      </c>
      <c r="AV289" s="164">
        <f t="shared" si="109"/>
        <v>1.0797278751253909</v>
      </c>
      <c r="AW289" s="168">
        <f t="shared" si="110"/>
        <v>-2.7212487460914758E-4</v>
      </c>
      <c r="AX289" s="168">
        <f t="shared" si="111"/>
        <v>405.62972445887806</v>
      </c>
      <c r="AY289" s="168">
        <f t="shared" si="112"/>
        <v>-1.1038193790611528</v>
      </c>
      <c r="AZ289" s="168">
        <f t="shared" si="113"/>
        <v>-2.7212487460914758</v>
      </c>
    </row>
    <row r="290" spans="1:52" ht="18" x14ac:dyDescent="0.25">
      <c r="A290">
        <v>6</v>
      </c>
      <c r="B290" t="s">
        <v>48</v>
      </c>
      <c r="C290" t="s">
        <v>30</v>
      </c>
      <c r="D290" t="s">
        <v>428</v>
      </c>
      <c r="E290">
        <v>3</v>
      </c>
      <c r="F290" s="9" t="s">
        <v>435</v>
      </c>
      <c r="G290">
        <v>276</v>
      </c>
      <c r="H290">
        <v>4.6550000000000002</v>
      </c>
      <c r="Q290" s="154">
        <v>89</v>
      </c>
      <c r="R290" s="154" t="s">
        <v>410</v>
      </c>
      <c r="S290" s="154">
        <v>3.6719035</v>
      </c>
      <c r="T290" s="154">
        <v>-2.0363079632677583</v>
      </c>
      <c r="U290" s="154">
        <v>5.9545195</v>
      </c>
      <c r="V290" s="154">
        <v>-24.409415123846607</v>
      </c>
      <c r="W290" s="156">
        <v>4.6550000000000002</v>
      </c>
      <c r="X290" s="174">
        <v>6.8209870833333328</v>
      </c>
      <c r="Y290" s="174">
        <v>-2.4654071106332642</v>
      </c>
      <c r="Z290" s="174">
        <v>4.4079328333333327</v>
      </c>
      <c r="AA290" s="174">
        <v>-23.42695482410312</v>
      </c>
      <c r="AB290" s="174">
        <v>3.047333333333333</v>
      </c>
      <c r="AC290" s="174">
        <v>3.047333333333333</v>
      </c>
      <c r="AD290" s="158">
        <f t="shared" si="114"/>
        <v>1.2598587117981274E-2</v>
      </c>
      <c r="AE290" s="158">
        <f t="shared" si="115"/>
        <v>0.31808063318569169</v>
      </c>
      <c r="AF290" s="159">
        <f t="shared" si="116"/>
        <v>4.6260796133570349E-2</v>
      </c>
      <c r="AG290" s="159">
        <f t="shared" si="117"/>
        <v>1.8940173328765482</v>
      </c>
      <c r="AH290" s="160">
        <f t="shared" si="118"/>
        <v>0.99378724239678518</v>
      </c>
      <c r="AI290" s="160">
        <f t="shared" si="119"/>
        <v>40.68780521754131</v>
      </c>
      <c r="AJ290" s="161">
        <f t="shared" si="120"/>
        <v>40.942168989221202</v>
      </c>
      <c r="AK290" s="162">
        <f t="shared" si="121"/>
        <v>2.4090991473655055</v>
      </c>
      <c r="AL290" s="162">
        <f t="shared" si="122"/>
        <v>-27.012460299743488</v>
      </c>
      <c r="AM290" s="163">
        <v>0.36599999999999999</v>
      </c>
      <c r="AN290" s="164">
        <f t="shared" si="102"/>
        <v>2.4090991473655055</v>
      </c>
      <c r="AO290" s="165">
        <f t="shared" si="103"/>
        <v>0.36713275357240699</v>
      </c>
      <c r="AP290" s="166">
        <f t="shared" si="104"/>
        <v>1.132753572406997E-3</v>
      </c>
      <c r="AQ290" s="166">
        <f t="shared" si="105"/>
        <v>9.9378724239678533</v>
      </c>
      <c r="AR290" s="166">
        <f t="shared" si="106"/>
        <v>0.1125716049037457</v>
      </c>
      <c r="AS290" s="166">
        <f t="shared" si="107"/>
        <v>11.327535724069971</v>
      </c>
      <c r="AT290" s="163">
        <v>1.08</v>
      </c>
      <c r="AU290" s="164">
        <f t="shared" si="108"/>
        <v>-27.012460299743488</v>
      </c>
      <c r="AV290" s="164">
        <f t="shared" si="109"/>
        <v>1.0815213271280795</v>
      </c>
      <c r="AW290" s="168">
        <f t="shared" si="110"/>
        <v>1.5213271280793972E-3</v>
      </c>
      <c r="AX290" s="168">
        <f t="shared" si="111"/>
        <v>406.87805217541313</v>
      </c>
      <c r="AY290" s="168">
        <f t="shared" si="112"/>
        <v>6.1899461859456038</v>
      </c>
      <c r="AZ290" s="168">
        <f t="shared" si="113"/>
        <v>15.213271280793972</v>
      </c>
    </row>
    <row r="291" spans="1:52" ht="18" x14ac:dyDescent="0.25">
      <c r="A291">
        <v>6</v>
      </c>
      <c r="B291" t="s">
        <v>52</v>
      </c>
      <c r="C291" t="s">
        <v>26</v>
      </c>
      <c r="D291" t="s">
        <v>427</v>
      </c>
      <c r="E291">
        <v>3</v>
      </c>
      <c r="F291" s="9" t="s">
        <v>102</v>
      </c>
      <c r="G291">
        <v>277</v>
      </c>
      <c r="H291">
        <v>4.5750000000000002</v>
      </c>
      <c r="Q291" s="169">
        <v>90</v>
      </c>
      <c r="R291" s="169" t="s">
        <v>411</v>
      </c>
      <c r="S291" s="169">
        <v>4.1993879999999999</v>
      </c>
      <c r="T291" s="169">
        <v>299.664037715897</v>
      </c>
      <c r="U291" s="169">
        <v>6.3031404999999996</v>
      </c>
      <c r="V291" s="169">
        <v>-24.43790854721324</v>
      </c>
      <c r="W291" s="156">
        <v>4.5750000000000002</v>
      </c>
      <c r="X291" s="174">
        <v>6.8209870833333328</v>
      </c>
      <c r="Y291" s="174">
        <v>-2.4654071106332642</v>
      </c>
      <c r="Z291" s="174">
        <v>4.4079328333333327</v>
      </c>
      <c r="AA291" s="174">
        <v>-23.42695482410312</v>
      </c>
      <c r="AB291" s="174">
        <v>3.047333333333333</v>
      </c>
      <c r="AC291" s="174">
        <v>3.047333333333333</v>
      </c>
      <c r="AD291" s="158">
        <f t="shared" si="114"/>
        <v>1.2598587117981274E-2</v>
      </c>
      <c r="AE291" s="158">
        <f t="shared" si="115"/>
        <v>0.31808063318569169</v>
      </c>
      <c r="AF291" s="159">
        <f t="shared" si="116"/>
        <v>5.2906355560205141E-2</v>
      </c>
      <c r="AG291" s="159">
        <f t="shared" si="117"/>
        <v>2.0049069212983772</v>
      </c>
      <c r="AH291" s="160">
        <f t="shared" si="118"/>
        <v>1.1564230723542106</v>
      </c>
      <c r="AI291" s="160">
        <f t="shared" si="119"/>
        <v>43.823102104882558</v>
      </c>
      <c r="AJ291" s="161">
        <f t="shared" si="120"/>
        <v>37.895388938988248</v>
      </c>
      <c r="AK291" s="162">
        <f t="shared" si="121"/>
        <v>304.10944482653025</v>
      </c>
      <c r="AL291" s="162">
        <f t="shared" si="122"/>
        <v>-27.040953723110121</v>
      </c>
      <c r="AM291" s="163">
        <v>0.36599999999999999</v>
      </c>
      <c r="AN291" s="164">
        <f t="shared" si="102"/>
        <v>304.10944482653025</v>
      </c>
      <c r="AO291" s="165">
        <f t="shared" si="103"/>
        <v>0.47710344270932459</v>
      </c>
      <c r="AP291" s="166">
        <f t="shared" si="104"/>
        <v>0.1111034427093246</v>
      </c>
      <c r="AQ291" s="166">
        <f t="shared" si="105"/>
        <v>11.564230723542106</v>
      </c>
      <c r="AR291" s="166">
        <f t="shared" si="106"/>
        <v>12.848258456704716</v>
      </c>
      <c r="AS291" s="166">
        <f t="shared" si="107"/>
        <v>1111.034427093246</v>
      </c>
      <c r="AT291" s="163">
        <v>1.08</v>
      </c>
      <c r="AU291" s="164">
        <f t="shared" si="108"/>
        <v>-27.040953723110121</v>
      </c>
      <c r="AV291" s="164">
        <f t="shared" si="109"/>
        <v>1.0814899978774959</v>
      </c>
      <c r="AW291" s="168">
        <f t="shared" si="110"/>
        <v>1.4899978774958189E-3</v>
      </c>
      <c r="AX291" s="168">
        <f t="shared" si="111"/>
        <v>438.2310210488256</v>
      </c>
      <c r="AY291" s="168">
        <f t="shared" si="112"/>
        <v>6.5296329121557566</v>
      </c>
      <c r="AZ291" s="168">
        <f t="shared" si="113"/>
        <v>14.899978774958189</v>
      </c>
    </row>
    <row r="292" spans="1:52" ht="18" x14ac:dyDescent="0.25">
      <c r="A292">
        <v>6</v>
      </c>
      <c r="B292" t="s">
        <v>52</v>
      </c>
      <c r="C292" t="s">
        <v>26</v>
      </c>
      <c r="D292" t="s">
        <v>428</v>
      </c>
      <c r="E292">
        <v>3</v>
      </c>
      <c r="F292" s="9" t="s">
        <v>103</v>
      </c>
      <c r="G292">
        <v>278</v>
      </c>
      <c r="H292">
        <v>4.1029999999999998</v>
      </c>
      <c r="Q292" s="154">
        <v>91</v>
      </c>
      <c r="R292" s="154" t="s">
        <v>412</v>
      </c>
      <c r="S292" s="154">
        <v>3.4383457499999999</v>
      </c>
      <c r="T292" s="154">
        <v>320.28269180387878</v>
      </c>
      <c r="U292" s="154">
        <v>5.9405884999999996</v>
      </c>
      <c r="V292" s="154">
        <v>-24.801664443762938</v>
      </c>
      <c r="W292" s="156">
        <v>4.1029999999999998</v>
      </c>
      <c r="X292" s="174">
        <v>6.8209870833333328</v>
      </c>
      <c r="Y292" s="174">
        <v>-2.4654071106332642</v>
      </c>
      <c r="Z292" s="174">
        <v>4.4079328333333327</v>
      </c>
      <c r="AA292" s="174">
        <v>-23.42695482410312</v>
      </c>
      <c r="AB292" s="174">
        <v>3.047333333333333</v>
      </c>
      <c r="AC292" s="174">
        <v>3.047333333333333</v>
      </c>
      <c r="AD292" s="158">
        <f t="shared" si="114"/>
        <v>1.2598587117981274E-2</v>
      </c>
      <c r="AE292" s="158">
        <f t="shared" si="115"/>
        <v>0.31808063318569169</v>
      </c>
      <c r="AF292" s="159">
        <f t="shared" si="116"/>
        <v>4.3318298473115656E-2</v>
      </c>
      <c r="AG292" s="159">
        <f t="shared" si="117"/>
        <v>1.8895861515756383</v>
      </c>
      <c r="AH292" s="160">
        <f t="shared" si="118"/>
        <v>1.0557713495763017</v>
      </c>
      <c r="AI292" s="160">
        <f t="shared" si="119"/>
        <v>46.053769231675318</v>
      </c>
      <c r="AJ292" s="161">
        <f t="shared" si="120"/>
        <v>43.620968924907324</v>
      </c>
      <c r="AK292" s="162">
        <f t="shared" si="121"/>
        <v>324.72809891451203</v>
      </c>
      <c r="AL292" s="162">
        <f t="shared" si="122"/>
        <v>-27.404709619659819</v>
      </c>
      <c r="AM292" s="163">
        <v>0.36599999999999999</v>
      </c>
      <c r="AN292" s="164">
        <f t="shared" si="102"/>
        <v>324.72809891451203</v>
      </c>
      <c r="AO292" s="165">
        <f t="shared" si="103"/>
        <v>0.48461014290980758</v>
      </c>
      <c r="AP292" s="166">
        <f t="shared" si="104"/>
        <v>0.11861014290980759</v>
      </c>
      <c r="AQ292" s="166">
        <f t="shared" si="105"/>
        <v>10.557713495763018</v>
      </c>
      <c r="AR292" s="166">
        <f t="shared" si="106"/>
        <v>12.522519065332558</v>
      </c>
      <c r="AS292" s="166">
        <f t="shared" si="107"/>
        <v>1186.1014290980759</v>
      </c>
      <c r="AT292" s="163">
        <v>1.08</v>
      </c>
      <c r="AU292" s="164">
        <f t="shared" si="108"/>
        <v>-27.404709619659819</v>
      </c>
      <c r="AV292" s="164">
        <f t="shared" si="109"/>
        <v>1.0810900371856669</v>
      </c>
      <c r="AW292" s="168">
        <f t="shared" si="110"/>
        <v>1.0900371856668034E-3</v>
      </c>
      <c r="AX292" s="168">
        <f t="shared" si="111"/>
        <v>460.53769231675318</v>
      </c>
      <c r="AY292" s="168">
        <f t="shared" si="112"/>
        <v>5.0200321002643786</v>
      </c>
      <c r="AZ292" s="168">
        <f t="shared" si="113"/>
        <v>10.900371856668034</v>
      </c>
    </row>
    <row r="293" spans="1:52" ht="18" x14ac:dyDescent="0.25">
      <c r="A293">
        <v>6</v>
      </c>
      <c r="B293" t="s">
        <v>52</v>
      </c>
      <c r="C293" t="s">
        <v>28</v>
      </c>
      <c r="D293" t="s">
        <v>427</v>
      </c>
      <c r="E293">
        <v>3</v>
      </c>
      <c r="F293" s="9" t="s">
        <v>104</v>
      </c>
      <c r="G293">
        <v>279</v>
      </c>
      <c r="H293">
        <v>4.4240000000000004</v>
      </c>
      <c r="Q293" s="169">
        <v>92</v>
      </c>
      <c r="R293" s="169" t="s">
        <v>413</v>
      </c>
      <c r="S293" s="169">
        <v>4.4745600000000003</v>
      </c>
      <c r="T293" s="169">
        <v>229.8806415448729</v>
      </c>
      <c r="U293" s="169">
        <v>5.7430095000000003</v>
      </c>
      <c r="V293" s="169">
        <v>-24.415648659713284</v>
      </c>
      <c r="W293" s="156">
        <v>4.4240000000000004</v>
      </c>
      <c r="X293" s="174">
        <v>6.8209870833333328</v>
      </c>
      <c r="Y293" s="174">
        <v>-2.4654071106332642</v>
      </c>
      <c r="Z293" s="174">
        <v>4.4079328333333327</v>
      </c>
      <c r="AA293" s="174">
        <v>-23.42695482410312</v>
      </c>
      <c r="AB293" s="174">
        <v>3.047333333333333</v>
      </c>
      <c r="AC293" s="174">
        <v>3.047333333333333</v>
      </c>
      <c r="AD293" s="158">
        <f t="shared" si="114"/>
        <v>1.2598587117981274E-2</v>
      </c>
      <c r="AE293" s="158">
        <f t="shared" si="115"/>
        <v>0.31808063318569169</v>
      </c>
      <c r="AF293" s="159">
        <f t="shared" si="116"/>
        <v>5.6373133974634289E-2</v>
      </c>
      <c r="AG293" s="159">
        <f t="shared" si="117"/>
        <v>1.8267400981514428</v>
      </c>
      <c r="AH293" s="160">
        <f t="shared" si="118"/>
        <v>1.2742570970758202</v>
      </c>
      <c r="AI293" s="160">
        <f t="shared" si="119"/>
        <v>41.291593538685412</v>
      </c>
      <c r="AJ293" s="161">
        <f t="shared" si="120"/>
        <v>32.404444623806164</v>
      </c>
      <c r="AK293" s="162">
        <f t="shared" si="121"/>
        <v>234.32604865550616</v>
      </c>
      <c r="AL293" s="162">
        <f t="shared" si="122"/>
        <v>-27.018693835610165</v>
      </c>
      <c r="AM293" s="163">
        <v>0.36599999999999999</v>
      </c>
      <c r="AN293" s="164">
        <f t="shared" si="102"/>
        <v>234.32604865550616</v>
      </c>
      <c r="AO293" s="165">
        <f t="shared" si="103"/>
        <v>0.45168877073719599</v>
      </c>
      <c r="AP293" s="166">
        <f t="shared" si="104"/>
        <v>8.5688770737195996E-2</v>
      </c>
      <c r="AQ293" s="166">
        <f t="shared" si="105"/>
        <v>12.742570970758203</v>
      </c>
      <c r="AR293" s="166">
        <f t="shared" si="106"/>
        <v>10.918952425157487</v>
      </c>
      <c r="AS293" s="166">
        <f t="shared" si="107"/>
        <v>856.88770737196</v>
      </c>
      <c r="AT293" s="163">
        <v>1.08</v>
      </c>
      <c r="AU293" s="164">
        <f t="shared" si="108"/>
        <v>-27.018693835610165</v>
      </c>
      <c r="AV293" s="164">
        <f t="shared" si="109"/>
        <v>1.0815144731970388</v>
      </c>
      <c r="AW293" s="168">
        <f t="shared" si="110"/>
        <v>1.5144731970386793E-3</v>
      </c>
      <c r="AX293" s="168">
        <f t="shared" si="111"/>
        <v>412.91593538685413</v>
      </c>
      <c r="AY293" s="168">
        <f t="shared" si="112"/>
        <v>6.2535011677354575</v>
      </c>
      <c r="AZ293" s="168">
        <f t="shared" si="113"/>
        <v>15.144731970386793</v>
      </c>
    </row>
    <row r="294" spans="1:52" ht="18" x14ac:dyDescent="0.25">
      <c r="A294">
        <v>6</v>
      </c>
      <c r="B294" t="s">
        <v>52</v>
      </c>
      <c r="C294" t="s">
        <v>28</v>
      </c>
      <c r="D294" t="s">
        <v>428</v>
      </c>
      <c r="E294">
        <v>3</v>
      </c>
      <c r="F294" s="9" t="s">
        <v>105</v>
      </c>
      <c r="G294">
        <v>280</v>
      </c>
      <c r="H294">
        <v>4.0739999999999998</v>
      </c>
      <c r="Q294" s="154">
        <v>93</v>
      </c>
      <c r="R294" s="154" t="s">
        <v>414</v>
      </c>
      <c r="S294" s="154">
        <v>3.0959465000000002</v>
      </c>
      <c r="T294" s="154">
        <v>314.80711596395076</v>
      </c>
      <c r="U294" s="154">
        <v>5.7897819999999998</v>
      </c>
      <c r="V294" s="154">
        <v>-25.136080167734871</v>
      </c>
      <c r="W294" s="156">
        <v>4.0739999999999998</v>
      </c>
      <c r="X294" s="174">
        <v>6.8209870833333328</v>
      </c>
      <c r="Y294" s="174">
        <v>-2.4654071106332642</v>
      </c>
      <c r="Z294" s="174">
        <v>4.4079328333333327</v>
      </c>
      <c r="AA294" s="174">
        <v>-23.42695482410312</v>
      </c>
      <c r="AB294" s="174">
        <v>3.047333333333333</v>
      </c>
      <c r="AC294" s="174">
        <v>3.047333333333333</v>
      </c>
      <c r="AD294" s="158">
        <f t="shared" si="114"/>
        <v>1.2598587117981274E-2</v>
      </c>
      <c r="AE294" s="158">
        <f t="shared" si="115"/>
        <v>0.31808063318569169</v>
      </c>
      <c r="AF294" s="159">
        <f t="shared" si="116"/>
        <v>3.9004551692859213E-2</v>
      </c>
      <c r="AG294" s="159">
        <f t="shared" si="117"/>
        <v>1.8416175245671202</v>
      </c>
      <c r="AH294" s="160">
        <f t="shared" si="118"/>
        <v>0.95740185794941612</v>
      </c>
      <c r="AI294" s="160">
        <f t="shared" si="119"/>
        <v>45.20416113321356</v>
      </c>
      <c r="AJ294" s="161">
        <f t="shared" si="120"/>
        <v>47.215451649564166</v>
      </c>
      <c r="AK294" s="162">
        <f t="shared" si="121"/>
        <v>319.25252307458402</v>
      </c>
      <c r="AL294" s="162">
        <f t="shared" si="122"/>
        <v>-27.739125343631752</v>
      </c>
      <c r="AM294" s="163">
        <v>0.36599999999999999</v>
      </c>
      <c r="AN294" s="164">
        <f t="shared" si="102"/>
        <v>319.25252307458402</v>
      </c>
      <c r="AO294" s="165">
        <f t="shared" si="103"/>
        <v>0.48261674270741822</v>
      </c>
      <c r="AP294" s="166">
        <f t="shared" si="104"/>
        <v>0.11661674270741823</v>
      </c>
      <c r="AQ294" s="166">
        <f t="shared" si="105"/>
        <v>9.5740185794941617</v>
      </c>
      <c r="AR294" s="166">
        <f t="shared" si="106"/>
        <v>11.164908613609125</v>
      </c>
      <c r="AS294" s="166">
        <f t="shared" si="107"/>
        <v>1166.1674270741821</v>
      </c>
      <c r="AT294" s="163">
        <v>1.08</v>
      </c>
      <c r="AU294" s="164">
        <f t="shared" si="108"/>
        <v>-27.739125343631752</v>
      </c>
      <c r="AV294" s="164">
        <f t="shared" si="109"/>
        <v>1.080722334054014</v>
      </c>
      <c r="AW294" s="168">
        <f t="shared" si="110"/>
        <v>7.2233405401389561E-4</v>
      </c>
      <c r="AX294" s="168">
        <f t="shared" si="111"/>
        <v>452.04161133213563</v>
      </c>
      <c r="AY294" s="168">
        <f t="shared" si="112"/>
        <v>3.2652504969651526</v>
      </c>
      <c r="AZ294" s="168">
        <f t="shared" si="113"/>
        <v>7.2233405401389552</v>
      </c>
    </row>
    <row r="295" spans="1:52" ht="18" x14ac:dyDescent="0.25">
      <c r="A295">
        <v>6</v>
      </c>
      <c r="B295" t="s">
        <v>52</v>
      </c>
      <c r="C295" t="s">
        <v>30</v>
      </c>
      <c r="D295" t="s">
        <v>427</v>
      </c>
      <c r="E295">
        <v>3</v>
      </c>
      <c r="F295" s="9" t="s">
        <v>106</v>
      </c>
      <c r="G295">
        <v>281</v>
      </c>
      <c r="H295">
        <v>4.532</v>
      </c>
      <c r="Q295" s="169">
        <v>94</v>
      </c>
      <c r="R295" s="169" t="s">
        <v>415</v>
      </c>
      <c r="S295" s="169">
        <v>3.85403275</v>
      </c>
      <c r="T295" s="169">
        <v>-5.0672462709568435</v>
      </c>
      <c r="U295" s="169">
        <v>5.7304085000000002</v>
      </c>
      <c r="V295" s="169">
        <v>-25.999790791957171</v>
      </c>
      <c r="W295" s="156">
        <v>4.532</v>
      </c>
      <c r="X295" s="174">
        <v>6.8209870833333328</v>
      </c>
      <c r="Y295" s="174">
        <v>-2.4654071106332642</v>
      </c>
      <c r="Z295" s="174">
        <v>4.4079328333333327</v>
      </c>
      <c r="AA295" s="174">
        <v>-23.42695482410312</v>
      </c>
      <c r="AB295" s="174">
        <v>3.047333333333333</v>
      </c>
      <c r="AC295" s="174">
        <v>3.047333333333333</v>
      </c>
      <c r="AD295" s="158">
        <f t="shared" si="114"/>
        <v>1.2598587117981274E-2</v>
      </c>
      <c r="AE295" s="158">
        <f t="shared" si="115"/>
        <v>0.31808063318569169</v>
      </c>
      <c r="AF295" s="159">
        <f t="shared" si="116"/>
        <v>4.8555367356427945E-2</v>
      </c>
      <c r="AG295" s="159">
        <f t="shared" si="117"/>
        <v>1.8227319640926698</v>
      </c>
      <c r="AH295" s="160">
        <f t="shared" si="118"/>
        <v>1.0713893944489838</v>
      </c>
      <c r="AI295" s="160">
        <f t="shared" si="119"/>
        <v>40.219151899661732</v>
      </c>
      <c r="AJ295" s="161">
        <f t="shared" si="120"/>
        <v>37.539247735737078</v>
      </c>
      <c r="AK295" s="162">
        <f t="shared" si="121"/>
        <v>-0.62183916032357978</v>
      </c>
      <c r="AL295" s="162">
        <f t="shared" si="122"/>
        <v>-28.602835967854052</v>
      </c>
      <c r="AM295" s="163">
        <v>0.36599999999999999</v>
      </c>
      <c r="AN295" s="164">
        <f t="shared" si="102"/>
        <v>-0.62183916032357978</v>
      </c>
      <c r="AO295" s="165">
        <f t="shared" si="103"/>
        <v>0.36602673434268856</v>
      </c>
      <c r="AP295" s="166">
        <f t="shared" si="104"/>
        <v>2.6734342688572443E-5</v>
      </c>
      <c r="AQ295" s="166">
        <f t="shared" si="105"/>
        <v>10.71389394448984</v>
      </c>
      <c r="AR295" s="166">
        <f t="shared" si="106"/>
        <v>2.8642891224101253E-3</v>
      </c>
      <c r="AS295" s="166">
        <f t="shared" si="107"/>
        <v>0.26734342688572443</v>
      </c>
      <c r="AT295" s="163">
        <v>1.08</v>
      </c>
      <c r="AU295" s="164">
        <f t="shared" si="108"/>
        <v>-28.602835967854052</v>
      </c>
      <c r="AV295" s="164">
        <f t="shared" si="109"/>
        <v>1.0797726378876991</v>
      </c>
      <c r="AW295" s="168">
        <f t="shared" si="110"/>
        <v>-2.2736211230101055E-4</v>
      </c>
      <c r="AX295" s="168">
        <f t="shared" si="111"/>
        <v>402.19151899661733</v>
      </c>
      <c r="AY295" s="168">
        <f t="shared" si="112"/>
        <v>-0.91443113308622936</v>
      </c>
      <c r="AZ295" s="168">
        <f t="shared" si="113"/>
        <v>-2.2736211230101055</v>
      </c>
    </row>
    <row r="296" spans="1:52" ht="18" x14ac:dyDescent="0.25">
      <c r="A296">
        <v>6</v>
      </c>
      <c r="B296" t="s">
        <v>52</v>
      </c>
      <c r="C296" t="s">
        <v>30</v>
      </c>
      <c r="D296" t="s">
        <v>428</v>
      </c>
      <c r="E296">
        <v>3</v>
      </c>
      <c r="F296" s="9" t="s">
        <v>107</v>
      </c>
      <c r="G296">
        <v>282</v>
      </c>
      <c r="H296">
        <v>4.6710000000000003</v>
      </c>
      <c r="Q296" s="154">
        <v>95</v>
      </c>
      <c r="R296" s="154" t="s">
        <v>416</v>
      </c>
      <c r="S296" s="154">
        <v>2.7694352499999999</v>
      </c>
      <c r="T296" s="154">
        <v>-2.624275271390772</v>
      </c>
      <c r="U296" s="154">
        <v>5.8630635</v>
      </c>
      <c r="V296" s="154">
        <v>-23.70337553802138</v>
      </c>
      <c r="W296" s="156">
        <v>4.6710000000000003</v>
      </c>
      <c r="X296" s="174">
        <v>6.8209870833333328</v>
      </c>
      <c r="Y296" s="174">
        <v>-2.4654071106332642</v>
      </c>
      <c r="Z296" s="174">
        <v>4.4079328333333327</v>
      </c>
      <c r="AA296" s="174">
        <v>-23.42695482410312</v>
      </c>
      <c r="AB296" s="174">
        <v>3.047333333333333</v>
      </c>
      <c r="AC296" s="174">
        <v>3.047333333333333</v>
      </c>
      <c r="AD296" s="158">
        <f t="shared" si="114"/>
        <v>1.2598587117981274E-2</v>
      </c>
      <c r="AE296" s="158">
        <f t="shared" si="115"/>
        <v>0.31808063318569169</v>
      </c>
      <c r="AF296" s="159">
        <f t="shared" si="116"/>
        <v>3.4890971264733249E-2</v>
      </c>
      <c r="AG296" s="159">
        <f t="shared" si="117"/>
        <v>1.8649269504879176</v>
      </c>
      <c r="AH296" s="160">
        <f t="shared" si="118"/>
        <v>0.74697005490758395</v>
      </c>
      <c r="AI296" s="160">
        <f t="shared" si="119"/>
        <v>39.925646552941927</v>
      </c>
      <c r="AJ296" s="161">
        <f t="shared" si="120"/>
        <v>53.450130016097603</v>
      </c>
      <c r="AK296" s="162">
        <f t="shared" si="121"/>
        <v>1.8211318392424918</v>
      </c>
      <c r="AL296" s="162">
        <f t="shared" si="122"/>
        <v>-26.306420713918261</v>
      </c>
      <c r="AM296" s="163">
        <v>0.36599999999999999</v>
      </c>
      <c r="AN296" s="164">
        <f t="shared" si="102"/>
        <v>1.8211318392424918</v>
      </c>
      <c r="AO296" s="165">
        <f t="shared" si="103"/>
        <v>0.36691820043252593</v>
      </c>
      <c r="AP296" s="166">
        <f t="shared" si="104"/>
        <v>9.1820043252593964E-4</v>
      </c>
      <c r="AQ296" s="166">
        <f t="shared" si="105"/>
        <v>7.4697005490758395</v>
      </c>
      <c r="AR296" s="166">
        <f t="shared" si="106"/>
        <v>6.858682275000684E-2</v>
      </c>
      <c r="AS296" s="166">
        <f t="shared" si="107"/>
        <v>9.1820043252593955</v>
      </c>
      <c r="AT296" s="163">
        <v>1.08</v>
      </c>
      <c r="AU296" s="164">
        <f t="shared" si="108"/>
        <v>-26.306420713918261</v>
      </c>
      <c r="AV296" s="164">
        <f t="shared" si="109"/>
        <v>1.0822976294425759</v>
      </c>
      <c r="AW296" s="168">
        <f t="shared" si="110"/>
        <v>2.2976294425758326E-3</v>
      </c>
      <c r="AX296" s="168">
        <f t="shared" si="111"/>
        <v>399.2564655294193</v>
      </c>
      <c r="AY296" s="168">
        <f t="shared" si="112"/>
        <v>9.1734341033915676</v>
      </c>
      <c r="AZ296" s="168">
        <f t="shared" si="113"/>
        <v>22.976294425758326</v>
      </c>
    </row>
    <row r="297" spans="1:52" ht="18" x14ac:dyDescent="0.25">
      <c r="A297">
        <v>6</v>
      </c>
      <c r="B297" t="s">
        <v>56</v>
      </c>
      <c r="C297" t="s">
        <v>26</v>
      </c>
      <c r="D297" t="s">
        <v>427</v>
      </c>
      <c r="E297">
        <v>3</v>
      </c>
      <c r="F297" s="9" t="s">
        <v>108</v>
      </c>
      <c r="G297">
        <v>283</v>
      </c>
      <c r="H297">
        <v>4.915</v>
      </c>
      <c r="Q297" s="169">
        <v>96</v>
      </c>
      <c r="R297" s="169" t="s">
        <v>417</v>
      </c>
      <c r="S297" s="169">
        <v>5.2293855000000002</v>
      </c>
      <c r="T297" s="169">
        <v>118.98076516770486</v>
      </c>
      <c r="U297" s="169">
        <v>6.8173310000000003</v>
      </c>
      <c r="V297" s="169">
        <v>-24.229502868567401</v>
      </c>
      <c r="W297" s="156">
        <v>4.915</v>
      </c>
      <c r="X297" s="174">
        <v>6.8209870833333328</v>
      </c>
      <c r="Y297" s="174">
        <v>-2.4654071106332642</v>
      </c>
      <c r="Z297" s="174">
        <v>4.4079328333333327</v>
      </c>
      <c r="AA297" s="174">
        <v>-23.42695482410312</v>
      </c>
      <c r="AB297" s="174">
        <v>3.047333333333333</v>
      </c>
      <c r="AC297" s="174">
        <v>3.047333333333333</v>
      </c>
      <c r="AD297" s="158">
        <f t="shared" si="114"/>
        <v>1.2598587117981274E-2</v>
      </c>
      <c r="AE297" s="158">
        <f t="shared" si="115"/>
        <v>0.31808063318569169</v>
      </c>
      <c r="AF297" s="159">
        <f t="shared" si="116"/>
        <v>6.5882868795258065E-2</v>
      </c>
      <c r="AG297" s="159">
        <f t="shared" si="117"/>
        <v>2.1684609611164447</v>
      </c>
      <c r="AH297" s="160">
        <f t="shared" si="118"/>
        <v>1.3404449398831753</v>
      </c>
      <c r="AI297" s="160">
        <f t="shared" si="119"/>
        <v>44.119246411321356</v>
      </c>
      <c r="AJ297" s="161">
        <f t="shared" si="120"/>
        <v>32.913881875048531</v>
      </c>
      <c r="AK297" s="162">
        <f t="shared" si="121"/>
        <v>123.42617227833813</v>
      </c>
      <c r="AL297" s="162">
        <f t="shared" si="122"/>
        <v>-26.832548044464282</v>
      </c>
      <c r="AM297" s="163">
        <v>0.36599999999999999</v>
      </c>
      <c r="AN297" s="164">
        <f t="shared" si="102"/>
        <v>123.42617227833813</v>
      </c>
      <c r="AO297" s="165">
        <f t="shared" si="103"/>
        <v>0.41127302072741012</v>
      </c>
      <c r="AP297" s="166">
        <f t="shared" si="104"/>
        <v>4.5273020727410129E-2</v>
      </c>
      <c r="AQ297" s="166">
        <f t="shared" si="105"/>
        <v>13.404449398831753</v>
      </c>
      <c r="AR297" s="166">
        <f t="shared" si="106"/>
        <v>6.068599154728302</v>
      </c>
      <c r="AS297" s="166">
        <f t="shared" si="107"/>
        <v>452.7302072741013</v>
      </c>
      <c r="AT297" s="163">
        <v>1.08</v>
      </c>
      <c r="AU297" s="164">
        <f t="shared" si="108"/>
        <v>-26.832548044464282</v>
      </c>
      <c r="AV297" s="164">
        <f t="shared" si="109"/>
        <v>1.0817191448139027</v>
      </c>
      <c r="AW297" s="168">
        <f t="shared" si="110"/>
        <v>1.7191448139026733E-3</v>
      </c>
      <c r="AX297" s="168">
        <f t="shared" si="111"/>
        <v>441.19246411321353</v>
      </c>
      <c r="AY297" s="168">
        <f t="shared" si="112"/>
        <v>7.5847373661317246</v>
      </c>
      <c r="AZ297" s="168">
        <f t="shared" si="113"/>
        <v>17.191448139026733</v>
      </c>
    </row>
    <row r="298" spans="1:52" ht="18" x14ac:dyDescent="0.25">
      <c r="A298">
        <v>6</v>
      </c>
      <c r="B298" t="s">
        <v>56</v>
      </c>
      <c r="C298" t="s">
        <v>26</v>
      </c>
      <c r="D298" t="s">
        <v>428</v>
      </c>
      <c r="E298">
        <v>3</v>
      </c>
      <c r="F298" s="9" t="s">
        <v>109</v>
      </c>
      <c r="G298">
        <v>284</v>
      </c>
      <c r="H298">
        <v>4.2859999999999996</v>
      </c>
      <c r="Q298" s="154">
        <v>97</v>
      </c>
      <c r="R298" s="154" t="s">
        <v>418</v>
      </c>
      <c r="S298" s="154">
        <v>3.6631844999999998</v>
      </c>
      <c r="T298" s="154">
        <v>32.622357823869322</v>
      </c>
      <c r="U298" s="154">
        <v>6.1428909999999997</v>
      </c>
      <c r="V298" s="154">
        <v>-25.906570010495454</v>
      </c>
      <c r="W298" s="156">
        <v>4.2859999999999996</v>
      </c>
      <c r="X298" s="174">
        <v>6.8209870833333328</v>
      </c>
      <c r="Y298" s="174">
        <v>-2.4654071106332642</v>
      </c>
      <c r="Z298" s="174">
        <v>4.4079328333333327</v>
      </c>
      <c r="AA298" s="174">
        <v>-23.42695482410312</v>
      </c>
      <c r="AB298" s="174">
        <v>3.047333333333333</v>
      </c>
      <c r="AC298" s="174">
        <v>3.047333333333333</v>
      </c>
      <c r="AD298" s="158">
        <f t="shared" si="114"/>
        <v>1.2598587117981274E-2</v>
      </c>
      <c r="AE298" s="158">
        <f t="shared" si="115"/>
        <v>0.31808063318569169</v>
      </c>
      <c r="AF298" s="159">
        <f t="shared" si="116"/>
        <v>4.615094905248867E-2</v>
      </c>
      <c r="AG298" s="159">
        <f t="shared" si="117"/>
        <v>1.9539346588706867</v>
      </c>
      <c r="AH298" s="160">
        <f t="shared" si="118"/>
        <v>1.076783692311915</v>
      </c>
      <c r="AI298" s="160">
        <f t="shared" si="119"/>
        <v>45.58876945568565</v>
      </c>
      <c r="AJ298" s="161">
        <f t="shared" si="120"/>
        <v>42.337908515129911</v>
      </c>
      <c r="AK298" s="162">
        <f t="shared" si="121"/>
        <v>37.067764934502584</v>
      </c>
      <c r="AL298" s="162">
        <f t="shared" si="122"/>
        <v>-28.509615186392335</v>
      </c>
      <c r="AM298" s="163">
        <v>0.36599999999999999</v>
      </c>
      <c r="AN298" s="164">
        <f t="shared" si="102"/>
        <v>37.067764934502584</v>
      </c>
      <c r="AO298" s="165">
        <f t="shared" si="103"/>
        <v>0.37977829636259491</v>
      </c>
      <c r="AP298" s="166">
        <f t="shared" si="104"/>
        <v>1.3778296362594922E-2</v>
      </c>
      <c r="AQ298" s="166">
        <f t="shared" si="105"/>
        <v>10.76783692311915</v>
      </c>
      <c r="AR298" s="166">
        <f t="shared" si="106"/>
        <v>1.4836244831082788</v>
      </c>
      <c r="AS298" s="166">
        <f t="shared" si="107"/>
        <v>137.78296362594921</v>
      </c>
      <c r="AT298" s="163">
        <v>1.08</v>
      </c>
      <c r="AU298" s="164">
        <f t="shared" si="108"/>
        <v>-28.509615186392335</v>
      </c>
      <c r="AV298" s="164">
        <f t="shared" si="109"/>
        <v>1.0798751400157491</v>
      </c>
      <c r="AW298" s="168">
        <f t="shared" si="110"/>
        <v>-1.248599842509357E-4</v>
      </c>
      <c r="AX298" s="168">
        <f t="shared" si="111"/>
        <v>455.8876945568565</v>
      </c>
      <c r="AY298" s="168">
        <f t="shared" si="112"/>
        <v>-0.56922130362564483</v>
      </c>
      <c r="AZ298" s="168">
        <f t="shared" si="113"/>
        <v>-1.248599842509357</v>
      </c>
    </row>
    <row r="299" spans="1:52" ht="18" x14ac:dyDescent="0.25">
      <c r="A299">
        <v>6</v>
      </c>
      <c r="B299" t="s">
        <v>56</v>
      </c>
      <c r="C299" t="s">
        <v>28</v>
      </c>
      <c r="D299" t="s">
        <v>427</v>
      </c>
      <c r="E299">
        <v>3</v>
      </c>
      <c r="F299" s="9" t="s">
        <v>110</v>
      </c>
      <c r="G299">
        <v>285</v>
      </c>
      <c r="H299">
        <v>4.5019999999999998</v>
      </c>
      <c r="Q299" s="169">
        <v>98</v>
      </c>
      <c r="R299" s="169" t="s">
        <v>419</v>
      </c>
      <c r="S299" s="169">
        <v>5.3312125000000004</v>
      </c>
      <c r="T299" s="169">
        <v>558.46082815402951</v>
      </c>
      <c r="U299" s="169">
        <v>6.2742525000000002</v>
      </c>
      <c r="V299" s="169">
        <v>-19.567341330743279</v>
      </c>
      <c r="W299" s="156">
        <v>4.5019999999999998</v>
      </c>
      <c r="X299" s="174">
        <v>6.8209870833333328</v>
      </c>
      <c r="Y299" s="174">
        <v>-2.4654071106332642</v>
      </c>
      <c r="Z299" s="174">
        <v>4.4079328333333327</v>
      </c>
      <c r="AA299" s="174">
        <v>-23.42695482410312</v>
      </c>
      <c r="AB299" s="174">
        <v>3.047333333333333</v>
      </c>
      <c r="AC299" s="174">
        <v>3.047333333333333</v>
      </c>
      <c r="AD299" s="158">
        <f t="shared" si="114"/>
        <v>1.2598587117981274E-2</v>
      </c>
      <c r="AE299" s="158">
        <f t="shared" si="115"/>
        <v>0.31808063318569169</v>
      </c>
      <c r="AF299" s="159">
        <f t="shared" si="116"/>
        <v>6.7165745125720752E-2</v>
      </c>
      <c r="AG299" s="159">
        <f t="shared" si="117"/>
        <v>1.9957182079669091</v>
      </c>
      <c r="AH299" s="160">
        <f t="shared" si="118"/>
        <v>1.4919090432190305</v>
      </c>
      <c r="AI299" s="160">
        <f t="shared" si="119"/>
        <v>44.329591469722551</v>
      </c>
      <c r="AJ299" s="161">
        <f t="shared" si="120"/>
        <v>29.713333846461861</v>
      </c>
      <c r="AK299" s="162">
        <f t="shared" si="121"/>
        <v>562.90623526466277</v>
      </c>
      <c r="AL299" s="162">
        <f t="shared" si="122"/>
        <v>-22.17038650664016</v>
      </c>
      <c r="AM299" s="163">
        <v>0.36599999999999999</v>
      </c>
      <c r="AN299" s="164">
        <f t="shared" si="102"/>
        <v>562.90623526466277</v>
      </c>
      <c r="AO299" s="165">
        <f t="shared" si="103"/>
        <v>0.57124240546869443</v>
      </c>
      <c r="AP299" s="166">
        <f t="shared" si="104"/>
        <v>0.20524240546869443</v>
      </c>
      <c r="AQ299" s="166">
        <f t="shared" si="105"/>
        <v>14.919090432190306</v>
      </c>
      <c r="AR299" s="166">
        <f t="shared" si="106"/>
        <v>30.620300077077221</v>
      </c>
      <c r="AS299" s="166">
        <f t="shared" si="107"/>
        <v>2052.4240546869446</v>
      </c>
      <c r="AT299" s="163">
        <v>1.08</v>
      </c>
      <c r="AU299" s="164">
        <f t="shared" si="108"/>
        <v>-22.17038650664016</v>
      </c>
      <c r="AV299" s="164">
        <f t="shared" si="109"/>
        <v>1.0868450233700251</v>
      </c>
      <c r="AW299" s="168">
        <f t="shared" si="110"/>
        <v>6.8450233700250163E-3</v>
      </c>
      <c r="AX299" s="168">
        <f t="shared" si="111"/>
        <v>443.2959146972255</v>
      </c>
      <c r="AY299" s="168">
        <f t="shared" si="112"/>
        <v>30.343708959391243</v>
      </c>
      <c r="AZ299" s="168">
        <f t="shared" si="113"/>
        <v>68.450233700250166</v>
      </c>
    </row>
    <row r="300" spans="1:52" ht="18" x14ac:dyDescent="0.25">
      <c r="A300">
        <v>6</v>
      </c>
      <c r="B300" t="s">
        <v>56</v>
      </c>
      <c r="C300" t="s">
        <v>28</v>
      </c>
      <c r="D300" t="s">
        <v>428</v>
      </c>
      <c r="E300">
        <v>3</v>
      </c>
      <c r="F300" s="9" t="s">
        <v>111</v>
      </c>
      <c r="G300">
        <v>286</v>
      </c>
      <c r="H300">
        <v>4.0609999999999999</v>
      </c>
      <c r="Q300" s="154">
        <v>99</v>
      </c>
      <c r="R300" s="154" t="s">
        <v>420</v>
      </c>
      <c r="S300" s="154">
        <v>3.7547700000000002</v>
      </c>
      <c r="T300" s="154">
        <v>214.48606564892913</v>
      </c>
      <c r="U300" s="154">
        <v>5.8305059999999997</v>
      </c>
      <c r="V300" s="154">
        <v>-23.42413327698986</v>
      </c>
      <c r="W300" s="156">
        <v>4.0609999999999999</v>
      </c>
      <c r="X300" s="174">
        <v>6.8209870833333328</v>
      </c>
      <c r="Y300" s="174">
        <v>-2.4654071106332642</v>
      </c>
      <c r="Z300" s="174">
        <v>4.4079328333333327</v>
      </c>
      <c r="AA300" s="174">
        <v>-23.42695482410312</v>
      </c>
      <c r="AB300" s="174">
        <v>3.047333333333333</v>
      </c>
      <c r="AC300" s="174">
        <v>3.047333333333333</v>
      </c>
      <c r="AD300" s="158">
        <f t="shared" si="114"/>
        <v>1.2598587117981274E-2</v>
      </c>
      <c r="AE300" s="158">
        <f t="shared" si="115"/>
        <v>0.31808063318569169</v>
      </c>
      <c r="AF300" s="159">
        <f t="shared" si="116"/>
        <v>4.730479695298255E-2</v>
      </c>
      <c r="AG300" s="159">
        <f t="shared" si="117"/>
        <v>1.8545710402729745</v>
      </c>
      <c r="AH300" s="160">
        <f t="shared" si="118"/>
        <v>1.16485587177992</v>
      </c>
      <c r="AI300" s="160">
        <f t="shared" si="119"/>
        <v>45.667841425091716</v>
      </c>
      <c r="AJ300" s="161">
        <f t="shared" si="120"/>
        <v>39.204714103651689</v>
      </c>
      <c r="AK300" s="162">
        <f t="shared" si="121"/>
        <v>218.93147275956238</v>
      </c>
      <c r="AL300" s="162">
        <f t="shared" si="122"/>
        <v>-26.027178452886741</v>
      </c>
      <c r="AM300" s="163">
        <v>0.36599999999999999</v>
      </c>
      <c r="AN300" s="164">
        <f t="shared" si="102"/>
        <v>218.93147275956238</v>
      </c>
      <c r="AO300" s="165">
        <f t="shared" si="103"/>
        <v>0.446080415786133</v>
      </c>
      <c r="AP300" s="166">
        <f t="shared" si="104"/>
        <v>8.0080415786133008E-2</v>
      </c>
      <c r="AQ300" s="166">
        <f t="shared" si="105"/>
        <v>11.648558717799201</v>
      </c>
      <c r="AR300" s="166">
        <f t="shared" si="106"/>
        <v>9.3282142543054434</v>
      </c>
      <c r="AS300" s="166">
        <f t="shared" si="107"/>
        <v>800.80415786132994</v>
      </c>
      <c r="AT300" s="163">
        <v>1.08</v>
      </c>
      <c r="AU300" s="164">
        <f t="shared" si="108"/>
        <v>-26.027178452886741</v>
      </c>
      <c r="AV300" s="164">
        <f t="shared" si="109"/>
        <v>1.082604657609006</v>
      </c>
      <c r="AW300" s="168">
        <f t="shared" si="110"/>
        <v>2.604657609005967E-3</v>
      </c>
      <c r="AX300" s="168">
        <f t="shared" si="111"/>
        <v>456.67841425091717</v>
      </c>
      <c r="AY300" s="168">
        <f t="shared" si="112"/>
        <v>11.894909065474305</v>
      </c>
      <c r="AZ300" s="168">
        <f t="shared" si="113"/>
        <v>26.04657609005967</v>
      </c>
    </row>
    <row r="301" spans="1:52" ht="18" x14ac:dyDescent="0.25">
      <c r="A301">
        <v>6</v>
      </c>
      <c r="B301" t="s">
        <v>56</v>
      </c>
      <c r="C301" t="s">
        <v>30</v>
      </c>
      <c r="D301" t="s">
        <v>427</v>
      </c>
      <c r="E301">
        <v>3</v>
      </c>
      <c r="F301" s="9" t="s">
        <v>112</v>
      </c>
      <c r="G301">
        <v>287</v>
      </c>
      <c r="H301">
        <v>4.5190000000000001</v>
      </c>
      <c r="Q301" s="169">
        <v>100</v>
      </c>
      <c r="R301" s="169" t="s">
        <v>421</v>
      </c>
      <c r="S301" s="169">
        <v>4.6438974999999996</v>
      </c>
      <c r="T301" s="169">
        <v>-5.6227420313149423</v>
      </c>
      <c r="U301" s="169">
        <v>5.9597499999999997</v>
      </c>
      <c r="V301" s="169">
        <v>-25.466155147423361</v>
      </c>
      <c r="W301" s="156">
        <v>4.5190000000000001</v>
      </c>
      <c r="X301" s="174">
        <v>6.8209870833333328</v>
      </c>
      <c r="Y301" s="174">
        <v>-2.4654071106332642</v>
      </c>
      <c r="Z301" s="174">
        <v>4.4079328333333327</v>
      </c>
      <c r="AA301" s="174">
        <v>-23.42695482410312</v>
      </c>
      <c r="AB301" s="174">
        <v>3.047333333333333</v>
      </c>
      <c r="AC301" s="174">
        <v>3.047333333333333</v>
      </c>
      <c r="AD301" s="158">
        <f t="shared" si="114"/>
        <v>1.2598587117981274E-2</v>
      </c>
      <c r="AE301" s="158">
        <f t="shared" si="115"/>
        <v>0.31808063318569169</v>
      </c>
      <c r="AF301" s="159">
        <f t="shared" si="116"/>
        <v>5.8506547220725437E-2</v>
      </c>
      <c r="AG301" s="159">
        <f t="shared" si="117"/>
        <v>1.8956810536284259</v>
      </c>
      <c r="AH301" s="160">
        <f t="shared" si="118"/>
        <v>1.2946790710494676</v>
      </c>
      <c r="AI301" s="160">
        <f t="shared" si="119"/>
        <v>41.949127099544718</v>
      </c>
      <c r="AJ301" s="161">
        <f t="shared" si="120"/>
        <v>32.401178050666054</v>
      </c>
      <c r="AK301" s="162">
        <f t="shared" si="121"/>
        <v>-1.1773349206816786</v>
      </c>
      <c r="AL301" s="162">
        <f t="shared" si="122"/>
        <v>-28.069200323320242</v>
      </c>
      <c r="AM301" s="163">
        <v>0.36599999999999999</v>
      </c>
      <c r="AN301" s="164">
        <f t="shared" si="102"/>
        <v>-1.1773349206816786</v>
      </c>
      <c r="AO301" s="165">
        <f t="shared" si="103"/>
        <v>0.36582402580793133</v>
      </c>
      <c r="AP301" s="166">
        <f t="shared" si="104"/>
        <v>-1.7597419206866194E-4</v>
      </c>
      <c r="AQ301" s="166">
        <f t="shared" si="105"/>
        <v>12.946790710494675</v>
      </c>
      <c r="AR301" s="166">
        <f t="shared" si="106"/>
        <v>-2.2783010351613581E-2</v>
      </c>
      <c r="AS301" s="166">
        <f t="shared" si="107"/>
        <v>-1.7597419206866194</v>
      </c>
      <c r="AT301" s="163">
        <v>1.08</v>
      </c>
      <c r="AU301" s="164">
        <f t="shared" si="108"/>
        <v>-28.069200323320242</v>
      </c>
      <c r="AV301" s="164">
        <f t="shared" si="109"/>
        <v>1.0803594010593207</v>
      </c>
      <c r="AW301" s="168">
        <f t="shared" si="110"/>
        <v>3.5940105932064093E-4</v>
      </c>
      <c r="AX301" s="168">
        <f t="shared" si="111"/>
        <v>419.49127099544722</v>
      </c>
      <c r="AY301" s="168">
        <f t="shared" si="112"/>
        <v>1.5076560717152578</v>
      </c>
      <c r="AZ301" s="168">
        <f t="shared" si="113"/>
        <v>3.5940105932064093</v>
      </c>
    </row>
    <row r="302" spans="1:52" ht="18" x14ac:dyDescent="0.25">
      <c r="A302">
        <v>6</v>
      </c>
      <c r="B302" t="s">
        <v>56</v>
      </c>
      <c r="C302" t="s">
        <v>30</v>
      </c>
      <c r="D302" t="s">
        <v>428</v>
      </c>
      <c r="E302">
        <v>3</v>
      </c>
      <c r="F302" s="9" t="s">
        <v>113</v>
      </c>
      <c r="G302">
        <v>288</v>
      </c>
      <c r="H302">
        <v>4.593</v>
      </c>
      <c r="Q302" s="172">
        <v>101</v>
      </c>
      <c r="R302" s="172" t="s">
        <v>422</v>
      </c>
      <c r="S302" s="172">
        <v>3.1339212500000002</v>
      </c>
      <c r="T302" s="172">
        <v>-6.8153012811596634</v>
      </c>
      <c r="U302" s="172">
        <v>5.9212550000000004</v>
      </c>
      <c r="V302" s="172">
        <v>-24.561781067437</v>
      </c>
      <c r="W302" s="156">
        <v>4.593</v>
      </c>
      <c r="X302" s="174">
        <v>6.8209870833333328</v>
      </c>
      <c r="Y302" s="174">
        <v>-2.4654071106332642</v>
      </c>
      <c r="Z302" s="174">
        <v>4.4079328333333327</v>
      </c>
      <c r="AA302" s="174">
        <v>-23.42695482410312</v>
      </c>
      <c r="AB302" s="174">
        <v>3.047333333333333</v>
      </c>
      <c r="AC302" s="174">
        <v>3.047333333333333</v>
      </c>
      <c r="AD302" s="158">
        <f t="shared" si="114"/>
        <v>1.2598587117981274E-2</v>
      </c>
      <c r="AE302" s="158">
        <f t="shared" si="115"/>
        <v>0.31808063318569169</v>
      </c>
      <c r="AF302" s="159">
        <f t="shared" si="116"/>
        <v>3.9482979889017771E-2</v>
      </c>
      <c r="AG302" s="159">
        <f t="shared" si="117"/>
        <v>1.883436539653943</v>
      </c>
      <c r="AH302" s="160">
        <f t="shared" si="118"/>
        <v>0.85963378813450408</v>
      </c>
      <c r="AI302" s="160">
        <f t="shared" si="119"/>
        <v>41.006674061701354</v>
      </c>
      <c r="AJ302" s="161">
        <f t="shared" si="120"/>
        <v>47.70249218645786</v>
      </c>
      <c r="AK302" s="162">
        <f t="shared" si="121"/>
        <v>-2.3698941705263996</v>
      </c>
      <c r="AL302" s="162">
        <f t="shared" si="122"/>
        <v>-27.164826243333881</v>
      </c>
      <c r="AM302" s="163">
        <v>0.36599999999999999</v>
      </c>
      <c r="AN302" s="164">
        <f t="shared" si="102"/>
        <v>-2.3698941705263996</v>
      </c>
      <c r="AO302" s="165">
        <f t="shared" si="103"/>
        <v>0.3653888406938039</v>
      </c>
      <c r="AP302" s="166">
        <f t="shared" si="104"/>
        <v>-6.1115930619609626E-4</v>
      </c>
      <c r="AQ302" s="166">
        <f t="shared" si="105"/>
        <v>8.5963378813450415</v>
      </c>
      <c r="AR302" s="166">
        <f t="shared" si="106"/>
        <v>-5.2537318953900555E-2</v>
      </c>
      <c r="AS302" s="166">
        <f t="shared" si="107"/>
        <v>-6.1115930619609626</v>
      </c>
      <c r="AT302" s="163">
        <v>1.08</v>
      </c>
      <c r="AU302" s="164">
        <f t="shared" si="108"/>
        <v>-27.164826243333881</v>
      </c>
      <c r="AV302" s="164">
        <f t="shared" si="109"/>
        <v>1.0813537966303088</v>
      </c>
      <c r="AW302" s="168">
        <f t="shared" si="110"/>
        <v>1.3537966303087678E-3</v>
      </c>
      <c r="AX302" s="168">
        <f t="shared" si="111"/>
        <v>410.06674061701352</v>
      </c>
      <c r="AY302" s="168">
        <f t="shared" si="112"/>
        <v>5.551469716490125</v>
      </c>
      <c r="AZ302" s="168">
        <f t="shared" si="113"/>
        <v>13.537966303087678</v>
      </c>
    </row>
    <row r="303" spans="1:52" ht="18" x14ac:dyDescent="0.25">
      <c r="F303" s="9"/>
      <c r="I303" s="25" t="s">
        <v>469</v>
      </c>
      <c r="P303" s="23"/>
      <c r="Q303" s="175">
        <v>431</v>
      </c>
      <c r="R303" s="175" t="s">
        <v>445</v>
      </c>
      <c r="S303" s="175">
        <v>4.3600000000000003</v>
      </c>
      <c r="T303" s="175">
        <v>1.67</v>
      </c>
      <c r="U303" s="175">
        <v>3.16</v>
      </c>
      <c r="V303" s="175">
        <v>-24.68</v>
      </c>
      <c r="W303" s="176">
        <v>1.851</v>
      </c>
      <c r="X303" s="157">
        <v>4.9097924166666678</v>
      </c>
      <c r="Y303" s="157">
        <v>-1.9262930930694058</v>
      </c>
      <c r="Z303" s="157">
        <v>3.543452666666667</v>
      </c>
      <c r="AA303" s="157">
        <v>-24.420378060012961</v>
      </c>
      <c r="AB303" s="157">
        <v>2.1333333333333333</v>
      </c>
      <c r="AC303" s="157">
        <v>2.1333333333333333</v>
      </c>
      <c r="AD303" s="158">
        <f t="shared" ref="AD303" si="123">((2.82/100)*AB303)/X303</f>
        <v>1.2253063855771632E-2</v>
      </c>
      <c r="AE303" s="158">
        <f t="shared" ref="AE303" si="124">((46.01/100)*AC303)/Z303</f>
        <v>0.27700290056082771</v>
      </c>
      <c r="AF303" s="159">
        <f t="shared" ref="AF303" si="125">S303*AD303</f>
        <v>5.3423358411164322E-2</v>
      </c>
      <c r="AG303" s="159">
        <f t="shared" ref="AG303" si="126">U303*AE303</f>
        <v>0.87532916577221564</v>
      </c>
      <c r="AH303" s="177">
        <f t="shared" ref="AH303" si="127">100*AF303/W303</f>
        <v>2.886189001143399</v>
      </c>
      <c r="AI303" s="177">
        <f t="shared" ref="AI303" si="128">100*AG303/W303</f>
        <v>47.289528134641586</v>
      </c>
      <c r="AJ303" s="178">
        <f t="shared" ref="AJ303" si="129">AG303/AF303</f>
        <v>16.384764863252979</v>
      </c>
      <c r="AK303" s="179">
        <f t="shared" ref="AK303" si="130">T303+(1.98-Y303)</f>
        <v>5.5762930930694061</v>
      </c>
      <c r="AL303" s="179">
        <f t="shared" ref="AL303" si="131">V303+(-26.03-AA303)</f>
        <v>-26.28962193998704</v>
      </c>
      <c r="AM303" s="156"/>
      <c r="AN303" s="156"/>
      <c r="AO303" s="156"/>
      <c r="AP303" s="156"/>
      <c r="AQ303" s="156"/>
      <c r="AR303" s="156"/>
      <c r="AS303" s="156"/>
      <c r="AT303" s="156"/>
      <c r="AU303" s="156"/>
      <c r="AV303" s="156"/>
      <c r="AW303" s="156"/>
      <c r="AX303" s="156"/>
      <c r="AY303" s="156"/>
      <c r="AZ303" s="156"/>
    </row>
    <row r="304" spans="1:52" ht="18" x14ac:dyDescent="0.25">
      <c r="I304" s="25" t="s">
        <v>469</v>
      </c>
      <c r="P304" s="23"/>
      <c r="Q304" s="180">
        <v>457</v>
      </c>
      <c r="R304" s="180" t="s">
        <v>135</v>
      </c>
      <c r="S304" s="180">
        <v>6.4775200000000002</v>
      </c>
      <c r="T304" s="180">
        <v>-3.6428245390065701</v>
      </c>
      <c r="U304" s="180">
        <v>4.5556464999999999</v>
      </c>
      <c r="V304" s="180">
        <v>-24.227840026546946</v>
      </c>
      <c r="W304" s="180">
        <v>2.8159999999999998</v>
      </c>
      <c r="X304" s="157">
        <v>4.9097924166666678</v>
      </c>
      <c r="Y304" s="157">
        <v>-1.9262930930694058</v>
      </c>
      <c r="Z304" s="157">
        <v>3.543452666666667</v>
      </c>
      <c r="AA304" s="157">
        <v>-24.420378060012961</v>
      </c>
      <c r="AB304" s="157">
        <v>2.1333333333333333</v>
      </c>
      <c r="AC304" s="157">
        <v>2.1333333333333333</v>
      </c>
      <c r="AD304" s="158">
        <f t="shared" si="114"/>
        <v>1.2253063855771632E-2</v>
      </c>
      <c r="AE304" s="158">
        <f t="shared" si="115"/>
        <v>0.27700290056082771</v>
      </c>
      <c r="AF304" s="159">
        <f t="shared" si="116"/>
        <v>7.9369466187037871E-2</v>
      </c>
      <c r="AG304" s="159">
        <f t="shared" si="117"/>
        <v>1.2619272944297828</v>
      </c>
      <c r="AH304" s="177">
        <f t="shared" si="118"/>
        <v>2.8185179753919698</v>
      </c>
      <c r="AI304" s="177">
        <f t="shared" si="119"/>
        <v>44.812759035148538</v>
      </c>
      <c r="AJ304" s="178">
        <f t="shared" si="120"/>
        <v>15.899405086787302</v>
      </c>
      <c r="AK304" s="179">
        <f t="shared" si="121"/>
        <v>0.26346855406283565</v>
      </c>
      <c r="AL304" s="179">
        <f t="shared" si="122"/>
        <v>-25.837461966533986</v>
      </c>
      <c r="AM304" s="156"/>
      <c r="AN304" s="156"/>
      <c r="AO304" s="156"/>
      <c r="AP304" s="156"/>
      <c r="AQ304" s="156"/>
      <c r="AR304" s="156"/>
      <c r="AS304" s="156"/>
      <c r="AT304" s="156"/>
      <c r="AU304" s="156"/>
      <c r="AV304" s="156"/>
      <c r="AW304" s="156"/>
      <c r="AX304" s="156"/>
      <c r="AY304" s="156"/>
      <c r="AZ304" s="156"/>
    </row>
    <row r="305" spans="9:52" ht="18" x14ac:dyDescent="0.25">
      <c r="I305" s="25" t="s">
        <v>469</v>
      </c>
      <c r="P305" s="23"/>
      <c r="Q305" s="175">
        <v>470</v>
      </c>
      <c r="R305" s="175" t="s">
        <v>148</v>
      </c>
      <c r="S305" s="175">
        <v>3.8918572500000002</v>
      </c>
      <c r="T305" s="175">
        <v>-3.8060547402016476</v>
      </c>
      <c r="U305" s="175">
        <v>2.9147115000000001</v>
      </c>
      <c r="V305" s="175">
        <v>-24.353294153491934</v>
      </c>
      <c r="W305" s="175">
        <v>1.7330000000000001</v>
      </c>
      <c r="X305" s="157">
        <v>4.9097924166666678</v>
      </c>
      <c r="Y305" s="157">
        <v>-1.9262930930694058</v>
      </c>
      <c r="Z305" s="157">
        <v>3.543452666666667</v>
      </c>
      <c r="AA305" s="157">
        <v>-24.420378060012961</v>
      </c>
      <c r="AB305" s="157">
        <v>2.1333333333333333</v>
      </c>
      <c r="AC305" s="157">
        <v>2.1333333333333333</v>
      </c>
      <c r="AD305" s="158">
        <f t="shared" si="114"/>
        <v>1.2253063855771632E-2</v>
      </c>
      <c r="AE305" s="158">
        <f t="shared" si="115"/>
        <v>0.27700290056082771</v>
      </c>
      <c r="AF305" s="159">
        <f t="shared" si="116"/>
        <v>4.7687175401797781E-2</v>
      </c>
      <c r="AG305" s="159">
        <f t="shared" si="117"/>
        <v>0.80738353979800104</v>
      </c>
      <c r="AH305" s="177">
        <f t="shared" si="118"/>
        <v>2.7517123717136629</v>
      </c>
      <c r="AI305" s="177">
        <f t="shared" si="119"/>
        <v>46.588778984304732</v>
      </c>
      <c r="AJ305" s="178">
        <f t="shared" si="120"/>
        <v>16.93083167529279</v>
      </c>
      <c r="AK305" s="179">
        <f t="shared" si="121"/>
        <v>0.10023835286775817</v>
      </c>
      <c r="AL305" s="179">
        <f t="shared" si="122"/>
        <v>-25.962916093478974</v>
      </c>
      <c r="AM305" s="156"/>
      <c r="AN305" s="156"/>
      <c r="AO305" s="156"/>
      <c r="AP305" s="156"/>
      <c r="AQ305" s="156"/>
      <c r="AR305" s="156"/>
      <c r="AS305" s="156"/>
      <c r="AT305" s="156"/>
      <c r="AU305" s="156"/>
      <c r="AV305" s="156"/>
      <c r="AW305" s="156"/>
      <c r="AX305" s="156"/>
      <c r="AY305" s="156"/>
      <c r="AZ305" s="156"/>
    </row>
    <row r="306" spans="9:52" x14ac:dyDescent="0.25">
      <c r="I306" s="25" t="s">
        <v>469</v>
      </c>
      <c r="P306" s="23"/>
      <c r="Q306" s="23"/>
      <c r="R306" s="23"/>
      <c r="S306" s="23"/>
      <c r="T306" s="23"/>
      <c r="U306" s="23"/>
      <c r="V306" s="23"/>
      <c r="W306" s="23"/>
      <c r="X306" s="23"/>
      <c r="Y306" s="23"/>
      <c r="Z306" s="23"/>
      <c r="AA306" s="23"/>
      <c r="AB306" s="23"/>
      <c r="AC306" s="23"/>
    </row>
    <row r="307" spans="9:52" ht="18" x14ac:dyDescent="0.25">
      <c r="I307" s="25" t="s">
        <v>469</v>
      </c>
      <c r="P307" s="23"/>
      <c r="Q307" s="30"/>
      <c r="R307" s="30"/>
      <c r="S307" s="7">
        <f>AVERAGE(S303:S305)</f>
        <v>4.9097924166666678</v>
      </c>
      <c r="T307" s="7">
        <f>AVERAGE(T303:T305)</f>
        <v>-1.9262930930694058</v>
      </c>
      <c r="U307" s="7">
        <f t="shared" ref="U307:V307" si="132">AVERAGE(U303:U305)</f>
        <v>3.543452666666667</v>
      </c>
      <c r="V307" s="7">
        <f t="shared" si="132"/>
        <v>-24.420378060012961</v>
      </c>
      <c r="W307" s="7">
        <f>AVERAGE(W303:W305)</f>
        <v>2.1333333333333333</v>
      </c>
      <c r="X307" s="7">
        <v>4.9097924166666678</v>
      </c>
      <c r="Y307" s="7">
        <v>-1.9262930930694058</v>
      </c>
      <c r="Z307" s="7">
        <v>3.543452666666667</v>
      </c>
      <c r="AA307" s="7">
        <v>-24.420378060012961</v>
      </c>
      <c r="AB307" s="7">
        <v>2.1333333333333333</v>
      </c>
      <c r="AC307" s="7">
        <v>2.1333333333333333</v>
      </c>
      <c r="AD307" s="1">
        <f t="shared" ref="AD307" si="133">((2.82/100)*AB307)/X307</f>
        <v>1.2253063855771632E-2</v>
      </c>
      <c r="AE307" s="1">
        <f t="shared" ref="AE307" si="134">((46.01/100)*AC307)/Z307</f>
        <v>0.27700290056082771</v>
      </c>
      <c r="AF307" s="2">
        <f t="shared" ref="AF307" si="135">S307*AD307</f>
        <v>6.0159999999999998E-2</v>
      </c>
      <c r="AG307" s="2">
        <f t="shared" ref="AG307" si="136">U307*AE307</f>
        <v>0.98154666666666657</v>
      </c>
      <c r="AH307" s="19">
        <f t="shared" ref="AH307" si="137">100*AF307/W307</f>
        <v>2.82</v>
      </c>
      <c r="AI307" s="20">
        <f t="shared" ref="AI307" si="138">100*AG307/W307</f>
        <v>46.01</v>
      </c>
      <c r="AJ307" s="21">
        <f t="shared" ref="AJ307" si="139">AG307/AF307</f>
        <v>16.315602836879432</v>
      </c>
      <c r="AK307" s="22">
        <f t="shared" ref="AK307" si="140">T307+(1.98-Y307)</f>
        <v>1.98</v>
      </c>
      <c r="AL307" s="22">
        <f t="shared" ref="AL307" si="141">V307+(-26.03-AA307)</f>
        <v>-26.03</v>
      </c>
    </row>
    <row r="308" spans="9:52" x14ac:dyDescent="0.25">
      <c r="I308" s="25" t="s">
        <v>469</v>
      </c>
      <c r="P308" s="23"/>
      <c r="Q308" s="23"/>
      <c r="R308" s="23"/>
      <c r="S308" s="23"/>
      <c r="T308" s="23"/>
      <c r="U308" s="23"/>
      <c r="V308" s="23"/>
      <c r="W308" s="23"/>
      <c r="X308" s="23"/>
      <c r="Y308" s="23"/>
      <c r="Z308" s="23"/>
      <c r="AA308" s="23"/>
      <c r="AB308" s="23"/>
      <c r="AC308" s="23"/>
    </row>
    <row r="309" spans="9:52" ht="18" x14ac:dyDescent="0.25">
      <c r="I309" s="25" t="s">
        <v>469</v>
      </c>
      <c r="P309" s="23"/>
      <c r="Q309" s="26">
        <v>484</v>
      </c>
      <c r="R309" s="26" t="s">
        <v>162</v>
      </c>
      <c r="S309" s="27">
        <v>6.5605935000000004</v>
      </c>
      <c r="T309" s="27">
        <v>2.014110250907017</v>
      </c>
      <c r="U309" s="27">
        <v>4.3010074999999999</v>
      </c>
      <c r="V309" s="27">
        <v>-25.928986763066831</v>
      </c>
      <c r="W309" s="27">
        <v>2.6259999999999999</v>
      </c>
      <c r="X309" s="7">
        <v>5.1846886249999997</v>
      </c>
      <c r="Y309" s="7">
        <v>-3.7244396396041086</v>
      </c>
      <c r="Z309" s="7">
        <v>3.735179</v>
      </c>
      <c r="AA309" s="7">
        <v>-24.29056709001944</v>
      </c>
      <c r="AB309" s="7">
        <v>2.2744999999999997</v>
      </c>
      <c r="AC309" s="7">
        <v>2.2744999999999997</v>
      </c>
      <c r="AD309" s="1">
        <f t="shared" ref="AD309:AD323" si="142">((2.82/100)*AB309)/X309</f>
        <v>1.2371215445942038E-2</v>
      </c>
      <c r="AE309" s="1">
        <f t="shared" ref="AE309:AE323" si="143">((46.01/100)*AC309)/Z309</f>
        <v>0.28017330628599052</v>
      </c>
      <c r="AF309" s="2">
        <f t="shared" ref="AF309:AF323" si="144">S309*AD309</f>
        <v>8.1162515641746938E-2</v>
      </c>
      <c r="AG309" s="2">
        <f t="shared" ref="AG309:AG323" si="145">U309*AE309</f>
        <v>1.2050274916358423</v>
      </c>
      <c r="AH309" s="19">
        <f t="shared" ref="AH309:AH323" si="146">100*AF309/W309</f>
        <v>3.0907279376141261</v>
      </c>
      <c r="AI309" s="20">
        <f t="shared" ref="AI309:AI323" si="147">100*AG309/W309</f>
        <v>45.888327937389271</v>
      </c>
      <c r="AJ309" s="21">
        <f t="shared" ref="AJ309:AJ323" si="148">AG309/AF309</f>
        <v>14.847093909149628</v>
      </c>
      <c r="AK309" s="22">
        <f t="shared" ref="AK309:AK323" si="149">T309+(1.98-Y309)</f>
        <v>7.7185498905111256</v>
      </c>
      <c r="AL309" s="22">
        <f t="shared" ref="AL309:AL323" si="150">V309+(-26.03-AA309)</f>
        <v>-27.668419673047392</v>
      </c>
    </row>
    <row r="310" spans="9:52" ht="18" x14ac:dyDescent="0.25">
      <c r="I310" s="25" t="s">
        <v>469</v>
      </c>
      <c r="P310" s="23"/>
      <c r="Q310" s="28">
        <v>497</v>
      </c>
      <c r="R310" s="28" t="s">
        <v>175</v>
      </c>
      <c r="S310" s="29">
        <v>4.8555485000000003</v>
      </c>
      <c r="T310" s="29">
        <v>1.7497320712169335</v>
      </c>
      <c r="U310" s="29">
        <v>3.343858</v>
      </c>
      <c r="V310" s="29">
        <v>-25.869258752023509</v>
      </c>
      <c r="W310" s="29">
        <v>1.9690000000000001</v>
      </c>
      <c r="X310" s="7">
        <v>5.1846886249999997</v>
      </c>
      <c r="Y310" s="7">
        <v>-3.7244396396041086</v>
      </c>
      <c r="Z310" s="7">
        <v>3.735179</v>
      </c>
      <c r="AA310" s="7">
        <v>-24.29056709001944</v>
      </c>
      <c r="AB310" s="7">
        <v>2.2744999999999997</v>
      </c>
      <c r="AC310" s="7">
        <v>2.2744999999999997</v>
      </c>
      <c r="AD310" s="1">
        <f t="shared" si="142"/>
        <v>1.2371215445942038E-2</v>
      </c>
      <c r="AE310" s="1">
        <f t="shared" si="143"/>
        <v>0.28017330628599052</v>
      </c>
      <c r="AF310" s="2">
        <f t="shared" si="144"/>
        <v>6.00690366017207E-2</v>
      </c>
      <c r="AG310" s="2">
        <f t="shared" si="145"/>
        <v>0.93685975161085966</v>
      </c>
      <c r="AH310" s="19">
        <f t="shared" si="146"/>
        <v>3.0507382733225343</v>
      </c>
      <c r="AI310" s="20">
        <f t="shared" si="147"/>
        <v>47.580485099586575</v>
      </c>
      <c r="AJ310" s="21">
        <f t="shared" si="148"/>
        <v>15.596383837859371</v>
      </c>
      <c r="AK310" s="22">
        <f t="shared" si="149"/>
        <v>7.4541717108210426</v>
      </c>
      <c r="AL310" s="22">
        <f t="shared" si="150"/>
        <v>-27.60869166200407</v>
      </c>
    </row>
    <row r="311" spans="9:52" ht="18" x14ac:dyDescent="0.25">
      <c r="I311" s="25" t="s">
        <v>469</v>
      </c>
      <c r="P311" s="23"/>
      <c r="Q311" s="26">
        <v>510</v>
      </c>
      <c r="R311" s="26" t="s">
        <v>188</v>
      </c>
      <c r="S311" s="27">
        <v>5.3113915</v>
      </c>
      <c r="T311" s="27">
        <v>1.7854395770402571</v>
      </c>
      <c r="U311" s="27">
        <v>3.6352787499999999</v>
      </c>
      <c r="V311" s="27">
        <v>-25.899229050672904</v>
      </c>
      <c r="W311" s="27">
        <v>2.157</v>
      </c>
      <c r="X311" s="7">
        <v>5.1846886249999997</v>
      </c>
      <c r="Y311" s="7">
        <v>-3.7244396396041086</v>
      </c>
      <c r="Z311" s="7">
        <v>3.735179</v>
      </c>
      <c r="AA311" s="7">
        <v>-24.29056709001944</v>
      </c>
      <c r="AB311" s="7">
        <v>2.2744999999999997</v>
      </c>
      <c r="AC311" s="7">
        <v>2.2744999999999997</v>
      </c>
      <c r="AD311" s="1">
        <f t="shared" si="142"/>
        <v>1.2371215445942038E-2</v>
      </c>
      <c r="AE311" s="1">
        <f t="shared" si="143"/>
        <v>0.28017330628599052</v>
      </c>
      <c r="AF311" s="2">
        <f t="shared" si="144"/>
        <v>6.5708368564245251E-2</v>
      </c>
      <c r="AG311" s="2">
        <f t="shared" si="145"/>
        <v>1.0185080666587027</v>
      </c>
      <c r="AH311" s="19">
        <f t="shared" si="146"/>
        <v>3.0462850516571742</v>
      </c>
      <c r="AI311" s="20">
        <f t="shared" si="147"/>
        <v>47.218732807543013</v>
      </c>
      <c r="AJ311" s="21">
        <f t="shared" si="148"/>
        <v>15.500431511442468</v>
      </c>
      <c r="AK311" s="22">
        <f t="shared" si="149"/>
        <v>7.4898792166443666</v>
      </c>
      <c r="AL311" s="22">
        <f t="shared" si="150"/>
        <v>-27.638661960653465</v>
      </c>
    </row>
    <row r="312" spans="9:52" ht="18" x14ac:dyDescent="0.25">
      <c r="I312" s="25" t="s">
        <v>469</v>
      </c>
      <c r="P312" s="23"/>
      <c r="Q312" s="28">
        <v>523</v>
      </c>
      <c r="R312" s="28" t="s">
        <v>201</v>
      </c>
      <c r="S312" s="29">
        <v>4.0514394999999999</v>
      </c>
      <c r="T312" s="29">
        <v>1.7908259028835027</v>
      </c>
      <c r="U312" s="29">
        <v>2.8666627500000001</v>
      </c>
      <c r="V312" s="29">
        <v>-25.782682168276548</v>
      </c>
      <c r="W312" s="29">
        <v>3.9390000000000001</v>
      </c>
      <c r="X312" s="7">
        <v>5.1846886249999997</v>
      </c>
      <c r="Y312" s="7">
        <v>-3.7244396396041086</v>
      </c>
      <c r="Z312" s="7">
        <v>3.735179</v>
      </c>
      <c r="AA312" s="7">
        <v>-24.29056709001944</v>
      </c>
      <c r="AB312" s="7">
        <v>2.2744999999999997</v>
      </c>
      <c r="AC312" s="7">
        <v>2.2744999999999997</v>
      </c>
      <c r="AD312" s="1">
        <f t="shared" si="142"/>
        <v>1.2371215445942038E-2</v>
      </c>
      <c r="AE312" s="1">
        <f t="shared" si="143"/>
        <v>0.28017330628599052</v>
      </c>
      <c r="AF312" s="2">
        <f t="shared" si="144"/>
        <v>5.0121230920699686E-2</v>
      </c>
      <c r="AG312" s="2">
        <f t="shared" si="145"/>
        <v>0.80316238067438994</v>
      </c>
      <c r="AH312" s="19">
        <f t="shared" si="146"/>
        <v>1.2724354130667601</v>
      </c>
      <c r="AI312" s="20">
        <f t="shared" si="147"/>
        <v>20.390007125523987</v>
      </c>
      <c r="AJ312" s="21">
        <f t="shared" si="148"/>
        <v>16.024394571337034</v>
      </c>
      <c r="AK312" s="22">
        <f t="shared" si="149"/>
        <v>7.495265542487612</v>
      </c>
      <c r="AL312" s="22">
        <f t="shared" si="150"/>
        <v>-27.522115078257109</v>
      </c>
    </row>
    <row r="313" spans="9:52" ht="18" x14ac:dyDescent="0.25">
      <c r="I313" s="25" t="s">
        <v>469</v>
      </c>
      <c r="P313" s="23"/>
      <c r="Q313" s="26">
        <v>536</v>
      </c>
      <c r="R313" s="26" t="s">
        <v>214</v>
      </c>
      <c r="S313" s="27">
        <v>6.8448229999999999</v>
      </c>
      <c r="T313" s="27">
        <v>2.0517587208264936</v>
      </c>
      <c r="U313" s="27">
        <v>4.4316125</v>
      </c>
      <c r="V313" s="27">
        <v>-25.98799779130854</v>
      </c>
      <c r="W313" s="27">
        <v>2.734</v>
      </c>
      <c r="X313" s="7">
        <v>5.1846886249999997</v>
      </c>
      <c r="Y313" s="7">
        <v>-3.7244396396041086</v>
      </c>
      <c r="Z313" s="7">
        <v>3.735179</v>
      </c>
      <c r="AA313" s="7">
        <v>-24.29056709001944</v>
      </c>
      <c r="AB313" s="7">
        <v>2.2744999999999997</v>
      </c>
      <c r="AC313" s="7">
        <v>2.2744999999999997</v>
      </c>
      <c r="AD313" s="1">
        <f t="shared" si="142"/>
        <v>1.2371215445942038E-2</v>
      </c>
      <c r="AE313" s="1">
        <f t="shared" si="143"/>
        <v>0.28017330628599052</v>
      </c>
      <c r="AF313" s="2">
        <f t="shared" si="144"/>
        <v>8.467878002233932E-2</v>
      </c>
      <c r="AG313" s="2">
        <f t="shared" si="145"/>
        <v>1.2416195263033241</v>
      </c>
      <c r="AH313" s="19">
        <f t="shared" si="146"/>
        <v>3.0972487206415265</v>
      </c>
      <c r="AI313" s="20">
        <f t="shared" si="147"/>
        <v>45.414028028651209</v>
      </c>
      <c r="AJ313" s="21">
        <f t="shared" si="148"/>
        <v>14.662699745742314</v>
      </c>
      <c r="AK313" s="22">
        <f t="shared" si="149"/>
        <v>7.7561983604306022</v>
      </c>
      <c r="AL313" s="22">
        <f t="shared" si="150"/>
        <v>-27.727430701289101</v>
      </c>
    </row>
    <row r="314" spans="9:52" ht="18" x14ac:dyDescent="0.25">
      <c r="I314" s="25" t="s">
        <v>469</v>
      </c>
      <c r="P314" s="23"/>
      <c r="Q314" s="31">
        <v>549</v>
      </c>
      <c r="R314" s="31" t="s">
        <v>227</v>
      </c>
      <c r="S314" s="32">
        <v>6.8990470000000004</v>
      </c>
      <c r="T314" s="32">
        <v>2.2143134070306907</v>
      </c>
      <c r="U314" s="32">
        <v>4.4814864999999999</v>
      </c>
      <c r="V314" s="32">
        <v>-26.00350246198283</v>
      </c>
      <c r="W314" s="29">
        <v>2.762</v>
      </c>
      <c r="X314" s="7">
        <v>5.1846886249999997</v>
      </c>
      <c r="Y314" s="7">
        <v>-3.7244396396041086</v>
      </c>
      <c r="Z314" s="7">
        <v>3.735179</v>
      </c>
      <c r="AA314" s="7">
        <v>-24.29056709001944</v>
      </c>
      <c r="AB314" s="7">
        <v>2.2744999999999997</v>
      </c>
      <c r="AC314" s="7">
        <v>2.2744999999999997</v>
      </c>
      <c r="AD314" s="1">
        <f t="shared" si="142"/>
        <v>1.2371215445942038E-2</v>
      </c>
      <c r="AE314" s="1">
        <f t="shared" si="143"/>
        <v>0.28017330628599052</v>
      </c>
      <c r="AF314" s="2">
        <f t="shared" si="144"/>
        <v>8.5349596808680081E-2</v>
      </c>
      <c r="AG314" s="2">
        <f t="shared" si="145"/>
        <v>1.2555928897810316</v>
      </c>
      <c r="AH314" s="19">
        <f t="shared" si="146"/>
        <v>3.090137465918902</v>
      </c>
      <c r="AI314" s="20">
        <f t="shared" si="147"/>
        <v>45.459554300544227</v>
      </c>
      <c r="AJ314" s="21">
        <f t="shared" si="148"/>
        <v>14.711175409481692</v>
      </c>
      <c r="AK314" s="22">
        <f t="shared" si="149"/>
        <v>7.9187530466347997</v>
      </c>
      <c r="AL314" s="22">
        <f t="shared" si="150"/>
        <v>-27.742935371963391</v>
      </c>
    </row>
    <row r="315" spans="9:52" ht="18" x14ac:dyDescent="0.25">
      <c r="I315" s="25" t="s">
        <v>469</v>
      </c>
      <c r="P315" s="23"/>
      <c r="Q315" s="26">
        <v>565</v>
      </c>
      <c r="R315" s="26" t="s">
        <v>240</v>
      </c>
      <c r="S315" s="27">
        <v>8.1009960000000003</v>
      </c>
      <c r="T315" s="27">
        <v>1.9587925028297564</v>
      </c>
      <c r="U315" s="27">
        <v>5.1004554999999998</v>
      </c>
      <c r="V315" s="27">
        <v>-25.697873029361219</v>
      </c>
      <c r="W315" s="27">
        <v>3.2010000000000001</v>
      </c>
      <c r="X315" s="7">
        <v>5.1846886249999997</v>
      </c>
      <c r="Y315" s="7">
        <v>-3.7244396396041086</v>
      </c>
      <c r="Z315" s="7">
        <v>3.735179</v>
      </c>
      <c r="AA315" s="7">
        <v>-24.29056709001944</v>
      </c>
      <c r="AB315" s="7">
        <v>2.2744999999999997</v>
      </c>
      <c r="AC315" s="7">
        <v>2.2744999999999997</v>
      </c>
      <c r="AD315" s="1">
        <f t="shared" si="142"/>
        <v>1.2371215445942038E-2</v>
      </c>
      <c r="AE315" s="1">
        <f t="shared" si="143"/>
        <v>0.28017330628599052</v>
      </c>
      <c r="AF315" s="2">
        <f t="shared" si="144"/>
        <v>0.10021916684271467</v>
      </c>
      <c r="AG315" s="2">
        <f t="shared" si="145"/>
        <v>1.4290114809995649</v>
      </c>
      <c r="AH315" s="19">
        <f t="shared" si="146"/>
        <v>3.1308705667827139</v>
      </c>
      <c r="AI315" s="20">
        <f t="shared" si="147"/>
        <v>44.642657950626827</v>
      </c>
      <c r="AJ315" s="21">
        <f t="shared" si="148"/>
        <v>14.258864107723774</v>
      </c>
      <c r="AK315" s="22">
        <f t="shared" si="149"/>
        <v>7.6632321424338654</v>
      </c>
      <c r="AL315" s="22">
        <f t="shared" si="150"/>
        <v>-27.43730593934178</v>
      </c>
    </row>
    <row r="316" spans="9:52" ht="18" x14ac:dyDescent="0.25">
      <c r="I316" s="25" t="s">
        <v>469</v>
      </c>
      <c r="P316" s="23"/>
      <c r="Q316" s="26"/>
      <c r="R316" s="26"/>
      <c r="S316" s="27"/>
      <c r="T316" s="27"/>
      <c r="U316" s="27"/>
      <c r="V316" s="27"/>
      <c r="W316" s="27"/>
      <c r="X316" s="7"/>
      <c r="Y316" s="7"/>
      <c r="Z316" s="7"/>
      <c r="AA316" s="7"/>
      <c r="AB316" s="7"/>
      <c r="AC316" s="7"/>
      <c r="AD316" s="1"/>
      <c r="AE316" s="1"/>
      <c r="AF316" s="2"/>
      <c r="AG316" s="2"/>
      <c r="AH316" s="19"/>
      <c r="AI316" s="20"/>
      <c r="AJ316" s="21"/>
      <c r="AK316" s="22"/>
      <c r="AL316" s="22"/>
    </row>
    <row r="317" spans="9:52" ht="18" x14ac:dyDescent="0.25">
      <c r="I317" s="25" t="s">
        <v>469</v>
      </c>
      <c r="P317" s="23"/>
      <c r="Q317" s="33"/>
      <c r="R317" s="33"/>
      <c r="S317" s="15">
        <f>AVERAGE(S309:S315)</f>
        <v>6.0891198571428573</v>
      </c>
      <c r="T317" s="15">
        <f t="shared" ref="T317:W317" si="151">AVERAGE(T309:T315)</f>
        <v>1.937853204676379</v>
      </c>
      <c r="U317" s="15">
        <f t="shared" si="151"/>
        <v>4.0229087857142849</v>
      </c>
      <c r="V317" s="15">
        <f t="shared" si="151"/>
        <v>-25.881361430956051</v>
      </c>
      <c r="W317" s="15">
        <f t="shared" si="151"/>
        <v>2.7697142857142856</v>
      </c>
      <c r="X317" s="15">
        <v>6.0891198571428573</v>
      </c>
      <c r="Y317" s="15">
        <v>1.937853204676379</v>
      </c>
      <c r="Z317" s="15">
        <v>4.0229087857142849</v>
      </c>
      <c r="AA317" s="15">
        <v>-25.881361430956051</v>
      </c>
      <c r="AB317" s="15">
        <v>2.7697142857142856</v>
      </c>
      <c r="AC317" s="15">
        <v>2.7697142857142856</v>
      </c>
      <c r="AD317" s="1">
        <f t="shared" ref="AD317" si="152">((2.82/100)*AB317)/X317</f>
        <v>1.2827131784164255E-2</v>
      </c>
      <c r="AE317" s="1">
        <f t="shared" ref="AE317" si="153">((46.01/100)*AC317)/Z317</f>
        <v>0.3167721692777275</v>
      </c>
      <c r="AF317" s="2">
        <f t="shared" ref="AF317" si="154">S317*AD317</f>
        <v>7.8105942857142854E-2</v>
      </c>
      <c r="AG317" s="2">
        <f t="shared" ref="AG317" si="155">U317*AE317</f>
        <v>1.2743455428571426</v>
      </c>
      <c r="AH317" s="19">
        <f t="shared" ref="AH317" si="156">100*AF317/W317</f>
        <v>2.82</v>
      </c>
      <c r="AI317" s="20">
        <f t="shared" ref="AI317" si="157">100*AG317/W317</f>
        <v>46.009999999999991</v>
      </c>
      <c r="AJ317" s="21">
        <f t="shared" ref="AJ317" si="158">AG317/AF317</f>
        <v>16.315602836879432</v>
      </c>
      <c r="AK317" s="22">
        <f t="shared" ref="AK317" si="159">T317+(1.98-Y317)</f>
        <v>1.98</v>
      </c>
      <c r="AL317" s="22">
        <f t="shared" ref="AL317" si="160">V317+(-26.03-AA317)</f>
        <v>-26.03</v>
      </c>
    </row>
    <row r="318" spans="9:52" ht="18" x14ac:dyDescent="0.25">
      <c r="I318" s="25" t="s">
        <v>469</v>
      </c>
      <c r="P318" s="23"/>
      <c r="Q318" s="26"/>
      <c r="R318" s="26"/>
      <c r="S318" s="27"/>
      <c r="T318" s="27"/>
      <c r="U318" s="27"/>
      <c r="V318" s="27"/>
      <c r="W318" s="27"/>
      <c r="X318" s="7"/>
      <c r="Y318" s="7"/>
      <c r="Z318" s="7"/>
      <c r="AA318" s="7"/>
      <c r="AB318" s="7"/>
      <c r="AC318" s="7"/>
      <c r="AD318" s="1"/>
      <c r="AE318" s="1"/>
      <c r="AF318" s="2"/>
      <c r="AG318" s="2"/>
      <c r="AH318" s="19"/>
      <c r="AI318" s="20"/>
      <c r="AJ318" s="21"/>
      <c r="AK318" s="22"/>
      <c r="AL318" s="22"/>
    </row>
    <row r="319" spans="9:52" ht="18" x14ac:dyDescent="0.25">
      <c r="I319" s="25" t="s">
        <v>469</v>
      </c>
      <c r="P319" s="23"/>
      <c r="Q319" s="28">
        <v>578</v>
      </c>
      <c r="R319" s="28" t="s">
        <v>253</v>
      </c>
      <c r="S319" s="29">
        <v>5.2063100000000002</v>
      </c>
      <c r="T319" s="29">
        <v>10.773955650587357</v>
      </c>
      <c r="U319" s="29">
        <v>3.6682229999999998</v>
      </c>
      <c r="V319" s="29">
        <v>-23.918755484847058</v>
      </c>
      <c r="W319" s="29">
        <v>2.0950000000000002</v>
      </c>
      <c r="X319" s="7">
        <v>5.1846886249999997</v>
      </c>
      <c r="Y319" s="7">
        <v>-3.7244396396041086</v>
      </c>
      <c r="Z319" s="7">
        <v>3.735179</v>
      </c>
      <c r="AA319" s="7">
        <v>-24.29056709001944</v>
      </c>
      <c r="AB319" s="7">
        <v>2.2744999999999997</v>
      </c>
      <c r="AC319" s="7">
        <v>2.2744999999999997</v>
      </c>
      <c r="AD319" s="1">
        <f t="shared" si="142"/>
        <v>1.2371215445942038E-2</v>
      </c>
      <c r="AE319" s="1">
        <f t="shared" si="143"/>
        <v>0.28017330628599052</v>
      </c>
      <c r="AF319" s="2">
        <f t="shared" si="144"/>
        <v>6.4408382688362492E-2</v>
      </c>
      <c r="AG319" s="2">
        <f t="shared" si="145"/>
        <v>1.027738166104315</v>
      </c>
      <c r="AH319" s="19">
        <f t="shared" si="146"/>
        <v>3.0743858085137226</v>
      </c>
      <c r="AI319" s="20">
        <f t="shared" si="147"/>
        <v>49.056714372520993</v>
      </c>
      <c r="AJ319" s="21">
        <f t="shared" si="148"/>
        <v>15.956590170521546</v>
      </c>
      <c r="AK319" s="22">
        <f t="shared" si="149"/>
        <v>16.478395290191465</v>
      </c>
      <c r="AL319" s="22">
        <f t="shared" si="150"/>
        <v>-25.658188394827619</v>
      </c>
    </row>
    <row r="320" spans="9:52" ht="18" x14ac:dyDescent="0.25">
      <c r="I320" s="25" t="s">
        <v>469</v>
      </c>
      <c r="P320" s="23"/>
      <c r="Q320" s="26">
        <v>591</v>
      </c>
      <c r="R320" s="26" t="s">
        <v>266</v>
      </c>
      <c r="S320" s="27">
        <v>4.5054020000000001</v>
      </c>
      <c r="T320" s="27">
        <v>7.9130142033066164</v>
      </c>
      <c r="U320" s="27">
        <v>3.2328945</v>
      </c>
      <c r="V320" s="27">
        <v>-24.104849385865254</v>
      </c>
      <c r="W320" s="27">
        <v>1.823</v>
      </c>
      <c r="X320" s="7">
        <v>5.1846886249999997</v>
      </c>
      <c r="Y320" s="7">
        <v>-3.7244396396041086</v>
      </c>
      <c r="Z320" s="7">
        <v>3.735179</v>
      </c>
      <c r="AA320" s="7">
        <v>-24.29056709001944</v>
      </c>
      <c r="AB320" s="7">
        <v>2.2744999999999997</v>
      </c>
      <c r="AC320" s="7">
        <v>2.2744999999999997</v>
      </c>
      <c r="AD320" s="1">
        <f t="shared" si="142"/>
        <v>1.2371215445942038E-2</v>
      </c>
      <c r="AE320" s="1">
        <f t="shared" si="143"/>
        <v>0.28017330628599052</v>
      </c>
      <c r="AF320" s="2">
        <f t="shared" si="144"/>
        <v>5.5737298812578155E-2</v>
      </c>
      <c r="AG320" s="2">
        <f t="shared" si="145"/>
        <v>0.90577074093879417</v>
      </c>
      <c r="AH320" s="19">
        <f t="shared" si="146"/>
        <v>3.0574491943268325</v>
      </c>
      <c r="AI320" s="20">
        <f t="shared" si="147"/>
        <v>49.685723584135722</v>
      </c>
      <c r="AJ320" s="21">
        <f t="shared" si="148"/>
        <v>16.250711107915947</v>
      </c>
      <c r="AK320" s="22">
        <f t="shared" si="149"/>
        <v>13.617453842910725</v>
      </c>
      <c r="AL320" s="22">
        <f t="shared" si="150"/>
        <v>-25.844282295845815</v>
      </c>
    </row>
    <row r="321" spans="9:38" ht="18" x14ac:dyDescent="0.25">
      <c r="I321" s="25" t="s">
        <v>469</v>
      </c>
      <c r="P321" s="23"/>
      <c r="Q321" s="28">
        <v>604</v>
      </c>
      <c r="R321" s="28" t="s">
        <v>279</v>
      </c>
      <c r="S321" s="29">
        <v>6.2113860000000001</v>
      </c>
      <c r="T321" s="29">
        <v>8.0202644574244033</v>
      </c>
      <c r="U321" s="29">
        <v>4.2412429999999999</v>
      </c>
      <c r="V321" s="29">
        <v>-24.992829806223011</v>
      </c>
      <c r="W321" s="29">
        <v>2.4689999999999999</v>
      </c>
      <c r="X321" s="7">
        <v>5.1846886249999997</v>
      </c>
      <c r="Y321" s="7">
        <v>-3.7244396396041086</v>
      </c>
      <c r="Z321" s="7">
        <v>3.735179</v>
      </c>
      <c r="AA321" s="7">
        <v>-24.29056709001944</v>
      </c>
      <c r="AB321" s="7">
        <v>2.2744999999999997</v>
      </c>
      <c r="AC321" s="7">
        <v>2.2744999999999997</v>
      </c>
      <c r="AD321" s="1">
        <f t="shared" si="142"/>
        <v>1.2371215445942038E-2</v>
      </c>
      <c r="AE321" s="1">
        <f t="shared" si="143"/>
        <v>0.28017330628599052</v>
      </c>
      <c r="AF321" s="2">
        <f t="shared" si="144"/>
        <v>7.6842394423908139E-2</v>
      </c>
      <c r="AG321" s="2">
        <f t="shared" si="145"/>
        <v>1.1882830740723132</v>
      </c>
      <c r="AH321" s="19">
        <f t="shared" si="146"/>
        <v>3.1122881500165307</v>
      </c>
      <c r="AI321" s="20">
        <f t="shared" si="147"/>
        <v>48.128111546063721</v>
      </c>
      <c r="AJ321" s="21">
        <f t="shared" si="148"/>
        <v>15.463899621829068</v>
      </c>
      <c r="AK321" s="22">
        <f t="shared" si="149"/>
        <v>13.724704097028512</v>
      </c>
      <c r="AL321" s="22">
        <f t="shared" si="150"/>
        <v>-26.732262716203572</v>
      </c>
    </row>
    <row r="322" spans="9:38" ht="18" x14ac:dyDescent="0.25">
      <c r="I322" s="25" t="s">
        <v>469</v>
      </c>
      <c r="P322" s="23"/>
      <c r="Q322" s="26">
        <v>657</v>
      </c>
      <c r="R322" s="26" t="s">
        <v>328</v>
      </c>
      <c r="S322" s="27">
        <v>6.3367205000000002</v>
      </c>
      <c r="T322" s="27">
        <v>1.9241621750642257</v>
      </c>
      <c r="U322" s="27">
        <v>4.2884634999999998</v>
      </c>
      <c r="V322" s="27">
        <v>-25.80384346370381</v>
      </c>
      <c r="W322" s="27">
        <v>2.3679999999999999</v>
      </c>
      <c r="X322" s="7">
        <v>5.1846886249999997</v>
      </c>
      <c r="Y322" s="7">
        <v>-3.7244396396041086</v>
      </c>
      <c r="Z322" s="7">
        <v>3.735179</v>
      </c>
      <c r="AA322" s="7">
        <v>-24.29056709001944</v>
      </c>
      <c r="AB322" s="7">
        <v>2.2744999999999997</v>
      </c>
      <c r="AC322" s="7">
        <v>2.2744999999999997</v>
      </c>
      <c r="AD322" s="1">
        <f t="shared" si="142"/>
        <v>1.2371215445942038E-2</v>
      </c>
      <c r="AE322" s="1">
        <f t="shared" si="143"/>
        <v>0.28017330628599052</v>
      </c>
      <c r="AF322" s="2">
        <f t="shared" si="144"/>
        <v>7.8392934526217553E-2</v>
      </c>
      <c r="AG322" s="2">
        <f t="shared" si="145"/>
        <v>1.2015129976817909</v>
      </c>
      <c r="AH322" s="19">
        <f t="shared" si="146"/>
        <v>3.3105124377625659</v>
      </c>
      <c r="AI322" s="20">
        <f t="shared" si="147"/>
        <v>50.739569158859418</v>
      </c>
      <c r="AJ322" s="21">
        <f t="shared" si="148"/>
        <v>15.326802153068522</v>
      </c>
      <c r="AK322" s="22">
        <f t="shared" si="149"/>
        <v>7.6286018146683343</v>
      </c>
      <c r="AL322" s="22">
        <f t="shared" si="150"/>
        <v>-27.543276373684371</v>
      </c>
    </row>
    <row r="323" spans="9:38" ht="18" x14ac:dyDescent="0.25">
      <c r="I323" s="25" t="s">
        <v>469</v>
      </c>
      <c r="P323" s="23"/>
      <c r="Q323" s="31">
        <v>658</v>
      </c>
      <c r="R323" s="31" t="s">
        <v>329</v>
      </c>
      <c r="S323" s="32">
        <v>4.9956765000000001</v>
      </c>
      <c r="T323" s="32">
        <v>10.323180186484965</v>
      </c>
      <c r="U323" s="32">
        <v>3.5385647499999999</v>
      </c>
      <c r="V323" s="32">
        <v>-25.292452755896409</v>
      </c>
      <c r="W323" s="29">
        <v>2.0169999999999999</v>
      </c>
      <c r="X323" s="7">
        <v>5.1846886249999997</v>
      </c>
      <c r="Y323" s="7">
        <v>-3.7244396396041086</v>
      </c>
      <c r="Z323" s="7">
        <v>3.735179</v>
      </c>
      <c r="AA323" s="7">
        <v>-24.29056709001944</v>
      </c>
      <c r="AB323" s="7">
        <v>2.2744999999999997</v>
      </c>
      <c r="AC323" s="7">
        <v>2.2744999999999997</v>
      </c>
      <c r="AD323" s="1">
        <f t="shared" si="142"/>
        <v>1.2371215445942038E-2</v>
      </c>
      <c r="AE323" s="1">
        <f t="shared" si="143"/>
        <v>0.28017330628599052</v>
      </c>
      <c r="AF323" s="2">
        <f t="shared" si="144"/>
        <v>6.1802590279729661E-2</v>
      </c>
      <c r="AG323" s="2">
        <f t="shared" si="145"/>
        <v>0.99141138551455943</v>
      </c>
      <c r="AH323" s="19">
        <f t="shared" si="146"/>
        <v>3.0640847932439099</v>
      </c>
      <c r="AI323" s="20">
        <f t="shared" si="147"/>
        <v>49.152770724569137</v>
      </c>
      <c r="AJ323" s="21">
        <f t="shared" si="148"/>
        <v>16.041583063545602</v>
      </c>
      <c r="AK323" s="22">
        <f t="shared" si="149"/>
        <v>16.027619826089072</v>
      </c>
      <c r="AL323" s="22">
        <f t="shared" si="150"/>
        <v>-27.03188566587697</v>
      </c>
    </row>
    <row r="324" spans="9:38" x14ac:dyDescent="0.25">
      <c r="I324" s="25" t="s">
        <v>469</v>
      </c>
      <c r="P324" s="23"/>
      <c r="Q324" s="23"/>
      <c r="R324" s="23"/>
      <c r="S324" s="23"/>
      <c r="T324" s="23"/>
      <c r="U324" s="23"/>
      <c r="V324" s="23"/>
      <c r="W324" s="23"/>
      <c r="X324" s="23"/>
      <c r="Y324" s="23"/>
      <c r="Z324" s="23"/>
      <c r="AA324" s="23"/>
      <c r="AB324" s="23"/>
      <c r="AC324" s="23"/>
      <c r="AH324" s="23"/>
      <c r="AI324" s="23"/>
      <c r="AJ324" s="23"/>
      <c r="AK324" s="23"/>
      <c r="AL324" s="23"/>
    </row>
    <row r="325" spans="9:38" ht="18" x14ac:dyDescent="0.25">
      <c r="I325" s="25" t="s">
        <v>469</v>
      </c>
      <c r="P325" s="23"/>
      <c r="Q325" s="34"/>
      <c r="R325" s="34"/>
      <c r="S325" s="18">
        <f>AVERAGE(S319:S323)</f>
        <v>5.451099000000001</v>
      </c>
      <c r="T325" s="18">
        <f t="shared" ref="T325:W325" si="161">AVERAGE(T319:T323)</f>
        <v>7.7909153345735138</v>
      </c>
      <c r="U325" s="18">
        <f t="shared" si="161"/>
        <v>3.7938777499999992</v>
      </c>
      <c r="V325" s="18">
        <f t="shared" si="161"/>
        <v>-24.822546179307107</v>
      </c>
      <c r="W325" s="18">
        <f t="shared" si="161"/>
        <v>2.1543999999999999</v>
      </c>
      <c r="X325" s="18">
        <v>5.451099000000001</v>
      </c>
      <c r="Y325" s="18">
        <v>7.7909153345735138</v>
      </c>
      <c r="Z325" s="18">
        <v>3.7938777499999992</v>
      </c>
      <c r="AA325" s="18">
        <v>-24.822546179307107</v>
      </c>
      <c r="AB325" s="18">
        <v>2.1543999999999999</v>
      </c>
      <c r="AC325" s="18">
        <v>2.1543999999999999</v>
      </c>
      <c r="AD325" s="1">
        <f t="shared" ref="AD325" si="162">((2.82/100)*AB325)/X325</f>
        <v>1.1145290151582275E-2</v>
      </c>
      <c r="AE325" s="1">
        <f t="shared" ref="AE325" si="163">((46.01/100)*AC325)/Z325</f>
        <v>0.26127342664111941</v>
      </c>
      <c r="AF325" s="2">
        <f t="shared" ref="AF325" si="164">S325*AD325</f>
        <v>6.0754080000000002E-2</v>
      </c>
      <c r="AG325" s="2">
        <f t="shared" ref="AG325" si="165">U325*AE325</f>
        <v>0.99123943999999997</v>
      </c>
      <c r="AH325" s="19">
        <f t="shared" ref="AH325" si="166">100*AF325/W325</f>
        <v>2.8200000000000003</v>
      </c>
      <c r="AI325" s="20">
        <f t="shared" ref="AI325" si="167">100*AG325/W325</f>
        <v>46.01</v>
      </c>
      <c r="AJ325" s="21">
        <f t="shared" ref="AJ325" si="168">AG325/AF325</f>
        <v>16.315602836879432</v>
      </c>
      <c r="AK325" s="22">
        <f t="shared" ref="AK325" si="169">T325+(1.98-Y325)</f>
        <v>1.9800000000000004</v>
      </c>
      <c r="AL325" s="22">
        <f t="shared" ref="AL325" si="170">V325+(-26.03-AA325)</f>
        <v>-26.03</v>
      </c>
    </row>
    <row r="326" spans="9:38" x14ac:dyDescent="0.25">
      <c r="I326" s="25" t="s">
        <v>469</v>
      </c>
      <c r="P326" s="23"/>
      <c r="Q326" s="23"/>
      <c r="R326" s="23"/>
      <c r="S326" s="23"/>
      <c r="T326" s="23"/>
      <c r="U326" s="23"/>
      <c r="V326" s="23"/>
      <c r="W326" s="23"/>
      <c r="X326" s="23"/>
      <c r="Y326" s="23"/>
      <c r="Z326" s="23"/>
      <c r="AA326" s="23"/>
      <c r="AB326" s="23"/>
      <c r="AC326" s="23"/>
      <c r="AH326" s="23"/>
      <c r="AI326" s="23"/>
      <c r="AJ326" s="23"/>
      <c r="AK326" s="23"/>
      <c r="AL326" s="23"/>
    </row>
    <row r="327" spans="9:38" x14ac:dyDescent="0.25">
      <c r="I327" s="25" t="s">
        <v>469</v>
      </c>
      <c r="P327" s="23"/>
      <c r="Q327" s="23"/>
      <c r="R327" s="23"/>
      <c r="S327" s="23"/>
      <c r="T327" s="23"/>
      <c r="U327" s="23"/>
      <c r="V327" s="23"/>
      <c r="W327" s="23"/>
      <c r="X327" s="23"/>
      <c r="Y327" s="23"/>
      <c r="Z327" s="23"/>
      <c r="AA327" s="23"/>
      <c r="AB327" s="23"/>
      <c r="AC327" s="23"/>
      <c r="AH327" s="23"/>
      <c r="AI327" s="23"/>
      <c r="AJ327" s="23"/>
      <c r="AK327" s="23"/>
      <c r="AL327" s="23"/>
    </row>
    <row r="328" spans="9:38" ht="18" x14ac:dyDescent="0.25">
      <c r="I328" s="25" t="s">
        <v>469</v>
      </c>
      <c r="P328" s="23"/>
      <c r="Q328" s="28">
        <v>21</v>
      </c>
      <c r="R328" s="28" t="s">
        <v>342</v>
      </c>
      <c r="S328" s="29">
        <v>7.8658625000000004</v>
      </c>
      <c r="T328" s="29">
        <v>-3.0381340986171264</v>
      </c>
      <c r="U328" s="29">
        <v>4.9701820000000003</v>
      </c>
      <c r="V328" s="29">
        <v>-23.16855633223329</v>
      </c>
      <c r="W328" s="29">
        <v>3.375</v>
      </c>
      <c r="X328" s="7">
        <v>5.1846886249999997</v>
      </c>
      <c r="Y328" s="7">
        <v>-3.7244396396041086</v>
      </c>
      <c r="Z328" s="7">
        <v>3.735179</v>
      </c>
      <c r="AA328" s="7">
        <v>-24.29056709001944</v>
      </c>
      <c r="AB328" s="7">
        <v>2.2744999999999997</v>
      </c>
      <c r="AC328" s="7">
        <v>2.2744999999999997</v>
      </c>
      <c r="AD328" s="1">
        <f t="shared" ref="AD328:AD333" si="171">((2.82/100)*AB328)/X328</f>
        <v>1.2371215445942038E-2</v>
      </c>
      <c r="AE328" s="1">
        <f t="shared" ref="AE328:AE333" si="172">((46.01/100)*AC328)/Z328</f>
        <v>0.28017330628599052</v>
      </c>
      <c r="AF328" s="2">
        <f t="shared" ref="AF328:AF333" si="173">S328*AD328</f>
        <v>9.7310279655656265E-2</v>
      </c>
      <c r="AG328" s="2">
        <f t="shared" ref="AG328:AG333" si="174">U328*AE328</f>
        <v>1.392512323783117</v>
      </c>
      <c r="AH328" s="19">
        <f t="shared" ref="AH328:AH333" si="175">100*AF328/W328</f>
        <v>2.8832675453527781</v>
      </c>
      <c r="AI328" s="20">
        <f t="shared" ref="AI328:AI333" si="176">100*AG328/W328</f>
        <v>41.259624408388653</v>
      </c>
      <c r="AJ328" s="21">
        <f t="shared" ref="AJ328:AJ333" si="177">AG328/AF328</f>
        <v>14.310022833257531</v>
      </c>
      <c r="AK328" s="22">
        <f t="shared" ref="AK328:AK333" si="178">T328+(1.98-Y328)</f>
        <v>2.6663055409869827</v>
      </c>
      <c r="AL328" s="22">
        <f t="shared" ref="AL328:AL333" si="179">V328+(-26.03-AA328)</f>
        <v>-24.907989242213851</v>
      </c>
    </row>
    <row r="329" spans="9:38" ht="18" x14ac:dyDescent="0.25">
      <c r="I329" s="25" t="s">
        <v>469</v>
      </c>
      <c r="P329" s="23"/>
      <c r="Q329" s="26">
        <v>34</v>
      </c>
      <c r="R329" s="26" t="s">
        <v>355</v>
      </c>
      <c r="S329" s="27">
        <v>10.158329999999999</v>
      </c>
      <c r="T329" s="27">
        <v>-2.773824665065669</v>
      </c>
      <c r="U329" s="27">
        <v>6.0421630000000004</v>
      </c>
      <c r="V329" s="27">
        <v>-23.223463051666279</v>
      </c>
      <c r="W329" s="27">
        <v>4.2850000000000001</v>
      </c>
      <c r="X329" s="7">
        <v>5.1846886249999997</v>
      </c>
      <c r="Y329" s="7">
        <v>-3.7244396396041086</v>
      </c>
      <c r="Z329" s="7">
        <v>3.735179</v>
      </c>
      <c r="AA329" s="7">
        <v>-24.29056709001944</v>
      </c>
      <c r="AB329" s="7">
        <v>2.2744999999999997</v>
      </c>
      <c r="AC329" s="7">
        <v>2.2744999999999997</v>
      </c>
      <c r="AD329" s="1">
        <f t="shared" si="171"/>
        <v>1.2371215445942038E-2</v>
      </c>
      <c r="AE329" s="1">
        <f t="shared" si="172"/>
        <v>0.28017330628599052</v>
      </c>
      <c r="AF329" s="2">
        <f t="shared" si="173"/>
        <v>0.12567088900097637</v>
      </c>
      <c r="AG329" s="2">
        <f t="shared" si="174"/>
        <v>1.6928527848288795</v>
      </c>
      <c r="AH329" s="19">
        <f t="shared" si="175"/>
        <v>2.9328095449469398</v>
      </c>
      <c r="AI329" s="20">
        <f t="shared" si="176"/>
        <v>39.506482726461599</v>
      </c>
      <c r="AJ329" s="21">
        <f t="shared" si="177"/>
        <v>13.470524465023299</v>
      </c>
      <c r="AK329" s="22">
        <f t="shared" si="178"/>
        <v>2.93061497453844</v>
      </c>
      <c r="AL329" s="22">
        <f t="shared" si="179"/>
        <v>-24.96289596164684</v>
      </c>
    </row>
    <row r="330" spans="9:38" ht="18" x14ac:dyDescent="0.25">
      <c r="I330" s="25" t="s">
        <v>469</v>
      </c>
      <c r="P330" s="23"/>
      <c r="Q330" s="28">
        <v>47</v>
      </c>
      <c r="R330" s="28" t="s">
        <v>368</v>
      </c>
      <c r="S330" s="29">
        <v>8.6348979999999997</v>
      </c>
      <c r="T330" s="29">
        <v>-2.6157582394378376</v>
      </c>
      <c r="U330" s="29">
        <v>5.3537964999999996</v>
      </c>
      <c r="V330" s="29">
        <v>-23.212938753472379</v>
      </c>
      <c r="W330" s="29">
        <v>3.6829999999999998</v>
      </c>
      <c r="X330" s="7">
        <v>5.1846886249999997</v>
      </c>
      <c r="Y330" s="7">
        <v>-3.7244396396041086</v>
      </c>
      <c r="Z330" s="7">
        <v>3.735179</v>
      </c>
      <c r="AA330" s="7">
        <v>-24.29056709001944</v>
      </c>
      <c r="AB330" s="7">
        <v>2.2744999999999997</v>
      </c>
      <c r="AC330" s="7">
        <v>2.2744999999999997</v>
      </c>
      <c r="AD330" s="1">
        <f t="shared" si="171"/>
        <v>1.2371215445942038E-2</v>
      </c>
      <c r="AE330" s="1">
        <f t="shared" si="172"/>
        <v>0.28017330628599052</v>
      </c>
      <c r="AF330" s="2">
        <f t="shared" si="173"/>
        <v>0.10682418351173401</v>
      </c>
      <c r="AG330" s="2">
        <f t="shared" si="174"/>
        <v>1.499990866587364</v>
      </c>
      <c r="AH330" s="19">
        <f t="shared" si="175"/>
        <v>2.9004665629034485</v>
      </c>
      <c r="AI330" s="20">
        <f t="shared" si="176"/>
        <v>40.727419673835577</v>
      </c>
      <c r="AJ330" s="21">
        <f t="shared" si="177"/>
        <v>14.041678740494177</v>
      </c>
      <c r="AK330" s="22">
        <f t="shared" si="178"/>
        <v>3.0886814001662715</v>
      </c>
      <c r="AL330" s="22">
        <f t="shared" si="179"/>
        <v>-24.95237166345294</v>
      </c>
    </row>
    <row r="331" spans="9:38" ht="18" x14ac:dyDescent="0.25">
      <c r="I331" s="25" t="s">
        <v>469</v>
      </c>
      <c r="P331" s="23"/>
      <c r="Q331" s="26">
        <v>60</v>
      </c>
      <c r="R331" s="26" t="s">
        <v>381</v>
      </c>
      <c r="S331" s="27">
        <v>4.4430709999999998</v>
      </c>
      <c r="T331" s="27">
        <v>-2.6755912834394158</v>
      </c>
      <c r="U331" s="27">
        <v>3.1928397500000001</v>
      </c>
      <c r="V331" s="27">
        <v>-23.727283135878718</v>
      </c>
      <c r="W331" s="27">
        <v>1.9830000000000001</v>
      </c>
      <c r="X331" s="7">
        <v>5.1846886249999997</v>
      </c>
      <c r="Y331" s="7">
        <v>-3.7244396396041086</v>
      </c>
      <c r="Z331" s="7">
        <v>3.735179</v>
      </c>
      <c r="AA331" s="7">
        <v>-24.29056709001944</v>
      </c>
      <c r="AB331" s="7">
        <v>2.2744999999999997</v>
      </c>
      <c r="AC331" s="7">
        <v>2.2744999999999997</v>
      </c>
      <c r="AD331" s="1">
        <f t="shared" si="171"/>
        <v>1.2371215445942038E-2</v>
      </c>
      <c r="AE331" s="1">
        <f t="shared" si="172"/>
        <v>0.28017330628599052</v>
      </c>
      <c r="AF331" s="2">
        <f t="shared" si="173"/>
        <v>5.4966188582617134E-2</v>
      </c>
      <c r="AG331" s="2">
        <f t="shared" si="174"/>
        <v>0.89454846919883546</v>
      </c>
      <c r="AH331" s="19">
        <f t="shared" si="175"/>
        <v>2.7718703269095877</v>
      </c>
      <c r="AI331" s="20">
        <f t="shared" si="176"/>
        <v>45.110865819406733</v>
      </c>
      <c r="AJ331" s="21">
        <f t="shared" si="177"/>
        <v>16.274522433991962</v>
      </c>
      <c r="AK331" s="22">
        <f t="shared" si="178"/>
        <v>3.0288483561646933</v>
      </c>
      <c r="AL331" s="22">
        <f t="shared" si="179"/>
        <v>-25.466716045859279</v>
      </c>
    </row>
    <row r="332" spans="9:38" ht="18" x14ac:dyDescent="0.25">
      <c r="I332" s="25" t="s">
        <v>469</v>
      </c>
      <c r="P332" s="23"/>
      <c r="Q332" s="28">
        <v>73</v>
      </c>
      <c r="R332" s="28" t="s">
        <v>394</v>
      </c>
      <c r="S332" s="29">
        <v>5.026078</v>
      </c>
      <c r="T332" s="29">
        <v>-1.4018697228483701</v>
      </c>
      <c r="U332" s="29">
        <v>3.48477025</v>
      </c>
      <c r="V332" s="29">
        <v>-23.611160453445613</v>
      </c>
      <c r="W332" s="29">
        <v>2.8330000000000002</v>
      </c>
      <c r="X332" s="7">
        <v>5.1846886249999997</v>
      </c>
      <c r="Y332" s="7">
        <v>-3.7244396396041086</v>
      </c>
      <c r="Z332" s="7">
        <v>3.735179</v>
      </c>
      <c r="AA332" s="7">
        <v>-24.29056709001944</v>
      </c>
      <c r="AB332" s="7">
        <v>2.2744999999999997</v>
      </c>
      <c r="AC332" s="7">
        <v>2.2744999999999997</v>
      </c>
      <c r="AD332" s="1">
        <f t="shared" si="171"/>
        <v>1.2371215445942038E-2</v>
      </c>
      <c r="AE332" s="1">
        <f t="shared" si="172"/>
        <v>0.28017330628599052</v>
      </c>
      <c r="AF332" s="2">
        <f t="shared" si="173"/>
        <v>6.2178693786109469E-2</v>
      </c>
      <c r="AG332" s="2">
        <f t="shared" si="174"/>
        <v>0.97633960258955776</v>
      </c>
      <c r="AH332" s="19">
        <f t="shared" si="175"/>
        <v>2.1948003454327383</v>
      </c>
      <c r="AI332" s="20">
        <f t="shared" si="176"/>
        <v>34.46309927954669</v>
      </c>
      <c r="AJ332" s="21">
        <f t="shared" si="177"/>
        <v>15.702156850513786</v>
      </c>
      <c r="AK332" s="22">
        <f t="shared" si="178"/>
        <v>4.302569916755739</v>
      </c>
      <c r="AL332" s="22">
        <f t="shared" si="179"/>
        <v>-25.350593363426174</v>
      </c>
    </row>
    <row r="333" spans="9:38" ht="18" x14ac:dyDescent="0.25">
      <c r="I333" s="25" t="s">
        <v>469</v>
      </c>
      <c r="P333" s="23"/>
      <c r="Q333" s="26">
        <v>86</v>
      </c>
      <c r="R333" s="26" t="s">
        <v>407</v>
      </c>
      <c r="S333" s="27">
        <v>4.7976830000000001</v>
      </c>
      <c r="T333" s="27">
        <v>-2.2872646543911634</v>
      </c>
      <c r="U333" s="27">
        <v>3.4038455000000001</v>
      </c>
      <c r="V333" s="27">
        <v>-23.618327217922449</v>
      </c>
      <c r="W333" s="27">
        <v>2.125</v>
      </c>
      <c r="X333" s="7">
        <v>5.1846886249999997</v>
      </c>
      <c r="Y333" s="7">
        <v>-3.7244396396041086</v>
      </c>
      <c r="Z333" s="7">
        <v>3.735179</v>
      </c>
      <c r="AA333" s="7">
        <v>-24.29056709001944</v>
      </c>
      <c r="AB333" s="7">
        <v>2.2744999999999997</v>
      </c>
      <c r="AC333" s="7">
        <v>2.2744999999999997</v>
      </c>
      <c r="AD333" s="1">
        <f t="shared" si="171"/>
        <v>1.2371215445942038E-2</v>
      </c>
      <c r="AE333" s="1">
        <f t="shared" si="172"/>
        <v>0.28017330628599052</v>
      </c>
      <c r="AF333" s="2">
        <f t="shared" si="173"/>
        <v>5.935317003433354E-2</v>
      </c>
      <c r="AG333" s="2">
        <f t="shared" si="174"/>
        <v>0.95366664782169053</v>
      </c>
      <c r="AH333" s="19">
        <f t="shared" si="175"/>
        <v>2.7930903545568722</v>
      </c>
      <c r="AI333" s="20">
        <f t="shared" si="176"/>
        <v>44.878430485726611</v>
      </c>
      <c r="AJ333" s="21">
        <f t="shared" si="177"/>
        <v>16.067661546468887</v>
      </c>
      <c r="AK333" s="22">
        <f t="shared" si="178"/>
        <v>3.4171749852129456</v>
      </c>
      <c r="AL333" s="22">
        <f t="shared" si="179"/>
        <v>-25.35776012790301</v>
      </c>
    </row>
    <row r="334" spans="9:38" x14ac:dyDescent="0.25">
      <c r="I334" s="25" t="s">
        <v>469</v>
      </c>
      <c r="P334" s="23"/>
      <c r="Q334" s="23"/>
      <c r="R334" s="23"/>
      <c r="S334" s="23"/>
      <c r="T334" s="23"/>
      <c r="U334" s="23"/>
      <c r="V334" s="23"/>
      <c r="W334" s="23"/>
      <c r="X334" s="23"/>
      <c r="Y334" s="23"/>
      <c r="Z334" s="23"/>
      <c r="AA334" s="23"/>
      <c r="AB334" s="23"/>
      <c r="AC334" s="23"/>
    </row>
    <row r="335" spans="9:38" ht="18" x14ac:dyDescent="0.25">
      <c r="I335" s="25" t="s">
        <v>469</v>
      </c>
      <c r="P335" s="23"/>
      <c r="Q335" s="16"/>
      <c r="R335" s="16"/>
      <c r="S335" s="17">
        <f>AVERAGE(S328:S333)</f>
        <v>6.8209870833333328</v>
      </c>
      <c r="T335" s="17">
        <f t="shared" ref="T335:W335" si="180">AVERAGE(T328:T333)</f>
        <v>-2.4654071106332642</v>
      </c>
      <c r="U335" s="17">
        <f t="shared" si="180"/>
        <v>4.4079328333333327</v>
      </c>
      <c r="V335" s="17">
        <f t="shared" si="180"/>
        <v>-23.42695482410312</v>
      </c>
      <c r="W335" s="17">
        <f t="shared" si="180"/>
        <v>3.047333333333333</v>
      </c>
      <c r="X335" s="17">
        <v>6.8209870833333328</v>
      </c>
      <c r="Y335" s="17">
        <v>-2.4654071106332642</v>
      </c>
      <c r="Z335" s="17">
        <v>4.4079328333333327</v>
      </c>
      <c r="AA335" s="17">
        <v>-23.42695482410312</v>
      </c>
      <c r="AB335" s="17">
        <v>3.047333333333333</v>
      </c>
      <c r="AC335" s="17">
        <v>3.047333333333333</v>
      </c>
      <c r="AD335" s="1">
        <f t="shared" ref="AD335" si="181">((2.82/100)*AB335)/X335</f>
        <v>1.2598587117981274E-2</v>
      </c>
      <c r="AE335" s="1">
        <f t="shared" ref="AE335" si="182">((46.01/100)*AC335)/Z335</f>
        <v>0.31808063318569169</v>
      </c>
      <c r="AF335" s="2">
        <f t="shared" ref="AF335" si="183">S335*AD335</f>
        <v>8.5934799999999992E-2</v>
      </c>
      <c r="AG335" s="2">
        <f t="shared" ref="AG335" si="184">U335*AE335</f>
        <v>1.4020780666666666</v>
      </c>
      <c r="AH335" s="5">
        <f t="shared" ref="AH335" si="185">100*AF335/W335</f>
        <v>2.8200000000000003</v>
      </c>
      <c r="AI335" s="6">
        <f t="shared" ref="AI335" si="186">100*AG335/W335</f>
        <v>46.010000000000005</v>
      </c>
      <c r="AJ335" s="3">
        <f t="shared" ref="AJ335" si="187">AG335/AF335</f>
        <v>16.315602836879432</v>
      </c>
      <c r="AK335" s="4">
        <f t="shared" ref="AK335" si="188">T335+(1.98-Y335)</f>
        <v>1.9799999999999995</v>
      </c>
      <c r="AL335" s="4">
        <f t="shared" ref="AL335" si="189">V335+(-26.03-AA335)</f>
        <v>-26.03</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815B2-0080-429A-9809-3405254D92C7}">
  <dimension ref="A1:P51"/>
  <sheetViews>
    <sheetView zoomScale="70" zoomScaleNormal="70" workbookViewId="0">
      <selection activeCell="T7" sqref="T7"/>
    </sheetView>
  </sheetViews>
  <sheetFormatPr defaultRowHeight="15" x14ac:dyDescent="0.25"/>
  <sheetData>
    <row r="1" spans="1:16" ht="23.25" x14ac:dyDescent="0.35">
      <c r="A1" s="35" t="s">
        <v>470</v>
      </c>
      <c r="B1" s="36"/>
      <c r="C1" s="36"/>
      <c r="D1" s="37"/>
      <c r="E1" s="37"/>
      <c r="F1" s="37"/>
      <c r="G1" s="37"/>
      <c r="H1" s="37"/>
      <c r="I1" s="37"/>
      <c r="J1" s="37"/>
      <c r="K1" s="37"/>
      <c r="L1" s="37"/>
      <c r="N1" s="98" t="s">
        <v>498</v>
      </c>
      <c r="O1" s="98" t="s">
        <v>508</v>
      </c>
    </row>
    <row r="2" spans="1:16" x14ac:dyDescent="0.25">
      <c r="A2" s="14"/>
      <c r="B2" s="14"/>
      <c r="C2" s="14"/>
      <c r="D2" s="14"/>
      <c r="E2" s="14"/>
      <c r="F2" s="14"/>
      <c r="G2" s="14" t="s">
        <v>471</v>
      </c>
      <c r="H2" s="14"/>
      <c r="I2" s="14"/>
      <c r="J2" s="14"/>
      <c r="K2" s="14"/>
      <c r="L2" s="14"/>
      <c r="N2" s="99" t="s">
        <v>477</v>
      </c>
      <c r="O2" s="99" t="s">
        <v>4</v>
      </c>
    </row>
    <row r="3" spans="1:16" x14ac:dyDescent="0.25">
      <c r="A3" s="14" t="s">
        <v>472</v>
      </c>
      <c r="B3" s="14"/>
      <c r="C3" s="14"/>
      <c r="D3" s="14"/>
      <c r="E3" s="14"/>
      <c r="F3" s="14"/>
      <c r="G3" s="14"/>
      <c r="H3" s="14"/>
      <c r="I3" s="14"/>
      <c r="J3" s="14"/>
      <c r="K3" s="14"/>
      <c r="L3" s="14"/>
      <c r="N3" s="93">
        <v>1.572995761294786</v>
      </c>
      <c r="O3" s="93">
        <v>-26.998600937651158</v>
      </c>
    </row>
    <row r="4" spans="1:16" x14ac:dyDescent="0.25">
      <c r="A4" s="14"/>
      <c r="B4" s="14"/>
      <c r="C4" s="14"/>
      <c r="D4" s="14"/>
      <c r="E4" s="14"/>
      <c r="F4" s="14"/>
      <c r="G4" s="14"/>
      <c r="H4" s="14"/>
      <c r="I4" s="14"/>
      <c r="J4" s="14"/>
      <c r="K4" s="14"/>
      <c r="L4" s="14"/>
      <c r="N4" s="93">
        <v>2.5185982027676008</v>
      </c>
      <c r="O4" s="93">
        <v>-26.919940780647767</v>
      </c>
    </row>
    <row r="5" spans="1:16" x14ac:dyDescent="0.25">
      <c r="A5" s="14" t="s">
        <v>473</v>
      </c>
      <c r="B5" s="14">
        <v>3.676E-3</v>
      </c>
      <c r="C5" s="14"/>
      <c r="D5" s="14"/>
      <c r="E5" s="14"/>
      <c r="F5" s="14"/>
      <c r="G5" s="14"/>
      <c r="H5" s="14"/>
      <c r="I5" s="14"/>
      <c r="J5" s="14"/>
      <c r="K5" s="14"/>
      <c r="L5" s="14"/>
      <c r="N5" s="93">
        <v>-1.548894767335431</v>
      </c>
      <c r="O5" s="93">
        <v>-28.505475833017826</v>
      </c>
    </row>
    <row r="6" spans="1:16" x14ac:dyDescent="0.25">
      <c r="A6" s="14" t="s">
        <v>474</v>
      </c>
      <c r="B6" s="14">
        <v>1.1237E-2</v>
      </c>
      <c r="C6" s="14"/>
      <c r="D6" s="14"/>
      <c r="E6" s="14"/>
      <c r="F6" s="14"/>
      <c r="G6" s="14"/>
      <c r="H6" s="14"/>
      <c r="I6" s="14"/>
      <c r="J6" s="14"/>
      <c r="K6" s="14"/>
      <c r="L6" s="14"/>
      <c r="N6" s="93">
        <v>-1.8922587606359493</v>
      </c>
      <c r="O6" s="93">
        <v>-26.364614246438375</v>
      </c>
    </row>
    <row r="7" spans="1:16" x14ac:dyDescent="0.25">
      <c r="A7" s="14"/>
      <c r="B7" s="14"/>
      <c r="C7" s="14"/>
      <c r="D7" s="14"/>
      <c r="E7" s="14"/>
      <c r="F7" s="14"/>
      <c r="G7" s="38" t="s">
        <v>475</v>
      </c>
      <c r="H7" s="37"/>
      <c r="I7" s="37"/>
      <c r="J7" s="37"/>
      <c r="K7" s="14"/>
      <c r="L7" s="14"/>
      <c r="N7" s="93">
        <v>-3.6088814664431852</v>
      </c>
      <c r="O7" s="93">
        <v>-27.795870405601409</v>
      </c>
    </row>
    <row r="8" spans="1:16" x14ac:dyDescent="0.25">
      <c r="A8" s="14"/>
      <c r="B8" s="39" t="s">
        <v>476</v>
      </c>
      <c r="C8" s="39"/>
      <c r="D8" s="40"/>
      <c r="E8" s="40"/>
      <c r="F8" s="14"/>
      <c r="G8" s="41" t="s">
        <v>477</v>
      </c>
      <c r="H8" s="41"/>
      <c r="I8" s="41" t="s">
        <v>4</v>
      </c>
      <c r="J8" s="42"/>
      <c r="K8" s="14"/>
      <c r="L8" s="14"/>
      <c r="N8" s="93">
        <v>-1.4751202956880411</v>
      </c>
      <c r="O8" s="93">
        <v>-26.709177173545527</v>
      </c>
    </row>
    <row r="9" spans="1:16" x14ac:dyDescent="0.25">
      <c r="A9" s="14"/>
      <c r="B9" s="43" t="s">
        <v>477</v>
      </c>
      <c r="C9" s="43"/>
      <c r="D9" s="43" t="s">
        <v>4</v>
      </c>
      <c r="E9" s="43"/>
      <c r="F9" s="14"/>
      <c r="G9" s="44" t="s">
        <v>478</v>
      </c>
      <c r="H9" s="44" t="s">
        <v>479</v>
      </c>
      <c r="I9" s="44" t="s">
        <v>478</v>
      </c>
      <c r="J9" s="44" t="s">
        <v>479</v>
      </c>
      <c r="K9" s="14"/>
      <c r="L9" s="14"/>
      <c r="N9" s="93">
        <v>-0.61233604830003996</v>
      </c>
      <c r="O9" s="93">
        <v>-27.729330844125514</v>
      </c>
    </row>
    <row r="10" spans="1:16" x14ac:dyDescent="0.25">
      <c r="A10" s="14"/>
      <c r="B10" s="45" t="s">
        <v>479</v>
      </c>
      <c r="C10" s="45" t="s">
        <v>478</v>
      </c>
      <c r="D10" s="45" t="s">
        <v>479</v>
      </c>
      <c r="E10" s="45" t="s">
        <v>478</v>
      </c>
      <c r="F10" s="14"/>
      <c r="G10" s="46">
        <v>0.36625400000000002</v>
      </c>
      <c r="H10" s="47">
        <f>(1/((100/G10-1)*B$5)-1)*1000</f>
        <v>9.5481369188910037E-4</v>
      </c>
      <c r="I10" s="46">
        <v>1.111213</v>
      </c>
      <c r="J10" s="47">
        <f>(1/((100/I10-1)*B$6)-1)*1000</f>
        <v>-2.6954231024944875E-4</v>
      </c>
      <c r="K10" s="14"/>
      <c r="L10" s="14"/>
      <c r="N10" s="93">
        <v>-0.75607780146539261</v>
      </c>
      <c r="O10" s="93">
        <v>-26.370139322061156</v>
      </c>
    </row>
    <row r="11" spans="1:16" x14ac:dyDescent="0.25">
      <c r="A11" s="14"/>
      <c r="B11" s="48">
        <v>-8</v>
      </c>
      <c r="C11" s="48">
        <f>100*B$5*((B11/1000)+1)/(1+B$5*(B11/1000+1))</f>
        <v>0.36333426816438585</v>
      </c>
      <c r="D11" s="48">
        <v>-30</v>
      </c>
      <c r="E11" s="48">
        <f>100*B$6*((D11/1000)+1)/(1+B$6*(D11/1000+1))</f>
        <v>1.0782363424730417</v>
      </c>
      <c r="F11" s="14"/>
      <c r="G11" s="46">
        <v>0.5</v>
      </c>
      <c r="H11" s="47">
        <f>(1/((100/G11-1)*B$5)-1)*1000</f>
        <v>367.00914802521868</v>
      </c>
      <c r="I11" s="46">
        <v>1.2</v>
      </c>
      <c r="J11" s="47">
        <f>(1/((100/I11-1)*B$6)-1)*1000</f>
        <v>80.871138903110037</v>
      </c>
      <c r="K11" s="14"/>
      <c r="L11" s="14"/>
      <c r="N11" s="93"/>
      <c r="O11" s="93"/>
      <c r="P11" s="25" t="s">
        <v>469</v>
      </c>
    </row>
    <row r="12" spans="1:16" x14ac:dyDescent="0.25">
      <c r="A12" t="s">
        <v>480</v>
      </c>
      <c r="B12" s="12">
        <v>-4.5758120176019217</v>
      </c>
      <c r="C12" s="48">
        <f>100*B$5*((B12/1000)+1)/(1+B$5*(B12/1000+1))</f>
        <v>0.36458385380589148</v>
      </c>
      <c r="D12" s="12">
        <v>-30.665761552179124</v>
      </c>
      <c r="E12" s="48">
        <f t="shared" ref="E12:E25" si="0">100*B$6*((D12/1000)+1)/(1+B$6*(D12/1000+1))</f>
        <v>1.0775042667463313</v>
      </c>
      <c r="F12" s="14"/>
      <c r="G12" s="46">
        <v>0.75</v>
      </c>
      <c r="H12" s="47">
        <f>(1/((100/G12-1)*B$5)-1)*1000</f>
        <v>1055.6787440076962</v>
      </c>
      <c r="I12" s="46">
        <v>1.5</v>
      </c>
      <c r="J12" s="47">
        <f>(1/((100/I12-1)*B$6)-1)*1000</f>
        <v>355.20391527445815</v>
      </c>
      <c r="K12" s="14"/>
      <c r="L12" s="14"/>
      <c r="N12" s="93">
        <v>-2.5731809622073372</v>
      </c>
      <c r="O12" s="93">
        <v>-27.935029930251016</v>
      </c>
    </row>
    <row r="13" spans="1:16" x14ac:dyDescent="0.25">
      <c r="A13" t="s">
        <v>481</v>
      </c>
      <c r="B13" s="49">
        <v>-4.1450581850499768</v>
      </c>
      <c r="C13" s="48">
        <f>100*B$5*((B13/1000)+1)/(1+B$5*(B13/1000+1))</f>
        <v>0.36474104617008352</v>
      </c>
      <c r="D13" s="49">
        <v>-31.709305540950982</v>
      </c>
      <c r="E13" s="48">
        <f t="shared" si="0"/>
        <v>1.0763567571956534</v>
      </c>
      <c r="F13" s="14"/>
      <c r="G13" s="46">
        <v>1</v>
      </c>
      <c r="H13" s="47">
        <f>(1/((100/G13-1)*B$5)-1)*1000</f>
        <v>1747.8264692628129</v>
      </c>
      <c r="I13" s="46">
        <v>1.8</v>
      </c>
      <c r="J13" s="47">
        <f>(1/((100/I13-1)*B$6)-1)*1000</f>
        <v>631.21285932220928</v>
      </c>
      <c r="K13" s="14"/>
      <c r="L13" s="14"/>
      <c r="N13" s="93">
        <v>3.836235269823336</v>
      </c>
      <c r="O13" s="93">
        <v>-25.100908062892564</v>
      </c>
    </row>
    <row r="14" spans="1:16" x14ac:dyDescent="0.25">
      <c r="A14" s="14"/>
      <c r="B14" s="50">
        <v>-5</v>
      </c>
      <c r="C14" s="48">
        <f t="shared" ref="C14:C25" si="1">100*B$5*((B14/1000)+1)/(1+B$5*(B14/1000+1))</f>
        <v>0.36442905699256284</v>
      </c>
      <c r="D14" s="50">
        <v>-27</v>
      </c>
      <c r="E14" s="48">
        <f t="shared" si="0"/>
        <v>1.0815350275413391</v>
      </c>
      <c r="F14" s="14"/>
      <c r="G14" s="46">
        <v>10</v>
      </c>
      <c r="H14" s="47">
        <f>(1/((100/G14-1)*B$5)-1)*1000</f>
        <v>29226.091161890941</v>
      </c>
      <c r="I14" s="46">
        <v>2</v>
      </c>
      <c r="J14" s="47">
        <f>(1/((100/I14-1)*B$6)-1)*1000</f>
        <v>816.15762795284525</v>
      </c>
      <c r="K14" s="14"/>
      <c r="L14" s="14"/>
      <c r="N14" s="93">
        <v>-0.39249904202048436</v>
      </c>
      <c r="O14" s="93">
        <v>-27.133739107563105</v>
      </c>
    </row>
    <row r="15" spans="1:16" x14ac:dyDescent="0.25">
      <c r="A15" s="14"/>
      <c r="B15" s="12">
        <v>-2.6581644588492788</v>
      </c>
      <c r="C15" s="48">
        <f t="shared" si="1"/>
        <v>0.36528364540162783</v>
      </c>
      <c r="D15" s="12">
        <v>-28.913008420706802</v>
      </c>
      <c r="E15" s="48">
        <f t="shared" si="0"/>
        <v>1.0794315821859262</v>
      </c>
      <c r="F15" s="14"/>
      <c r="G15" s="14"/>
      <c r="H15" s="14"/>
      <c r="I15" s="14"/>
      <c r="J15" s="14"/>
      <c r="K15" s="14"/>
      <c r="L15" s="14"/>
      <c r="N15" s="93">
        <v>-1.2713625477884141</v>
      </c>
      <c r="O15" s="93">
        <v>-26.608784761803804</v>
      </c>
    </row>
    <row r="16" spans="1:16" x14ac:dyDescent="0.25">
      <c r="A16" s="14"/>
      <c r="B16" s="12">
        <v>-1.2689927303572093</v>
      </c>
      <c r="C16" s="48">
        <f t="shared" si="1"/>
        <v>0.36579057845214069</v>
      </c>
      <c r="D16" s="12">
        <v>-30.504383582891304</v>
      </c>
      <c r="E16" s="48">
        <f t="shared" si="0"/>
        <v>1.0776817200043827</v>
      </c>
      <c r="F16" s="14"/>
      <c r="G16" s="14"/>
      <c r="H16" s="14"/>
      <c r="I16" s="14"/>
      <c r="J16" s="14"/>
      <c r="K16" s="14"/>
      <c r="L16" s="14"/>
      <c r="N16" s="93">
        <v>-2.3910091182222799</v>
      </c>
      <c r="O16" s="93">
        <v>-27.046137223050184</v>
      </c>
    </row>
    <row r="17" spans="1:16" x14ac:dyDescent="0.25">
      <c r="A17" s="14"/>
      <c r="B17" s="12">
        <v>-5.4894210892118593</v>
      </c>
      <c r="C17" s="51">
        <f t="shared" si="1"/>
        <v>0.36425045438796294</v>
      </c>
      <c r="D17" s="12">
        <v>-30.140916718579355</v>
      </c>
      <c r="E17" s="51">
        <f t="shared" si="0"/>
        <v>1.0780813904380881</v>
      </c>
      <c r="F17" s="14"/>
      <c r="G17" s="52"/>
      <c r="H17" s="53"/>
      <c r="I17" s="54"/>
      <c r="J17" s="54"/>
      <c r="K17" s="55"/>
      <c r="L17" s="56"/>
      <c r="N17" s="93">
        <v>-1.5644814408272469</v>
      </c>
      <c r="O17" s="93">
        <v>-26.61790613380245</v>
      </c>
    </row>
    <row r="18" spans="1:16" x14ac:dyDescent="0.25">
      <c r="A18" s="57"/>
      <c r="B18" s="12">
        <v>-5.1643423896774925</v>
      </c>
      <c r="C18" s="24">
        <f t="shared" si="1"/>
        <v>0.36436908421136882</v>
      </c>
      <c r="D18" s="12">
        <v>-30.439658632142198</v>
      </c>
      <c r="E18" s="58">
        <f t="shared" si="0"/>
        <v>1.0777528922007547</v>
      </c>
      <c r="G18" s="59"/>
      <c r="I18" s="24"/>
      <c r="J18" s="24"/>
      <c r="K18" s="12"/>
      <c r="L18" s="60"/>
      <c r="N18" s="93">
        <v>-1.2007783584411276</v>
      </c>
      <c r="O18" s="93">
        <v>-28.255602976398894</v>
      </c>
    </row>
    <row r="19" spans="1:16" x14ac:dyDescent="0.25">
      <c r="A19" s="57"/>
      <c r="B19" s="61">
        <v>-3.7993147467586903</v>
      </c>
      <c r="C19" s="62">
        <f t="shared" si="1"/>
        <v>0.3648672158516883</v>
      </c>
      <c r="D19" s="61">
        <v>-29.947034184738936</v>
      </c>
      <c r="E19" s="63">
        <f t="shared" si="0"/>
        <v>1.0782945835621942</v>
      </c>
      <c r="F19" s="14"/>
      <c r="G19" s="64"/>
      <c r="H19" s="65"/>
      <c r="I19" s="62"/>
      <c r="J19" s="62"/>
      <c r="K19" s="61"/>
      <c r="L19" s="66"/>
      <c r="N19" s="93">
        <v>-0.61144955335888218</v>
      </c>
      <c r="O19" s="93">
        <v>-25.7165414932375</v>
      </c>
    </row>
    <row r="20" spans="1:16" x14ac:dyDescent="0.25">
      <c r="A20" s="14"/>
      <c r="B20" s="61">
        <v>-2.004370675907571</v>
      </c>
      <c r="C20" s="67">
        <f t="shared" si="1"/>
        <v>0.36552222682583729</v>
      </c>
      <c r="D20" s="61">
        <v>-31.057025720939897</v>
      </c>
      <c r="E20" s="67">
        <f t="shared" si="0"/>
        <v>1.0770740250699888</v>
      </c>
      <c r="F20" s="14"/>
      <c r="G20" s="64"/>
      <c r="H20" s="14"/>
      <c r="I20" s="68"/>
      <c r="J20" s="68"/>
      <c r="K20" s="61"/>
      <c r="L20" s="66"/>
      <c r="N20" s="93">
        <v>-3.3881430329817097</v>
      </c>
      <c r="O20" s="93">
        <v>-27.074798716117325</v>
      </c>
    </row>
    <row r="21" spans="1:16" x14ac:dyDescent="0.25">
      <c r="A21" s="14"/>
      <c r="B21" s="12">
        <v>-3.1789297141235893</v>
      </c>
      <c r="C21" s="69">
        <f t="shared" si="1"/>
        <v>0.36509360772611765</v>
      </c>
      <c r="D21" s="12">
        <v>-31.480325847542808</v>
      </c>
      <c r="E21" s="69">
        <f t="shared" si="0"/>
        <v>1.0766085518177375</v>
      </c>
      <c r="F21" s="14"/>
      <c r="G21" s="59"/>
      <c r="I21" s="70"/>
      <c r="J21" s="70"/>
      <c r="K21" s="12"/>
      <c r="L21" s="60"/>
      <c r="N21" s="93">
        <v>-0.70875914861876099</v>
      </c>
      <c r="O21" s="93">
        <v>-26.95152997901387</v>
      </c>
    </row>
    <row r="22" spans="1:16" x14ac:dyDescent="0.25">
      <c r="A22" s="14"/>
      <c r="B22" s="61">
        <v>-2.4742540961763702</v>
      </c>
      <c r="C22" s="71">
        <f t="shared" si="1"/>
        <v>0.36535075780451498</v>
      </c>
      <c r="D22" s="61">
        <v>-31.974076928766411</v>
      </c>
      <c r="E22" s="71">
        <f t="shared" si="0"/>
        <v>1.0760656030917501</v>
      </c>
      <c r="F22" s="14"/>
      <c r="G22" s="72"/>
      <c r="H22" s="73"/>
      <c r="I22" s="74"/>
      <c r="J22" s="74"/>
      <c r="K22" s="75"/>
      <c r="L22" s="76"/>
      <c r="N22" s="93">
        <v>-3.1913983090466629</v>
      </c>
      <c r="O22" s="93">
        <v>-28.264215175037467</v>
      </c>
    </row>
    <row r="23" spans="1:16" x14ac:dyDescent="0.25">
      <c r="A23" s="14"/>
      <c r="B23" s="48">
        <v>4</v>
      </c>
      <c r="C23" s="48">
        <f t="shared" si="1"/>
        <v>0.36771327912986224</v>
      </c>
      <c r="D23" s="48">
        <v>-18</v>
      </c>
      <c r="E23" s="48">
        <f t="shared" si="0"/>
        <v>1.0914297628868606</v>
      </c>
      <c r="F23" s="14"/>
      <c r="G23" s="14"/>
      <c r="H23" s="14"/>
      <c r="I23" s="14"/>
      <c r="J23" s="14"/>
      <c r="K23" s="14"/>
      <c r="L23" s="14"/>
      <c r="N23" s="93">
        <v>-1.3153751032739653</v>
      </c>
      <c r="O23" s="93">
        <v>-26.451194935231044</v>
      </c>
    </row>
    <row r="24" spans="1:16" x14ac:dyDescent="0.25">
      <c r="A24" s="77"/>
      <c r="B24" s="78">
        <v>1.0397630667569111</v>
      </c>
      <c r="C24" s="48">
        <f t="shared" si="1"/>
        <v>0.36663307239563747</v>
      </c>
      <c r="D24" s="78">
        <v>-27.400348250812158</v>
      </c>
      <c r="E24" s="48">
        <f t="shared" si="0"/>
        <v>1.0810948326627625</v>
      </c>
      <c r="F24" s="14"/>
      <c r="G24" s="77"/>
      <c r="H24" s="79"/>
      <c r="I24" s="79"/>
      <c r="J24" s="78"/>
      <c r="K24" s="78"/>
      <c r="L24" s="14"/>
      <c r="N24" s="93"/>
      <c r="O24" s="93"/>
      <c r="P24" s="25" t="s">
        <v>469</v>
      </c>
    </row>
    <row r="25" spans="1:16" x14ac:dyDescent="0.25">
      <c r="A25" s="91" t="s">
        <v>496</v>
      </c>
      <c r="B25" s="97">
        <v>-0.7</v>
      </c>
      <c r="C25" s="90">
        <f t="shared" si="1"/>
        <v>0.36599821235797209</v>
      </c>
      <c r="D25" s="97">
        <v>-28.15</v>
      </c>
      <c r="E25" s="90">
        <f t="shared" si="0"/>
        <v>1.0802705576014326</v>
      </c>
      <c r="F25" s="14"/>
      <c r="G25" s="80"/>
      <c r="H25" s="80"/>
      <c r="I25" s="80"/>
      <c r="J25" s="61"/>
      <c r="K25" s="61"/>
      <c r="L25" s="14"/>
      <c r="N25" s="93"/>
      <c r="O25" s="93"/>
      <c r="P25" s="25" t="s">
        <v>469</v>
      </c>
    </row>
    <row r="26" spans="1:16" x14ac:dyDescent="0.25">
      <c r="A26" s="14"/>
      <c r="B26" s="14"/>
      <c r="C26" s="14"/>
      <c r="D26" s="14"/>
      <c r="E26" s="14"/>
      <c r="F26" s="14"/>
      <c r="G26" s="14"/>
      <c r="H26" s="14"/>
      <c r="I26" s="14"/>
      <c r="J26" s="14"/>
      <c r="K26" s="14"/>
      <c r="L26" s="14"/>
      <c r="N26" s="93">
        <v>-2.1692961322292241</v>
      </c>
      <c r="O26" s="93">
        <v>-29.806406579286122</v>
      </c>
    </row>
    <row r="27" spans="1:16" ht="18" x14ac:dyDescent="0.25">
      <c r="A27" s="81" t="s">
        <v>482</v>
      </c>
      <c r="B27" s="81"/>
      <c r="C27" s="81"/>
      <c r="D27" s="81"/>
      <c r="E27" s="81"/>
      <c r="F27" s="81"/>
      <c r="G27" s="81"/>
      <c r="H27" s="82"/>
      <c r="I27" s="82"/>
      <c r="J27" s="82"/>
      <c r="K27" s="82"/>
      <c r="L27" s="82"/>
      <c r="N27" s="93">
        <v>-5.3657816718851317</v>
      </c>
      <c r="O27" s="93">
        <v>-30.388567716176009</v>
      </c>
    </row>
    <row r="28" spans="1:16" ht="23.25" x14ac:dyDescent="0.35">
      <c r="A28" s="83"/>
      <c r="B28" s="82"/>
      <c r="C28" s="82"/>
      <c r="D28" s="82"/>
      <c r="E28" s="82"/>
      <c r="F28" s="82"/>
      <c r="G28" s="82"/>
      <c r="H28" s="82"/>
      <c r="I28" s="82"/>
      <c r="J28" s="82"/>
      <c r="K28" s="82"/>
      <c r="L28" s="82"/>
      <c r="N28" s="93">
        <v>1.1653194360814734</v>
      </c>
      <c r="O28" s="93">
        <v>-29.000224244194584</v>
      </c>
    </row>
    <row r="29" spans="1:16" x14ac:dyDescent="0.25">
      <c r="A29" s="82"/>
      <c r="B29" s="84" t="s">
        <v>483</v>
      </c>
      <c r="C29" s="82" t="s">
        <v>484</v>
      </c>
      <c r="D29" s="82"/>
      <c r="E29" s="82"/>
      <c r="F29" s="82" t="s">
        <v>485</v>
      </c>
      <c r="G29" s="82"/>
      <c r="H29" s="82"/>
      <c r="I29" s="82"/>
      <c r="J29" s="82" t="s">
        <v>486</v>
      </c>
      <c r="K29" s="82"/>
      <c r="L29" s="82"/>
      <c r="N29" s="93">
        <v>-0.3045697424689392</v>
      </c>
      <c r="O29" s="93">
        <v>-28.409641159746062</v>
      </c>
    </row>
    <row r="30" spans="1:16" x14ac:dyDescent="0.25">
      <c r="A30" s="82"/>
      <c r="B30" s="84"/>
      <c r="C30" s="82"/>
      <c r="D30" s="82"/>
      <c r="E30" s="82"/>
      <c r="F30" s="82"/>
      <c r="G30" s="82"/>
      <c r="H30" s="82"/>
      <c r="I30" s="82"/>
      <c r="J30" s="82"/>
      <c r="K30" s="82"/>
      <c r="L30" s="82"/>
      <c r="N30" s="93">
        <v>-0.64466358413186986</v>
      </c>
      <c r="O30" s="93">
        <v>-28.92468759162638</v>
      </c>
    </row>
    <row r="31" spans="1:16" x14ac:dyDescent="0.25">
      <c r="A31" s="82"/>
      <c r="B31" s="82"/>
      <c r="C31" s="82"/>
      <c r="D31" s="82"/>
      <c r="E31" s="82"/>
      <c r="F31" s="82"/>
      <c r="G31" s="82"/>
      <c r="H31" s="82"/>
      <c r="I31" s="82"/>
      <c r="J31" s="82"/>
      <c r="K31" s="82"/>
      <c r="L31" s="82"/>
      <c r="N31" s="93">
        <v>0.52915708459488509</v>
      </c>
      <c r="O31" s="93">
        <v>-26.587436575322588</v>
      </c>
    </row>
    <row r="32" spans="1:16" x14ac:dyDescent="0.25">
      <c r="A32" s="82"/>
      <c r="B32" s="82"/>
      <c r="C32" s="85" t="s">
        <v>487</v>
      </c>
      <c r="D32" s="85" t="s">
        <v>488</v>
      </c>
      <c r="E32" s="85" t="s">
        <v>489</v>
      </c>
      <c r="F32" s="85" t="s">
        <v>490</v>
      </c>
      <c r="G32" s="85" t="s">
        <v>491</v>
      </c>
      <c r="H32" s="85" t="s">
        <v>492</v>
      </c>
      <c r="I32" s="85" t="s">
        <v>493</v>
      </c>
      <c r="J32" s="86" t="s">
        <v>494</v>
      </c>
      <c r="K32" s="86" t="s">
        <v>495</v>
      </c>
      <c r="L32" s="82"/>
      <c r="N32" s="93">
        <v>-2.0857620694012295</v>
      </c>
      <c r="O32" s="93">
        <v>-29.317790908933283</v>
      </c>
    </row>
    <row r="33" spans="1:16" x14ac:dyDescent="0.25">
      <c r="A33" s="82"/>
      <c r="B33" s="82"/>
      <c r="C33" s="87">
        <v>100</v>
      </c>
      <c r="D33" s="87">
        <v>0.402731514846566</v>
      </c>
      <c r="E33" s="87">
        <v>0.36625365157680367</v>
      </c>
      <c r="F33" s="88">
        <f>D33-E33</f>
        <v>3.6477863269762323E-2</v>
      </c>
      <c r="G33" s="82">
        <f>F33*15/((F33/100*15)+(100-F33)/100*14)</f>
        <v>3.9082406615684795E-2</v>
      </c>
      <c r="H33" s="87">
        <v>10</v>
      </c>
      <c r="I33" s="88">
        <f>G33*H33/100</f>
        <v>3.9082406615684791E-3</v>
      </c>
      <c r="J33" s="89">
        <f>I33*1000</f>
        <v>3.9082406615684793</v>
      </c>
      <c r="K33" s="89">
        <f>J33/15</f>
        <v>0.26054937743789863</v>
      </c>
      <c r="L33" s="82"/>
      <c r="N33" s="93">
        <v>-3.2299254673651534</v>
      </c>
      <c r="O33" s="93">
        <v>-29.584145375992176</v>
      </c>
    </row>
    <row r="34" spans="1:16" x14ac:dyDescent="0.25">
      <c r="N34" s="93">
        <v>-0.57367924872246234</v>
      </c>
      <c r="O34" s="93">
        <v>-28.911913952832347</v>
      </c>
    </row>
    <row r="35" spans="1:16" x14ac:dyDescent="0.25">
      <c r="N35" s="93">
        <v>-1.5662041363964359</v>
      </c>
      <c r="O35" s="93">
        <v>-29.183498569990306</v>
      </c>
    </row>
    <row r="36" spans="1:16" x14ac:dyDescent="0.25">
      <c r="N36" s="93">
        <v>2.6359327048377388</v>
      </c>
      <c r="O36" s="93">
        <v>-28.695901283257431</v>
      </c>
    </row>
    <row r="37" spans="1:16" x14ac:dyDescent="0.25">
      <c r="N37" s="93">
        <v>3.7916853602788558</v>
      </c>
      <c r="O37" s="93">
        <v>-26.982676741060146</v>
      </c>
    </row>
    <row r="38" spans="1:16" x14ac:dyDescent="0.25">
      <c r="N38" s="93"/>
      <c r="O38" s="93"/>
      <c r="P38" s="25" t="s">
        <v>469</v>
      </c>
    </row>
    <row r="39" spans="1:16" x14ac:dyDescent="0.25">
      <c r="N39" s="93">
        <v>-0.61572461110105225</v>
      </c>
      <c r="O39" s="93">
        <v>-30.556804534032352</v>
      </c>
    </row>
    <row r="40" spans="1:16" x14ac:dyDescent="0.25">
      <c r="N40" s="93">
        <v>-3.6030142064232393</v>
      </c>
      <c r="O40" s="93">
        <v>-30.579366609566662</v>
      </c>
    </row>
    <row r="41" spans="1:16" x14ac:dyDescent="0.25">
      <c r="N41" s="93">
        <v>-1.2566769119879622</v>
      </c>
      <c r="O41" s="93">
        <v>-29.571735057907052</v>
      </c>
    </row>
    <row r="42" spans="1:16" x14ac:dyDescent="0.25">
      <c r="N42" s="94">
        <v>-2.5413004979459872</v>
      </c>
      <c r="O42" s="93">
        <v>-30.181838126035053</v>
      </c>
    </row>
    <row r="43" spans="1:16" x14ac:dyDescent="0.25">
      <c r="N43" s="94">
        <v>-1.1688176210412387</v>
      </c>
      <c r="O43" s="93">
        <v>-29.494021835189361</v>
      </c>
    </row>
    <row r="44" spans="1:16" x14ac:dyDescent="0.25">
      <c r="N44" s="94">
        <v>-0.66996516800450323</v>
      </c>
      <c r="O44" s="93">
        <v>-30.273955014687434</v>
      </c>
    </row>
    <row r="45" spans="1:16" x14ac:dyDescent="0.25">
      <c r="N45" s="94">
        <v>-0.82413221891652733</v>
      </c>
      <c r="O45" s="93">
        <v>-30.071069955843111</v>
      </c>
    </row>
    <row r="46" spans="1:16" x14ac:dyDescent="0.25">
      <c r="N46" s="94">
        <v>0.17732331492664621</v>
      </c>
      <c r="O46" s="93">
        <v>-29.402051774330886</v>
      </c>
    </row>
    <row r="47" spans="1:16" x14ac:dyDescent="0.25">
      <c r="N47" s="94">
        <v>3.7254070841054245</v>
      </c>
      <c r="O47" s="93">
        <v>-28.182626671666171</v>
      </c>
    </row>
    <row r="48" spans="1:16" x14ac:dyDescent="0.25">
      <c r="N48" s="93">
        <v>0.76826046575739382</v>
      </c>
      <c r="O48" s="93">
        <v>-28.718911845055686</v>
      </c>
    </row>
    <row r="49" spans="13:15" x14ac:dyDescent="0.25">
      <c r="N49" s="93">
        <v>4.4518425702024791</v>
      </c>
      <c r="O49" s="93">
        <v>-26.965048333365136</v>
      </c>
    </row>
    <row r="50" spans="13:15" x14ac:dyDescent="0.25">
      <c r="N50" s="92"/>
      <c r="O50" s="92"/>
    </row>
    <row r="51" spans="13:15" ht="18.75" x14ac:dyDescent="0.3">
      <c r="M51" s="95" t="s">
        <v>497</v>
      </c>
      <c r="N51" s="96">
        <f>AVERAGE(N3:N49)</f>
        <v>-0.69648283232570352</v>
      </c>
      <c r="O51" s="96">
        <f>AVERAGE(O3:O49)</f>
        <v>-28.147438569618238</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04031-B527-4D03-ABED-2C4396F5251E}">
  <dimension ref="A1:AB303"/>
  <sheetViews>
    <sheetView zoomScale="70" zoomScaleNormal="70" workbookViewId="0">
      <selection activeCell="K28" sqref="K28"/>
    </sheetView>
  </sheetViews>
  <sheetFormatPr defaultRowHeight="15" x14ac:dyDescent="0.25"/>
  <cols>
    <col min="1" max="1" width="6.5703125" customWidth="1"/>
    <col min="2" max="2" width="7.7109375" customWidth="1"/>
    <col min="3" max="3" width="11.85546875" customWidth="1"/>
    <col min="4" max="4" width="10.85546875" customWidth="1"/>
    <col min="5" max="5" width="11.7109375" customWidth="1"/>
    <col min="6" max="6" width="7.7109375" customWidth="1"/>
    <col min="7" max="7" width="8.42578125" customWidth="1"/>
    <col min="8" max="8" width="9.7109375" customWidth="1"/>
    <col min="9" max="9" width="9.5703125" customWidth="1"/>
    <col min="10" max="10" width="21.5703125" bestFit="1" customWidth="1"/>
    <col min="11" max="12" width="23" bestFit="1" customWidth="1"/>
    <col min="13" max="13" width="10" customWidth="1"/>
    <col min="14" max="14" width="24.28515625" bestFit="1" customWidth="1"/>
    <col min="15" max="15" width="18.140625" bestFit="1" customWidth="1"/>
    <col min="16" max="16" width="25.85546875" bestFit="1" customWidth="1"/>
    <col min="17" max="17" width="18.140625" bestFit="1" customWidth="1"/>
    <col min="18" max="18" width="22.85546875" bestFit="1" customWidth="1"/>
    <col min="19" max="20" width="23" bestFit="1" customWidth="1"/>
    <col min="21" max="21" width="25.85546875" bestFit="1" customWidth="1"/>
    <col min="22" max="22" width="17.7109375" bestFit="1" customWidth="1"/>
    <col min="23" max="23" width="24.28515625" bestFit="1" customWidth="1"/>
    <col min="24" max="24" width="21" bestFit="1" customWidth="1"/>
    <col min="25" max="25" width="22.85546875" bestFit="1" customWidth="1"/>
    <col min="26" max="26" width="24.42578125" bestFit="1" customWidth="1"/>
    <col min="27" max="27" width="23.85546875" bestFit="1" customWidth="1"/>
    <col min="28" max="28" width="24.28515625" bestFit="1" customWidth="1"/>
  </cols>
  <sheetData>
    <row r="1" spans="1:28" x14ac:dyDescent="0.25">
      <c r="A1" s="100" t="s">
        <v>21</v>
      </c>
      <c r="B1" s="100" t="s">
        <v>22</v>
      </c>
      <c r="C1" s="100" t="s">
        <v>23</v>
      </c>
      <c r="D1" s="100" t="s">
        <v>423</v>
      </c>
      <c r="E1" s="100" t="s">
        <v>24</v>
      </c>
      <c r="F1" s="101" t="s">
        <v>424</v>
      </c>
      <c r="G1" s="100" t="s">
        <v>20</v>
      </c>
      <c r="H1" s="100" t="s">
        <v>425</v>
      </c>
      <c r="I1" s="100" t="s">
        <v>426</v>
      </c>
      <c r="J1" s="102" t="s">
        <v>14</v>
      </c>
      <c r="K1" s="103" t="s">
        <v>15</v>
      </c>
      <c r="L1" s="103" t="s">
        <v>16</v>
      </c>
      <c r="M1" s="104" t="s">
        <v>17</v>
      </c>
      <c r="N1" s="105" t="s">
        <v>18</v>
      </c>
      <c r="O1" s="106" t="s">
        <v>499</v>
      </c>
      <c r="P1" s="107" t="s">
        <v>500</v>
      </c>
      <c r="Q1" s="106" t="s">
        <v>501</v>
      </c>
      <c r="R1" s="108" t="s">
        <v>449</v>
      </c>
      <c r="S1" s="108" t="s">
        <v>450</v>
      </c>
      <c r="T1" s="109" t="s">
        <v>451</v>
      </c>
      <c r="U1" s="109" t="s">
        <v>502</v>
      </c>
      <c r="V1" s="110" t="s">
        <v>503</v>
      </c>
      <c r="W1" s="111" t="s">
        <v>504</v>
      </c>
      <c r="X1" s="110" t="s">
        <v>505</v>
      </c>
      <c r="Y1" s="112" t="s">
        <v>449</v>
      </c>
      <c r="Z1" s="112" t="s">
        <v>456</v>
      </c>
      <c r="AA1" s="112" t="s">
        <v>506</v>
      </c>
      <c r="AB1" s="112" t="s">
        <v>507</v>
      </c>
    </row>
    <row r="2" spans="1:28" x14ac:dyDescent="0.25">
      <c r="A2" s="100"/>
      <c r="B2" s="100"/>
      <c r="C2" s="100"/>
      <c r="D2" s="100"/>
      <c r="E2" s="100"/>
      <c r="F2" s="101"/>
      <c r="G2" s="100"/>
      <c r="H2" s="100"/>
      <c r="I2" s="100"/>
      <c r="J2" s="102"/>
      <c r="K2" s="103"/>
      <c r="L2" s="103"/>
      <c r="M2" s="104"/>
      <c r="N2" s="105"/>
      <c r="O2" s="106" t="s">
        <v>459</v>
      </c>
      <c r="P2" s="107" t="s">
        <v>460</v>
      </c>
      <c r="Q2" s="106" t="s">
        <v>461</v>
      </c>
      <c r="R2" s="108" t="s">
        <v>462</v>
      </c>
      <c r="S2" s="109" t="s">
        <v>463</v>
      </c>
      <c r="T2" s="109" t="s">
        <v>464</v>
      </c>
      <c r="U2" s="109" t="s">
        <v>465</v>
      </c>
      <c r="V2" s="110" t="s">
        <v>459</v>
      </c>
      <c r="W2" s="111" t="s">
        <v>460</v>
      </c>
      <c r="X2" s="110" t="s">
        <v>466</v>
      </c>
      <c r="Y2" s="112" t="s">
        <v>462</v>
      </c>
      <c r="Z2" s="112" t="s">
        <v>467</v>
      </c>
      <c r="AA2" s="112" t="s">
        <v>464</v>
      </c>
      <c r="AB2" s="112" t="s">
        <v>468</v>
      </c>
    </row>
    <row r="3" spans="1:28" ht="15.75" x14ac:dyDescent="0.25">
      <c r="A3" s="113">
        <v>1</v>
      </c>
      <c r="B3" s="113" t="s">
        <v>25</v>
      </c>
      <c r="C3" s="113" t="s">
        <v>26</v>
      </c>
      <c r="D3" s="113" t="s">
        <v>427</v>
      </c>
      <c r="E3" s="113">
        <v>1</v>
      </c>
      <c r="F3" s="114" t="s">
        <v>27</v>
      </c>
      <c r="G3" s="113">
        <v>1</v>
      </c>
      <c r="H3" s="113">
        <v>4.18</v>
      </c>
      <c r="I3" s="115" t="s">
        <v>509</v>
      </c>
      <c r="J3" s="116">
        <v>1.0942104743081138</v>
      </c>
      <c r="K3" s="116">
        <v>40.018516267931687</v>
      </c>
      <c r="L3" s="117">
        <v>36.572960328529128</v>
      </c>
      <c r="M3" s="118">
        <v>0.2</v>
      </c>
      <c r="N3" s="117">
        <v>-28.880290108569579</v>
      </c>
      <c r="O3" s="119">
        <v>0.36599999999999999</v>
      </c>
      <c r="P3" s="120">
        <v>3.5349051229765545</v>
      </c>
      <c r="Q3" s="121">
        <v>0.3675435650027809</v>
      </c>
      <c r="R3" s="122">
        <v>1.5435650027809111E-3</v>
      </c>
      <c r="S3" s="122">
        <v>10.942104743081138</v>
      </c>
      <c r="T3" s="123">
        <v>0.19171285622384013</v>
      </c>
      <c r="U3" s="123">
        <v>17.520656283706582</v>
      </c>
      <c r="V3" s="119">
        <v>1.08</v>
      </c>
      <c r="W3" s="120">
        <v>-28.880290108569579</v>
      </c>
      <c r="X3" s="120">
        <v>1.0794675583057227</v>
      </c>
      <c r="Y3" s="122">
        <v>-5.3244169427735244E-4</v>
      </c>
      <c r="Z3" s="122">
        <v>400.18516267931687</v>
      </c>
      <c r="AA3" s="122">
        <v>-2.1307526604163338</v>
      </c>
      <c r="AB3" s="122">
        <v>-5.3244169427735253</v>
      </c>
    </row>
    <row r="4" spans="1:28" ht="15.75" x14ac:dyDescent="0.25">
      <c r="A4" s="113">
        <v>1</v>
      </c>
      <c r="B4" s="113" t="s">
        <v>25</v>
      </c>
      <c r="C4" s="113" t="s">
        <v>26</v>
      </c>
      <c r="D4" s="113" t="s">
        <v>428</v>
      </c>
      <c r="E4" s="113">
        <v>1</v>
      </c>
      <c r="F4" s="114" t="s">
        <v>29</v>
      </c>
      <c r="G4" s="113">
        <v>2</v>
      </c>
      <c r="H4" s="113">
        <v>5.109</v>
      </c>
      <c r="I4" s="115" t="s">
        <v>509</v>
      </c>
      <c r="J4" s="116">
        <v>1.4227869699658315</v>
      </c>
      <c r="K4" s="116">
        <v>37.517762988231958</v>
      </c>
      <c r="L4" s="117">
        <v>26.36920619896663</v>
      </c>
      <c r="M4" s="118">
        <v>2.9</v>
      </c>
      <c r="N4" s="117">
        <v>-27.716123027759213</v>
      </c>
      <c r="O4" s="119">
        <v>0.36599999999999999</v>
      </c>
      <c r="P4" s="120">
        <v>6.2021190356646949</v>
      </c>
      <c r="Q4" s="121">
        <v>0.36851682928172169</v>
      </c>
      <c r="R4" s="122">
        <v>2.5168292817216997E-3</v>
      </c>
      <c r="S4" s="122">
        <v>14.227869699658317</v>
      </c>
      <c r="T4" s="123">
        <v>0.38945795251406867</v>
      </c>
      <c r="U4" s="123">
        <v>27.372892831835639</v>
      </c>
      <c r="V4" s="119">
        <v>1.08</v>
      </c>
      <c r="W4" s="120">
        <v>-27.716123027759213</v>
      </c>
      <c r="X4" s="120">
        <v>1.0807476260850193</v>
      </c>
      <c r="Y4" s="122">
        <v>7.4762608501921513E-4</v>
      </c>
      <c r="Z4" s="122">
        <v>375.17762988231954</v>
      </c>
      <c r="AA4" s="122">
        <v>2.8049258261570666</v>
      </c>
      <c r="AB4" s="122">
        <v>7.4762608501921513</v>
      </c>
    </row>
    <row r="5" spans="1:28" ht="15.75" x14ac:dyDescent="0.25">
      <c r="A5" s="113">
        <v>1</v>
      </c>
      <c r="B5" s="113" t="s">
        <v>25</v>
      </c>
      <c r="C5" s="113" t="s">
        <v>28</v>
      </c>
      <c r="D5" s="113" t="s">
        <v>427</v>
      </c>
      <c r="E5" s="113">
        <v>1</v>
      </c>
      <c r="F5" s="114" t="s">
        <v>31</v>
      </c>
      <c r="G5" s="113">
        <v>3</v>
      </c>
      <c r="H5" s="113">
        <v>5.1550000000000002</v>
      </c>
      <c r="I5" s="115" t="s">
        <v>509</v>
      </c>
      <c r="J5" s="116">
        <v>1.6513492189271479</v>
      </c>
      <c r="K5" s="116">
        <v>36.949115990921683</v>
      </c>
      <c r="L5" s="117">
        <v>22.375107316747251</v>
      </c>
      <c r="M5" s="118">
        <v>-0.18</v>
      </c>
      <c r="N5" s="117">
        <v>-27.759865485789721</v>
      </c>
      <c r="O5" s="119">
        <v>0.36599999999999999</v>
      </c>
      <c r="P5" s="120">
        <v>3.4803892063073785</v>
      </c>
      <c r="Q5" s="121">
        <v>0.36752367198895936</v>
      </c>
      <c r="R5" s="122">
        <v>1.5236719889593631E-3</v>
      </c>
      <c r="S5" s="122">
        <v>16.513492189271478</v>
      </c>
      <c r="T5" s="123">
        <v>0.2664291713246692</v>
      </c>
      <c r="U5" s="123">
        <v>16.134029572361651</v>
      </c>
      <c r="V5" s="119">
        <v>1.08</v>
      </c>
      <c r="W5" s="120">
        <v>-27.759865485789721</v>
      </c>
      <c r="X5" s="120">
        <v>1.0806995293687607</v>
      </c>
      <c r="Y5" s="122">
        <v>6.9952936876060967E-4</v>
      </c>
      <c r="Z5" s="122">
        <v>369.49115990921683</v>
      </c>
      <c r="AA5" s="122">
        <v>2.5846991785391991</v>
      </c>
      <c r="AB5" s="122">
        <v>6.9952936876060967</v>
      </c>
    </row>
    <row r="6" spans="1:28" ht="12.6" customHeight="1" x14ac:dyDescent="0.25">
      <c r="A6" s="113">
        <v>1</v>
      </c>
      <c r="B6" s="113" t="s">
        <v>25</v>
      </c>
      <c r="C6" s="113" t="s">
        <v>28</v>
      </c>
      <c r="D6" s="113" t="s">
        <v>428</v>
      </c>
      <c r="E6" s="113">
        <v>1</v>
      </c>
      <c r="F6" s="114" t="s">
        <v>33</v>
      </c>
      <c r="G6" s="113">
        <v>4</v>
      </c>
      <c r="H6" s="113">
        <v>4.6829999999999998</v>
      </c>
      <c r="I6" s="115" t="s">
        <v>509</v>
      </c>
      <c r="J6" s="116">
        <v>1.1447430794376938</v>
      </c>
      <c r="K6" s="116">
        <v>38.256567153176</v>
      </c>
      <c r="L6" s="117">
        <v>33.41934783477172</v>
      </c>
      <c r="M6" s="118">
        <v>2.86</v>
      </c>
      <c r="N6" s="117">
        <v>-27.532367087371675</v>
      </c>
      <c r="O6" s="119">
        <v>0.36599999999999999</v>
      </c>
      <c r="P6" s="120">
        <v>12.665560813565373</v>
      </c>
      <c r="Q6" s="121">
        <v>0.37087525528340903</v>
      </c>
      <c r="R6" s="122">
        <v>4.8752552834090412E-3</v>
      </c>
      <c r="S6" s="122">
        <v>11.447430794376938</v>
      </c>
      <c r="T6" s="123">
        <v>0.31167845637416181</v>
      </c>
      <c r="U6" s="123">
        <v>27.226935193813141</v>
      </c>
      <c r="V6" s="119">
        <v>1.08</v>
      </c>
      <c r="W6" s="120">
        <v>-27.532367087371675</v>
      </c>
      <c r="X6" s="120">
        <v>1.08094967314351</v>
      </c>
      <c r="Y6" s="122">
        <v>9.4967314350991039E-4</v>
      </c>
      <c r="Z6" s="122">
        <v>382.56567153176002</v>
      </c>
      <c r="AA6" s="122">
        <v>3.6331234388254638</v>
      </c>
      <c r="AB6" s="122">
        <v>9.4967314350991057</v>
      </c>
    </row>
    <row r="7" spans="1:28" x14ac:dyDescent="0.25">
      <c r="A7" s="113">
        <v>1</v>
      </c>
      <c r="B7" s="113" t="s">
        <v>25</v>
      </c>
      <c r="C7" s="113" t="s">
        <v>30</v>
      </c>
      <c r="D7" s="113" t="s">
        <v>427</v>
      </c>
      <c r="E7" s="113">
        <v>1</v>
      </c>
      <c r="F7" s="114" t="s">
        <v>34</v>
      </c>
      <c r="G7" s="113">
        <v>5</v>
      </c>
      <c r="H7" s="113">
        <v>4.6959999999999997</v>
      </c>
      <c r="I7" s="113"/>
      <c r="J7" s="116">
        <v>1.3504602391577503</v>
      </c>
      <c r="K7" s="116">
        <v>35.220591428520045</v>
      </c>
      <c r="L7" s="117">
        <v>26.080435696860121</v>
      </c>
      <c r="M7" s="117">
        <v>1.572995761294786</v>
      </c>
      <c r="N7" s="117">
        <v>-26.998600937651158</v>
      </c>
      <c r="O7" s="119">
        <v>0.36599999999999999</v>
      </c>
      <c r="P7" s="120">
        <v>1.572995761294786</v>
      </c>
      <c r="Q7" s="121">
        <v>0.36682765366753634</v>
      </c>
      <c r="R7" s="122">
        <v>8.2765366753634328E-4</v>
      </c>
      <c r="S7" s="122">
        <v>13.504602391577503</v>
      </c>
      <c r="T7" s="122">
        <v>0.11177133698009192</v>
      </c>
      <c r="U7" s="122">
        <v>8.2765366753634328</v>
      </c>
      <c r="V7" s="119">
        <v>1.08</v>
      </c>
      <c r="W7" s="120">
        <v>-26.998600937651158</v>
      </c>
      <c r="X7" s="120">
        <v>1.0815365658453764</v>
      </c>
      <c r="Y7" s="122">
        <v>1.5365658453763142E-3</v>
      </c>
      <c r="Z7" s="122">
        <v>352.20591428520044</v>
      </c>
      <c r="AA7" s="122">
        <v>5.4118757843017669</v>
      </c>
      <c r="AB7" s="122">
        <v>15.365658453763142</v>
      </c>
    </row>
    <row r="8" spans="1:28" x14ac:dyDescent="0.25">
      <c r="A8" s="113">
        <v>1</v>
      </c>
      <c r="B8" s="113" t="s">
        <v>25</v>
      </c>
      <c r="C8" s="113" t="s">
        <v>30</v>
      </c>
      <c r="D8" s="113" t="s">
        <v>428</v>
      </c>
      <c r="E8" s="113">
        <v>1</v>
      </c>
      <c r="F8" s="114" t="s">
        <v>35</v>
      </c>
      <c r="G8" s="113">
        <v>6</v>
      </c>
      <c r="H8" s="113">
        <v>4.7229999999999999</v>
      </c>
      <c r="I8" s="113"/>
      <c r="J8" s="116">
        <v>1.2769150556322328</v>
      </c>
      <c r="K8" s="116">
        <v>37.924579723356302</v>
      </c>
      <c r="L8" s="117">
        <v>29.700158640998154</v>
      </c>
      <c r="M8" s="117">
        <v>2.5185982027676008</v>
      </c>
      <c r="N8" s="117">
        <v>-26.919940780647767</v>
      </c>
      <c r="O8" s="119">
        <v>0.36599999999999999</v>
      </c>
      <c r="P8" s="120">
        <v>2.5185982027676008</v>
      </c>
      <c r="Q8" s="121">
        <v>0.36717271039621807</v>
      </c>
      <c r="R8" s="122">
        <v>1.1727103962180796E-3</v>
      </c>
      <c r="S8" s="122">
        <v>12.769150556322328</v>
      </c>
      <c r="T8" s="122">
        <v>0.1497451560827307</v>
      </c>
      <c r="U8" s="122">
        <v>11.727103962180795</v>
      </c>
      <c r="V8" s="119">
        <v>1.08</v>
      </c>
      <c r="W8" s="120">
        <v>-26.919940780647767</v>
      </c>
      <c r="X8" s="120">
        <v>1.0816230545780043</v>
      </c>
      <c r="Y8" s="122">
        <v>1.6230545780042682E-3</v>
      </c>
      <c r="Z8" s="122">
        <v>379.245797233563</v>
      </c>
      <c r="AA8" s="122">
        <v>6.155366273888129</v>
      </c>
      <c r="AB8" s="122">
        <v>16.230545780042682</v>
      </c>
    </row>
    <row r="9" spans="1:28" x14ac:dyDescent="0.25">
      <c r="A9" s="113">
        <v>1</v>
      </c>
      <c r="B9" s="113" t="s">
        <v>32</v>
      </c>
      <c r="C9" s="113" t="s">
        <v>26</v>
      </c>
      <c r="D9" s="113" t="s">
        <v>427</v>
      </c>
      <c r="E9" s="113">
        <v>1</v>
      </c>
      <c r="F9" s="114" t="s">
        <v>37</v>
      </c>
      <c r="G9" s="113">
        <v>7</v>
      </c>
      <c r="H9" s="113">
        <v>4.7930000000000001</v>
      </c>
      <c r="I9" s="113"/>
      <c r="J9" s="116">
        <v>1.5561238988067314</v>
      </c>
      <c r="K9" s="116">
        <v>36.694128651571312</v>
      </c>
      <c r="L9" s="117">
        <v>23.580467262092139</v>
      </c>
      <c r="M9" s="117">
        <v>-1.548894767335431</v>
      </c>
      <c r="N9" s="117">
        <v>-28.505475833017826</v>
      </c>
      <c r="O9" s="119">
        <v>0.36599999999999999</v>
      </c>
      <c r="P9" s="120">
        <v>-1.548894767335431</v>
      </c>
      <c r="Q9" s="121">
        <v>0.36568843772031606</v>
      </c>
      <c r="R9" s="122">
        <v>-3.1156227968393013E-4</v>
      </c>
      <c r="S9" s="122">
        <v>15.561238988067315</v>
      </c>
      <c r="T9" s="122">
        <v>-4.8482950938287063E-2</v>
      </c>
      <c r="U9" s="122">
        <v>-3.1156227968393013</v>
      </c>
      <c r="V9" s="119">
        <v>1.08</v>
      </c>
      <c r="W9" s="120">
        <v>-28.505475833017826</v>
      </c>
      <c r="X9" s="120">
        <v>1.079879691490901</v>
      </c>
      <c r="Y9" s="122">
        <v>-1.2030850909905411E-4</v>
      </c>
      <c r="Z9" s="122">
        <v>366.9412865157131</v>
      </c>
      <c r="AA9" s="122">
        <v>-0.44146159107594285</v>
      </c>
      <c r="AB9" s="122">
        <v>-1.2030850909905413</v>
      </c>
    </row>
    <row r="10" spans="1:28" x14ac:dyDescent="0.25">
      <c r="A10" s="113">
        <v>1</v>
      </c>
      <c r="B10" s="113" t="s">
        <v>32</v>
      </c>
      <c r="C10" s="113" t="s">
        <v>26</v>
      </c>
      <c r="D10" s="113" t="s">
        <v>428</v>
      </c>
      <c r="E10" s="113">
        <v>1</v>
      </c>
      <c r="F10" s="114" t="s">
        <v>38</v>
      </c>
      <c r="G10" s="113">
        <v>8</v>
      </c>
      <c r="H10" s="113">
        <v>5.0730000000000004</v>
      </c>
      <c r="I10" s="113"/>
      <c r="J10" s="116">
        <v>1.9025450359407086</v>
      </c>
      <c r="K10" s="116">
        <v>36.85891345664804</v>
      </c>
      <c r="L10" s="117">
        <v>19.373477505316057</v>
      </c>
      <c r="M10" s="117">
        <v>-1.8922587606359493</v>
      </c>
      <c r="N10" s="117">
        <v>-26.364614246438375</v>
      </c>
      <c r="O10" s="119">
        <v>0.36599999999999999</v>
      </c>
      <c r="P10" s="120">
        <v>-1.8922587606359493</v>
      </c>
      <c r="Q10" s="121">
        <v>0.36556313841918964</v>
      </c>
      <c r="R10" s="122">
        <v>-4.3686158081035487E-4</v>
      </c>
      <c r="S10" s="122">
        <v>19.025450359407088</v>
      </c>
      <c r="T10" s="122">
        <v>-8.3114883196395151E-2</v>
      </c>
      <c r="U10" s="122">
        <v>-4.3686158081035487</v>
      </c>
      <c r="V10" s="119">
        <v>1.08</v>
      </c>
      <c r="W10" s="120">
        <v>-26.364614246438375</v>
      </c>
      <c r="X10" s="120">
        <v>1.0822336451425769</v>
      </c>
      <c r="Y10" s="122">
        <v>2.2336451425768455E-3</v>
      </c>
      <c r="Z10" s="122">
        <v>368.58913456648042</v>
      </c>
      <c r="AA10" s="122">
        <v>8.2329733003102223</v>
      </c>
      <c r="AB10" s="122">
        <v>22.336451425768455</v>
      </c>
    </row>
    <row r="11" spans="1:28" x14ac:dyDescent="0.25">
      <c r="A11" s="113">
        <v>1</v>
      </c>
      <c r="B11" s="113" t="s">
        <v>32</v>
      </c>
      <c r="C11" s="113" t="s">
        <v>28</v>
      </c>
      <c r="D11" s="113" t="s">
        <v>427</v>
      </c>
      <c r="E11" s="113">
        <v>1</v>
      </c>
      <c r="F11" s="114" t="s">
        <v>39</v>
      </c>
      <c r="G11" s="113">
        <v>9</v>
      </c>
      <c r="H11" s="113">
        <v>4.1550000000000002</v>
      </c>
      <c r="I11" s="113"/>
      <c r="J11" s="116">
        <v>1.2843064362637682</v>
      </c>
      <c r="K11" s="116">
        <v>35.184901762499855</v>
      </c>
      <c r="L11" s="117">
        <v>27.396033196608268</v>
      </c>
      <c r="M11" s="117">
        <v>-3.6088814664431852</v>
      </c>
      <c r="N11" s="117">
        <v>-27.795870405601409</v>
      </c>
      <c r="O11" s="119">
        <v>0.36599999999999999</v>
      </c>
      <c r="P11" s="120">
        <v>-3.6088814664431852</v>
      </c>
      <c r="Q11" s="121">
        <v>0.36493670917100973</v>
      </c>
      <c r="R11" s="122">
        <v>-1.0632908289902598E-3</v>
      </c>
      <c r="S11" s="122">
        <v>12.843064362637682</v>
      </c>
      <c r="T11" s="122">
        <v>-0.13655912552924285</v>
      </c>
      <c r="U11" s="122">
        <v>-10.632908289902598</v>
      </c>
      <c r="V11" s="119">
        <v>1.08</v>
      </c>
      <c r="W11" s="120">
        <v>-27.795870405601409</v>
      </c>
      <c r="X11" s="120">
        <v>1.0806599403738775</v>
      </c>
      <c r="Y11" s="122">
        <v>6.5994037387739901E-4</v>
      </c>
      <c r="Z11" s="122">
        <v>351.84901762499857</v>
      </c>
      <c r="AA11" s="122">
        <v>2.3219937223983713</v>
      </c>
      <c r="AB11" s="122">
        <v>6.5994037387739901</v>
      </c>
    </row>
    <row r="12" spans="1:28" x14ac:dyDescent="0.25">
      <c r="A12" s="113">
        <v>1</v>
      </c>
      <c r="B12" s="113" t="s">
        <v>32</v>
      </c>
      <c r="C12" s="113" t="s">
        <v>28</v>
      </c>
      <c r="D12" s="113" t="s">
        <v>428</v>
      </c>
      <c r="E12" s="113">
        <v>1</v>
      </c>
      <c r="F12" s="114" t="s">
        <v>41</v>
      </c>
      <c r="G12" s="113">
        <v>10</v>
      </c>
      <c r="H12" s="113">
        <v>4.8869999999999996</v>
      </c>
      <c r="I12" s="113"/>
      <c r="J12" s="116">
        <v>1.3581330327435421</v>
      </c>
      <c r="K12" s="116">
        <v>36.202145041666036</v>
      </c>
      <c r="L12" s="117">
        <v>26.655816601805693</v>
      </c>
      <c r="M12" s="117">
        <v>-1.4751202956880411</v>
      </c>
      <c r="N12" s="117">
        <v>-26.709177173545527</v>
      </c>
      <c r="O12" s="119">
        <v>0.36599999999999999</v>
      </c>
      <c r="P12" s="120">
        <v>-1.4751202956880411</v>
      </c>
      <c r="Q12" s="121">
        <v>0.36571535922576232</v>
      </c>
      <c r="R12" s="122">
        <v>-2.8464077423767664E-4</v>
      </c>
      <c r="S12" s="122">
        <v>13.581330327435424</v>
      </c>
      <c r="T12" s="122">
        <v>-3.8658003795788577E-2</v>
      </c>
      <c r="U12" s="122">
        <v>-2.8464077423767664</v>
      </c>
      <c r="V12" s="119">
        <v>1.08</v>
      </c>
      <c r="W12" s="120">
        <v>-26.709177173545527</v>
      </c>
      <c r="X12" s="120">
        <v>1.0818547934826013</v>
      </c>
      <c r="Y12" s="122">
        <v>1.8547934826012025E-3</v>
      </c>
      <c r="Z12" s="122">
        <v>362.02145041666034</v>
      </c>
      <c r="AA12" s="122">
        <v>6.7147502679465596</v>
      </c>
      <c r="AB12" s="122">
        <v>18.547934826012025</v>
      </c>
    </row>
    <row r="13" spans="1:28" x14ac:dyDescent="0.25">
      <c r="A13" s="113">
        <v>1</v>
      </c>
      <c r="B13" s="113" t="s">
        <v>32</v>
      </c>
      <c r="C13" s="113" t="s">
        <v>30</v>
      </c>
      <c r="D13" s="113" t="s">
        <v>427</v>
      </c>
      <c r="E13" s="113">
        <v>1</v>
      </c>
      <c r="F13" s="114" t="s">
        <v>42</v>
      </c>
      <c r="G13" s="113">
        <v>11</v>
      </c>
      <c r="H13" s="113">
        <v>4.3380000000000001</v>
      </c>
      <c r="I13" s="113"/>
      <c r="J13" s="116">
        <v>1.3771032892053301</v>
      </c>
      <c r="K13" s="116">
        <v>37.903865583784778</v>
      </c>
      <c r="L13" s="117">
        <v>27.524344673998673</v>
      </c>
      <c r="M13" s="117">
        <v>-0.61233604830003996</v>
      </c>
      <c r="N13" s="117">
        <v>-27.729330844125514</v>
      </c>
      <c r="O13" s="119">
        <v>0.36599999999999999</v>
      </c>
      <c r="P13" s="120">
        <v>-0.61233604830003996</v>
      </c>
      <c r="Q13" s="121">
        <v>0.36603020216020427</v>
      </c>
      <c r="R13" s="122">
        <v>3.0202160204273465E-5</v>
      </c>
      <c r="S13" s="122">
        <v>13.771032892053302</v>
      </c>
      <c r="T13" s="122">
        <v>4.1591494158411315E-3</v>
      </c>
      <c r="U13" s="122">
        <v>0.30202160204273465</v>
      </c>
      <c r="V13" s="119">
        <v>1.08</v>
      </c>
      <c r="W13" s="120">
        <v>-27.729330844125514</v>
      </c>
      <c r="X13" s="120">
        <v>1.0807331035270933</v>
      </c>
      <c r="Y13" s="122">
        <v>7.3310352709321513E-4</v>
      </c>
      <c r="Z13" s="122">
        <v>379.03865583784778</v>
      </c>
      <c r="AA13" s="122">
        <v>2.7787457549939747</v>
      </c>
      <c r="AB13" s="122">
        <v>7.3310352709321505</v>
      </c>
    </row>
    <row r="14" spans="1:28" x14ac:dyDescent="0.25">
      <c r="A14" s="113">
        <v>1</v>
      </c>
      <c r="B14" s="113" t="s">
        <v>32</v>
      </c>
      <c r="C14" s="113" t="s">
        <v>30</v>
      </c>
      <c r="D14" s="113" t="s">
        <v>428</v>
      </c>
      <c r="E14" s="113">
        <v>1</v>
      </c>
      <c r="F14" s="114" t="s">
        <v>43</v>
      </c>
      <c r="G14" s="113">
        <v>12</v>
      </c>
      <c r="H14" s="113">
        <v>4.6970000000000001</v>
      </c>
      <c r="I14" s="113"/>
      <c r="J14" s="116">
        <v>1.2175962423199935</v>
      </c>
      <c r="K14" s="116">
        <v>37.165279244926495</v>
      </c>
      <c r="L14" s="117">
        <v>30.5234838554628</v>
      </c>
      <c r="M14" s="117">
        <v>-0.75607780146539261</v>
      </c>
      <c r="N14" s="117">
        <v>-26.370139322061156</v>
      </c>
      <c r="O14" s="119">
        <v>0.36599999999999999</v>
      </c>
      <c r="P14" s="120">
        <v>-0.75607780146539261</v>
      </c>
      <c r="Q14" s="121">
        <v>0.36597774877301925</v>
      </c>
      <c r="R14" s="122">
        <v>-2.2251226980740668E-5</v>
      </c>
      <c r="S14" s="122">
        <v>12.175962423199936</v>
      </c>
      <c r="T14" s="122">
        <v>-2.7093010358759093E-3</v>
      </c>
      <c r="U14" s="122">
        <v>-0.22251226980740668</v>
      </c>
      <c r="V14" s="119">
        <v>1.08</v>
      </c>
      <c r="W14" s="120">
        <v>-26.370139322061156</v>
      </c>
      <c r="X14" s="120">
        <v>1.0822275702691122</v>
      </c>
      <c r="Y14" s="122">
        <v>2.2275702691121335E-3</v>
      </c>
      <c r="Z14" s="122">
        <v>371.65279244926495</v>
      </c>
      <c r="AA14" s="122">
        <v>8.2788271089248493</v>
      </c>
      <c r="AB14" s="122">
        <v>22.275702691121335</v>
      </c>
    </row>
    <row r="15" spans="1:28" x14ac:dyDescent="0.25">
      <c r="A15" s="113"/>
      <c r="B15" s="113"/>
      <c r="C15" s="113"/>
      <c r="D15" s="113"/>
      <c r="E15" s="113"/>
      <c r="F15" s="113"/>
      <c r="G15" s="113"/>
      <c r="H15" s="113"/>
      <c r="I15" s="124" t="s">
        <v>469</v>
      </c>
      <c r="J15" s="116">
        <v>2.8185179753919698</v>
      </c>
      <c r="K15" s="116">
        <v>44.812759035148538</v>
      </c>
      <c r="L15" s="117">
        <v>15.899405086787302</v>
      </c>
      <c r="M15" s="117">
        <v>0.26346855406283565</v>
      </c>
      <c r="N15" s="117">
        <v>-25.837461966533986</v>
      </c>
      <c r="O15" s="119">
        <v>0.36599999999999999</v>
      </c>
      <c r="P15" s="120">
        <v>0.26346855406283565</v>
      </c>
      <c r="Q15" s="121">
        <v>0.36634979438273485</v>
      </c>
      <c r="R15" s="122">
        <v>3.4979438273485819E-4</v>
      </c>
      <c r="S15" s="122">
        <v>28.185179753919698</v>
      </c>
      <c r="T15" s="122">
        <v>9.8590175542933631E-2</v>
      </c>
      <c r="U15" s="122">
        <v>3.4979438273485819</v>
      </c>
      <c r="V15" s="119">
        <v>1.08</v>
      </c>
      <c r="W15" s="120">
        <v>-25.837461966533986</v>
      </c>
      <c r="X15" s="120">
        <v>1.0828132506819328</v>
      </c>
      <c r="Y15" s="122">
        <v>2.8132506819327219E-3</v>
      </c>
      <c r="Z15" s="122">
        <v>448.12759035148542</v>
      </c>
      <c r="AA15" s="122">
        <v>12.606952491491837</v>
      </c>
      <c r="AB15" s="122">
        <v>28.132506819327215</v>
      </c>
    </row>
    <row r="16" spans="1:28" x14ac:dyDescent="0.25">
      <c r="A16" s="113">
        <v>1</v>
      </c>
      <c r="B16" s="113" t="s">
        <v>36</v>
      </c>
      <c r="C16" s="113" t="s">
        <v>26</v>
      </c>
      <c r="D16" s="113" t="s">
        <v>427</v>
      </c>
      <c r="E16" s="113">
        <v>1</v>
      </c>
      <c r="F16" s="114" t="s">
        <v>45</v>
      </c>
      <c r="G16" s="113">
        <v>13</v>
      </c>
      <c r="H16" s="113">
        <v>4.0839999999999996</v>
      </c>
      <c r="I16" s="113"/>
      <c r="J16" s="116">
        <v>1.2595716106091914</v>
      </c>
      <c r="K16" s="116">
        <v>37.12973602707644</v>
      </c>
      <c r="L16" s="117">
        <v>29.478066760427101</v>
      </c>
      <c r="M16" s="117">
        <v>-2.5731809622073372</v>
      </c>
      <c r="N16" s="117">
        <v>-27.935029930251016</v>
      </c>
      <c r="O16" s="119">
        <v>0.36599999999999999</v>
      </c>
      <c r="P16" s="120">
        <v>-2.5731809622073372</v>
      </c>
      <c r="Q16" s="121">
        <v>0.36531465751344699</v>
      </c>
      <c r="R16" s="122">
        <v>-6.8534248655299779E-4</v>
      </c>
      <c r="S16" s="122">
        <v>12.595716106091915</v>
      </c>
      <c r="T16" s="122">
        <v>-8.6323793960646766E-2</v>
      </c>
      <c r="U16" s="122">
        <v>-6.8534248655299779</v>
      </c>
      <c r="V16" s="119">
        <v>1.08</v>
      </c>
      <c r="W16" s="120">
        <v>-27.935029930251016</v>
      </c>
      <c r="X16" s="120">
        <v>1.0805069280504285</v>
      </c>
      <c r="Y16" s="122">
        <v>5.0692805042840128E-4</v>
      </c>
      <c r="Z16" s="122">
        <v>371.29736027076439</v>
      </c>
      <c r="AA16" s="122">
        <v>1.8822104697127033</v>
      </c>
      <c r="AB16" s="122">
        <v>5.0692805042840128</v>
      </c>
    </row>
    <row r="17" spans="1:28" x14ac:dyDescent="0.25">
      <c r="A17" s="113">
        <v>1</v>
      </c>
      <c r="B17" s="113" t="s">
        <v>36</v>
      </c>
      <c r="C17" s="113" t="s">
        <v>26</v>
      </c>
      <c r="D17" s="113" t="s">
        <v>428</v>
      </c>
      <c r="E17" s="113">
        <v>1</v>
      </c>
      <c r="F17" s="114" t="s">
        <v>46</v>
      </c>
      <c r="G17" s="113">
        <v>14</v>
      </c>
      <c r="H17" s="113">
        <v>4.1829999999999998</v>
      </c>
      <c r="I17" s="113"/>
      <c r="J17" s="116">
        <v>1.3140732863325451</v>
      </c>
      <c r="K17" s="116">
        <v>37.616050245351659</v>
      </c>
      <c r="L17" s="117">
        <v>28.625534539503892</v>
      </c>
      <c r="M17" s="117">
        <v>3.836235269823336</v>
      </c>
      <c r="N17" s="117">
        <v>-25.100908062892564</v>
      </c>
      <c r="O17" s="119">
        <v>0.36599999999999999</v>
      </c>
      <c r="P17" s="120">
        <v>3.836235269823336</v>
      </c>
      <c r="Q17" s="121">
        <v>0.36765352109138744</v>
      </c>
      <c r="R17" s="122">
        <v>1.6535210913874443E-3</v>
      </c>
      <c r="S17" s="122">
        <v>13.14073286332545</v>
      </c>
      <c r="T17" s="122">
        <v>0.21728478945796756</v>
      </c>
      <c r="U17" s="122">
        <v>16.535210913874444</v>
      </c>
      <c r="V17" s="119">
        <v>1.08</v>
      </c>
      <c r="W17" s="120">
        <v>-25.100908062892564</v>
      </c>
      <c r="X17" s="120">
        <v>1.0836230825698043</v>
      </c>
      <c r="Y17" s="122">
        <v>3.623082569804259E-3</v>
      </c>
      <c r="Z17" s="122">
        <v>376.16050245351659</v>
      </c>
      <c r="AA17" s="122">
        <v>13.628605598881482</v>
      </c>
      <c r="AB17" s="122">
        <v>36.230825698042594</v>
      </c>
    </row>
    <row r="18" spans="1:28" x14ac:dyDescent="0.25">
      <c r="A18" s="113">
        <v>1</v>
      </c>
      <c r="B18" s="113" t="s">
        <v>36</v>
      </c>
      <c r="C18" s="113" t="s">
        <v>28</v>
      </c>
      <c r="D18" s="113" t="s">
        <v>427</v>
      </c>
      <c r="E18" s="113">
        <v>1</v>
      </c>
      <c r="F18" s="114" t="s">
        <v>47</v>
      </c>
      <c r="G18" s="113">
        <v>15</v>
      </c>
      <c r="H18" s="113">
        <v>4.9960000000000004</v>
      </c>
      <c r="I18" s="113"/>
      <c r="J18" s="116">
        <v>1.302507922964276</v>
      </c>
      <c r="K18" s="116">
        <v>35.97326223270835</v>
      </c>
      <c r="L18" s="117">
        <v>27.61845943388937</v>
      </c>
      <c r="M18" s="117">
        <v>-0.39249904202048436</v>
      </c>
      <c r="N18" s="117">
        <v>-27.133739107563105</v>
      </c>
      <c r="O18" s="119">
        <v>0.36599999999999999</v>
      </c>
      <c r="P18" s="120">
        <v>-0.39249904202048436</v>
      </c>
      <c r="Q18" s="121">
        <v>0.36611042366856095</v>
      </c>
      <c r="R18" s="122">
        <v>1.1042366856095498E-4</v>
      </c>
      <c r="S18" s="122">
        <v>13.02507922964276</v>
      </c>
      <c r="T18" s="122">
        <v>1.438277031834251E-2</v>
      </c>
      <c r="U18" s="122">
        <v>1.1042366856095498</v>
      </c>
      <c r="V18" s="119">
        <v>1.08</v>
      </c>
      <c r="W18" s="120">
        <v>-27.133739107563105</v>
      </c>
      <c r="X18" s="120">
        <v>1.0813879778274191</v>
      </c>
      <c r="Y18" s="122">
        <v>1.3879778274190624E-3</v>
      </c>
      <c r="Z18" s="122">
        <v>359.7326223270835</v>
      </c>
      <c r="AA18" s="122">
        <v>4.993009035893075</v>
      </c>
      <c r="AB18" s="122">
        <v>13.879778274190624</v>
      </c>
    </row>
    <row r="19" spans="1:28" x14ac:dyDescent="0.25">
      <c r="A19" s="113">
        <v>1</v>
      </c>
      <c r="B19" s="113" t="s">
        <v>36</v>
      </c>
      <c r="C19" s="113" t="s">
        <v>28</v>
      </c>
      <c r="D19" s="113" t="s">
        <v>428</v>
      </c>
      <c r="E19" s="113">
        <v>1</v>
      </c>
      <c r="F19" s="114" t="s">
        <v>49</v>
      </c>
      <c r="G19" s="113">
        <v>16</v>
      </c>
      <c r="H19" s="113">
        <v>4.5270000000000001</v>
      </c>
      <c r="I19" s="113"/>
      <c r="J19" s="116">
        <v>1.1725776110508381</v>
      </c>
      <c r="K19" s="116">
        <v>37.834539381551146</v>
      </c>
      <c r="L19" s="117">
        <v>32.26612807969672</v>
      </c>
      <c r="M19" s="117">
        <v>-1.2713625477884141</v>
      </c>
      <c r="N19" s="117">
        <v>-26.608784761803804</v>
      </c>
      <c r="O19" s="119">
        <v>0.36599999999999999</v>
      </c>
      <c r="P19" s="120">
        <v>-1.2713625477884141</v>
      </c>
      <c r="Q19" s="121">
        <v>0.36578971366872109</v>
      </c>
      <c r="R19" s="122">
        <v>-2.1028633127889718E-4</v>
      </c>
      <c r="S19" s="122">
        <v>11.725776110508381</v>
      </c>
      <c r="T19" s="122">
        <v>-2.4657704396765439E-2</v>
      </c>
      <c r="U19" s="122">
        <v>-2.1028633127889718</v>
      </c>
      <c r="V19" s="119">
        <v>1.08</v>
      </c>
      <c r="W19" s="120">
        <v>-26.608784761803804</v>
      </c>
      <c r="X19" s="120">
        <v>1.0819651766145959</v>
      </c>
      <c r="Y19" s="122">
        <v>1.9651766145958316E-3</v>
      </c>
      <c r="Z19" s="122">
        <v>378.34539381551144</v>
      </c>
      <c r="AA19" s="122">
        <v>7.4351552016629343</v>
      </c>
      <c r="AB19" s="122">
        <v>19.651766145958316</v>
      </c>
    </row>
    <row r="20" spans="1:28" x14ac:dyDescent="0.25">
      <c r="A20" s="113">
        <v>1</v>
      </c>
      <c r="B20" s="113" t="s">
        <v>36</v>
      </c>
      <c r="C20" s="113" t="s">
        <v>30</v>
      </c>
      <c r="D20" s="113" t="s">
        <v>427</v>
      </c>
      <c r="E20" s="113">
        <v>1</v>
      </c>
      <c r="F20" s="114" t="s">
        <v>50</v>
      </c>
      <c r="G20" s="113">
        <v>17</v>
      </c>
      <c r="H20" s="113">
        <v>4.2489999999999997</v>
      </c>
      <c r="I20" s="113"/>
      <c r="J20" s="116">
        <v>1.1280423923269807</v>
      </c>
      <c r="K20" s="116">
        <v>36.906591305571716</v>
      </c>
      <c r="L20" s="117">
        <v>32.717379733787311</v>
      </c>
      <c r="M20" s="117">
        <v>-2.3910091182222799</v>
      </c>
      <c r="N20" s="117">
        <v>-27.046137223050184</v>
      </c>
      <c r="O20" s="119">
        <v>0.36599999999999999</v>
      </c>
      <c r="P20" s="120">
        <v>-2.3910091182222799</v>
      </c>
      <c r="Q20" s="121">
        <v>0.36538113545670964</v>
      </c>
      <c r="R20" s="122">
        <v>-6.188645432903539E-4</v>
      </c>
      <c r="S20" s="122">
        <v>11.280423923269808</v>
      </c>
      <c r="T20" s="122">
        <v>-6.9810543993959528E-2</v>
      </c>
      <c r="U20" s="122">
        <v>-6.188645432903539</v>
      </c>
      <c r="V20" s="119">
        <v>1.08</v>
      </c>
      <c r="W20" s="120">
        <v>-27.046137223050184</v>
      </c>
      <c r="X20" s="120">
        <v>1.0814842984840878</v>
      </c>
      <c r="Y20" s="122">
        <v>1.4842984840877094E-3</v>
      </c>
      <c r="Z20" s="122">
        <v>369.0659130557172</v>
      </c>
      <c r="AA20" s="122">
        <v>5.4780397527704743</v>
      </c>
      <c r="AB20" s="122">
        <v>14.842984840877095</v>
      </c>
    </row>
    <row r="21" spans="1:28" x14ac:dyDescent="0.25">
      <c r="A21" s="113">
        <v>1</v>
      </c>
      <c r="B21" s="113" t="s">
        <v>36</v>
      </c>
      <c r="C21" s="113" t="s">
        <v>30</v>
      </c>
      <c r="D21" s="113" t="s">
        <v>428</v>
      </c>
      <c r="E21" s="113">
        <v>1</v>
      </c>
      <c r="F21" s="114" t="s">
        <v>51</v>
      </c>
      <c r="G21" s="113">
        <v>18</v>
      </c>
      <c r="H21" s="113">
        <v>4.6710000000000003</v>
      </c>
      <c r="I21" s="113"/>
      <c r="J21" s="116">
        <v>0.67178248903786186</v>
      </c>
      <c r="K21" s="116">
        <v>37.485166964496585</v>
      </c>
      <c r="L21" s="117">
        <v>55.799559494596927</v>
      </c>
      <c r="M21" s="117">
        <v>-1.5644814408272469</v>
      </c>
      <c r="N21" s="117">
        <v>-26.61790613380245</v>
      </c>
      <c r="O21" s="119">
        <v>0.36599999999999999</v>
      </c>
      <c r="P21" s="120">
        <v>-1.5644814408272469</v>
      </c>
      <c r="Q21" s="121">
        <v>0.36568274988761112</v>
      </c>
      <c r="R21" s="122">
        <v>-3.1725011238886713E-4</v>
      </c>
      <c r="S21" s="122">
        <v>6.7178248903786191</v>
      </c>
      <c r="T21" s="122">
        <v>-2.1312307014813459E-2</v>
      </c>
      <c r="U21" s="122">
        <v>-3.1725011238886713</v>
      </c>
      <c r="V21" s="119">
        <v>1.08</v>
      </c>
      <c r="W21" s="120">
        <v>-26.61790613380245</v>
      </c>
      <c r="X21" s="120">
        <v>1.0819551475240465</v>
      </c>
      <c r="Y21" s="122">
        <v>1.9551475240464633E-3</v>
      </c>
      <c r="Z21" s="122">
        <v>374.85166964496585</v>
      </c>
      <c r="AA21" s="122">
        <v>7.3289031379103777</v>
      </c>
      <c r="AB21" s="122">
        <v>19.551475240464633</v>
      </c>
    </row>
    <row r="22" spans="1:28" x14ac:dyDescent="0.25">
      <c r="A22" s="113">
        <v>1</v>
      </c>
      <c r="B22" s="113" t="s">
        <v>40</v>
      </c>
      <c r="C22" s="113" t="s">
        <v>26</v>
      </c>
      <c r="D22" s="113" t="s">
        <v>427</v>
      </c>
      <c r="E22" s="113">
        <v>1</v>
      </c>
      <c r="F22" s="114" t="s">
        <v>53</v>
      </c>
      <c r="G22" s="113">
        <v>19</v>
      </c>
      <c r="H22" s="113">
        <v>4.54</v>
      </c>
      <c r="I22" s="113"/>
      <c r="J22" s="116">
        <v>1.462962925689359</v>
      </c>
      <c r="K22" s="116">
        <v>39.084755388775243</v>
      </c>
      <c r="L22" s="117">
        <v>26.716162591993378</v>
      </c>
      <c r="M22" s="117">
        <v>-1.2007783584411276</v>
      </c>
      <c r="N22" s="117">
        <v>-28.255602976398894</v>
      </c>
      <c r="O22" s="119">
        <v>0.36599999999999999</v>
      </c>
      <c r="P22" s="120">
        <v>-1.2007783584411276</v>
      </c>
      <c r="Q22" s="121">
        <v>0.36581547093616901</v>
      </c>
      <c r="R22" s="122">
        <v>-1.8452906383098489E-4</v>
      </c>
      <c r="S22" s="122">
        <v>14.629629256893592</v>
      </c>
      <c r="T22" s="122">
        <v>-2.6995917909689617E-2</v>
      </c>
      <c r="U22" s="122">
        <v>-1.8452906383098489</v>
      </c>
      <c r="V22" s="119">
        <v>1.08</v>
      </c>
      <c r="W22" s="120">
        <v>-28.255602976398894</v>
      </c>
      <c r="X22" s="120">
        <v>1.0801544413815207</v>
      </c>
      <c r="Y22" s="122">
        <v>1.5444138152065356E-4</v>
      </c>
      <c r="Z22" s="122">
        <v>390.84755388775244</v>
      </c>
      <c r="AA22" s="122">
        <v>0.60363036186392582</v>
      </c>
      <c r="AB22" s="122">
        <v>1.5444138152065356</v>
      </c>
    </row>
    <row r="23" spans="1:28" x14ac:dyDescent="0.25">
      <c r="A23" s="113">
        <v>1</v>
      </c>
      <c r="B23" s="113" t="s">
        <v>40</v>
      </c>
      <c r="C23" s="113" t="s">
        <v>26</v>
      </c>
      <c r="D23" s="113" t="s">
        <v>428</v>
      </c>
      <c r="E23" s="113">
        <v>1</v>
      </c>
      <c r="F23" s="114" t="s">
        <v>54</v>
      </c>
      <c r="G23" s="113">
        <v>20</v>
      </c>
      <c r="H23" s="113">
        <v>4.1589999999999998</v>
      </c>
      <c r="I23" s="113"/>
      <c r="J23" s="116">
        <v>1.6947320448236602</v>
      </c>
      <c r="K23" s="116">
        <v>38.620591589481087</v>
      </c>
      <c r="L23" s="117">
        <v>22.788612339893316</v>
      </c>
      <c r="M23" s="117">
        <v>-0.61144955335888218</v>
      </c>
      <c r="N23" s="117">
        <v>-25.7165414932375</v>
      </c>
      <c r="O23" s="119">
        <v>0.36599999999999999</v>
      </c>
      <c r="P23" s="120">
        <v>-0.61144955335888218</v>
      </c>
      <c r="Q23" s="121">
        <v>0.36603052565450372</v>
      </c>
      <c r="R23" s="122">
        <v>3.0525654503732458E-5</v>
      </c>
      <c r="S23" s="122">
        <v>16.947320448236603</v>
      </c>
      <c r="T23" s="122">
        <v>5.1732804876691088E-3</v>
      </c>
      <c r="U23" s="122">
        <v>0.30525654503732458</v>
      </c>
      <c r="V23" s="119">
        <v>1.08</v>
      </c>
      <c r="W23" s="120">
        <v>-25.7165414932375</v>
      </c>
      <c r="X23" s="120">
        <v>1.0829462021533542</v>
      </c>
      <c r="Y23" s="122">
        <v>2.9462021533541716E-3</v>
      </c>
      <c r="Z23" s="122">
        <v>386.20591589481086</v>
      </c>
      <c r="AA23" s="122">
        <v>11.378407010474119</v>
      </c>
      <c r="AB23" s="122">
        <v>29.462021533541719</v>
      </c>
    </row>
    <row r="24" spans="1:28" x14ac:dyDescent="0.25">
      <c r="A24" s="113">
        <v>1</v>
      </c>
      <c r="B24" s="113" t="s">
        <v>40</v>
      </c>
      <c r="C24" s="113" t="s">
        <v>28</v>
      </c>
      <c r="D24" s="113" t="s">
        <v>427</v>
      </c>
      <c r="E24" s="113">
        <v>1</v>
      </c>
      <c r="F24" s="114" t="s">
        <v>55</v>
      </c>
      <c r="G24" s="113">
        <v>21</v>
      </c>
      <c r="H24" s="113">
        <v>5.0309999999999997</v>
      </c>
      <c r="I24" s="113"/>
      <c r="J24" s="116">
        <v>1.1270059311541947</v>
      </c>
      <c r="K24" s="116">
        <v>35.133570117858696</v>
      </c>
      <c r="L24" s="117">
        <v>31.174254852303697</v>
      </c>
      <c r="M24" s="117">
        <v>-3.3881430329817097</v>
      </c>
      <c r="N24" s="117">
        <v>-27.074798716117325</v>
      </c>
      <c r="O24" s="119">
        <v>0.36599999999999999</v>
      </c>
      <c r="P24" s="120">
        <v>-3.3881430329817097</v>
      </c>
      <c r="Q24" s="121">
        <v>0.36501726139022583</v>
      </c>
      <c r="R24" s="122">
        <v>-9.8273860977415861E-4</v>
      </c>
      <c r="S24" s="122">
        <v>11.270059311541948</v>
      </c>
      <c r="T24" s="122">
        <v>-0.11075522419897045</v>
      </c>
      <c r="U24" s="122">
        <v>-9.8273860977415861</v>
      </c>
      <c r="V24" s="119">
        <v>1.08</v>
      </c>
      <c r="W24" s="120">
        <v>-27.074798716117325</v>
      </c>
      <c r="X24" s="120">
        <v>1.0814527844129007</v>
      </c>
      <c r="Y24" s="122">
        <v>1.4527844129006429E-3</v>
      </c>
      <c r="Z24" s="122">
        <v>351.33570117858699</v>
      </c>
      <c r="AA24" s="122">
        <v>5.1041503036776916</v>
      </c>
      <c r="AB24" s="122">
        <v>14.527844129006429</v>
      </c>
    </row>
    <row r="25" spans="1:28" x14ac:dyDescent="0.25">
      <c r="A25" s="113">
        <v>1</v>
      </c>
      <c r="B25" s="113" t="s">
        <v>40</v>
      </c>
      <c r="C25" s="113" t="s">
        <v>28</v>
      </c>
      <c r="D25" s="113" t="s">
        <v>428</v>
      </c>
      <c r="E25" s="113">
        <v>1</v>
      </c>
      <c r="F25" s="114" t="s">
        <v>57</v>
      </c>
      <c r="G25" s="113">
        <v>22</v>
      </c>
      <c r="H25" s="113">
        <v>4.867</v>
      </c>
      <c r="I25" s="113"/>
      <c r="J25" s="116">
        <v>1.2693422656827007</v>
      </c>
      <c r="K25" s="116">
        <v>37.719061525443486</v>
      </c>
      <c r="L25" s="117">
        <v>29.715438101445976</v>
      </c>
      <c r="M25" s="117">
        <v>-0.70875914861876099</v>
      </c>
      <c r="N25" s="117">
        <v>-26.95152997901387</v>
      </c>
      <c r="O25" s="119">
        <v>0.36599999999999999</v>
      </c>
      <c r="P25" s="120">
        <v>-0.70875914861876099</v>
      </c>
      <c r="Q25" s="121">
        <v>0.36599501602098805</v>
      </c>
      <c r="R25" s="122">
        <v>-4.983979011941031E-6</v>
      </c>
      <c r="S25" s="122">
        <v>12.693422656827007</v>
      </c>
      <c r="T25" s="122">
        <v>-6.3263752111322573E-4</v>
      </c>
      <c r="U25" s="122">
        <v>-4.983979011941031E-2</v>
      </c>
      <c r="V25" s="119">
        <v>1.08</v>
      </c>
      <c r="W25" s="120">
        <v>-26.95152997901387</v>
      </c>
      <c r="X25" s="120">
        <v>1.081588321513566</v>
      </c>
      <c r="Y25" s="122">
        <v>1.5883215135659157E-3</v>
      </c>
      <c r="Z25" s="122">
        <v>377.19061525443487</v>
      </c>
      <c r="AA25" s="122">
        <v>5.9909996892378299</v>
      </c>
      <c r="AB25" s="122">
        <v>15.883215135659157</v>
      </c>
    </row>
    <row r="26" spans="1:28" x14ac:dyDescent="0.25">
      <c r="A26" s="113">
        <v>1</v>
      </c>
      <c r="B26" s="113" t="s">
        <v>40</v>
      </c>
      <c r="C26" s="113" t="s">
        <v>30</v>
      </c>
      <c r="D26" s="113" t="s">
        <v>427</v>
      </c>
      <c r="E26" s="113">
        <v>1</v>
      </c>
      <c r="F26" s="114" t="s">
        <v>58</v>
      </c>
      <c r="G26" s="113">
        <v>23</v>
      </c>
      <c r="H26" s="113">
        <v>4.306</v>
      </c>
      <c r="I26" s="113"/>
      <c r="J26" s="116">
        <v>1.1732149289468472</v>
      </c>
      <c r="K26" s="116">
        <v>36.141972749529124</v>
      </c>
      <c r="L26" s="117">
        <v>30.805926397452573</v>
      </c>
      <c r="M26" s="117">
        <v>-3.1913983090466629</v>
      </c>
      <c r="N26" s="117">
        <v>-28.264215175037467</v>
      </c>
      <c r="O26" s="119">
        <v>0.36599999999999999</v>
      </c>
      <c r="P26" s="120">
        <v>-3.1913983090466629</v>
      </c>
      <c r="Q26" s="121">
        <v>0.36508905767712774</v>
      </c>
      <c r="R26" s="122">
        <v>-9.1094232287225463E-4</v>
      </c>
      <c r="S26" s="122">
        <v>11.732149289468472</v>
      </c>
      <c r="T26" s="122">
        <v>-0.10687311326032481</v>
      </c>
      <c r="U26" s="122">
        <v>-9.1094232287225463</v>
      </c>
      <c r="V26" s="119">
        <v>1.08</v>
      </c>
      <c r="W26" s="120">
        <v>-28.264215175037467</v>
      </c>
      <c r="X26" s="120">
        <v>1.0801449717883831</v>
      </c>
      <c r="Y26" s="122">
        <v>1.4497178838301927E-4</v>
      </c>
      <c r="Z26" s="122">
        <v>361.41972749529123</v>
      </c>
      <c r="AA26" s="122">
        <v>0.52395664251895846</v>
      </c>
      <c r="AB26" s="122">
        <v>1.4497178838301927</v>
      </c>
    </row>
    <row r="27" spans="1:28" x14ac:dyDescent="0.25">
      <c r="A27" s="113">
        <v>1</v>
      </c>
      <c r="B27" s="113" t="s">
        <v>40</v>
      </c>
      <c r="C27" s="113" t="s">
        <v>30</v>
      </c>
      <c r="D27" s="113" t="s">
        <v>428</v>
      </c>
      <c r="E27" s="113">
        <v>1</v>
      </c>
      <c r="F27" s="114" t="s">
        <v>59</v>
      </c>
      <c r="G27" s="113">
        <v>24</v>
      </c>
      <c r="H27" s="113">
        <v>5.0309999999999997</v>
      </c>
      <c r="I27" s="113"/>
      <c r="J27" s="116">
        <v>0.91677023127061796</v>
      </c>
      <c r="K27" s="116">
        <v>36.326477520613786</v>
      </c>
      <c r="L27" s="117">
        <v>39.624407819466711</v>
      </c>
      <c r="M27" s="117">
        <v>-1.3153751032739653</v>
      </c>
      <c r="N27" s="117">
        <v>-26.451194935231044</v>
      </c>
      <c r="O27" s="119">
        <v>0.36599999999999999</v>
      </c>
      <c r="P27" s="120">
        <v>-1.3153751032739653</v>
      </c>
      <c r="Q27" s="121">
        <v>0.36577365279660523</v>
      </c>
      <c r="R27" s="122">
        <v>-2.2634720339476111E-4</v>
      </c>
      <c r="S27" s="122">
        <v>9.1677023127061794</v>
      </c>
      <c r="T27" s="122">
        <v>-2.0750837800367274E-2</v>
      </c>
      <c r="U27" s="122">
        <v>-2.2634720339476111</v>
      </c>
      <c r="V27" s="119">
        <v>1.08</v>
      </c>
      <c r="W27" s="120">
        <v>-26.451194935231044</v>
      </c>
      <c r="X27" s="120">
        <v>1.0821384487617991</v>
      </c>
      <c r="Y27" s="122">
        <v>2.1384487617990278E-3</v>
      </c>
      <c r="Z27" s="122">
        <v>363.26477520613787</v>
      </c>
      <c r="AA27" s="122">
        <v>7.7682310874476768</v>
      </c>
      <c r="AB27" s="122">
        <v>21.384487617990278</v>
      </c>
    </row>
    <row r="28" spans="1:28" x14ac:dyDescent="0.25">
      <c r="A28" s="113"/>
      <c r="B28" s="113"/>
      <c r="C28" s="113"/>
      <c r="D28" s="113"/>
      <c r="E28" s="113"/>
      <c r="F28" s="113"/>
      <c r="G28" s="113"/>
      <c r="H28" s="113"/>
      <c r="I28" s="124" t="s">
        <v>469</v>
      </c>
      <c r="J28" s="116">
        <v>2.7517123717136629</v>
      </c>
      <c r="K28" s="116">
        <v>46.588778984304732</v>
      </c>
      <c r="L28" s="117">
        <v>16.93083167529279</v>
      </c>
      <c r="M28" s="117">
        <v>0.10023835286775817</v>
      </c>
      <c r="N28" s="117">
        <v>-25.962916093478974</v>
      </c>
      <c r="O28" s="119">
        <v>0.36599999999999999</v>
      </c>
      <c r="P28" s="120">
        <v>0.10023835286775817</v>
      </c>
      <c r="Q28" s="121">
        <v>0.36629022976467268</v>
      </c>
      <c r="R28" s="122">
        <v>2.9022976467268924E-4</v>
      </c>
      <c r="S28" s="122">
        <v>27.517123717136627</v>
      </c>
      <c r="T28" s="122">
        <v>7.9862883408938379E-2</v>
      </c>
      <c r="U28" s="122">
        <v>2.9022976467268928</v>
      </c>
      <c r="V28" s="119">
        <v>1.08</v>
      </c>
      <c r="W28" s="120">
        <v>-25.962916093478974</v>
      </c>
      <c r="X28" s="120">
        <v>1.0826753141026637</v>
      </c>
      <c r="Y28" s="122">
        <v>2.6753141026636396E-3</v>
      </c>
      <c r="Z28" s="122">
        <v>465.8877898430473</v>
      </c>
      <c r="AA28" s="122">
        <v>12.463961744258983</v>
      </c>
      <c r="AB28" s="122">
        <v>26.753141026636396</v>
      </c>
    </row>
    <row r="29" spans="1:28" x14ac:dyDescent="0.25">
      <c r="A29" s="113"/>
      <c r="B29" s="113"/>
      <c r="C29" s="113"/>
      <c r="D29" s="113"/>
      <c r="E29" s="113"/>
      <c r="F29" s="113"/>
      <c r="G29" s="113"/>
      <c r="H29" s="113"/>
      <c r="I29" s="124" t="s">
        <v>469</v>
      </c>
      <c r="J29" s="116">
        <v>3.2142193008817093</v>
      </c>
      <c r="K29" s="116">
        <v>53.204313284485266</v>
      </c>
      <c r="L29" s="117">
        <v>16.55279503482868</v>
      </c>
      <c r="M29" s="117">
        <v>-1.5360894987617209</v>
      </c>
      <c r="N29" s="117">
        <v>-25.233804333076321</v>
      </c>
      <c r="O29" s="119">
        <v>0.36599999999999999</v>
      </c>
      <c r="P29" s="120">
        <v>-1.5360894987617209</v>
      </c>
      <c r="Q29" s="121">
        <v>0.36569311057227871</v>
      </c>
      <c r="R29" s="122">
        <v>-3.068894277212797E-4</v>
      </c>
      <c r="S29" s="122">
        <v>32.142193008817095</v>
      </c>
      <c r="T29" s="122">
        <v>-9.8640992181827952E-2</v>
      </c>
      <c r="U29" s="122">
        <v>-3.068894277212797</v>
      </c>
      <c r="V29" s="119">
        <v>1.08</v>
      </c>
      <c r="W29" s="120">
        <v>-25.233804333076321</v>
      </c>
      <c r="X29" s="120">
        <v>1.0834769657483359</v>
      </c>
      <c r="Y29" s="122">
        <v>3.4769657483357808E-3</v>
      </c>
      <c r="Z29" s="122">
        <v>532.04313284485272</v>
      </c>
      <c r="AA29" s="122">
        <v>18.498957495388169</v>
      </c>
      <c r="AB29" s="122">
        <v>34.769657483357804</v>
      </c>
    </row>
    <row r="30" spans="1:28" x14ac:dyDescent="0.25">
      <c r="A30" s="113">
        <v>1</v>
      </c>
      <c r="B30" s="113" t="s">
        <v>44</v>
      </c>
      <c r="C30" s="113" t="s">
        <v>26</v>
      </c>
      <c r="D30" s="113" t="s">
        <v>427</v>
      </c>
      <c r="E30" s="113">
        <v>1</v>
      </c>
      <c r="F30" s="114" t="s">
        <v>60</v>
      </c>
      <c r="G30" s="113">
        <v>25</v>
      </c>
      <c r="H30" s="113">
        <v>4.093</v>
      </c>
      <c r="I30" s="113"/>
      <c r="J30" s="116">
        <v>1.2106658618197144</v>
      </c>
      <c r="K30" s="116">
        <v>47.253329382243237</v>
      </c>
      <c r="L30" s="117">
        <v>39.030859688418246</v>
      </c>
      <c r="M30" s="117">
        <v>-2.1692961322292241</v>
      </c>
      <c r="N30" s="117">
        <v>-29.806406579286122</v>
      </c>
      <c r="O30" s="119">
        <v>0.36599999999999999</v>
      </c>
      <c r="P30" s="120">
        <v>-2.1692961322292241</v>
      </c>
      <c r="Q30" s="121">
        <v>0.36546204258910864</v>
      </c>
      <c r="R30" s="122">
        <v>-5.3795741089135429E-4</v>
      </c>
      <c r="S30" s="122">
        <v>12.106658618197145</v>
      </c>
      <c r="T30" s="122">
        <v>-6.5128667247908362E-2</v>
      </c>
      <c r="U30" s="122">
        <v>-5.3795741089135429</v>
      </c>
      <c r="V30" s="119">
        <v>1.08</v>
      </c>
      <c r="W30" s="120">
        <v>-29.806406579286122</v>
      </c>
      <c r="X30" s="120">
        <v>1.0784492170223048</v>
      </c>
      <c r="Y30" s="122">
        <v>-1.5507829776952864E-3</v>
      </c>
      <c r="Z30" s="122">
        <v>472.53329382243237</v>
      </c>
      <c r="AA30" s="122">
        <v>-7.3279658845411335</v>
      </c>
      <c r="AB30" s="122">
        <v>-15.507829776952864</v>
      </c>
    </row>
    <row r="31" spans="1:28" x14ac:dyDescent="0.25">
      <c r="A31" s="113">
        <v>1</v>
      </c>
      <c r="B31" s="113" t="s">
        <v>44</v>
      </c>
      <c r="C31" s="113" t="s">
        <v>26</v>
      </c>
      <c r="D31" s="113" t="s">
        <v>428</v>
      </c>
      <c r="E31" s="113">
        <v>1</v>
      </c>
      <c r="F31" s="114" t="s">
        <v>61</v>
      </c>
      <c r="G31" s="113">
        <v>26</v>
      </c>
      <c r="H31" s="113">
        <v>4.2889999999999997</v>
      </c>
      <c r="I31" s="113"/>
      <c r="J31" s="116">
        <v>0.89934590344647458</v>
      </c>
      <c r="K31" s="116">
        <v>48.320569983976718</v>
      </c>
      <c r="L31" s="117">
        <v>53.728570729907773</v>
      </c>
      <c r="M31" s="117">
        <v>-5.3657816718851317</v>
      </c>
      <c r="N31" s="117">
        <v>-30.388567716176009</v>
      </c>
      <c r="O31" s="119">
        <v>0.36599999999999999</v>
      </c>
      <c r="P31" s="120">
        <v>-5.3657816718851317</v>
      </c>
      <c r="Q31" s="121">
        <v>0.36429557371779275</v>
      </c>
      <c r="R31" s="122">
        <v>-1.7044262822072387E-3</v>
      </c>
      <c r="S31" s="122">
        <v>8.9934590344647454</v>
      </c>
      <c r="T31" s="122">
        <v>-0.15328687946295846</v>
      </c>
      <c r="U31" s="122">
        <v>-17.044262822072387</v>
      </c>
      <c r="V31" s="119">
        <v>1.08</v>
      </c>
      <c r="W31" s="120">
        <v>-30.388567716176009</v>
      </c>
      <c r="X31" s="120">
        <v>1.0778090722052294</v>
      </c>
      <c r="Y31" s="122">
        <v>-2.1909277947707029E-3</v>
      </c>
      <c r="Z31" s="122">
        <v>483.20569983976719</v>
      </c>
      <c r="AA31" s="122">
        <v>-10.586687983705753</v>
      </c>
      <c r="AB31" s="122">
        <v>-21.909277947707029</v>
      </c>
    </row>
    <row r="32" spans="1:28" x14ac:dyDescent="0.25">
      <c r="A32" s="113">
        <v>1</v>
      </c>
      <c r="B32" s="113" t="s">
        <v>44</v>
      </c>
      <c r="C32" s="113" t="s">
        <v>28</v>
      </c>
      <c r="D32" s="113" t="s">
        <v>427</v>
      </c>
      <c r="E32" s="113">
        <v>1</v>
      </c>
      <c r="F32" s="114" t="s">
        <v>62</v>
      </c>
      <c r="G32" s="113">
        <v>27</v>
      </c>
      <c r="H32" s="113">
        <v>4.1859999999999999</v>
      </c>
      <c r="I32" s="113"/>
      <c r="J32" s="116">
        <v>1.4835754597015947</v>
      </c>
      <c r="K32" s="116">
        <v>41.393726472955088</v>
      </c>
      <c r="L32" s="117">
        <v>27.901328646458598</v>
      </c>
      <c r="M32" s="117">
        <v>1.1653194360814734</v>
      </c>
      <c r="N32" s="117">
        <v>-29.000224244194584</v>
      </c>
      <c r="O32" s="119">
        <v>0.36599999999999999</v>
      </c>
      <c r="P32" s="120">
        <v>1.1653194360814734</v>
      </c>
      <c r="Q32" s="121">
        <v>0.36667888908086099</v>
      </c>
      <c r="R32" s="122">
        <v>6.7888908086100042E-4</v>
      </c>
      <c r="S32" s="122">
        <v>14.835754597015947</v>
      </c>
      <c r="T32" s="122">
        <v>0.10071831802247519</v>
      </c>
      <c r="U32" s="122">
        <v>6.7888908086100042</v>
      </c>
      <c r="V32" s="119">
        <v>1.08</v>
      </c>
      <c r="W32" s="120">
        <v>-29.000224244194584</v>
      </c>
      <c r="X32" s="120">
        <v>1.0793356820342359</v>
      </c>
      <c r="Y32" s="122">
        <v>-6.6431796576416069E-4</v>
      </c>
      <c r="Z32" s="122">
        <v>413.93726472955092</v>
      </c>
      <c r="AA32" s="122">
        <v>-2.7498596165911611</v>
      </c>
      <c r="AB32" s="122">
        <v>-6.6431796576416069</v>
      </c>
    </row>
    <row r="33" spans="1:28" x14ac:dyDescent="0.25">
      <c r="A33" s="113">
        <v>1</v>
      </c>
      <c r="B33" s="113" t="s">
        <v>44</v>
      </c>
      <c r="C33" s="113" t="s">
        <v>28</v>
      </c>
      <c r="D33" s="113" t="s">
        <v>428</v>
      </c>
      <c r="E33" s="113">
        <v>1</v>
      </c>
      <c r="F33" s="114" t="s">
        <v>63</v>
      </c>
      <c r="G33" s="113">
        <v>28</v>
      </c>
      <c r="H33" s="113">
        <v>4.4630000000000001</v>
      </c>
      <c r="I33" s="113"/>
      <c r="J33" s="116">
        <v>0.92463458315411573</v>
      </c>
      <c r="K33" s="116">
        <v>44.822207938298376</v>
      </c>
      <c r="L33" s="117">
        <v>48.475591065824894</v>
      </c>
      <c r="M33" s="117">
        <v>-0.3045697424689392</v>
      </c>
      <c r="N33" s="117">
        <v>-28.409641159746062</v>
      </c>
      <c r="O33" s="119">
        <v>0.36599999999999999</v>
      </c>
      <c r="P33" s="120">
        <v>-0.3045697424689392</v>
      </c>
      <c r="Q33" s="121">
        <v>0.3661425102276305</v>
      </c>
      <c r="R33" s="122">
        <v>1.4251022763051013E-4</v>
      </c>
      <c r="S33" s="122">
        <v>9.2463458315411575</v>
      </c>
      <c r="T33" s="122">
        <v>1.3176988492033489E-2</v>
      </c>
      <c r="U33" s="122">
        <v>1.4251022763051013</v>
      </c>
      <c r="V33" s="119">
        <v>1.08</v>
      </c>
      <c r="W33" s="120">
        <v>-28.409641159746062</v>
      </c>
      <c r="X33" s="120">
        <v>1.0799850675266951</v>
      </c>
      <c r="Y33" s="122">
        <v>-1.4932473304973826E-5</v>
      </c>
      <c r="Z33" s="122">
        <v>448.22207938298379</v>
      </c>
      <c r="AA33" s="122">
        <v>-6.6930642350862643E-2</v>
      </c>
      <c r="AB33" s="122">
        <v>-0.14932473304973826</v>
      </c>
    </row>
    <row r="34" spans="1:28" x14ac:dyDescent="0.25">
      <c r="A34" s="113">
        <v>1</v>
      </c>
      <c r="B34" s="113" t="s">
        <v>44</v>
      </c>
      <c r="C34" s="113" t="s">
        <v>30</v>
      </c>
      <c r="D34" s="113" t="s">
        <v>427</v>
      </c>
      <c r="E34" s="113">
        <v>1</v>
      </c>
      <c r="F34" s="114" t="s">
        <v>64</v>
      </c>
      <c r="G34" s="113">
        <v>29</v>
      </c>
      <c r="H34" s="113">
        <v>4.1420000000000003</v>
      </c>
      <c r="I34" s="113"/>
      <c r="J34" s="116">
        <v>1.4542068515449831</v>
      </c>
      <c r="K34" s="116">
        <v>42.5997882329359</v>
      </c>
      <c r="L34" s="117">
        <v>29.294173788052849</v>
      </c>
      <c r="M34" s="117">
        <v>-0.64466358413186986</v>
      </c>
      <c r="N34" s="117">
        <v>-28.92468759162638</v>
      </c>
      <c r="O34" s="119">
        <v>0.36599999999999999</v>
      </c>
      <c r="P34" s="120">
        <v>-0.64466358413186986</v>
      </c>
      <c r="Q34" s="121">
        <v>0.36601840539256758</v>
      </c>
      <c r="R34" s="122">
        <v>1.8405392567588663E-5</v>
      </c>
      <c r="S34" s="122">
        <v>14.542068515449831</v>
      </c>
      <c r="T34" s="122">
        <v>2.6765247977162542E-3</v>
      </c>
      <c r="U34" s="122">
        <v>0.18405392567588663</v>
      </c>
      <c r="V34" s="119">
        <v>1.08</v>
      </c>
      <c r="W34" s="120">
        <v>-28.92468759162638</v>
      </c>
      <c r="X34" s="120">
        <v>1.0794187400974427</v>
      </c>
      <c r="Y34" s="122">
        <v>-5.8125990255741833E-4</v>
      </c>
      <c r="Z34" s="122">
        <v>425.99788232935896</v>
      </c>
      <c r="AA34" s="122">
        <v>-2.4761548757242977</v>
      </c>
      <c r="AB34" s="122">
        <v>-5.8125990255741833</v>
      </c>
    </row>
    <row r="35" spans="1:28" x14ac:dyDescent="0.25">
      <c r="A35" s="113">
        <v>1</v>
      </c>
      <c r="B35" s="113" t="s">
        <v>44</v>
      </c>
      <c r="C35" s="113" t="s">
        <v>30</v>
      </c>
      <c r="D35" s="113" t="s">
        <v>428</v>
      </c>
      <c r="E35" s="113">
        <v>1</v>
      </c>
      <c r="F35" s="114" t="s">
        <v>65</v>
      </c>
      <c r="G35" s="113">
        <v>30</v>
      </c>
      <c r="H35" s="113">
        <v>4.0449999999999999</v>
      </c>
      <c r="I35" s="113"/>
      <c r="J35" s="116">
        <v>0.9808779245477165</v>
      </c>
      <c r="K35" s="116">
        <v>43.282962174187489</v>
      </c>
      <c r="L35" s="117">
        <v>44.126757357848881</v>
      </c>
      <c r="M35" s="117">
        <v>0.52915708459488509</v>
      </c>
      <c r="N35" s="117">
        <v>-26.587436575322588</v>
      </c>
      <c r="O35" s="119">
        <v>0.36599999999999999</v>
      </c>
      <c r="P35" s="120">
        <v>0.52915708459488509</v>
      </c>
      <c r="Q35" s="121">
        <v>0.36644674709655783</v>
      </c>
      <c r="R35" s="122">
        <v>4.4674709655784239E-4</v>
      </c>
      <c r="S35" s="122">
        <v>9.8087792454771652</v>
      </c>
      <c r="T35" s="122">
        <v>4.3820436486937481E-2</v>
      </c>
      <c r="U35" s="122">
        <v>4.4674709655784239</v>
      </c>
      <c r="V35" s="119">
        <v>1.08</v>
      </c>
      <c r="W35" s="120">
        <v>-26.587436575322588</v>
      </c>
      <c r="X35" s="120">
        <v>1.0819886492701136</v>
      </c>
      <c r="Y35" s="122">
        <v>1.9886492701135516E-3</v>
      </c>
      <c r="Z35" s="122">
        <v>432.82962174187492</v>
      </c>
      <c r="AA35" s="122">
        <v>8.607463113605041</v>
      </c>
      <c r="AB35" s="122">
        <v>19.886492701135516</v>
      </c>
    </row>
    <row r="36" spans="1:28" x14ac:dyDescent="0.25">
      <c r="A36" s="113">
        <v>1</v>
      </c>
      <c r="B36" s="113" t="s">
        <v>48</v>
      </c>
      <c r="C36" s="113" t="s">
        <v>26</v>
      </c>
      <c r="D36" s="113" t="s">
        <v>427</v>
      </c>
      <c r="E36" s="113">
        <v>1</v>
      </c>
      <c r="F36" s="114" t="s">
        <v>66</v>
      </c>
      <c r="G36" s="113">
        <v>31</v>
      </c>
      <c r="H36" s="113">
        <v>4.7670000000000003</v>
      </c>
      <c r="I36" s="113"/>
      <c r="J36" s="116">
        <v>1.4218244585808089</v>
      </c>
      <c r="K36" s="116">
        <v>45.184732422823942</v>
      </c>
      <c r="L36" s="117">
        <v>31.779402970690906</v>
      </c>
      <c r="M36" s="117">
        <v>-2.0857620694012295</v>
      </c>
      <c r="N36" s="117">
        <v>-29.317790908933283</v>
      </c>
      <c r="O36" s="119">
        <v>0.36599999999999999</v>
      </c>
      <c r="P36" s="120">
        <v>-2.0857620694012295</v>
      </c>
      <c r="Q36" s="121">
        <v>0.36549252566566309</v>
      </c>
      <c r="R36" s="122">
        <v>-5.0747433433689926E-4</v>
      </c>
      <c r="S36" s="122">
        <v>14.21824458580809</v>
      </c>
      <c r="T36" s="122">
        <v>-7.2153942066221818E-2</v>
      </c>
      <c r="U36" s="122">
        <v>-5.0747433433689926</v>
      </c>
      <c r="V36" s="119">
        <v>1.08</v>
      </c>
      <c r="W36" s="120">
        <v>-29.317790908933283</v>
      </c>
      <c r="X36" s="120">
        <v>1.0789864927801316</v>
      </c>
      <c r="Y36" s="122">
        <v>-1.0135072198684814E-3</v>
      </c>
      <c r="Z36" s="122">
        <v>451.84732422823942</v>
      </c>
      <c r="AA36" s="122">
        <v>-4.5795052538357526</v>
      </c>
      <c r="AB36" s="122">
        <v>-10.135072198684814</v>
      </c>
    </row>
    <row r="37" spans="1:28" x14ac:dyDescent="0.25">
      <c r="A37" s="113">
        <v>1</v>
      </c>
      <c r="B37" s="113" t="s">
        <v>48</v>
      </c>
      <c r="C37" s="113" t="s">
        <v>26</v>
      </c>
      <c r="D37" s="113" t="s">
        <v>428</v>
      </c>
      <c r="E37" s="113">
        <v>1</v>
      </c>
      <c r="F37" s="114" t="s">
        <v>67</v>
      </c>
      <c r="G37" s="113">
        <v>32</v>
      </c>
      <c r="H37" s="113">
        <v>4.9029999999999996</v>
      </c>
      <c r="I37" s="113"/>
      <c r="J37" s="116">
        <v>1.3347011275649829</v>
      </c>
      <c r="K37" s="116">
        <v>45.665260210498531</v>
      </c>
      <c r="L37" s="117">
        <v>34.213847030915325</v>
      </c>
      <c r="M37" s="117">
        <v>-3.2299254673651534</v>
      </c>
      <c r="N37" s="117">
        <v>-29.584145375992176</v>
      </c>
      <c r="O37" s="119">
        <v>0.36599999999999999</v>
      </c>
      <c r="P37" s="120">
        <v>-3.2299254673651534</v>
      </c>
      <c r="Q37" s="121">
        <v>0.36507499831505746</v>
      </c>
      <c r="R37" s="122">
        <v>-9.2500168494252799E-4</v>
      </c>
      <c r="S37" s="122">
        <v>13.34701127564983</v>
      </c>
      <c r="T37" s="122">
        <v>-0.12346007918923013</v>
      </c>
      <c r="U37" s="122">
        <v>-9.250016849425279</v>
      </c>
      <c r="V37" s="119">
        <v>1.08</v>
      </c>
      <c r="W37" s="120">
        <v>-29.584145375992176</v>
      </c>
      <c r="X37" s="120">
        <v>1.078693613420618</v>
      </c>
      <c r="Y37" s="122">
        <v>-1.3063865793820906E-3</v>
      </c>
      <c r="Z37" s="122">
        <v>456.65260210498525</v>
      </c>
      <c r="AA37" s="122">
        <v>-5.9656483082986247</v>
      </c>
      <c r="AB37" s="122">
        <v>-13.063865793820906</v>
      </c>
    </row>
    <row r="38" spans="1:28" x14ac:dyDescent="0.25">
      <c r="A38" s="113">
        <v>1</v>
      </c>
      <c r="B38" s="113" t="s">
        <v>48</v>
      </c>
      <c r="C38" s="113" t="s">
        <v>28</v>
      </c>
      <c r="D38" s="113" t="s">
        <v>427</v>
      </c>
      <c r="E38" s="113">
        <v>1</v>
      </c>
      <c r="F38" s="114" t="s">
        <v>68</v>
      </c>
      <c r="G38" s="113">
        <v>33</v>
      </c>
      <c r="H38" s="113">
        <v>4.3520000000000003</v>
      </c>
      <c r="I38" s="113"/>
      <c r="J38" s="116">
        <v>1.5732189760724851</v>
      </c>
      <c r="K38" s="116">
        <v>44.289127446547909</v>
      </c>
      <c r="L38" s="117">
        <v>28.151915353268226</v>
      </c>
      <c r="M38" s="117">
        <v>-0.57367924872246234</v>
      </c>
      <c r="N38" s="117">
        <v>-28.911913952832347</v>
      </c>
      <c r="O38" s="119">
        <v>0.36599999999999999</v>
      </c>
      <c r="P38" s="120">
        <v>-0.57367924872246234</v>
      </c>
      <c r="Q38" s="121">
        <v>0.36604430856058084</v>
      </c>
      <c r="R38" s="122">
        <v>4.4308560580852419E-5</v>
      </c>
      <c r="S38" s="122">
        <v>15.732189760724852</v>
      </c>
      <c r="T38" s="122">
        <v>6.970706830825432E-3</v>
      </c>
      <c r="U38" s="122">
        <v>0.44308560580852419</v>
      </c>
      <c r="V38" s="119">
        <v>1.08</v>
      </c>
      <c r="W38" s="120">
        <v>-28.911913952832347</v>
      </c>
      <c r="X38" s="120">
        <v>1.0794327856319057</v>
      </c>
      <c r="Y38" s="122">
        <v>-5.6721436809437087E-4</v>
      </c>
      <c r="Z38" s="122">
        <v>442.89127446547911</v>
      </c>
      <c r="AA38" s="122">
        <v>-2.5121429438044731</v>
      </c>
      <c r="AB38" s="122">
        <v>-5.6721436809437087</v>
      </c>
    </row>
    <row r="39" spans="1:28" x14ac:dyDescent="0.25">
      <c r="A39" s="113">
        <v>1</v>
      </c>
      <c r="B39" s="113" t="s">
        <v>48</v>
      </c>
      <c r="C39" s="113" t="s">
        <v>28</v>
      </c>
      <c r="D39" s="113" t="s">
        <v>428</v>
      </c>
      <c r="E39" s="113">
        <v>1</v>
      </c>
      <c r="F39" s="114" t="s">
        <v>69</v>
      </c>
      <c r="G39" s="113">
        <v>34</v>
      </c>
      <c r="H39" s="113">
        <v>4.88</v>
      </c>
      <c r="I39" s="113"/>
      <c r="J39" s="116">
        <v>1.3850753985859541</v>
      </c>
      <c r="K39" s="116">
        <v>45.364328940747029</v>
      </c>
      <c r="L39" s="117">
        <v>32.752245103089855</v>
      </c>
      <c r="M39" s="117">
        <v>-1.5662041363964359</v>
      </c>
      <c r="N39" s="117">
        <v>-29.183498569990306</v>
      </c>
      <c r="O39" s="119">
        <v>0.36599999999999999</v>
      </c>
      <c r="P39" s="120">
        <v>-1.5662041363964359</v>
      </c>
      <c r="Q39" s="121">
        <v>0.36568212124771399</v>
      </c>
      <c r="R39" s="122">
        <v>-3.1787875228600493E-4</v>
      </c>
      <c r="S39" s="122">
        <v>13.850753985859539</v>
      </c>
      <c r="T39" s="122">
        <v>-4.4028603952454393E-2</v>
      </c>
      <c r="U39" s="122">
        <v>-3.1787875228600493</v>
      </c>
      <c r="V39" s="119">
        <v>1.08</v>
      </c>
      <c r="W39" s="120">
        <v>-29.183498569990306</v>
      </c>
      <c r="X39" s="120">
        <v>1.079134157955375</v>
      </c>
      <c r="Y39" s="122">
        <v>-8.6584204462503145E-4</v>
      </c>
      <c r="Z39" s="122">
        <v>453.64328940747021</v>
      </c>
      <c r="AA39" s="122">
        <v>-3.9278343323098888</v>
      </c>
      <c r="AB39" s="122">
        <v>-8.6584204462503145</v>
      </c>
    </row>
    <row r="40" spans="1:28" x14ac:dyDescent="0.25">
      <c r="A40" s="113">
        <v>1</v>
      </c>
      <c r="B40" s="113" t="s">
        <v>48</v>
      </c>
      <c r="C40" s="113" t="s">
        <v>30</v>
      </c>
      <c r="D40" s="113" t="s">
        <v>427</v>
      </c>
      <c r="E40" s="113">
        <v>1</v>
      </c>
      <c r="F40" s="114" t="s">
        <v>70</v>
      </c>
      <c r="G40" s="113">
        <v>35</v>
      </c>
      <c r="H40" s="113">
        <v>4.4930000000000003</v>
      </c>
      <c r="I40" s="113"/>
      <c r="J40" s="116">
        <v>1.3945871508855023</v>
      </c>
      <c r="K40" s="116">
        <v>41.305321236279752</v>
      </c>
      <c r="L40" s="117">
        <v>29.618314789472038</v>
      </c>
      <c r="M40" s="117">
        <v>2.6359327048377388</v>
      </c>
      <c r="N40" s="117">
        <v>-28.695901283257431</v>
      </c>
      <c r="O40" s="119">
        <v>0.36599999999999999</v>
      </c>
      <c r="P40" s="120">
        <v>2.6359327048377388</v>
      </c>
      <c r="Q40" s="121">
        <v>0.36721552638320548</v>
      </c>
      <c r="R40" s="122">
        <v>1.2155263832054897E-3</v>
      </c>
      <c r="S40" s="122">
        <v>13.945871508855021</v>
      </c>
      <c r="T40" s="122">
        <v>0.16951574755807028</v>
      </c>
      <c r="U40" s="122">
        <v>12.155263832054896</v>
      </c>
      <c r="V40" s="119">
        <v>1.08</v>
      </c>
      <c r="W40" s="120">
        <v>-28.695901283257431</v>
      </c>
      <c r="X40" s="120">
        <v>1.0796703064924875</v>
      </c>
      <c r="Y40" s="122">
        <v>-3.2969350751255178E-4</v>
      </c>
      <c r="Z40" s="122">
        <v>413.05321236279752</v>
      </c>
      <c r="AA40" s="122">
        <v>-1.3618096237321762</v>
      </c>
      <c r="AB40" s="122">
        <v>-3.2969350751255178</v>
      </c>
    </row>
    <row r="41" spans="1:28" x14ac:dyDescent="0.25">
      <c r="A41" s="113">
        <v>1</v>
      </c>
      <c r="B41" s="113" t="s">
        <v>48</v>
      </c>
      <c r="C41" s="113" t="s">
        <v>30</v>
      </c>
      <c r="D41" s="113" t="s">
        <v>428</v>
      </c>
      <c r="E41" s="113">
        <v>1</v>
      </c>
      <c r="F41" s="114" t="s">
        <v>71</v>
      </c>
      <c r="G41" s="113">
        <v>36</v>
      </c>
      <c r="H41" s="113">
        <v>4.2839999999999998</v>
      </c>
      <c r="I41" s="113"/>
      <c r="J41" s="116">
        <v>1.0819247758910002</v>
      </c>
      <c r="K41" s="116">
        <v>43.617712406845655</v>
      </c>
      <c r="L41" s="117">
        <v>40.314921498054289</v>
      </c>
      <c r="M41" s="117">
        <v>3.7916853602788558</v>
      </c>
      <c r="N41" s="117">
        <v>-26.982676741060146</v>
      </c>
      <c r="O41" s="119">
        <v>0.36599999999999999</v>
      </c>
      <c r="P41" s="120">
        <v>3.7916853602788558</v>
      </c>
      <c r="Q41" s="121">
        <v>0.3676372647385277</v>
      </c>
      <c r="R41" s="122">
        <v>1.6372647385277106E-3</v>
      </c>
      <c r="S41" s="122">
        <v>10.819247758910002</v>
      </c>
      <c r="T41" s="122">
        <v>0.17713972853058302</v>
      </c>
      <c r="U41" s="122">
        <v>16.372647385277105</v>
      </c>
      <c r="V41" s="119">
        <v>1.08</v>
      </c>
      <c r="W41" s="120">
        <v>-26.982676741060146</v>
      </c>
      <c r="X41" s="120">
        <v>1.0815540748943557</v>
      </c>
      <c r="Y41" s="122">
        <v>1.5540748943556615E-3</v>
      </c>
      <c r="Z41" s="122">
        <v>436.17712406845652</v>
      </c>
      <c r="AA41" s="122">
        <v>6.7785191800704272</v>
      </c>
      <c r="AB41" s="122">
        <v>15.540748943556613</v>
      </c>
    </row>
    <row r="42" spans="1:28" x14ac:dyDescent="0.25">
      <c r="A42" s="113"/>
      <c r="B42" s="113"/>
      <c r="C42" s="113"/>
      <c r="D42" s="113"/>
      <c r="E42" s="113"/>
      <c r="F42" s="113"/>
      <c r="G42" s="113"/>
      <c r="H42" s="113"/>
      <c r="I42" s="124" t="s">
        <v>469</v>
      </c>
      <c r="J42" s="116">
        <v>3.2046305181580892</v>
      </c>
      <c r="K42" s="116">
        <v>51.882691388224501</v>
      </c>
      <c r="L42" s="117">
        <v>16.189913655957096</v>
      </c>
      <c r="M42" s="117">
        <v>2.056257046230638</v>
      </c>
      <c r="N42" s="117">
        <v>-26.077625332110781</v>
      </c>
      <c r="O42" s="119">
        <v>0.36599999999999999</v>
      </c>
      <c r="P42" s="120">
        <v>2.056257046230638</v>
      </c>
      <c r="Q42" s="121">
        <v>0.36700399927868516</v>
      </c>
      <c r="R42" s="122">
        <v>1.0039992786851637E-3</v>
      </c>
      <c r="S42" s="122">
        <v>32.046305181580891</v>
      </c>
      <c r="T42" s="122">
        <v>0.32174467286831843</v>
      </c>
      <c r="U42" s="122">
        <v>10.039992786851638</v>
      </c>
      <c r="V42" s="119">
        <v>1.08</v>
      </c>
      <c r="W42" s="120">
        <v>-26.077625332110781</v>
      </c>
      <c r="X42" s="120">
        <v>1.0825491911714284</v>
      </c>
      <c r="Y42" s="122">
        <v>2.5491911714283777E-3</v>
      </c>
      <c r="Z42" s="122">
        <v>518.82691388224498</v>
      </c>
      <c r="AA42" s="122">
        <v>13.225889883680502</v>
      </c>
      <c r="AB42" s="122">
        <v>25.491911714283777</v>
      </c>
    </row>
    <row r="43" spans="1:28" x14ac:dyDescent="0.25">
      <c r="A43" s="113">
        <v>1</v>
      </c>
      <c r="B43" s="113" t="s">
        <v>52</v>
      </c>
      <c r="C43" s="113" t="s">
        <v>26</v>
      </c>
      <c r="D43" s="113" t="s">
        <v>427</v>
      </c>
      <c r="E43" s="113">
        <v>1</v>
      </c>
      <c r="F43" s="114" t="s">
        <v>120</v>
      </c>
      <c r="G43" s="113">
        <v>37</v>
      </c>
      <c r="H43" s="113">
        <v>5.1669999999999998</v>
      </c>
      <c r="I43" s="113"/>
      <c r="J43" s="116">
        <v>1.3948775957189883</v>
      </c>
      <c r="K43" s="116">
        <v>43.720579686825928</v>
      </c>
      <c r="L43" s="117">
        <v>31.343667588474094</v>
      </c>
      <c r="M43" s="117">
        <v>-0.61572461110105225</v>
      </c>
      <c r="N43" s="117">
        <v>-30.556804534032352</v>
      </c>
      <c r="O43" s="119">
        <v>0.36599999999999999</v>
      </c>
      <c r="P43" s="120">
        <v>-0.61572461110105225</v>
      </c>
      <c r="Q43" s="121">
        <v>0.36602896562662013</v>
      </c>
      <c r="R43" s="122">
        <v>2.8965626620136575E-5</v>
      </c>
      <c r="S43" s="122">
        <v>13.948775957189882</v>
      </c>
      <c r="T43" s="122">
        <v>4.040350361839003E-3</v>
      </c>
      <c r="U43" s="122">
        <v>0.28965626620136575</v>
      </c>
      <c r="V43" s="119">
        <v>1.08</v>
      </c>
      <c r="W43" s="120">
        <v>-30.556804534032352</v>
      </c>
      <c r="X43" s="120">
        <v>1.0776240773326802</v>
      </c>
      <c r="Y43" s="122">
        <v>-2.3759226673198963E-3</v>
      </c>
      <c r="Z43" s="122">
        <v>437.2057968682592</v>
      </c>
      <c r="AA43" s="122">
        <v>-10.387671630629551</v>
      </c>
      <c r="AB43" s="122">
        <v>-23.759226673198963</v>
      </c>
    </row>
    <row r="44" spans="1:28" x14ac:dyDescent="0.25">
      <c r="A44" s="113">
        <v>1</v>
      </c>
      <c r="B44" s="113" t="s">
        <v>52</v>
      </c>
      <c r="C44" s="113" t="s">
        <v>26</v>
      </c>
      <c r="D44" s="113" t="s">
        <v>428</v>
      </c>
      <c r="E44" s="113">
        <v>1</v>
      </c>
      <c r="F44" s="114" t="s">
        <v>121</v>
      </c>
      <c r="G44" s="113">
        <v>38</v>
      </c>
      <c r="H44" s="113">
        <v>4.2919999999999998</v>
      </c>
      <c r="I44" s="113"/>
      <c r="J44" s="116">
        <v>1.1264628288012803</v>
      </c>
      <c r="K44" s="116">
        <v>46.927018110514595</v>
      </c>
      <c r="L44" s="117">
        <v>41.658736454226137</v>
      </c>
      <c r="M44" s="117">
        <v>-3.6030142064232393</v>
      </c>
      <c r="N44" s="117">
        <v>-30.579366609566662</v>
      </c>
      <c r="O44" s="119">
        <v>0.36599999999999999</v>
      </c>
      <c r="P44" s="120">
        <v>-3.6030142064232393</v>
      </c>
      <c r="Q44" s="121">
        <v>0.36493885026252632</v>
      </c>
      <c r="R44" s="122">
        <v>-1.0611497374736767E-3</v>
      </c>
      <c r="S44" s="122">
        <v>11.264628288012803</v>
      </c>
      <c r="T44" s="122">
        <v>-0.11953457350563337</v>
      </c>
      <c r="U44" s="122">
        <v>-10.611497374736766</v>
      </c>
      <c r="V44" s="119">
        <v>1.08</v>
      </c>
      <c r="W44" s="120">
        <v>-30.579366609566662</v>
      </c>
      <c r="X44" s="120">
        <v>1.0775992677981596</v>
      </c>
      <c r="Y44" s="122">
        <v>-2.4007322018404498E-3</v>
      </c>
      <c r="Z44" s="122">
        <v>469.27018110514598</v>
      </c>
      <c r="AA44" s="122">
        <v>-11.265920351426237</v>
      </c>
      <c r="AB44" s="122">
        <v>-24.007322018404498</v>
      </c>
    </row>
    <row r="45" spans="1:28" x14ac:dyDescent="0.25">
      <c r="A45" s="113">
        <v>1</v>
      </c>
      <c r="B45" s="113" t="s">
        <v>52</v>
      </c>
      <c r="C45" s="113" t="s">
        <v>28</v>
      </c>
      <c r="D45" s="113" t="s">
        <v>427</v>
      </c>
      <c r="E45" s="113">
        <v>1</v>
      </c>
      <c r="F45" s="114" t="s">
        <v>122</v>
      </c>
      <c r="G45" s="113">
        <v>39</v>
      </c>
      <c r="H45" s="113">
        <v>4.3250000000000002</v>
      </c>
      <c r="I45" s="113"/>
      <c r="J45" s="116">
        <v>1.4557907797592102</v>
      </c>
      <c r="K45" s="116">
        <v>42.575746932295949</v>
      </c>
      <c r="L45" s="117">
        <v>29.245786911315676</v>
      </c>
      <c r="M45" s="117">
        <v>-1.2566769119879622</v>
      </c>
      <c r="N45" s="117">
        <v>-29.571735057907052</v>
      </c>
      <c r="O45" s="119">
        <v>0.36599999999999999</v>
      </c>
      <c r="P45" s="120">
        <v>-1.2566769119879622</v>
      </c>
      <c r="Q45" s="121">
        <v>0.36579507268651101</v>
      </c>
      <c r="R45" s="122">
        <v>-2.0492731348897841E-4</v>
      </c>
      <c r="S45" s="122">
        <v>14.557907797592101</v>
      </c>
      <c r="T45" s="122">
        <v>-2.9833129349807998E-2</v>
      </c>
      <c r="U45" s="122">
        <v>-2.0492731348897841</v>
      </c>
      <c r="V45" s="119">
        <v>1.08</v>
      </c>
      <c r="W45" s="120">
        <v>-29.571735057907052</v>
      </c>
      <c r="X45" s="120">
        <v>1.078707259657951</v>
      </c>
      <c r="Y45" s="122">
        <v>-1.2927403420490702E-3</v>
      </c>
      <c r="Z45" s="122">
        <v>425.75746932295948</v>
      </c>
      <c r="AA45" s="122">
        <v>-5.5039385652250914</v>
      </c>
      <c r="AB45" s="122">
        <v>-12.927403420490702</v>
      </c>
    </row>
    <row r="46" spans="1:28" x14ac:dyDescent="0.25">
      <c r="A46" s="113">
        <v>1</v>
      </c>
      <c r="B46" s="113" t="s">
        <v>52</v>
      </c>
      <c r="C46" s="113" t="s">
        <v>28</v>
      </c>
      <c r="D46" s="113" t="s">
        <v>428</v>
      </c>
      <c r="E46" s="113">
        <v>1</v>
      </c>
      <c r="F46" s="114" t="s">
        <v>72</v>
      </c>
      <c r="G46" s="113">
        <v>40</v>
      </c>
      <c r="H46" s="113">
        <v>5.0019999999999998</v>
      </c>
      <c r="I46" s="113"/>
      <c r="J46" s="116">
        <v>1.1474489965879302</v>
      </c>
      <c r="K46" s="116">
        <v>44.891413566146745</v>
      </c>
      <c r="L46" s="117">
        <v>39.122796481269724</v>
      </c>
      <c r="M46" s="125">
        <v>-2.5413004979459872</v>
      </c>
      <c r="N46" s="117">
        <v>-30.181838126035053</v>
      </c>
      <c r="O46" s="119">
        <v>0.36599999999999999</v>
      </c>
      <c r="P46" s="120">
        <v>-2.5413004979459872</v>
      </c>
      <c r="Q46" s="121">
        <v>0.3653262913028108</v>
      </c>
      <c r="R46" s="122">
        <v>-6.7370869718919035E-4</v>
      </c>
      <c r="S46" s="122">
        <v>11.474489965879302</v>
      </c>
      <c r="T46" s="122">
        <v>-7.7304636858229817E-2</v>
      </c>
      <c r="U46" s="122">
        <v>-6.7370869718919035</v>
      </c>
      <c r="V46" s="119">
        <v>1.08</v>
      </c>
      <c r="W46" s="120">
        <v>-30.181838126035053</v>
      </c>
      <c r="X46" s="120">
        <v>1.078036393164244</v>
      </c>
      <c r="Y46" s="122">
        <v>-1.9636068357560266E-3</v>
      </c>
      <c r="Z46" s="122">
        <v>448.91413566146747</v>
      </c>
      <c r="AA46" s="122">
        <v>-8.8149086545236592</v>
      </c>
      <c r="AB46" s="122">
        <v>-19.636068357560266</v>
      </c>
    </row>
    <row r="47" spans="1:28" x14ac:dyDescent="0.25">
      <c r="A47" s="113">
        <v>1</v>
      </c>
      <c r="B47" s="113" t="s">
        <v>52</v>
      </c>
      <c r="C47" s="113" t="s">
        <v>30</v>
      </c>
      <c r="D47" s="113" t="s">
        <v>427</v>
      </c>
      <c r="E47" s="113">
        <v>1</v>
      </c>
      <c r="F47" s="114" t="s">
        <v>73</v>
      </c>
      <c r="G47" s="113">
        <v>41</v>
      </c>
      <c r="H47" s="113">
        <v>4.4279999999999999</v>
      </c>
      <c r="I47" s="113"/>
      <c r="J47" s="116">
        <v>1.3880354307513116</v>
      </c>
      <c r="K47" s="116">
        <v>37.278976480066568</v>
      </c>
      <c r="L47" s="117">
        <v>26.857366645092277</v>
      </c>
      <c r="M47" s="125">
        <v>-1.1688176210412387</v>
      </c>
      <c r="N47" s="117">
        <v>-29.494021835189361</v>
      </c>
      <c r="O47" s="119">
        <v>0.36599999999999999</v>
      </c>
      <c r="P47" s="120">
        <v>-1.1688176210412387</v>
      </c>
      <c r="Q47" s="121">
        <v>0.36582713390147986</v>
      </c>
      <c r="R47" s="122">
        <v>-1.7286609852013024E-4</v>
      </c>
      <c r="S47" s="122">
        <v>13.880354307513116</v>
      </c>
      <c r="T47" s="122">
        <v>-2.3994426952168763E-2</v>
      </c>
      <c r="U47" s="122">
        <v>-1.7286609852013024</v>
      </c>
      <c r="V47" s="119">
        <v>1.08</v>
      </c>
      <c r="W47" s="120">
        <v>-29.494021835189361</v>
      </c>
      <c r="X47" s="120">
        <v>1.0787927121025578</v>
      </c>
      <c r="Y47" s="122">
        <v>-1.2072878974422885E-3</v>
      </c>
      <c r="Z47" s="122">
        <v>372.78976480066569</v>
      </c>
      <c r="AA47" s="122">
        <v>-4.500645713342009</v>
      </c>
      <c r="AB47" s="122">
        <v>-12.072878974422885</v>
      </c>
    </row>
    <row r="48" spans="1:28" x14ac:dyDescent="0.25">
      <c r="A48" s="126">
        <v>1</v>
      </c>
      <c r="B48" s="113" t="s">
        <v>56</v>
      </c>
      <c r="C48" s="113" t="s">
        <v>26</v>
      </c>
      <c r="D48" s="113" t="s">
        <v>427</v>
      </c>
      <c r="E48" s="113">
        <v>1</v>
      </c>
      <c r="F48" s="114" t="s">
        <v>74</v>
      </c>
      <c r="G48" s="113">
        <v>43</v>
      </c>
      <c r="H48" s="113">
        <v>4.5419999999999998</v>
      </c>
      <c r="I48" s="113"/>
      <c r="J48" s="116">
        <v>1.1480553355868917</v>
      </c>
      <c r="K48" s="116">
        <v>37.427336203270002</v>
      </c>
      <c r="L48" s="117">
        <v>32.600637829131266</v>
      </c>
      <c r="M48" s="125">
        <v>-0.66996516800450323</v>
      </c>
      <c r="N48" s="117">
        <v>-30.273955014687434</v>
      </c>
      <c r="O48" s="119">
        <v>0.36599999999999999</v>
      </c>
      <c r="P48" s="120">
        <v>-0.66996516800450323</v>
      </c>
      <c r="Q48" s="121">
        <v>0.36600917249061243</v>
      </c>
      <c r="R48" s="122">
        <v>9.1724906124412975E-6</v>
      </c>
      <c r="S48" s="122">
        <v>11.480553355868917</v>
      </c>
      <c r="T48" s="122">
        <v>1.0530526788233908E-3</v>
      </c>
      <c r="U48" s="122">
        <v>9.1724906124412975E-2</v>
      </c>
      <c r="V48" s="119">
        <v>1.08</v>
      </c>
      <c r="W48" s="120">
        <v>-30.273955014687434</v>
      </c>
      <c r="X48" s="120">
        <v>1.0779351010716243</v>
      </c>
      <c r="Y48" s="122">
        <v>-2.0648989283758024E-3</v>
      </c>
      <c r="Z48" s="122">
        <v>374.27336203269999</v>
      </c>
      <c r="AA48" s="122">
        <v>-7.7283666418093091</v>
      </c>
      <c r="AB48" s="122">
        <v>-20.648989283758024</v>
      </c>
    </row>
    <row r="49" spans="1:28" x14ac:dyDescent="0.25">
      <c r="A49" s="113">
        <v>1</v>
      </c>
      <c r="B49" s="113" t="s">
        <v>56</v>
      </c>
      <c r="C49" s="113" t="s">
        <v>26</v>
      </c>
      <c r="D49" s="113" t="s">
        <v>428</v>
      </c>
      <c r="E49" s="113">
        <v>1</v>
      </c>
      <c r="F49" s="114" t="s">
        <v>75</v>
      </c>
      <c r="G49" s="113">
        <v>44</v>
      </c>
      <c r="H49" s="113">
        <v>4.8239999999999998</v>
      </c>
      <c r="I49" s="113"/>
      <c r="J49" s="116">
        <v>1.1613236805935629</v>
      </c>
      <c r="K49" s="116">
        <v>45.095775323963984</v>
      </c>
      <c r="L49" s="117">
        <v>38.831357766609159</v>
      </c>
      <c r="M49" s="125">
        <v>-0.82413221891652733</v>
      </c>
      <c r="N49" s="117">
        <v>-30.071069955843111</v>
      </c>
      <c r="O49" s="119">
        <v>0.36599999999999999</v>
      </c>
      <c r="P49" s="120">
        <v>-0.82413221891652733</v>
      </c>
      <c r="Q49" s="121">
        <v>0.3659529147397711</v>
      </c>
      <c r="R49" s="122">
        <v>-4.7085260228896253E-5</v>
      </c>
      <c r="S49" s="122">
        <v>11.61323680593563</v>
      </c>
      <c r="T49" s="122">
        <v>-5.4681227710727505E-3</v>
      </c>
      <c r="U49" s="122">
        <v>-0.47085260228896253</v>
      </c>
      <c r="V49" s="119">
        <v>1.08</v>
      </c>
      <c r="W49" s="120">
        <v>-30.071069955843111</v>
      </c>
      <c r="X49" s="120">
        <v>1.078158194004621</v>
      </c>
      <c r="Y49" s="122">
        <v>-1.8418059953790866E-3</v>
      </c>
      <c r="Z49" s="122">
        <v>450.95775323963989</v>
      </c>
      <c r="AA49" s="122">
        <v>-8.3057669357945141</v>
      </c>
      <c r="AB49" s="122">
        <v>-18.418059953790866</v>
      </c>
    </row>
    <row r="50" spans="1:28" x14ac:dyDescent="0.25">
      <c r="A50" s="113">
        <v>1</v>
      </c>
      <c r="B50" s="113" t="s">
        <v>56</v>
      </c>
      <c r="C50" s="113" t="s">
        <v>28</v>
      </c>
      <c r="D50" s="113" t="s">
        <v>427</v>
      </c>
      <c r="E50" s="113">
        <v>1</v>
      </c>
      <c r="F50" s="114" t="s">
        <v>76</v>
      </c>
      <c r="G50" s="113">
        <v>45</v>
      </c>
      <c r="H50" s="113">
        <v>4.4859999999999998</v>
      </c>
      <c r="I50" s="113"/>
      <c r="J50" s="116">
        <v>1.4168484913233743</v>
      </c>
      <c r="K50" s="116">
        <v>43.972697608346934</v>
      </c>
      <c r="L50" s="117">
        <v>31.035567936607862</v>
      </c>
      <c r="M50" s="125">
        <v>0.17732331492664621</v>
      </c>
      <c r="N50" s="117">
        <v>-29.402051774330886</v>
      </c>
      <c r="O50" s="119">
        <v>0.36599999999999999</v>
      </c>
      <c r="P50" s="120">
        <v>0.17732331492664621</v>
      </c>
      <c r="Q50" s="121">
        <v>0.36631835898180559</v>
      </c>
      <c r="R50" s="122">
        <v>3.1835898180559985E-4</v>
      </c>
      <c r="S50" s="122">
        <v>14.168484913233742</v>
      </c>
      <c r="T50" s="122">
        <v>4.5106644307050969E-2</v>
      </c>
      <c r="U50" s="122">
        <v>3.1835898180559985</v>
      </c>
      <c r="V50" s="119">
        <v>1.08</v>
      </c>
      <c r="W50" s="120">
        <v>-29.402051774330886</v>
      </c>
      <c r="X50" s="120">
        <v>1.0788938409894155</v>
      </c>
      <c r="Y50" s="122">
        <v>-1.1061590105845287E-3</v>
      </c>
      <c r="Z50" s="122">
        <v>439.72697608346931</v>
      </c>
      <c r="AA50" s="122">
        <v>-4.8640795679181714</v>
      </c>
      <c r="AB50" s="122">
        <v>-11.061590105845287</v>
      </c>
    </row>
    <row r="51" spans="1:28" x14ac:dyDescent="0.25">
      <c r="A51" s="113">
        <v>1</v>
      </c>
      <c r="B51" s="113" t="s">
        <v>56</v>
      </c>
      <c r="C51" s="113" t="s">
        <v>28</v>
      </c>
      <c r="D51" s="113" t="s">
        <v>428</v>
      </c>
      <c r="E51" s="113">
        <v>1</v>
      </c>
      <c r="F51" s="114" t="s">
        <v>77</v>
      </c>
      <c r="G51" s="113">
        <v>46</v>
      </c>
      <c r="H51" s="113">
        <v>4.758</v>
      </c>
      <c r="I51" s="113"/>
      <c r="J51" s="116">
        <v>1.2323168118596701</v>
      </c>
      <c r="K51" s="116">
        <v>43.086594153293731</v>
      </c>
      <c r="L51" s="117">
        <v>34.963893812559796</v>
      </c>
      <c r="M51" s="125">
        <v>3.7254070841054245</v>
      </c>
      <c r="N51" s="117">
        <v>-28.182626671666171</v>
      </c>
      <c r="O51" s="119">
        <v>0.36599999999999999</v>
      </c>
      <c r="P51" s="120">
        <v>3.7254070841054245</v>
      </c>
      <c r="Q51" s="121">
        <v>0.36761307965054946</v>
      </c>
      <c r="R51" s="122">
        <v>1.6130796505494649E-3</v>
      </c>
      <c r="S51" s="122">
        <v>12.323168118596701</v>
      </c>
      <c r="T51" s="122">
        <v>0.19878251722408277</v>
      </c>
      <c r="U51" s="122">
        <v>16.130796505494651</v>
      </c>
      <c r="V51" s="119">
        <v>1.08</v>
      </c>
      <c r="W51" s="120">
        <v>-28.182626671666171</v>
      </c>
      <c r="X51" s="120">
        <v>1.0802346828293548</v>
      </c>
      <c r="Y51" s="122">
        <v>2.346828293546821E-4</v>
      </c>
      <c r="Z51" s="122">
        <v>430.86594153293731</v>
      </c>
      <c r="AA51" s="122">
        <v>1.0111683823151876</v>
      </c>
      <c r="AB51" s="122">
        <v>2.346828293546821</v>
      </c>
    </row>
    <row r="52" spans="1:28" x14ac:dyDescent="0.25">
      <c r="A52" s="113">
        <v>1</v>
      </c>
      <c r="B52" s="113" t="s">
        <v>56</v>
      </c>
      <c r="C52" s="113" t="s">
        <v>30</v>
      </c>
      <c r="D52" s="113" t="s">
        <v>427</v>
      </c>
      <c r="E52" s="113">
        <v>1</v>
      </c>
      <c r="F52" s="114" t="s">
        <v>78</v>
      </c>
      <c r="G52" s="113">
        <v>47</v>
      </c>
      <c r="H52" s="113">
        <v>4.1719999999999997</v>
      </c>
      <c r="I52" s="113"/>
      <c r="J52" s="116">
        <v>1.3736294718857116</v>
      </c>
      <c r="K52" s="116">
        <v>42.144327613742497</v>
      </c>
      <c r="L52" s="117">
        <v>30.681001300799828</v>
      </c>
      <c r="M52" s="117">
        <v>0.76826046575739382</v>
      </c>
      <c r="N52" s="117">
        <v>-28.718911845055686</v>
      </c>
      <c r="O52" s="119">
        <v>0.36599999999999999</v>
      </c>
      <c r="P52" s="120">
        <v>0.76826046575739382</v>
      </c>
      <c r="Q52" s="121">
        <v>0.36653399843097872</v>
      </c>
      <c r="R52" s="122">
        <v>5.3399843097873267E-4</v>
      </c>
      <c r="S52" s="122">
        <v>13.736294718857115</v>
      </c>
      <c r="T52" s="122">
        <v>7.3351598273311516E-2</v>
      </c>
      <c r="U52" s="122">
        <v>5.3399843097873267</v>
      </c>
      <c r="V52" s="119">
        <v>1.08</v>
      </c>
      <c r="W52" s="120">
        <v>-28.718911845055686</v>
      </c>
      <c r="X52" s="120">
        <v>1.0796450048436248</v>
      </c>
      <c r="Y52" s="122">
        <v>-3.5499515637527068E-4</v>
      </c>
      <c r="Z52" s="122">
        <v>421.44327613742502</v>
      </c>
      <c r="AA52" s="122">
        <v>-1.4961032171571158</v>
      </c>
      <c r="AB52" s="122">
        <v>-3.5499515637527068</v>
      </c>
    </row>
    <row r="53" spans="1:28" x14ac:dyDescent="0.25">
      <c r="A53" s="113">
        <v>1</v>
      </c>
      <c r="B53" s="113" t="s">
        <v>56</v>
      </c>
      <c r="C53" s="113" t="s">
        <v>30</v>
      </c>
      <c r="D53" s="113" t="s">
        <v>428</v>
      </c>
      <c r="E53" s="113">
        <v>1</v>
      </c>
      <c r="F53" s="114" t="s">
        <v>79</v>
      </c>
      <c r="G53" s="113">
        <v>48</v>
      </c>
      <c r="H53" s="113">
        <v>4.2889999999999997</v>
      </c>
      <c r="I53" s="113"/>
      <c r="J53" s="116">
        <v>0.86896483134821567</v>
      </c>
      <c r="K53" s="116">
        <v>42.573322811088943</v>
      </c>
      <c r="L53" s="117">
        <v>48.993148255534827</v>
      </c>
      <c r="M53" s="117">
        <v>4.4518425702024791</v>
      </c>
      <c r="N53" s="117">
        <v>-26.965048333365136</v>
      </c>
      <c r="O53" s="119">
        <v>0.36599999999999999</v>
      </c>
      <c r="P53" s="120">
        <v>4.4518425702024791</v>
      </c>
      <c r="Q53" s="121">
        <v>0.36787815690780229</v>
      </c>
      <c r="R53" s="122">
        <v>1.8781569078022975E-3</v>
      </c>
      <c r="S53" s="122">
        <v>8.6896483134821558</v>
      </c>
      <c r="T53" s="122">
        <v>0.16320523006339097</v>
      </c>
      <c r="U53" s="122">
        <v>18.781569078022976</v>
      </c>
      <c r="V53" s="119">
        <v>1.08</v>
      </c>
      <c r="W53" s="120">
        <v>-26.965048333365136</v>
      </c>
      <c r="X53" s="120">
        <v>1.0815734577584695</v>
      </c>
      <c r="Y53" s="122">
        <v>1.5734577584693987E-3</v>
      </c>
      <c r="Z53" s="122">
        <v>425.7332281108894</v>
      </c>
      <c r="AA53" s="122">
        <v>6.6987325080930118</v>
      </c>
      <c r="AB53" s="122">
        <v>15.734577584693987</v>
      </c>
    </row>
    <row r="54" spans="1:28" x14ac:dyDescent="0.25">
      <c r="A54" s="126">
        <v>2</v>
      </c>
      <c r="B54" s="113" t="s">
        <v>25</v>
      </c>
      <c r="C54" s="113" t="s">
        <v>28</v>
      </c>
      <c r="D54" s="113" t="s">
        <v>427</v>
      </c>
      <c r="E54" s="113">
        <v>1</v>
      </c>
      <c r="F54" s="114" t="s">
        <v>80</v>
      </c>
      <c r="G54" s="113">
        <v>51</v>
      </c>
      <c r="H54" s="113">
        <v>4.2850000000000001</v>
      </c>
      <c r="I54" s="113"/>
      <c r="J54" s="116">
        <v>1.485984301743108</v>
      </c>
      <c r="K54" s="116">
        <v>37.795876521542361</v>
      </c>
      <c r="L54" s="117">
        <v>25.434909694003199</v>
      </c>
      <c r="M54" s="117">
        <v>96.879823825968614</v>
      </c>
      <c r="N54" s="117">
        <v>-26.880415127198635</v>
      </c>
      <c r="O54" s="119">
        <v>0.36599999999999999</v>
      </c>
      <c r="P54" s="120">
        <v>96.879823825968614</v>
      </c>
      <c r="Q54" s="121">
        <v>0.40159374495824351</v>
      </c>
      <c r="R54" s="122">
        <v>3.5593744958243523E-2</v>
      </c>
      <c r="S54" s="122">
        <v>14.85984301743108</v>
      </c>
      <c r="T54" s="122">
        <v>5.2891746248197773</v>
      </c>
      <c r="U54" s="122">
        <v>355.93744958243525</v>
      </c>
      <c r="V54" s="119">
        <v>1.08</v>
      </c>
      <c r="W54" s="120">
        <v>-26.880415127198635</v>
      </c>
      <c r="X54" s="120">
        <v>1.08166651392658</v>
      </c>
      <c r="Y54" s="122">
        <v>1.6665139265799045E-3</v>
      </c>
      <c r="Z54" s="122">
        <v>377.95876521542363</v>
      </c>
      <c r="AA54" s="122">
        <v>6.2987354590444786</v>
      </c>
      <c r="AB54" s="122">
        <v>16.665139265799045</v>
      </c>
    </row>
    <row r="55" spans="1:28" x14ac:dyDescent="0.25">
      <c r="A55" s="113"/>
      <c r="B55" s="113"/>
      <c r="C55" s="113"/>
      <c r="D55" s="113"/>
      <c r="E55" s="113"/>
      <c r="F55" s="113"/>
      <c r="G55" s="113"/>
      <c r="H55" s="113"/>
      <c r="I55" s="124" t="s">
        <v>469</v>
      </c>
      <c r="J55" s="116">
        <v>3.1631671149772003</v>
      </c>
      <c r="K55" s="116">
        <v>53.795893977485186</v>
      </c>
      <c r="L55" s="117">
        <v>17.006971817191815</v>
      </c>
      <c r="M55" s="117">
        <v>1.7918788665405545</v>
      </c>
      <c r="N55" s="117">
        <v>-26.017897321067458</v>
      </c>
      <c r="O55" s="119">
        <v>0.36599999999999999</v>
      </c>
      <c r="P55" s="120">
        <v>1.7918788665405545</v>
      </c>
      <c r="Q55" s="121">
        <v>0.3669075258061556</v>
      </c>
      <c r="R55" s="122">
        <v>9.0752580615560685E-4</v>
      </c>
      <c r="S55" s="122">
        <v>31.631671149772</v>
      </c>
      <c r="T55" s="122">
        <v>0.2870655786024589</v>
      </c>
      <c r="U55" s="122">
        <v>9.0752580615560685</v>
      </c>
      <c r="V55" s="119">
        <v>1.08</v>
      </c>
      <c r="W55" s="120">
        <v>-26.017897321067458</v>
      </c>
      <c r="X55" s="120">
        <v>1.0826148622239367</v>
      </c>
      <c r="Y55" s="122">
        <v>2.6148622239365871E-3</v>
      </c>
      <c r="Z55" s="122">
        <v>537.95893977485184</v>
      </c>
      <c r="AA55" s="122">
        <v>14.066885096462377</v>
      </c>
      <c r="AB55" s="122">
        <v>26.148622239365871</v>
      </c>
    </row>
    <row r="56" spans="1:28" x14ac:dyDescent="0.25">
      <c r="A56" s="113">
        <v>2</v>
      </c>
      <c r="B56" s="113" t="s">
        <v>25</v>
      </c>
      <c r="C56" s="113" t="s">
        <v>28</v>
      </c>
      <c r="D56" s="113" t="s">
        <v>428</v>
      </c>
      <c r="E56" s="113">
        <v>1</v>
      </c>
      <c r="F56" s="114" t="s">
        <v>81</v>
      </c>
      <c r="G56" s="113">
        <v>52</v>
      </c>
      <c r="H56" s="113">
        <v>4.4109999999999996</v>
      </c>
      <c r="I56" s="113"/>
      <c r="J56" s="116">
        <v>1.3717765402897801</v>
      </c>
      <c r="K56" s="116">
        <v>42.96665100463769</v>
      </c>
      <c r="L56" s="117">
        <v>31.32190246930541</v>
      </c>
      <c r="M56" s="117">
        <v>14.780684856946401</v>
      </c>
      <c r="N56" s="117">
        <v>-26.778585681095649</v>
      </c>
      <c r="O56" s="119">
        <v>0.36599999999999999</v>
      </c>
      <c r="P56" s="120">
        <v>14.780684856946401</v>
      </c>
      <c r="Q56" s="121">
        <v>0.37164701234251962</v>
      </c>
      <c r="R56" s="122">
        <v>5.6470123425196306E-3</v>
      </c>
      <c r="S56" s="122">
        <v>13.717765402897802</v>
      </c>
      <c r="T56" s="122">
        <v>0.77464390541952666</v>
      </c>
      <c r="U56" s="122">
        <v>56.470123425196306</v>
      </c>
      <c r="V56" s="119">
        <v>1.08</v>
      </c>
      <c r="W56" s="120">
        <v>-26.778585681095649</v>
      </c>
      <c r="X56" s="120">
        <v>1.0817784775262653</v>
      </c>
      <c r="Y56" s="122">
        <v>1.7784775262652541E-3</v>
      </c>
      <c r="Z56" s="122">
        <v>429.66651004637691</v>
      </c>
      <c r="AA56" s="122">
        <v>7.6415223190630535</v>
      </c>
      <c r="AB56" s="122">
        <v>17.784775262652541</v>
      </c>
    </row>
    <row r="57" spans="1:28" x14ac:dyDescent="0.25">
      <c r="A57" s="113">
        <v>2</v>
      </c>
      <c r="B57" s="113" t="s">
        <v>25</v>
      </c>
      <c r="C57" s="113" t="s">
        <v>30</v>
      </c>
      <c r="D57" s="113" t="s">
        <v>427</v>
      </c>
      <c r="E57" s="113">
        <v>1</v>
      </c>
      <c r="F57" s="114" t="s">
        <v>82</v>
      </c>
      <c r="G57" s="113">
        <v>53</v>
      </c>
      <c r="H57" s="113">
        <v>4.3849999999999998</v>
      </c>
      <c r="I57" s="113"/>
      <c r="J57" s="116">
        <v>1.4886494883278858</v>
      </c>
      <c r="K57" s="116">
        <v>41.421121630760908</v>
      </c>
      <c r="L57" s="117">
        <v>27.8246302810253</v>
      </c>
      <c r="M57" s="117">
        <v>72.565753176703666</v>
      </c>
      <c r="N57" s="117">
        <v>-27.01193491584327</v>
      </c>
      <c r="O57" s="119">
        <v>0.36599999999999999</v>
      </c>
      <c r="P57" s="120">
        <v>72.565753176703666</v>
      </c>
      <c r="Q57" s="121">
        <v>0.39272674681570524</v>
      </c>
      <c r="R57" s="122">
        <v>2.6726746815705249E-2</v>
      </c>
      <c r="S57" s="122">
        <v>14.886494883278859</v>
      </c>
      <c r="T57" s="122">
        <v>3.9786757971868565</v>
      </c>
      <c r="U57" s="122">
        <v>267.26746815705246</v>
      </c>
      <c r="V57" s="119">
        <v>1.08</v>
      </c>
      <c r="W57" s="120">
        <v>-27.01193491584327</v>
      </c>
      <c r="X57" s="120">
        <v>1.081521904800981</v>
      </c>
      <c r="Y57" s="122">
        <v>1.5219048009809111E-3</v>
      </c>
      <c r="Z57" s="122">
        <v>414.21121630760911</v>
      </c>
      <c r="AA57" s="122">
        <v>6.3039003871869292</v>
      </c>
      <c r="AB57" s="122">
        <v>15.219048009809111</v>
      </c>
    </row>
    <row r="58" spans="1:28" x14ac:dyDescent="0.25">
      <c r="A58" s="113">
        <v>2</v>
      </c>
      <c r="B58" s="113" t="s">
        <v>25</v>
      </c>
      <c r="C58" s="113" t="s">
        <v>30</v>
      </c>
      <c r="D58" s="113" t="s">
        <v>428</v>
      </c>
      <c r="E58" s="113">
        <v>1</v>
      </c>
      <c r="F58" s="114" t="s">
        <v>83</v>
      </c>
      <c r="G58" s="113">
        <v>54</v>
      </c>
      <c r="H58" s="113">
        <v>4.327</v>
      </c>
      <c r="I58" s="113"/>
      <c r="J58" s="116">
        <v>0.88732165838452615</v>
      </c>
      <c r="K58" s="116">
        <v>43.776709518197507</v>
      </c>
      <c r="L58" s="117">
        <v>49.335783821504116</v>
      </c>
      <c r="M58" s="117">
        <v>4.073409116748909</v>
      </c>
      <c r="N58" s="117">
        <v>-27.195198534816477</v>
      </c>
      <c r="O58" s="119">
        <v>0.36599999999999999</v>
      </c>
      <c r="P58" s="120">
        <v>4.073409116748909</v>
      </c>
      <c r="Q58" s="121">
        <v>0.36774006622258854</v>
      </c>
      <c r="R58" s="122">
        <v>1.7400662225885433E-3</v>
      </c>
      <c r="S58" s="122">
        <v>8.8732165838452612</v>
      </c>
      <c r="T58" s="122">
        <v>0.15439984463261641</v>
      </c>
      <c r="U58" s="122">
        <v>17.400662225885434</v>
      </c>
      <c r="V58" s="119">
        <v>1.08</v>
      </c>
      <c r="W58" s="120">
        <v>-27.195198534816477</v>
      </c>
      <c r="X58" s="120">
        <v>1.0813204014021753</v>
      </c>
      <c r="Y58" s="122">
        <v>1.3204014021752641E-3</v>
      </c>
      <c r="Z58" s="122">
        <v>437.76709518197504</v>
      </c>
      <c r="AA58" s="122">
        <v>5.7802828630447216</v>
      </c>
      <c r="AB58" s="122">
        <v>13.204014021752641</v>
      </c>
    </row>
    <row r="59" spans="1:28" x14ac:dyDescent="0.25">
      <c r="A59" s="113">
        <v>2</v>
      </c>
      <c r="B59" s="113" t="s">
        <v>32</v>
      </c>
      <c r="C59" s="113" t="s">
        <v>26</v>
      </c>
      <c r="D59" s="113" t="s">
        <v>427</v>
      </c>
      <c r="E59" s="113">
        <v>1</v>
      </c>
      <c r="F59" s="114" t="s">
        <v>84</v>
      </c>
      <c r="G59" s="113">
        <v>55</v>
      </c>
      <c r="H59" s="113">
        <v>4.5519999999999996</v>
      </c>
      <c r="I59" s="113"/>
      <c r="J59" s="116">
        <v>1.7854744685181358</v>
      </c>
      <c r="K59" s="116">
        <v>43.592927058904586</v>
      </c>
      <c r="L59" s="117">
        <v>24.41531807233557</v>
      </c>
      <c r="M59" s="117">
        <v>230.39442967967489</v>
      </c>
      <c r="N59" s="117">
        <v>-25.505031769184225</v>
      </c>
      <c r="O59" s="119">
        <v>0.36599999999999999</v>
      </c>
      <c r="P59" s="120">
        <v>230.39442967967489</v>
      </c>
      <c r="Q59" s="121">
        <v>0.45025651369122255</v>
      </c>
      <c r="R59" s="122">
        <v>8.4256513691222557E-2</v>
      </c>
      <c r="S59" s="122">
        <v>17.854744685181359</v>
      </c>
      <c r="T59" s="122">
        <v>15.043785400202664</v>
      </c>
      <c r="U59" s="122">
        <v>842.56513691222551</v>
      </c>
      <c r="V59" s="119">
        <v>1.08</v>
      </c>
      <c r="W59" s="120">
        <v>-25.505031769184225</v>
      </c>
      <c r="X59" s="120">
        <v>1.083178755205449</v>
      </c>
      <c r="Y59" s="122">
        <v>3.1787552054489687E-3</v>
      </c>
      <c r="Z59" s="122">
        <v>435.92927058904587</v>
      </c>
      <c r="AA59" s="122">
        <v>13.857124380925015</v>
      </c>
      <c r="AB59" s="122">
        <v>31.787552054489687</v>
      </c>
    </row>
    <row r="60" spans="1:28" x14ac:dyDescent="0.25">
      <c r="A60" s="113">
        <v>2</v>
      </c>
      <c r="B60" s="113" t="s">
        <v>32</v>
      </c>
      <c r="C60" s="113" t="s">
        <v>26</v>
      </c>
      <c r="D60" s="113" t="s">
        <v>428</v>
      </c>
      <c r="E60" s="113">
        <v>1</v>
      </c>
      <c r="F60" s="114" t="s">
        <v>85</v>
      </c>
      <c r="G60" s="113">
        <v>56</v>
      </c>
      <c r="H60" s="113">
        <v>4.4669999999999996</v>
      </c>
      <c r="I60" s="113"/>
      <c r="J60" s="116">
        <v>1.6262749957205951</v>
      </c>
      <c r="K60" s="116">
        <v>44.338735979257585</v>
      </c>
      <c r="L60" s="117">
        <v>27.263984317493176</v>
      </c>
      <c r="M60" s="117">
        <v>295.89364816604115</v>
      </c>
      <c r="N60" s="117">
        <v>-25.150134806108959</v>
      </c>
      <c r="O60" s="119">
        <v>0.36599999999999999</v>
      </c>
      <c r="P60" s="120">
        <v>295.89364816604115</v>
      </c>
      <c r="Q60" s="121">
        <v>0.47411197545378991</v>
      </c>
      <c r="R60" s="122">
        <v>0.10811197545378992</v>
      </c>
      <c r="S60" s="122">
        <v>16.262749957205951</v>
      </c>
      <c r="T60" s="122">
        <v>17.581980241845727</v>
      </c>
      <c r="U60" s="122">
        <v>1081.1197545378993</v>
      </c>
      <c r="V60" s="119">
        <v>1.08</v>
      </c>
      <c r="W60" s="120">
        <v>-25.150134806108959</v>
      </c>
      <c r="X60" s="120">
        <v>1.0835689587892747</v>
      </c>
      <c r="Y60" s="122">
        <v>3.5689587892746566E-3</v>
      </c>
      <c r="Z60" s="122">
        <v>443.38735979257586</v>
      </c>
      <c r="AA60" s="122">
        <v>15.824312147849982</v>
      </c>
      <c r="AB60" s="122">
        <v>35.689587892746566</v>
      </c>
    </row>
    <row r="61" spans="1:28" x14ac:dyDescent="0.25">
      <c r="A61" s="113">
        <v>2</v>
      </c>
      <c r="B61" s="113" t="s">
        <v>32</v>
      </c>
      <c r="C61" s="113" t="s">
        <v>28</v>
      </c>
      <c r="D61" s="113" t="s">
        <v>427</v>
      </c>
      <c r="E61" s="113">
        <v>1</v>
      </c>
      <c r="F61" s="114" t="s">
        <v>86</v>
      </c>
      <c r="G61" s="113">
        <v>57</v>
      </c>
      <c r="H61" s="113">
        <v>4.3760000000000003</v>
      </c>
      <c r="I61" s="113"/>
      <c r="J61" s="116">
        <v>1.5125460089053586</v>
      </c>
      <c r="K61" s="116">
        <v>42.85433760612279</v>
      </c>
      <c r="L61" s="117">
        <v>28.33258449912331</v>
      </c>
      <c r="M61" s="117">
        <v>79.937738124281054</v>
      </c>
      <c r="N61" s="117">
        <v>-28.155926985606779</v>
      </c>
      <c r="O61" s="119">
        <v>0.36599999999999999</v>
      </c>
      <c r="P61" s="120">
        <v>79.937738124281054</v>
      </c>
      <c r="Q61" s="121">
        <v>0.39541537237349011</v>
      </c>
      <c r="R61" s="122">
        <v>2.9415372373490123E-2</v>
      </c>
      <c r="S61" s="122">
        <v>15.125460089053586</v>
      </c>
      <c r="T61" s="122">
        <v>4.4492104083987432</v>
      </c>
      <c r="U61" s="122">
        <v>294.15372373490123</v>
      </c>
      <c r="V61" s="119">
        <v>1.08</v>
      </c>
      <c r="W61" s="120">
        <v>-28.155926985606779</v>
      </c>
      <c r="X61" s="120">
        <v>1.0802640405654069</v>
      </c>
      <c r="Y61" s="122">
        <v>2.6404056540685339E-4</v>
      </c>
      <c r="Z61" s="122">
        <v>428.54337606122789</v>
      </c>
      <c r="AA61" s="122">
        <v>1.1315283531656841</v>
      </c>
      <c r="AB61" s="122">
        <v>2.6404056540685339</v>
      </c>
    </row>
    <row r="62" spans="1:28" x14ac:dyDescent="0.25">
      <c r="A62" s="113">
        <v>2</v>
      </c>
      <c r="B62" s="113" t="s">
        <v>32</v>
      </c>
      <c r="C62" s="113" t="s">
        <v>28</v>
      </c>
      <c r="D62" s="113" t="s">
        <v>428</v>
      </c>
      <c r="E62" s="113">
        <v>1</v>
      </c>
      <c r="F62" s="114" t="s">
        <v>429</v>
      </c>
      <c r="G62" s="113">
        <v>58</v>
      </c>
      <c r="H62" s="113">
        <v>4.8470000000000004</v>
      </c>
      <c r="I62" s="113"/>
      <c r="J62" s="116">
        <v>1.1279987032608676</v>
      </c>
      <c r="K62" s="116">
        <v>40.487672442699285</v>
      </c>
      <c r="L62" s="117">
        <v>35.893367896306763</v>
      </c>
      <c r="M62" s="117">
        <v>277.1215325756574</v>
      </c>
      <c r="N62" s="117">
        <v>-25.797511628978828</v>
      </c>
      <c r="O62" s="119">
        <v>0.36599999999999999</v>
      </c>
      <c r="P62" s="120">
        <v>277.1215325756574</v>
      </c>
      <c r="Q62" s="121">
        <v>0.46727615459418209</v>
      </c>
      <c r="R62" s="122">
        <v>0.1012761545941821</v>
      </c>
      <c r="S62" s="122">
        <v>11.279987032608677</v>
      </c>
      <c r="T62" s="122">
        <v>11.423937105348459</v>
      </c>
      <c r="U62" s="122">
        <v>1012.7615459418211</v>
      </c>
      <c r="V62" s="119">
        <v>1.08</v>
      </c>
      <c r="W62" s="120">
        <v>-25.797511628978828</v>
      </c>
      <c r="X62" s="120">
        <v>1.0828571759230217</v>
      </c>
      <c r="Y62" s="122">
        <v>2.8571759230215932E-3</v>
      </c>
      <c r="Z62" s="122">
        <v>404.87672442699284</v>
      </c>
      <c r="AA62" s="122">
        <v>11.568040288246525</v>
      </c>
      <c r="AB62" s="122">
        <v>28.571759230215932</v>
      </c>
    </row>
    <row r="63" spans="1:28" x14ac:dyDescent="0.25">
      <c r="A63" s="113">
        <v>2</v>
      </c>
      <c r="B63" s="113" t="s">
        <v>32</v>
      </c>
      <c r="C63" s="113" t="s">
        <v>30</v>
      </c>
      <c r="D63" s="113" t="s">
        <v>427</v>
      </c>
      <c r="E63" s="113">
        <v>1</v>
      </c>
      <c r="F63" s="114" t="s">
        <v>430</v>
      </c>
      <c r="G63" s="113">
        <v>59</v>
      </c>
      <c r="H63" s="113">
        <v>4.0839999999999996</v>
      </c>
      <c r="I63" s="113"/>
      <c r="J63" s="116">
        <v>1.0611421439890345</v>
      </c>
      <c r="K63" s="116">
        <v>42.89946051231248</v>
      </c>
      <c r="L63" s="117">
        <v>40.427628621972609</v>
      </c>
      <c r="M63" s="117">
        <v>9.0065047494547894</v>
      </c>
      <c r="N63" s="117">
        <v>-27.668857437145</v>
      </c>
      <c r="O63" s="119">
        <v>0.36599999999999999</v>
      </c>
      <c r="P63" s="120">
        <v>9.0065047494547894</v>
      </c>
      <c r="Q63" s="121">
        <v>0.36954012693747418</v>
      </c>
      <c r="R63" s="122">
        <v>3.5401269374741862E-3</v>
      </c>
      <c r="S63" s="122">
        <v>10.611421439890346</v>
      </c>
      <c r="T63" s="122">
        <v>0.37565778884246931</v>
      </c>
      <c r="U63" s="122">
        <v>35.401269374741858</v>
      </c>
      <c r="V63" s="119">
        <v>1.08</v>
      </c>
      <c r="W63" s="120">
        <v>-27.668857437145</v>
      </c>
      <c r="X63" s="120">
        <v>1.0807995965846942</v>
      </c>
      <c r="Y63" s="122">
        <v>7.9959658469408446E-4</v>
      </c>
      <c r="Z63" s="122">
        <v>428.99460512312481</v>
      </c>
      <c r="AA63" s="122">
        <v>3.4302262110863797</v>
      </c>
      <c r="AB63" s="122">
        <v>7.9959658469408446</v>
      </c>
    </row>
    <row r="64" spans="1:28" x14ac:dyDescent="0.25">
      <c r="A64" s="113">
        <v>2</v>
      </c>
      <c r="B64" s="113" t="s">
        <v>32</v>
      </c>
      <c r="C64" s="113" t="s">
        <v>30</v>
      </c>
      <c r="D64" s="113" t="s">
        <v>428</v>
      </c>
      <c r="E64" s="113">
        <v>1</v>
      </c>
      <c r="F64" s="114" t="s">
        <v>431</v>
      </c>
      <c r="G64" s="113">
        <v>60</v>
      </c>
      <c r="H64" s="113">
        <v>4.75</v>
      </c>
      <c r="I64" s="113"/>
      <c r="J64" s="116">
        <v>0.88068339123421158</v>
      </c>
      <c r="K64" s="116">
        <v>42.108794552043179</v>
      </c>
      <c r="L64" s="117">
        <v>47.813771635946111</v>
      </c>
      <c r="M64" s="117">
        <v>6.9276239403759687</v>
      </c>
      <c r="N64" s="117">
        <v>-26.959892765835868</v>
      </c>
      <c r="O64" s="119">
        <v>0.36599999999999999</v>
      </c>
      <c r="P64" s="120">
        <v>6.9276239403759687</v>
      </c>
      <c r="Q64" s="121">
        <v>0.36878156216675501</v>
      </c>
      <c r="R64" s="122">
        <v>2.7815621667550139E-3</v>
      </c>
      <c r="S64" s="122">
        <v>8.8068339123421158</v>
      </c>
      <c r="T64" s="122">
        <v>0.24496756019465868</v>
      </c>
      <c r="U64" s="122">
        <v>27.81562166755014</v>
      </c>
      <c r="V64" s="119">
        <v>1.08</v>
      </c>
      <c r="W64" s="120">
        <v>-26.959892765835868</v>
      </c>
      <c r="X64" s="120">
        <v>1.0815791264292465</v>
      </c>
      <c r="Y64" s="122">
        <v>1.5791264292464025E-3</v>
      </c>
      <c r="Z64" s="122">
        <v>421.08794552043184</v>
      </c>
      <c r="AA64" s="122">
        <v>6.6495110380838316</v>
      </c>
      <c r="AB64" s="122">
        <v>15.791264292464025</v>
      </c>
    </row>
    <row r="65" spans="1:28" x14ac:dyDescent="0.25">
      <c r="A65" s="113">
        <v>2</v>
      </c>
      <c r="B65" s="113" t="s">
        <v>36</v>
      </c>
      <c r="C65" s="113" t="s">
        <v>26</v>
      </c>
      <c r="D65" s="113" t="s">
        <v>427</v>
      </c>
      <c r="E65" s="113">
        <v>1</v>
      </c>
      <c r="F65" s="114" t="s">
        <v>87</v>
      </c>
      <c r="G65" s="113">
        <v>61</v>
      </c>
      <c r="H65" s="113">
        <v>4.3890000000000002</v>
      </c>
      <c r="I65" s="113"/>
      <c r="J65" s="116">
        <v>1.1667153857428123</v>
      </c>
      <c r="K65" s="116">
        <v>43.870682786613273</v>
      </c>
      <c r="L65" s="117">
        <v>37.601872164120074</v>
      </c>
      <c r="M65" s="117">
        <v>686.96421535282843</v>
      </c>
      <c r="N65" s="117">
        <v>-27.42368264688055</v>
      </c>
      <c r="O65" s="119">
        <v>0.36599999999999999</v>
      </c>
      <c r="P65" s="120">
        <v>686.96421535282843</v>
      </c>
      <c r="Q65" s="121">
        <v>0.61630615822997936</v>
      </c>
      <c r="R65" s="122">
        <v>0.25030615822997937</v>
      </c>
      <c r="S65" s="122">
        <v>11.667153857428122</v>
      </c>
      <c r="T65" s="122">
        <v>29.203604595309177</v>
      </c>
      <c r="U65" s="122">
        <v>2503.0615822997938</v>
      </c>
      <c r="V65" s="119">
        <v>1.08</v>
      </c>
      <c r="W65" s="120">
        <v>-27.42368264688055</v>
      </c>
      <c r="X65" s="120">
        <v>1.0810691756753841</v>
      </c>
      <c r="Y65" s="122">
        <v>1.0691756753840043E-3</v>
      </c>
      <c r="Z65" s="122">
        <v>438.70682786613276</v>
      </c>
      <c r="AA65" s="122">
        <v>4.6905466897934653</v>
      </c>
      <c r="AB65" s="122">
        <v>10.691756753840043</v>
      </c>
    </row>
    <row r="66" spans="1:28" x14ac:dyDescent="0.25">
      <c r="A66" s="113">
        <v>2</v>
      </c>
      <c r="B66" s="113" t="s">
        <v>36</v>
      </c>
      <c r="C66" s="113" t="s">
        <v>26</v>
      </c>
      <c r="D66" s="113" t="s">
        <v>428</v>
      </c>
      <c r="E66" s="113">
        <v>1</v>
      </c>
      <c r="F66" s="114" t="s">
        <v>88</v>
      </c>
      <c r="G66" s="113">
        <v>62</v>
      </c>
      <c r="H66" s="113">
        <v>4.1150000000000002</v>
      </c>
      <c r="I66" s="113"/>
      <c r="J66" s="116">
        <v>1.1376134585508986</v>
      </c>
      <c r="K66" s="116">
        <v>44.439663557481836</v>
      </c>
      <c r="L66" s="117">
        <v>39.063939709441762</v>
      </c>
      <c r="M66" s="117">
        <v>261.59246224992472</v>
      </c>
      <c r="N66" s="117">
        <v>-24.867687987509292</v>
      </c>
      <c r="O66" s="119">
        <v>0.36599999999999999</v>
      </c>
      <c r="P66" s="120">
        <v>261.59246224992472</v>
      </c>
      <c r="Q66" s="121">
        <v>0.46162057114983002</v>
      </c>
      <c r="R66" s="122">
        <v>9.5620571149830025E-2</v>
      </c>
      <c r="S66" s="122">
        <v>11.376134585508986</v>
      </c>
      <c r="T66" s="122">
        <v>10.87792486543704</v>
      </c>
      <c r="U66" s="122">
        <v>956.20571149830027</v>
      </c>
      <c r="V66" s="119">
        <v>1.08</v>
      </c>
      <c r="W66" s="120">
        <v>-24.867687987509292</v>
      </c>
      <c r="X66" s="120">
        <v>1.0838795023880134</v>
      </c>
      <c r="Y66" s="122">
        <v>3.8795023880133783E-3</v>
      </c>
      <c r="Z66" s="122">
        <v>444.39663557481833</v>
      </c>
      <c r="AA66" s="122">
        <v>17.240378089376186</v>
      </c>
      <c r="AB66" s="122">
        <v>38.795023880133776</v>
      </c>
    </row>
    <row r="67" spans="1:28" x14ac:dyDescent="0.25">
      <c r="A67" s="113">
        <v>2</v>
      </c>
      <c r="B67" s="113" t="s">
        <v>36</v>
      </c>
      <c r="C67" s="113" t="s">
        <v>28</v>
      </c>
      <c r="D67" s="113" t="s">
        <v>427</v>
      </c>
      <c r="E67" s="113">
        <v>1</v>
      </c>
      <c r="F67" s="114" t="s">
        <v>89</v>
      </c>
      <c r="G67" s="113">
        <v>63</v>
      </c>
      <c r="H67" s="113">
        <v>4.431</v>
      </c>
      <c r="I67" s="113" t="s">
        <v>432</v>
      </c>
      <c r="J67" s="116">
        <v>1.4856172128549348</v>
      </c>
      <c r="K67" s="116">
        <v>42.340900547186983</v>
      </c>
      <c r="L67" s="117">
        <v>28.500545215021969</v>
      </c>
      <c r="M67" s="117">
        <v>479.88205186859921</v>
      </c>
      <c r="N67" s="117">
        <v>-23.255900843499912</v>
      </c>
      <c r="O67" s="119">
        <v>0.36599999999999999</v>
      </c>
      <c r="P67" s="120">
        <v>479.88205186859921</v>
      </c>
      <c r="Q67" s="121">
        <v>0.54106124398212729</v>
      </c>
      <c r="R67" s="122">
        <v>0.1750612439821273</v>
      </c>
      <c r="S67" s="122">
        <v>14.856172128549348</v>
      </c>
      <c r="T67" s="122">
        <v>26.007399736364569</v>
      </c>
      <c r="U67" s="122">
        <v>1750.612439821273</v>
      </c>
      <c r="V67" s="119">
        <v>1.08</v>
      </c>
      <c r="W67" s="120">
        <v>-23.255900843499912</v>
      </c>
      <c r="X67" s="120">
        <v>1.0856515869319643</v>
      </c>
      <c r="Y67" s="122">
        <v>5.6515869319642142E-3</v>
      </c>
      <c r="Z67" s="122">
        <v>423.40900547186982</v>
      </c>
      <c r="AA67" s="122">
        <v>23.929328022007841</v>
      </c>
      <c r="AB67" s="122">
        <v>56.515869319642142</v>
      </c>
    </row>
    <row r="68" spans="1:28" x14ac:dyDescent="0.25">
      <c r="A68" s="113"/>
      <c r="B68" s="113"/>
      <c r="C68" s="113"/>
      <c r="D68" s="113"/>
      <c r="E68" s="113"/>
      <c r="F68" s="113"/>
      <c r="G68" s="113"/>
      <c r="H68" s="113"/>
      <c r="I68" s="124" t="s">
        <v>469</v>
      </c>
      <c r="J68" s="116">
        <v>3.1585497787570631</v>
      </c>
      <c r="K68" s="116">
        <v>53.386886210789314</v>
      </c>
      <c r="L68" s="117">
        <v>16.902341248456707</v>
      </c>
      <c r="M68" s="117">
        <v>1.8275863723638781</v>
      </c>
      <c r="N68" s="117">
        <v>-26.047867619716854</v>
      </c>
      <c r="O68" s="119">
        <v>0.36599999999999999</v>
      </c>
      <c r="P68" s="120">
        <v>1.8275863723638781</v>
      </c>
      <c r="Q68" s="121">
        <v>0.36692055573915261</v>
      </c>
      <c r="R68" s="122">
        <v>9.2055573915261757E-4</v>
      </c>
      <c r="S68" s="122">
        <v>31.585497787570631</v>
      </c>
      <c r="T68" s="122">
        <v>0.29076211262340451</v>
      </c>
      <c r="U68" s="122">
        <v>9.2055573915261757</v>
      </c>
      <c r="V68" s="119">
        <v>1.08</v>
      </c>
      <c r="W68" s="120">
        <v>-26.047867619716854</v>
      </c>
      <c r="X68" s="120">
        <v>1.0825819098391025</v>
      </c>
      <c r="Y68" s="122">
        <v>2.5819098391024475E-3</v>
      </c>
      <c r="Z68" s="122">
        <v>533.86886210789305</v>
      </c>
      <c r="AA68" s="122">
        <v>13.784012678667969</v>
      </c>
      <c r="AB68" s="122">
        <v>25.819098391024475</v>
      </c>
    </row>
    <row r="69" spans="1:28" x14ac:dyDescent="0.25">
      <c r="A69" s="113">
        <v>2</v>
      </c>
      <c r="B69" s="113" t="s">
        <v>36</v>
      </c>
      <c r="C69" s="113" t="s">
        <v>28</v>
      </c>
      <c r="D69" s="113" t="s">
        <v>428</v>
      </c>
      <c r="E69" s="113">
        <v>1</v>
      </c>
      <c r="F69" s="114" t="s">
        <v>90</v>
      </c>
      <c r="G69" s="113">
        <v>64</v>
      </c>
      <c r="H69" s="113">
        <v>4.5620000000000003</v>
      </c>
      <c r="I69" s="113" t="s">
        <v>432</v>
      </c>
      <c r="J69" s="116">
        <v>0.87400827018334992</v>
      </c>
      <c r="K69" s="116">
        <v>39.393403678442105</v>
      </c>
      <c r="L69" s="117">
        <v>45.072117761743989</v>
      </c>
      <c r="M69" s="117">
        <v>438.41486158977659</v>
      </c>
      <c r="N69" s="117">
        <v>-22.907006485688107</v>
      </c>
      <c r="O69" s="119">
        <v>0.36599999999999999</v>
      </c>
      <c r="P69" s="120">
        <v>438.41486158977659</v>
      </c>
      <c r="Q69" s="121">
        <v>0.52598012376383396</v>
      </c>
      <c r="R69" s="122">
        <v>0.15998012376383397</v>
      </c>
      <c r="S69" s="122">
        <v>8.740082701833499</v>
      </c>
      <c r="T69" s="122">
        <v>13.982395123454674</v>
      </c>
      <c r="U69" s="122">
        <v>1599.8012376383399</v>
      </c>
      <c r="V69" s="119">
        <v>1.08</v>
      </c>
      <c r="W69" s="120">
        <v>-22.907006485688107</v>
      </c>
      <c r="X69" s="120">
        <v>1.0860351715928451</v>
      </c>
      <c r="Y69" s="122">
        <v>6.0351715928450567E-3</v>
      </c>
      <c r="Z69" s="122">
        <v>393.9340367844211</v>
      </c>
      <c r="AA69" s="122">
        <v>23.774595082561181</v>
      </c>
      <c r="AB69" s="122">
        <v>60.351715928450567</v>
      </c>
    </row>
    <row r="70" spans="1:28" x14ac:dyDescent="0.25">
      <c r="A70" s="113">
        <v>2</v>
      </c>
      <c r="B70" s="113" t="s">
        <v>36</v>
      </c>
      <c r="C70" s="113" t="s">
        <v>30</v>
      </c>
      <c r="D70" s="113" t="s">
        <v>427</v>
      </c>
      <c r="E70" s="113">
        <v>1</v>
      </c>
      <c r="F70" s="114" t="s">
        <v>91</v>
      </c>
      <c r="G70" s="113">
        <v>65</v>
      </c>
      <c r="H70" s="113">
        <v>4.93</v>
      </c>
      <c r="I70" s="113" t="s">
        <v>432</v>
      </c>
      <c r="J70" s="116">
        <v>1.350839428285312</v>
      </c>
      <c r="K70" s="116">
        <v>38.520096558975467</v>
      </c>
      <c r="L70" s="117">
        <v>28.515673848720091</v>
      </c>
      <c r="M70" s="117">
        <v>3.4046351533512254</v>
      </c>
      <c r="N70" s="117">
        <v>-28.034701870605026</v>
      </c>
      <c r="O70" s="119">
        <v>0.36599999999999999</v>
      </c>
      <c r="P70" s="120">
        <v>3.4046351533512254</v>
      </c>
      <c r="Q70" s="121">
        <v>0.36749602910531054</v>
      </c>
      <c r="R70" s="122">
        <v>1.4960291053105479E-3</v>
      </c>
      <c r="S70" s="122">
        <v>13.50839428285312</v>
      </c>
      <c r="T70" s="122">
        <v>0.20208951013158874</v>
      </c>
      <c r="U70" s="122">
        <v>14.960291053105479</v>
      </c>
      <c r="V70" s="119">
        <v>1.08</v>
      </c>
      <c r="W70" s="120">
        <v>-28.034701870605026</v>
      </c>
      <c r="X70" s="120">
        <v>1.0803973338584218</v>
      </c>
      <c r="Y70" s="122">
        <v>3.9733385842177782E-4</v>
      </c>
      <c r="Z70" s="122">
        <v>385.20096558975467</v>
      </c>
      <c r="AA70" s="122">
        <v>1.5305338592557169</v>
      </c>
      <c r="AB70" s="122">
        <v>3.9733385842177782</v>
      </c>
    </row>
    <row r="71" spans="1:28" x14ac:dyDescent="0.25">
      <c r="A71" s="113">
        <v>2</v>
      </c>
      <c r="B71" s="113" t="s">
        <v>36</v>
      </c>
      <c r="C71" s="113" t="s">
        <v>30</v>
      </c>
      <c r="D71" s="113" t="s">
        <v>428</v>
      </c>
      <c r="E71" s="113">
        <v>1</v>
      </c>
      <c r="F71" s="114" t="s">
        <v>92</v>
      </c>
      <c r="G71" s="113">
        <v>66</v>
      </c>
      <c r="H71" s="113">
        <v>4.7889999999999997</v>
      </c>
      <c r="I71" s="113"/>
      <c r="J71" s="116">
        <v>0.78222475847170092</v>
      </c>
      <c r="K71" s="116">
        <v>41.301270044645392</v>
      </c>
      <c r="L71" s="117">
        <v>52.799747895143589</v>
      </c>
      <c r="M71" s="117">
        <v>5.1971828709936085</v>
      </c>
      <c r="N71" s="117">
        <v>-27.024713155616787</v>
      </c>
      <c r="O71" s="119">
        <v>0.36599999999999999</v>
      </c>
      <c r="P71" s="120">
        <v>5.1971828709936085</v>
      </c>
      <c r="Q71" s="121">
        <v>0.36815013109057909</v>
      </c>
      <c r="R71" s="122">
        <v>2.1501310905790993E-3</v>
      </c>
      <c r="S71" s="122">
        <v>7.8222475847170081</v>
      </c>
      <c r="T71" s="122">
        <v>0.16818857730107306</v>
      </c>
      <c r="U71" s="122">
        <v>21.501310905790994</v>
      </c>
      <c r="V71" s="119">
        <v>1.08</v>
      </c>
      <c r="W71" s="120">
        <v>-27.024713155616787</v>
      </c>
      <c r="X71" s="120">
        <v>1.0815078548008767</v>
      </c>
      <c r="Y71" s="122">
        <v>1.5078548008766735E-3</v>
      </c>
      <c r="Z71" s="122">
        <v>413.01270044645395</v>
      </c>
      <c r="AA71" s="122">
        <v>6.2276318319122499</v>
      </c>
      <c r="AB71" s="122">
        <v>15.078548008766735</v>
      </c>
    </row>
    <row r="72" spans="1:28" x14ac:dyDescent="0.25">
      <c r="A72" s="113">
        <v>2</v>
      </c>
      <c r="B72" s="113" t="s">
        <v>40</v>
      </c>
      <c r="C72" s="113" t="s">
        <v>26</v>
      </c>
      <c r="D72" s="113" t="s">
        <v>427</v>
      </c>
      <c r="E72" s="113">
        <v>1</v>
      </c>
      <c r="F72" s="114" t="s">
        <v>93</v>
      </c>
      <c r="G72" s="113">
        <v>67</v>
      </c>
      <c r="H72" s="113">
        <v>4.4089999999999998</v>
      </c>
      <c r="I72" s="113"/>
      <c r="J72" s="116">
        <v>1.8031118641352371</v>
      </c>
      <c r="K72" s="116">
        <v>43.975348568773732</v>
      </c>
      <c r="L72" s="117">
        <v>24.388585890573172</v>
      </c>
      <c r="M72" s="117">
        <v>713.91890521924722</v>
      </c>
      <c r="N72" s="117">
        <v>-26.815013659639245</v>
      </c>
      <c r="O72" s="119">
        <v>0.36599999999999999</v>
      </c>
      <c r="P72" s="120">
        <v>713.91890521924722</v>
      </c>
      <c r="Q72" s="121">
        <v>0.62609198099404051</v>
      </c>
      <c r="R72" s="122">
        <v>0.26009198099404052</v>
      </c>
      <c r="S72" s="122">
        <v>18.031118641352368</v>
      </c>
      <c r="T72" s="122">
        <v>46.8974936696791</v>
      </c>
      <c r="U72" s="122">
        <v>2600.9198099404052</v>
      </c>
      <c r="V72" s="119">
        <v>1.08</v>
      </c>
      <c r="W72" s="120">
        <v>-26.815013659639245</v>
      </c>
      <c r="X72" s="120">
        <v>1.0817384242332535</v>
      </c>
      <c r="Y72" s="122">
        <v>1.7384242332534328E-3</v>
      </c>
      <c r="Z72" s="122">
        <v>439.75348568773734</v>
      </c>
      <c r="AA72" s="122">
        <v>7.6447811617722916</v>
      </c>
      <c r="AB72" s="122">
        <v>17.384242332534328</v>
      </c>
    </row>
    <row r="73" spans="1:28" x14ac:dyDescent="0.25">
      <c r="A73" s="113">
        <v>2</v>
      </c>
      <c r="B73" s="113" t="s">
        <v>40</v>
      </c>
      <c r="C73" s="113" t="s">
        <v>26</v>
      </c>
      <c r="D73" s="113" t="s">
        <v>428</v>
      </c>
      <c r="E73" s="113">
        <v>1</v>
      </c>
      <c r="F73" s="114" t="s">
        <v>94</v>
      </c>
      <c r="G73" s="113">
        <v>68</v>
      </c>
      <c r="H73" s="113">
        <v>4.9589999999999996</v>
      </c>
      <c r="I73" s="113"/>
      <c r="J73" s="116">
        <v>2.5713381151899206</v>
      </c>
      <c r="K73" s="116">
        <v>41.692228724514948</v>
      </c>
      <c r="L73" s="117">
        <v>16.214214878324366</v>
      </c>
      <c r="M73" s="117">
        <v>41.37196735094092</v>
      </c>
      <c r="N73" s="117">
        <v>-25.999886092845454</v>
      </c>
      <c r="O73" s="119">
        <v>0.36599999999999999</v>
      </c>
      <c r="P73" s="120">
        <v>41.37196735094092</v>
      </c>
      <c r="Q73" s="121">
        <v>0.38134850134888887</v>
      </c>
      <c r="R73" s="122">
        <v>1.5348501348888877E-2</v>
      </c>
      <c r="S73" s="122">
        <v>25.713381151899206</v>
      </c>
      <c r="T73" s="122">
        <v>3.946618652944188</v>
      </c>
      <c r="U73" s="122">
        <v>153.48501348888877</v>
      </c>
      <c r="V73" s="119">
        <v>1.08</v>
      </c>
      <c r="W73" s="120">
        <v>-25.999886092845454</v>
      </c>
      <c r="X73" s="120">
        <v>1.0826346655837267</v>
      </c>
      <c r="Y73" s="122">
        <v>2.6346655837266031E-3</v>
      </c>
      <c r="Z73" s="122">
        <v>416.9222872451495</v>
      </c>
      <c r="AA73" s="122">
        <v>10.984508012933722</v>
      </c>
      <c r="AB73" s="122">
        <v>26.346655837266031</v>
      </c>
    </row>
    <row r="74" spans="1:28" x14ac:dyDescent="0.25">
      <c r="A74" s="113">
        <v>2</v>
      </c>
      <c r="B74" s="113" t="s">
        <v>40</v>
      </c>
      <c r="C74" s="113" t="s">
        <v>28</v>
      </c>
      <c r="D74" s="113" t="s">
        <v>427</v>
      </c>
      <c r="E74" s="113">
        <v>1</v>
      </c>
      <c r="F74" s="114" t="s">
        <v>95</v>
      </c>
      <c r="G74" s="113">
        <v>69</v>
      </c>
      <c r="H74" s="113">
        <v>4.3380000000000001</v>
      </c>
      <c r="I74" s="113"/>
      <c r="J74" s="116">
        <v>1.5277383034928644</v>
      </c>
      <c r="K74" s="116">
        <v>37.937918000311114</v>
      </c>
      <c r="L74" s="117">
        <v>24.832733403079409</v>
      </c>
      <c r="M74" s="117">
        <v>250.78846173635722</v>
      </c>
      <c r="N74" s="117">
        <v>-24.953349570276703</v>
      </c>
      <c r="O74" s="119">
        <v>0.36599999999999999</v>
      </c>
      <c r="P74" s="120">
        <v>250.78846173635722</v>
      </c>
      <c r="Q74" s="121">
        <v>0.45768544735489691</v>
      </c>
      <c r="R74" s="122">
        <v>9.1685447354896921E-2</v>
      </c>
      <c r="S74" s="122">
        <v>15.277383034928643</v>
      </c>
      <c r="T74" s="122">
        <v>14.007136979695455</v>
      </c>
      <c r="U74" s="122">
        <v>916.85447354896917</v>
      </c>
      <c r="V74" s="119">
        <v>1.08</v>
      </c>
      <c r="W74" s="120">
        <v>-24.953349570276703</v>
      </c>
      <c r="X74" s="120">
        <v>1.0837853197091922</v>
      </c>
      <c r="Y74" s="122">
        <v>3.7853197091921587E-3</v>
      </c>
      <c r="Z74" s="122">
        <v>379.37918000311117</v>
      </c>
      <c r="AA74" s="122">
        <v>14.360714873229364</v>
      </c>
      <c r="AB74" s="122">
        <v>37.853197091921587</v>
      </c>
    </row>
    <row r="75" spans="1:28" x14ac:dyDescent="0.25">
      <c r="A75" s="113">
        <v>2</v>
      </c>
      <c r="B75" s="113" t="s">
        <v>40</v>
      </c>
      <c r="C75" s="113" t="s">
        <v>28</v>
      </c>
      <c r="D75" s="113" t="s">
        <v>428</v>
      </c>
      <c r="E75" s="113">
        <v>1</v>
      </c>
      <c r="F75" s="114" t="s">
        <v>96</v>
      </c>
      <c r="G75" s="113">
        <v>70</v>
      </c>
      <c r="H75" s="113">
        <v>4.6369999999999996</v>
      </c>
      <c r="I75" s="113"/>
      <c r="J75" s="116">
        <v>1.0188656198129902</v>
      </c>
      <c r="K75" s="116">
        <v>41.569795901973094</v>
      </c>
      <c r="L75" s="117">
        <v>40.800077157970165</v>
      </c>
      <c r="M75" s="117">
        <v>163.7074909140766</v>
      </c>
      <c r="N75" s="117">
        <v>-26.052634158418947</v>
      </c>
      <c r="O75" s="119">
        <v>0.36599999999999999</v>
      </c>
      <c r="P75" s="120">
        <v>163.7074909140766</v>
      </c>
      <c r="Q75" s="121">
        <v>0.42595672079750779</v>
      </c>
      <c r="R75" s="122">
        <v>5.9956720797507801E-2</v>
      </c>
      <c r="S75" s="122">
        <v>10.188656198129902</v>
      </c>
      <c r="T75" s="122">
        <v>6.1087841497307185</v>
      </c>
      <c r="U75" s="122">
        <v>599.56720797507796</v>
      </c>
      <c r="V75" s="119">
        <v>1.08</v>
      </c>
      <c r="W75" s="120">
        <v>-26.052634158418947</v>
      </c>
      <c r="X75" s="120">
        <v>1.0825766690211804</v>
      </c>
      <c r="Y75" s="122">
        <v>2.5766690211803667E-3</v>
      </c>
      <c r="Z75" s="122">
        <v>415.69795901973094</v>
      </c>
      <c r="AA75" s="122">
        <v>10.711160531740463</v>
      </c>
      <c r="AB75" s="122">
        <v>25.766690211803667</v>
      </c>
    </row>
    <row r="76" spans="1:28" x14ac:dyDescent="0.25">
      <c r="A76" s="113">
        <v>2</v>
      </c>
      <c r="B76" s="113" t="s">
        <v>40</v>
      </c>
      <c r="C76" s="113" t="s">
        <v>30</v>
      </c>
      <c r="D76" s="113" t="s">
        <v>427</v>
      </c>
      <c r="E76" s="113">
        <v>1</v>
      </c>
      <c r="F76" s="114" t="s">
        <v>97</v>
      </c>
      <c r="G76" s="113">
        <v>71</v>
      </c>
      <c r="H76" s="113">
        <v>4.3879999999999999</v>
      </c>
      <c r="I76" s="113"/>
      <c r="J76" s="116">
        <v>1.3551658642277926</v>
      </c>
      <c r="K76" s="116">
        <v>41.258817047563149</v>
      </c>
      <c r="L76" s="117">
        <v>30.445584659906892</v>
      </c>
      <c r="M76" s="117">
        <v>0.66854077540565882</v>
      </c>
      <c r="N76" s="117">
        <v>-27.308251912990027</v>
      </c>
      <c r="O76" s="119">
        <v>0.36599999999999999</v>
      </c>
      <c r="P76" s="120">
        <v>0.66854077540565882</v>
      </c>
      <c r="Q76" s="121">
        <v>0.36649760968746847</v>
      </c>
      <c r="R76" s="122">
        <v>4.97609687468481E-4</v>
      </c>
      <c r="S76" s="122">
        <v>13.551658642277927</v>
      </c>
      <c r="T76" s="122">
        <v>6.7434366216634595E-2</v>
      </c>
      <c r="U76" s="122">
        <v>4.97609687468481</v>
      </c>
      <c r="V76" s="119">
        <v>1.08</v>
      </c>
      <c r="W76" s="120">
        <v>-27.308251912990027</v>
      </c>
      <c r="X76" s="120">
        <v>1.0811960956883138</v>
      </c>
      <c r="Y76" s="122">
        <v>1.196095688313692E-3</v>
      </c>
      <c r="Z76" s="122">
        <v>412.5881704756315</v>
      </c>
      <c r="AA76" s="122">
        <v>4.9349493175513732</v>
      </c>
      <c r="AB76" s="122">
        <v>11.96095688313692</v>
      </c>
    </row>
    <row r="77" spans="1:28" x14ac:dyDescent="0.25">
      <c r="A77" s="113">
        <v>2</v>
      </c>
      <c r="B77" s="113" t="s">
        <v>40</v>
      </c>
      <c r="C77" s="113" t="s">
        <v>30</v>
      </c>
      <c r="D77" s="113" t="s">
        <v>428</v>
      </c>
      <c r="E77" s="113">
        <v>1</v>
      </c>
      <c r="F77" s="114" t="s">
        <v>98</v>
      </c>
      <c r="G77" s="113">
        <v>72</v>
      </c>
      <c r="H77" s="113">
        <v>4.5</v>
      </c>
      <c r="I77" s="113"/>
      <c r="J77" s="116">
        <v>0.87157289087952217</v>
      </c>
      <c r="K77" s="116">
        <v>41.918844806815578</v>
      </c>
      <c r="L77" s="117">
        <v>48.095627164945903</v>
      </c>
      <c r="M77" s="117">
        <v>1.5120139581101437</v>
      </c>
      <c r="N77" s="117">
        <v>-27.244697559335524</v>
      </c>
      <c r="O77" s="119">
        <v>0.36599999999999999</v>
      </c>
      <c r="P77" s="120">
        <v>1.5120139581101437</v>
      </c>
      <c r="Q77" s="121">
        <v>0.36680540091292413</v>
      </c>
      <c r="R77" s="122">
        <v>8.0540091292413685E-4</v>
      </c>
      <c r="S77" s="122">
        <v>8.7157289087952226</v>
      </c>
      <c r="T77" s="122">
        <v>7.0196560199429645E-2</v>
      </c>
      <c r="U77" s="122">
        <v>8.0540091292413685</v>
      </c>
      <c r="V77" s="119">
        <v>1.08</v>
      </c>
      <c r="W77" s="120">
        <v>-27.244697559335524</v>
      </c>
      <c r="X77" s="120">
        <v>1.0812659757199801</v>
      </c>
      <c r="Y77" s="122">
        <v>1.2659757199799948E-3</v>
      </c>
      <c r="Z77" s="122">
        <v>419.18844806815582</v>
      </c>
      <c r="AA77" s="122">
        <v>5.3068239735038025</v>
      </c>
      <c r="AB77" s="122">
        <v>12.65975719979995</v>
      </c>
    </row>
    <row r="78" spans="1:28" x14ac:dyDescent="0.25">
      <c r="A78" s="113">
        <v>2</v>
      </c>
      <c r="B78" s="113" t="s">
        <v>44</v>
      </c>
      <c r="C78" s="113" t="s">
        <v>26</v>
      </c>
      <c r="D78" s="113" t="s">
        <v>427</v>
      </c>
      <c r="E78" s="113">
        <v>1</v>
      </c>
      <c r="F78" s="114" t="s">
        <v>99</v>
      </c>
      <c r="G78" s="113">
        <v>73</v>
      </c>
      <c r="H78" s="113">
        <v>4.4020000000000001</v>
      </c>
      <c r="I78" s="113"/>
      <c r="J78" s="116">
        <v>1.5365122007577341</v>
      </c>
      <c r="K78" s="116">
        <v>46.945185730926056</v>
      </c>
      <c r="L78" s="117">
        <v>30.553083605697982</v>
      </c>
      <c r="M78" s="117">
        <v>440.36467449516823</v>
      </c>
      <c r="N78" s="117">
        <v>-26.046736536559013</v>
      </c>
      <c r="O78" s="119">
        <v>0.36599999999999999</v>
      </c>
      <c r="P78" s="120">
        <v>440.36467449516823</v>
      </c>
      <c r="Q78" s="121">
        <v>0.52668934982254412</v>
      </c>
      <c r="R78" s="122">
        <v>0.16068934982254413</v>
      </c>
      <c r="S78" s="122">
        <v>15.365122007577339</v>
      </c>
      <c r="T78" s="122">
        <v>24.690114653416664</v>
      </c>
      <c r="U78" s="122">
        <v>1606.8934982254414</v>
      </c>
      <c r="V78" s="119">
        <v>1.08</v>
      </c>
      <c r="W78" s="120">
        <v>-26.046736536559013</v>
      </c>
      <c r="X78" s="120">
        <v>1.0825831534669981</v>
      </c>
      <c r="Y78" s="122">
        <v>2.5831534669980005E-3</v>
      </c>
      <c r="Z78" s="122">
        <v>469.45185730926056</v>
      </c>
      <c r="AA78" s="122">
        <v>12.126661927970671</v>
      </c>
      <c r="AB78" s="122">
        <v>25.831534669980005</v>
      </c>
    </row>
    <row r="79" spans="1:28" x14ac:dyDescent="0.25">
      <c r="A79" s="113">
        <v>2</v>
      </c>
      <c r="B79" s="113" t="s">
        <v>44</v>
      </c>
      <c r="C79" s="113" t="s">
        <v>26</v>
      </c>
      <c r="D79" s="113" t="s">
        <v>428</v>
      </c>
      <c r="E79" s="113">
        <v>1</v>
      </c>
      <c r="F79" s="114" t="s">
        <v>100</v>
      </c>
      <c r="G79" s="113">
        <v>74</v>
      </c>
      <c r="H79" s="113">
        <v>5.0330000000000004</v>
      </c>
      <c r="I79" s="113"/>
      <c r="J79" s="116">
        <v>1.2088039994633166</v>
      </c>
      <c r="K79" s="116">
        <v>44.840003736432038</v>
      </c>
      <c r="L79" s="117">
        <v>37.094519670964068</v>
      </c>
      <c r="M79" s="117">
        <v>271.30746578583819</v>
      </c>
      <c r="N79" s="117">
        <v>-27.564206928029531</v>
      </c>
      <c r="O79" s="119">
        <v>0.36599999999999999</v>
      </c>
      <c r="P79" s="120">
        <v>271.30746578583819</v>
      </c>
      <c r="Q79" s="121">
        <v>0.46515878566210578</v>
      </c>
      <c r="R79" s="122">
        <v>9.9158785662105786E-2</v>
      </c>
      <c r="S79" s="122">
        <v>12.088039994633165</v>
      </c>
      <c r="T79" s="122">
        <v>11.986353669027926</v>
      </c>
      <c r="U79" s="122">
        <v>991.58785662105788</v>
      </c>
      <c r="V79" s="119">
        <v>1.08</v>
      </c>
      <c r="W79" s="120">
        <v>-27.564206928029531</v>
      </c>
      <c r="X79" s="120">
        <v>1.0809146640152556</v>
      </c>
      <c r="Y79" s="122">
        <v>9.1466401525552854E-4</v>
      </c>
      <c r="Z79" s="122">
        <v>448.40003736432038</v>
      </c>
      <c r="AA79" s="122">
        <v>4.1013537861637825</v>
      </c>
      <c r="AB79" s="122">
        <v>9.1466401525552854</v>
      </c>
    </row>
    <row r="80" spans="1:28" x14ac:dyDescent="0.25">
      <c r="A80" s="113">
        <v>2</v>
      </c>
      <c r="B80" s="113" t="s">
        <v>44</v>
      </c>
      <c r="C80" s="113" t="s">
        <v>28</v>
      </c>
      <c r="D80" s="113" t="s">
        <v>427</v>
      </c>
      <c r="E80" s="113">
        <v>1</v>
      </c>
      <c r="F80" s="114" t="s">
        <v>101</v>
      </c>
      <c r="G80" s="113">
        <v>75</v>
      </c>
      <c r="H80" s="113">
        <v>5.0199999999999996</v>
      </c>
      <c r="I80" s="113"/>
      <c r="J80" s="116">
        <v>1.7305994420789115</v>
      </c>
      <c r="K80" s="116">
        <v>43.996852582732942</v>
      </c>
      <c r="L80" s="117">
        <v>25.422897704093209</v>
      </c>
      <c r="M80" s="117">
        <v>278.79618968862826</v>
      </c>
      <c r="N80" s="117">
        <v>-26.934689711894112</v>
      </c>
      <c r="O80" s="119">
        <v>0.36599999999999999</v>
      </c>
      <c r="P80" s="120">
        <v>278.79618968862826</v>
      </c>
      <c r="Q80" s="121">
        <v>0.46788601511268135</v>
      </c>
      <c r="R80" s="122">
        <v>0.10188601511268136</v>
      </c>
      <c r="S80" s="122">
        <v>17.305994420789112</v>
      </c>
      <c r="T80" s="122">
        <v>17.632388090964987</v>
      </c>
      <c r="U80" s="122">
        <v>1018.8601511268137</v>
      </c>
      <c r="V80" s="119">
        <v>1.08</v>
      </c>
      <c r="W80" s="120">
        <v>-26.934689711894112</v>
      </c>
      <c r="X80" s="120">
        <v>1.0816068377852404</v>
      </c>
      <c r="Y80" s="122">
        <v>1.6068377852402893E-3</v>
      </c>
      <c r="Z80" s="122">
        <v>439.96852582732942</v>
      </c>
      <c r="AA80" s="122">
        <v>7.0695805161582097</v>
      </c>
      <c r="AB80" s="122">
        <v>16.068377852402893</v>
      </c>
    </row>
    <row r="81" spans="1:28" x14ac:dyDescent="0.25">
      <c r="A81" s="113"/>
      <c r="B81" s="113"/>
      <c r="C81" s="113"/>
      <c r="D81" s="113"/>
      <c r="E81" s="113"/>
      <c r="F81" s="113"/>
      <c r="G81" s="113"/>
      <c r="H81" s="113"/>
      <c r="I81" s="124" t="s">
        <v>469</v>
      </c>
      <c r="J81" s="116">
        <v>1.3193284686993789</v>
      </c>
      <c r="K81" s="116">
        <v>23.053540947071742</v>
      </c>
      <c r="L81" s="117">
        <v>17.473693241682565</v>
      </c>
      <c r="M81" s="117">
        <v>1.8329726982071237</v>
      </c>
      <c r="N81" s="117">
        <v>-25.931320737320497</v>
      </c>
      <c r="O81" s="119">
        <v>0.36599999999999999</v>
      </c>
      <c r="P81" s="120">
        <v>1.8329726982071237</v>
      </c>
      <c r="Q81" s="121">
        <v>0.36692252124899866</v>
      </c>
      <c r="R81" s="122">
        <v>9.225212489986645E-4</v>
      </c>
      <c r="S81" s="122">
        <v>13.19328468699379</v>
      </c>
      <c r="T81" s="122">
        <v>0.12171085467840466</v>
      </c>
      <c r="U81" s="122">
        <v>9.2252124899866459</v>
      </c>
      <c r="V81" s="119">
        <v>1.08</v>
      </c>
      <c r="W81" s="120">
        <v>-25.931320737320497</v>
      </c>
      <c r="X81" s="120">
        <v>1.0827100531742444</v>
      </c>
      <c r="Y81" s="122">
        <v>2.7100531742443312E-3</v>
      </c>
      <c r="Z81" s="122">
        <v>230.53540947071741</v>
      </c>
      <c r="AA81" s="122">
        <v>6.2476321821183429</v>
      </c>
      <c r="AB81" s="122">
        <v>27.100531742443312</v>
      </c>
    </row>
    <row r="82" spans="1:28" x14ac:dyDescent="0.25">
      <c r="A82" s="113">
        <v>2</v>
      </c>
      <c r="B82" s="113" t="s">
        <v>44</v>
      </c>
      <c r="C82" s="113" t="s">
        <v>28</v>
      </c>
      <c r="D82" s="113" t="s">
        <v>428</v>
      </c>
      <c r="E82" s="113">
        <v>1</v>
      </c>
      <c r="F82" s="114" t="s">
        <v>433</v>
      </c>
      <c r="G82" s="113">
        <v>76</v>
      </c>
      <c r="H82" s="113">
        <v>4.6079999999999997</v>
      </c>
      <c r="I82" s="113"/>
      <c r="J82" s="116">
        <v>1.4412198385540875</v>
      </c>
      <c r="K82" s="116">
        <v>43.874423440112714</v>
      </c>
      <c r="L82" s="117">
        <v>30.442561409736072</v>
      </c>
      <c r="M82" s="117">
        <v>212.2683212516682</v>
      </c>
      <c r="N82" s="117">
        <v>-26.034934014840395</v>
      </c>
      <c r="O82" s="119">
        <v>0.36599999999999999</v>
      </c>
      <c r="P82" s="120">
        <v>212.2683212516682</v>
      </c>
      <c r="Q82" s="121">
        <v>0.44365278571563438</v>
      </c>
      <c r="R82" s="122">
        <v>7.7652785715634387E-2</v>
      </c>
      <c r="S82" s="122">
        <v>14.412198385540876</v>
      </c>
      <c r="T82" s="122">
        <v>11.191473529236177</v>
      </c>
      <c r="U82" s="122">
        <v>776.52785715634388</v>
      </c>
      <c r="V82" s="119">
        <v>1.08</v>
      </c>
      <c r="W82" s="120">
        <v>-26.034934014840395</v>
      </c>
      <c r="X82" s="120">
        <v>1.0825961303582528</v>
      </c>
      <c r="Y82" s="122">
        <v>2.5961303582526796E-3</v>
      </c>
      <c r="Z82" s="122">
        <v>438.74423440112719</v>
      </c>
      <c r="AA82" s="122">
        <v>11.39037226437096</v>
      </c>
      <c r="AB82" s="122">
        <v>25.961303582526796</v>
      </c>
    </row>
    <row r="83" spans="1:28" x14ac:dyDescent="0.25">
      <c r="A83" s="113">
        <v>2</v>
      </c>
      <c r="B83" s="113" t="s">
        <v>44</v>
      </c>
      <c r="C83" s="113" t="s">
        <v>30</v>
      </c>
      <c r="D83" s="113" t="s">
        <v>427</v>
      </c>
      <c r="E83" s="113">
        <v>1</v>
      </c>
      <c r="F83" s="114" t="s">
        <v>434</v>
      </c>
      <c r="G83" s="113">
        <v>77</v>
      </c>
      <c r="H83" s="113">
        <v>4.07</v>
      </c>
      <c r="I83" s="113"/>
      <c r="J83" s="116">
        <v>1.292957313509679</v>
      </c>
      <c r="K83" s="116">
        <v>42.687299126068652</v>
      </c>
      <c r="L83" s="117">
        <v>33.015242405950545</v>
      </c>
      <c r="M83" s="117">
        <v>1.2868288146998741</v>
      </c>
      <c r="N83" s="117">
        <v>-27.741787712363266</v>
      </c>
      <c r="O83" s="119">
        <v>0.36599999999999999</v>
      </c>
      <c r="P83" s="120">
        <v>1.2868288146998741</v>
      </c>
      <c r="Q83" s="121">
        <v>0.36672322894146858</v>
      </c>
      <c r="R83" s="122">
        <v>7.2322894146858996E-4</v>
      </c>
      <c r="S83" s="122">
        <v>12.92957313509679</v>
      </c>
      <c r="T83" s="122">
        <v>9.3510414921367691E-2</v>
      </c>
      <c r="U83" s="122">
        <v>7.2322894146858996</v>
      </c>
      <c r="V83" s="119">
        <v>1.08</v>
      </c>
      <c r="W83" s="120">
        <v>-27.741787712363266</v>
      </c>
      <c r="X83" s="120">
        <v>1.0807194066647854</v>
      </c>
      <c r="Y83" s="122">
        <v>7.194066647853159E-4</v>
      </c>
      <c r="Z83" s="122">
        <v>426.87299126068649</v>
      </c>
      <c r="AA83" s="122">
        <v>3.0709527492978173</v>
      </c>
      <c r="AB83" s="122">
        <v>7.194066647853159</v>
      </c>
    </row>
    <row r="84" spans="1:28" x14ac:dyDescent="0.25">
      <c r="A84" s="113">
        <v>2</v>
      </c>
      <c r="B84" s="113" t="s">
        <v>44</v>
      </c>
      <c r="C84" s="113" t="s">
        <v>30</v>
      </c>
      <c r="D84" s="113" t="s">
        <v>428</v>
      </c>
      <c r="E84" s="113">
        <v>1</v>
      </c>
      <c r="F84" s="114" t="s">
        <v>435</v>
      </c>
      <c r="G84" s="113">
        <v>78</v>
      </c>
      <c r="H84" s="113">
        <v>4.68</v>
      </c>
      <c r="I84" s="113"/>
      <c r="J84" s="116">
        <v>1.4602582236860577</v>
      </c>
      <c r="K84" s="116">
        <v>42.09142350299259</v>
      </c>
      <c r="L84" s="117">
        <v>28.824644039150339</v>
      </c>
      <c r="M84" s="117">
        <v>2.1686950445013888</v>
      </c>
      <c r="N84" s="117">
        <v>-26.714336192460792</v>
      </c>
      <c r="O84" s="119">
        <v>0.36599999999999999</v>
      </c>
      <c r="P84" s="120">
        <v>2.1686950445013888</v>
      </c>
      <c r="Q84" s="121">
        <v>0.36704502864495098</v>
      </c>
      <c r="R84" s="122">
        <v>1.0450286449509849E-3</v>
      </c>
      <c r="S84" s="122">
        <v>14.602582236860577</v>
      </c>
      <c r="T84" s="122">
        <v>0.1526011672777173</v>
      </c>
      <c r="U84" s="122">
        <v>10.45028644950985</v>
      </c>
      <c r="V84" s="119">
        <v>1.08</v>
      </c>
      <c r="W84" s="120">
        <v>-26.714336192460792</v>
      </c>
      <c r="X84" s="120">
        <v>1.0818491210485581</v>
      </c>
      <c r="Y84" s="122">
        <v>1.8491210485580556E-3</v>
      </c>
      <c r="Z84" s="122">
        <v>420.91423502992592</v>
      </c>
      <c r="AA84" s="122">
        <v>7.7832137163154851</v>
      </c>
      <c r="AB84" s="122">
        <v>18.491210485580556</v>
      </c>
    </row>
    <row r="85" spans="1:28" x14ac:dyDescent="0.25">
      <c r="A85" s="113">
        <v>2</v>
      </c>
      <c r="B85" s="113" t="s">
        <v>48</v>
      </c>
      <c r="C85" s="113" t="s">
        <v>26</v>
      </c>
      <c r="D85" s="113" t="s">
        <v>427</v>
      </c>
      <c r="E85" s="113">
        <v>1</v>
      </c>
      <c r="F85" s="114" t="s">
        <v>102</v>
      </c>
      <c r="G85" s="113">
        <v>79</v>
      </c>
      <c r="H85" s="113">
        <v>4.6529999999999996</v>
      </c>
      <c r="I85" s="113"/>
      <c r="J85" s="116">
        <v>1.7072374839560815</v>
      </c>
      <c r="K85" s="116">
        <v>44.479795958553211</v>
      </c>
      <c r="L85" s="117">
        <v>26.053666450365643</v>
      </c>
      <c r="M85" s="117">
        <v>221.25410728207345</v>
      </c>
      <c r="N85" s="117">
        <v>-27.409544464581682</v>
      </c>
      <c r="O85" s="119">
        <v>0.36599999999999999</v>
      </c>
      <c r="P85" s="120">
        <v>221.25410728207345</v>
      </c>
      <c r="Q85" s="121">
        <v>0.44692660876042017</v>
      </c>
      <c r="R85" s="122">
        <v>8.0926608760420182E-2</v>
      </c>
      <c r="S85" s="122">
        <v>17.072374839560815</v>
      </c>
      <c r="T85" s="122">
        <v>13.816093992523793</v>
      </c>
      <c r="U85" s="122">
        <v>809.26608760420186</v>
      </c>
      <c r="V85" s="119">
        <v>1.08</v>
      </c>
      <c r="W85" s="120">
        <v>-27.409544464581682</v>
      </c>
      <c r="X85" s="120">
        <v>1.0810847211045784</v>
      </c>
      <c r="Y85" s="122">
        <v>1.0847211045783567E-3</v>
      </c>
      <c r="Z85" s="122">
        <v>444.79795958553217</v>
      </c>
      <c r="AA85" s="122">
        <v>4.8248173403581776</v>
      </c>
      <c r="AB85" s="122">
        <v>10.847211045783567</v>
      </c>
    </row>
    <row r="86" spans="1:28" x14ac:dyDescent="0.25">
      <c r="A86" s="113">
        <v>2</v>
      </c>
      <c r="B86" s="113" t="s">
        <v>48</v>
      </c>
      <c r="C86" s="113" t="s">
        <v>26</v>
      </c>
      <c r="D86" s="113" t="s">
        <v>428</v>
      </c>
      <c r="E86" s="113">
        <v>1</v>
      </c>
      <c r="F86" s="114" t="s">
        <v>103</v>
      </c>
      <c r="G86" s="113">
        <v>80</v>
      </c>
      <c r="H86" s="113">
        <v>4.7919999999999998</v>
      </c>
      <c r="I86" s="113"/>
      <c r="J86" s="116">
        <v>1.3411074110092303</v>
      </c>
      <c r="K86" s="116">
        <v>45.481592127094864</v>
      </c>
      <c r="L86" s="117">
        <v>33.913459692887962</v>
      </c>
      <c r="M86" s="117">
        <v>65.173893639258651</v>
      </c>
      <c r="N86" s="117">
        <v>-29.130797002816244</v>
      </c>
      <c r="O86" s="119">
        <v>0.36599999999999999</v>
      </c>
      <c r="P86" s="120">
        <v>65.173893639258651</v>
      </c>
      <c r="Q86" s="121">
        <v>0.39003072708657244</v>
      </c>
      <c r="R86" s="122">
        <v>2.4030727086572445E-2</v>
      </c>
      <c r="S86" s="122">
        <v>13.411074110092301</v>
      </c>
      <c r="T86" s="122">
        <v>3.2227786187742549</v>
      </c>
      <c r="U86" s="122">
        <v>240.30727086572446</v>
      </c>
      <c r="V86" s="119">
        <v>1.08</v>
      </c>
      <c r="W86" s="120">
        <v>-29.130797002816244</v>
      </c>
      <c r="X86" s="120">
        <v>1.0791921074261919</v>
      </c>
      <c r="Y86" s="122">
        <v>-8.078925738081999E-4</v>
      </c>
      <c r="Z86" s="122">
        <v>454.81592127094859</v>
      </c>
      <c r="AA86" s="122">
        <v>-3.6744240524453429</v>
      </c>
      <c r="AB86" s="122">
        <v>-8.078925738081999</v>
      </c>
    </row>
    <row r="87" spans="1:28" x14ac:dyDescent="0.25">
      <c r="A87" s="113">
        <v>2</v>
      </c>
      <c r="B87" s="113" t="s">
        <v>48</v>
      </c>
      <c r="C87" s="113" t="s">
        <v>28</v>
      </c>
      <c r="D87" s="113" t="s">
        <v>427</v>
      </c>
      <c r="E87" s="113">
        <v>1</v>
      </c>
      <c r="F87" s="114" t="s">
        <v>104</v>
      </c>
      <c r="G87" s="113">
        <v>81</v>
      </c>
      <c r="H87" s="113">
        <v>5.0149999999999997</v>
      </c>
      <c r="I87" s="113"/>
      <c r="J87" s="116">
        <v>1.5754276862927794</v>
      </c>
      <c r="K87" s="116">
        <v>39.078998181186272</v>
      </c>
      <c r="L87" s="117">
        <v>24.805326528915511</v>
      </c>
      <c r="M87" s="117">
        <v>622.80735507137763</v>
      </c>
      <c r="N87" s="117">
        <v>-22.756649745851195</v>
      </c>
      <c r="O87" s="119">
        <v>0.36599999999999999</v>
      </c>
      <c r="P87" s="120">
        <v>622.80735507137763</v>
      </c>
      <c r="Q87" s="121">
        <v>0.59300643948638498</v>
      </c>
      <c r="R87" s="122">
        <v>0.22700643948638499</v>
      </c>
      <c r="S87" s="122">
        <v>15.754276862927792</v>
      </c>
      <c r="T87" s="122">
        <v>35.763222973359731</v>
      </c>
      <c r="U87" s="122">
        <v>2270.0643948638503</v>
      </c>
      <c r="V87" s="119">
        <v>1.08</v>
      </c>
      <c r="W87" s="120">
        <v>-22.756649745851195</v>
      </c>
      <c r="X87" s="120">
        <v>1.0862004772727036</v>
      </c>
      <c r="Y87" s="122">
        <v>6.200477272703564E-3</v>
      </c>
      <c r="Z87" s="122">
        <v>390.78998181186267</v>
      </c>
      <c r="AA87" s="122">
        <v>24.230844006246937</v>
      </c>
      <c r="AB87" s="122">
        <v>62.004772727035636</v>
      </c>
    </row>
    <row r="88" spans="1:28" x14ac:dyDescent="0.25">
      <c r="A88" s="113">
        <v>2</v>
      </c>
      <c r="B88" s="113" t="s">
        <v>48</v>
      </c>
      <c r="C88" s="113" t="s">
        <v>28</v>
      </c>
      <c r="D88" s="113" t="s">
        <v>428</v>
      </c>
      <c r="E88" s="113">
        <v>1</v>
      </c>
      <c r="F88" s="114" t="s">
        <v>105</v>
      </c>
      <c r="G88" s="113">
        <v>82</v>
      </c>
      <c r="H88" s="113">
        <v>4.8099999999999996</v>
      </c>
      <c r="I88" s="113"/>
      <c r="J88" s="116">
        <v>1.7484473994795402</v>
      </c>
      <c r="K88" s="116">
        <v>43.708701380189751</v>
      </c>
      <c r="L88" s="117">
        <v>24.998579535878807</v>
      </c>
      <c r="M88" s="117">
        <v>290.7456282597314</v>
      </c>
      <c r="N88" s="117">
        <v>-24.501575520874809</v>
      </c>
      <c r="O88" s="119">
        <v>0.36599999999999999</v>
      </c>
      <c r="P88" s="120">
        <v>290.7456282597314</v>
      </c>
      <c r="Q88" s="121">
        <v>0.47223742979718764</v>
      </c>
      <c r="R88" s="122">
        <v>0.10623742979718764</v>
      </c>
      <c r="S88" s="122">
        <v>17.484473994795401</v>
      </c>
      <c r="T88" s="122">
        <v>18.57505578562829</v>
      </c>
      <c r="U88" s="122">
        <v>1062.3742979718763</v>
      </c>
      <c r="V88" s="119">
        <v>1.08</v>
      </c>
      <c r="W88" s="120">
        <v>-24.501575520874809</v>
      </c>
      <c r="X88" s="120">
        <v>1.0842820314867458</v>
      </c>
      <c r="Y88" s="122">
        <v>4.2820314867457743E-3</v>
      </c>
      <c r="Z88" s="122">
        <v>437.08701380189757</v>
      </c>
      <c r="AA88" s="122">
        <v>18.716203555474102</v>
      </c>
      <c r="AB88" s="122">
        <v>42.820314867457739</v>
      </c>
    </row>
    <row r="89" spans="1:28" x14ac:dyDescent="0.25">
      <c r="A89" s="113">
        <v>2</v>
      </c>
      <c r="B89" s="113" t="s">
        <v>48</v>
      </c>
      <c r="C89" s="113" t="s">
        <v>30</v>
      </c>
      <c r="D89" s="113" t="s">
        <v>427</v>
      </c>
      <c r="E89" s="113">
        <v>1</v>
      </c>
      <c r="F89" s="114" t="s">
        <v>106</v>
      </c>
      <c r="G89" s="113">
        <v>83</v>
      </c>
      <c r="H89" s="113">
        <v>4.4889999999999999</v>
      </c>
      <c r="I89" s="113"/>
      <c r="J89" s="116">
        <v>1.4813039813972253</v>
      </c>
      <c r="K89" s="116">
        <v>42.171207104664838</v>
      </c>
      <c r="L89" s="117">
        <v>28.468975736423303</v>
      </c>
      <c r="M89" s="117">
        <v>2.4720609170813996</v>
      </c>
      <c r="N89" s="117">
        <v>-26.917268264859469</v>
      </c>
      <c r="O89" s="119">
        <v>0.36599999999999999</v>
      </c>
      <c r="P89" s="120">
        <v>2.4720609170813996</v>
      </c>
      <c r="Q89" s="121">
        <v>0.36715572868172575</v>
      </c>
      <c r="R89" s="122">
        <v>1.1557286817257539E-3</v>
      </c>
      <c r="S89" s="122">
        <v>14.813039813972253</v>
      </c>
      <c r="T89" s="122">
        <v>0.17119854976553259</v>
      </c>
      <c r="U89" s="122">
        <v>11.557286817257539</v>
      </c>
      <c r="V89" s="119">
        <v>1.08</v>
      </c>
      <c r="W89" s="120">
        <v>-26.917268264859469</v>
      </c>
      <c r="X89" s="120">
        <v>1.0816259930706704</v>
      </c>
      <c r="Y89" s="122">
        <v>1.6259930706703507E-3</v>
      </c>
      <c r="Z89" s="122">
        <v>421.71207104664836</v>
      </c>
      <c r="AA89" s="122">
        <v>6.8570090533989285</v>
      </c>
      <c r="AB89" s="122">
        <v>16.259930706703507</v>
      </c>
    </row>
    <row r="90" spans="1:28" x14ac:dyDescent="0.25">
      <c r="A90" s="113">
        <v>2</v>
      </c>
      <c r="B90" s="113" t="s">
        <v>48</v>
      </c>
      <c r="C90" s="113" t="s">
        <v>30</v>
      </c>
      <c r="D90" s="113" t="s">
        <v>428</v>
      </c>
      <c r="E90" s="113">
        <v>1</v>
      </c>
      <c r="F90" s="114" t="s">
        <v>107</v>
      </c>
      <c r="G90" s="113">
        <v>84</v>
      </c>
      <c r="H90" s="113">
        <v>4.274</v>
      </c>
      <c r="I90" s="113"/>
      <c r="J90" s="116">
        <v>1.8532063170986321</v>
      </c>
      <c r="K90" s="116">
        <v>41.764520558969686</v>
      </c>
      <c r="L90" s="117">
        <v>22.536357756623641</v>
      </c>
      <c r="M90" s="117">
        <v>3.9924057660180856</v>
      </c>
      <c r="N90" s="117">
        <v>-26.270009856013647</v>
      </c>
      <c r="O90" s="119">
        <v>0.36599999999999999</v>
      </c>
      <c r="P90" s="120">
        <v>3.9924057660180856</v>
      </c>
      <c r="Q90" s="121">
        <v>0.36771050798209182</v>
      </c>
      <c r="R90" s="122">
        <v>1.7105079820918245E-3</v>
      </c>
      <c r="S90" s="122">
        <v>18.532063170986319</v>
      </c>
      <c r="T90" s="122">
        <v>0.31699241978602027</v>
      </c>
      <c r="U90" s="122">
        <v>17.105079820918245</v>
      </c>
      <c r="V90" s="119">
        <v>1.08</v>
      </c>
      <c r="W90" s="120">
        <v>-26.270009856013647</v>
      </c>
      <c r="X90" s="120">
        <v>1.0823376634584647</v>
      </c>
      <c r="Y90" s="122">
        <v>2.337663458464645E-3</v>
      </c>
      <c r="Z90" s="122">
        <v>417.64520558969684</v>
      </c>
      <c r="AA90" s="122">
        <v>9.7631393570998828</v>
      </c>
      <c r="AB90" s="122">
        <v>23.376634584646446</v>
      </c>
    </row>
    <row r="91" spans="1:28" x14ac:dyDescent="0.25">
      <c r="A91" s="113">
        <v>2</v>
      </c>
      <c r="B91" s="113" t="s">
        <v>52</v>
      </c>
      <c r="C91" s="113" t="s">
        <v>26</v>
      </c>
      <c r="D91" s="113" t="s">
        <v>427</v>
      </c>
      <c r="E91" s="113">
        <v>1</v>
      </c>
      <c r="F91" s="114" t="s">
        <v>108</v>
      </c>
      <c r="G91" s="113">
        <v>85</v>
      </c>
      <c r="H91" s="113">
        <v>4.6029999999999998</v>
      </c>
      <c r="I91" s="113"/>
      <c r="J91" s="116">
        <v>1.3329793443443345</v>
      </c>
      <c r="K91" s="116">
        <v>45.272626982938085</v>
      </c>
      <c r="L91" s="117">
        <v>33.963487262592778</v>
      </c>
      <c r="M91" s="117">
        <v>334.22285054943603</v>
      </c>
      <c r="N91" s="117">
        <v>-27.13140791179433</v>
      </c>
      <c r="O91" s="119">
        <v>0.36599999999999999</v>
      </c>
      <c r="P91" s="120">
        <v>334.22285054943603</v>
      </c>
      <c r="Q91" s="121">
        <v>0.48806654711385872</v>
      </c>
      <c r="R91" s="122">
        <v>0.12206654711385873</v>
      </c>
      <c r="S91" s="122">
        <v>13.329793443443346</v>
      </c>
      <c r="T91" s="122">
        <v>16.271218593820823</v>
      </c>
      <c r="U91" s="122">
        <v>1220.6654711385872</v>
      </c>
      <c r="V91" s="119">
        <v>1.08</v>
      </c>
      <c r="W91" s="120">
        <v>-27.13140791179433</v>
      </c>
      <c r="X91" s="120">
        <v>1.0813905410430547</v>
      </c>
      <c r="Y91" s="122">
        <v>1.3905410430545828E-3</v>
      </c>
      <c r="Z91" s="122">
        <v>452.72626982938084</v>
      </c>
      <c r="AA91" s="122">
        <v>6.2953445946675775</v>
      </c>
      <c r="AB91" s="122">
        <v>13.905410430545828</v>
      </c>
    </row>
    <row r="92" spans="1:28" x14ac:dyDescent="0.25">
      <c r="A92" s="113">
        <v>2</v>
      </c>
      <c r="B92" s="113" t="s">
        <v>52</v>
      </c>
      <c r="C92" s="113" t="s">
        <v>26</v>
      </c>
      <c r="D92" s="113" t="s">
        <v>428</v>
      </c>
      <c r="E92" s="113">
        <v>1</v>
      </c>
      <c r="F92" s="114" t="s">
        <v>109</v>
      </c>
      <c r="G92" s="113">
        <v>86</v>
      </c>
      <c r="H92" s="113">
        <v>4.8639999999999999</v>
      </c>
      <c r="I92" s="113"/>
      <c r="J92" s="116">
        <v>1.2214910505801322</v>
      </c>
      <c r="K92" s="116">
        <v>45.092117772662917</v>
      </c>
      <c r="L92" s="117">
        <v>36.915634994826171</v>
      </c>
      <c r="M92" s="117">
        <v>288.01014723035735</v>
      </c>
      <c r="N92" s="117">
        <v>-26.658740450260524</v>
      </c>
      <c r="O92" s="119">
        <v>0.36599999999999999</v>
      </c>
      <c r="P92" s="120">
        <v>288.01014723035735</v>
      </c>
      <c r="Q92" s="121">
        <v>0.47124133186491846</v>
      </c>
      <c r="R92" s="122">
        <v>0.10524133186491846</v>
      </c>
      <c r="S92" s="122">
        <v>12.214910505801322</v>
      </c>
      <c r="T92" s="122">
        <v>12.85513450241316</v>
      </c>
      <c r="U92" s="122">
        <v>1052.4133186491847</v>
      </c>
      <c r="V92" s="119">
        <v>1.08</v>
      </c>
      <c r="W92" s="120">
        <v>-26.658740450260524</v>
      </c>
      <c r="X92" s="120">
        <v>1.0819102495323025</v>
      </c>
      <c r="Y92" s="122">
        <v>1.9102495323024549E-3</v>
      </c>
      <c r="Z92" s="122">
        <v>450.92117772662914</v>
      </c>
      <c r="AA92" s="122">
        <v>8.6137196885756531</v>
      </c>
      <c r="AB92" s="122">
        <v>19.102495323024549</v>
      </c>
    </row>
    <row r="93" spans="1:28" x14ac:dyDescent="0.25">
      <c r="A93" s="113">
        <v>2</v>
      </c>
      <c r="B93" s="113" t="s">
        <v>52</v>
      </c>
      <c r="C93" s="113" t="s">
        <v>28</v>
      </c>
      <c r="D93" s="113" t="s">
        <v>427</v>
      </c>
      <c r="E93" s="113">
        <v>1</v>
      </c>
      <c r="F93" s="114" t="s">
        <v>110</v>
      </c>
      <c r="G93" s="113">
        <v>87</v>
      </c>
      <c r="H93" s="113">
        <v>4.5209999999999999</v>
      </c>
      <c r="I93" s="113"/>
      <c r="J93" s="116">
        <v>1.4856803375501919</v>
      </c>
      <c r="K93" s="116">
        <v>43.384751256057712</v>
      </c>
      <c r="L93" s="117">
        <v>29.201942140256676</v>
      </c>
      <c r="M93" s="117">
        <v>236.82578828120035</v>
      </c>
      <c r="N93" s="117">
        <v>-26.305556470183163</v>
      </c>
      <c r="O93" s="119">
        <v>0.36599999999999999</v>
      </c>
      <c r="P93" s="120">
        <v>236.82578828120035</v>
      </c>
      <c r="Q93" s="121">
        <v>0.45259938426651675</v>
      </c>
      <c r="R93" s="122">
        <v>8.6599384266516755E-2</v>
      </c>
      <c r="S93" s="122">
        <v>14.856803375501919</v>
      </c>
      <c r="T93" s="122">
        <v>12.865900244871739</v>
      </c>
      <c r="U93" s="122">
        <v>865.99384266516756</v>
      </c>
      <c r="V93" s="119">
        <v>1.08</v>
      </c>
      <c r="W93" s="120">
        <v>-26.305556470183163</v>
      </c>
      <c r="X93" s="120">
        <v>1.0822985796855278</v>
      </c>
      <c r="Y93" s="122">
        <v>2.298579685527713E-3</v>
      </c>
      <c r="Z93" s="122">
        <v>433.84751256057712</v>
      </c>
      <c r="AA93" s="122">
        <v>9.9723307898847207</v>
      </c>
      <c r="AB93" s="122">
        <v>22.98579685527713</v>
      </c>
    </row>
    <row r="94" spans="1:28" x14ac:dyDescent="0.25">
      <c r="A94" s="113"/>
      <c r="B94" s="113"/>
      <c r="C94" s="113"/>
      <c r="D94" s="113"/>
      <c r="E94" s="113"/>
      <c r="F94" s="113"/>
      <c r="G94" s="113"/>
      <c r="H94" s="113"/>
      <c r="I94" s="124" t="s">
        <v>469</v>
      </c>
      <c r="J94" s="116">
        <v>3.2113916115683443</v>
      </c>
      <c r="K94" s="116">
        <v>51.34643398036917</v>
      </c>
      <c r="L94" s="117">
        <v>15.988842281148377</v>
      </c>
      <c r="M94" s="117">
        <v>2.0939055161501146</v>
      </c>
      <c r="N94" s="117">
        <v>-26.13663636035249</v>
      </c>
      <c r="O94" s="119">
        <v>0.36599999999999999</v>
      </c>
      <c r="P94" s="120">
        <v>2.0939055161501146</v>
      </c>
      <c r="Q94" s="121">
        <v>0.36701773745713506</v>
      </c>
      <c r="R94" s="122">
        <v>1.0177374571350706E-3</v>
      </c>
      <c r="S94" s="122">
        <v>32.113916115683445</v>
      </c>
      <c r="T94" s="122">
        <v>0.32683535326224633</v>
      </c>
      <c r="U94" s="122">
        <v>10.177374571350706</v>
      </c>
      <c r="V94" s="119">
        <v>1.08</v>
      </c>
      <c r="W94" s="120">
        <v>-26.13663636035249</v>
      </c>
      <c r="X94" s="120">
        <v>1.0824843083571292</v>
      </c>
      <c r="Y94" s="122">
        <v>2.4843083571290947E-3</v>
      </c>
      <c r="Z94" s="122">
        <v>513.4643398036917</v>
      </c>
      <c r="AA94" s="122">
        <v>12.756037504620844</v>
      </c>
      <c r="AB94" s="122">
        <v>24.843083571290947</v>
      </c>
    </row>
    <row r="95" spans="1:28" x14ac:dyDescent="0.25">
      <c r="A95" s="113">
        <v>2</v>
      </c>
      <c r="B95" s="113" t="s">
        <v>52</v>
      </c>
      <c r="C95" s="113" t="s">
        <v>28</v>
      </c>
      <c r="D95" s="113" t="s">
        <v>428</v>
      </c>
      <c r="E95" s="113">
        <v>1</v>
      </c>
      <c r="F95" s="114" t="s">
        <v>111</v>
      </c>
      <c r="G95" s="113">
        <v>88</v>
      </c>
      <c r="H95" s="113">
        <v>5.0609999999999999</v>
      </c>
      <c r="I95" s="113"/>
      <c r="J95" s="116">
        <v>1.1953523258940693</v>
      </c>
      <c r="K95" s="116">
        <v>42.874321337794278</v>
      </c>
      <c r="L95" s="117">
        <v>35.867518227921828</v>
      </c>
      <c r="M95" s="117">
        <v>146.37567059351974</v>
      </c>
      <c r="N95" s="117">
        <v>-26.095478476012097</v>
      </c>
      <c r="O95" s="119">
        <v>0.36599999999999999</v>
      </c>
      <c r="P95" s="120">
        <v>146.37567059351974</v>
      </c>
      <c r="Q95" s="121">
        <v>0.41963930418476147</v>
      </c>
      <c r="R95" s="122">
        <v>5.3639304184761483E-2</v>
      </c>
      <c r="S95" s="122">
        <v>11.953523258940692</v>
      </c>
      <c r="T95" s="122">
        <v>6.4117867016594108</v>
      </c>
      <c r="U95" s="122">
        <v>536.39304184761488</v>
      </c>
      <c r="V95" s="119">
        <v>1.08</v>
      </c>
      <c r="W95" s="120">
        <v>-26.095478476012097</v>
      </c>
      <c r="X95" s="120">
        <v>1.0825295615915855</v>
      </c>
      <c r="Y95" s="122">
        <v>2.5295615915854608E-3</v>
      </c>
      <c r="Z95" s="122">
        <v>428.74321337794282</v>
      </c>
      <c r="AA95" s="122">
        <v>10.845323652137738</v>
      </c>
      <c r="AB95" s="122">
        <v>25.295615915854608</v>
      </c>
    </row>
    <row r="96" spans="1:28" x14ac:dyDescent="0.25">
      <c r="A96" s="113">
        <v>2</v>
      </c>
      <c r="B96" s="113" t="s">
        <v>52</v>
      </c>
      <c r="C96" s="113" t="s">
        <v>30</v>
      </c>
      <c r="D96" s="113" t="s">
        <v>427</v>
      </c>
      <c r="E96" s="113">
        <v>1</v>
      </c>
      <c r="F96" s="114" t="s">
        <v>112</v>
      </c>
      <c r="G96" s="113">
        <v>89</v>
      </c>
      <c r="H96" s="113">
        <v>4.2850000000000001</v>
      </c>
      <c r="I96" s="113"/>
      <c r="J96" s="116">
        <v>1.5029967904243622</v>
      </c>
      <c r="K96" s="116">
        <v>43.437540804591045</v>
      </c>
      <c r="L96" s="117">
        <v>28.900621133280474</v>
      </c>
      <c r="M96" s="117">
        <v>-0.77440416240241561</v>
      </c>
      <c r="N96" s="117">
        <v>-28.761513756875022</v>
      </c>
      <c r="O96" s="119">
        <v>0.36599999999999999</v>
      </c>
      <c r="P96" s="120">
        <v>-0.77440416240241561</v>
      </c>
      <c r="Q96" s="121">
        <v>0.36597106122221829</v>
      </c>
      <c r="R96" s="122">
        <v>-2.8938777781706282E-5</v>
      </c>
      <c r="S96" s="122">
        <v>15.029967904243623</v>
      </c>
      <c r="T96" s="122">
        <v>-4.3494890124708384E-3</v>
      </c>
      <c r="U96" s="122">
        <v>-0.28938777781706282</v>
      </c>
      <c r="V96" s="119">
        <v>1.08</v>
      </c>
      <c r="W96" s="120">
        <v>-28.761513756875022</v>
      </c>
      <c r="X96" s="120">
        <v>1.0795981611633485</v>
      </c>
      <c r="Y96" s="122">
        <v>-4.0183883665156905E-4</v>
      </c>
      <c r="Z96" s="122">
        <v>434.37540804591043</v>
      </c>
      <c r="AA96" s="122">
        <v>-1.7454890863921926</v>
      </c>
      <c r="AB96" s="122">
        <v>-4.0183883665156905</v>
      </c>
    </row>
    <row r="97" spans="1:28" x14ac:dyDescent="0.25">
      <c r="A97" s="113">
        <v>2</v>
      </c>
      <c r="B97" s="113" t="s">
        <v>52</v>
      </c>
      <c r="C97" s="113" t="s">
        <v>30</v>
      </c>
      <c r="D97" s="113" t="s">
        <v>428</v>
      </c>
      <c r="E97" s="113">
        <v>1</v>
      </c>
      <c r="F97" s="114" t="s">
        <v>113</v>
      </c>
      <c r="G97" s="113">
        <v>90</v>
      </c>
      <c r="H97" s="113">
        <v>4.3609999999999998</v>
      </c>
      <c r="I97" s="113"/>
      <c r="J97" s="116">
        <v>0.88592471058633715</v>
      </c>
      <c r="K97" s="116">
        <v>42.941529216528103</v>
      </c>
      <c r="L97" s="117">
        <v>48.470856161250808</v>
      </c>
      <c r="M97" s="117">
        <v>9.1424892556036585</v>
      </c>
      <c r="N97" s="117">
        <v>-27.157312355800187</v>
      </c>
      <c r="O97" s="119">
        <v>0.36599999999999999</v>
      </c>
      <c r="P97" s="120">
        <v>9.1424892556036585</v>
      </c>
      <c r="Q97" s="121">
        <v>0.36958974604912576</v>
      </c>
      <c r="R97" s="122">
        <v>3.5897460491257638E-3</v>
      </c>
      <c r="S97" s="122">
        <v>8.8592471058633713</v>
      </c>
      <c r="T97" s="122">
        <v>0.31802447296501896</v>
      </c>
      <c r="U97" s="122">
        <v>35.89746049125764</v>
      </c>
      <c r="V97" s="119">
        <v>1.08</v>
      </c>
      <c r="W97" s="120">
        <v>-27.157312355800187</v>
      </c>
      <c r="X97" s="120">
        <v>1.081362058367255</v>
      </c>
      <c r="Y97" s="122">
        <v>1.3620583672548925E-3</v>
      </c>
      <c r="Z97" s="122">
        <v>429.41529216528102</v>
      </c>
      <c r="AA97" s="122">
        <v>5.8488869172092528</v>
      </c>
      <c r="AB97" s="122">
        <v>13.620583672548925</v>
      </c>
    </row>
    <row r="98" spans="1:28" x14ac:dyDescent="0.25">
      <c r="A98" s="113">
        <v>2</v>
      </c>
      <c r="B98" s="113" t="s">
        <v>56</v>
      </c>
      <c r="C98" s="113" t="s">
        <v>26</v>
      </c>
      <c r="D98" s="113" t="s">
        <v>427</v>
      </c>
      <c r="E98" s="113">
        <v>1</v>
      </c>
      <c r="F98" s="114" t="s">
        <v>114</v>
      </c>
      <c r="G98" s="113">
        <v>91</v>
      </c>
      <c r="H98" s="113">
        <v>4.3730000000000002</v>
      </c>
      <c r="I98" s="113"/>
      <c r="J98" s="116">
        <v>1.3507956809622597</v>
      </c>
      <c r="K98" s="116">
        <v>45.092630575866387</v>
      </c>
      <c r="L98" s="117">
        <v>33.382273286322601</v>
      </c>
      <c r="M98" s="117">
        <v>618.24126792135098</v>
      </c>
      <c r="N98" s="117">
        <v>-24.685322297319452</v>
      </c>
      <c r="O98" s="119">
        <v>0.36599999999999999</v>
      </c>
      <c r="P98" s="120">
        <v>618.24126792135098</v>
      </c>
      <c r="Q98" s="121">
        <v>0.59134776629976582</v>
      </c>
      <c r="R98" s="122">
        <v>0.22534776629976583</v>
      </c>
      <c r="S98" s="122">
        <v>13.507956809622597</v>
      </c>
      <c r="T98" s="122">
        <v>30.439878943221633</v>
      </c>
      <c r="U98" s="122">
        <v>2253.4776629976582</v>
      </c>
      <c r="V98" s="119">
        <v>1.08</v>
      </c>
      <c r="W98" s="120">
        <v>-24.685322297319452</v>
      </c>
      <c r="X98" s="120">
        <v>1.0840800081165198</v>
      </c>
      <c r="Y98" s="122">
        <v>4.0800081165197621E-3</v>
      </c>
      <c r="Z98" s="122">
        <v>450.92630575866389</v>
      </c>
      <c r="AA98" s="122">
        <v>18.397829874476205</v>
      </c>
      <c r="AB98" s="122">
        <v>40.800081165197625</v>
      </c>
    </row>
    <row r="99" spans="1:28" x14ac:dyDescent="0.25">
      <c r="A99" s="113">
        <v>2</v>
      </c>
      <c r="B99" s="113" t="s">
        <v>56</v>
      </c>
      <c r="C99" s="113" t="s">
        <v>26</v>
      </c>
      <c r="D99" s="113" t="s">
        <v>428</v>
      </c>
      <c r="E99" s="113">
        <v>1</v>
      </c>
      <c r="F99" s="114" t="s">
        <v>115</v>
      </c>
      <c r="G99" s="113">
        <v>92</v>
      </c>
      <c r="H99" s="113">
        <v>4.2880000000000003</v>
      </c>
      <c r="I99" s="113"/>
      <c r="J99" s="116">
        <v>1.2845295577119815</v>
      </c>
      <c r="K99" s="116">
        <v>46.074696706712061</v>
      </c>
      <c r="L99" s="117">
        <v>35.86892682234641</v>
      </c>
      <c r="M99" s="117">
        <v>375.95498979750789</v>
      </c>
      <c r="N99" s="117">
        <v>-25.670074062339992</v>
      </c>
      <c r="O99" s="119">
        <v>0.36599999999999999</v>
      </c>
      <c r="P99" s="120">
        <v>375.95498979750789</v>
      </c>
      <c r="Q99" s="121">
        <v>0.5032555822091801</v>
      </c>
      <c r="R99" s="122">
        <v>0.1372555822091801</v>
      </c>
      <c r="S99" s="122">
        <v>12.845295577119815</v>
      </c>
      <c r="T99" s="122">
        <v>17.630885230865864</v>
      </c>
      <c r="U99" s="122">
        <v>1372.555822091801</v>
      </c>
      <c r="V99" s="119">
        <v>1.08</v>
      </c>
      <c r="W99" s="120">
        <v>-25.670074062339992</v>
      </c>
      <c r="X99" s="120">
        <v>1.0829972927722389</v>
      </c>
      <c r="Y99" s="122">
        <v>2.9972927722388132E-3</v>
      </c>
      <c r="Z99" s="122">
        <v>460.74696706712058</v>
      </c>
      <c r="AA99" s="122">
        <v>13.809935542212351</v>
      </c>
      <c r="AB99" s="122">
        <v>29.972927722388132</v>
      </c>
    </row>
    <row r="100" spans="1:28" x14ac:dyDescent="0.25">
      <c r="A100" s="113">
        <v>2</v>
      </c>
      <c r="B100" s="113" t="s">
        <v>56</v>
      </c>
      <c r="C100" s="113" t="s">
        <v>28</v>
      </c>
      <c r="D100" s="113" t="s">
        <v>427</v>
      </c>
      <c r="E100" s="113">
        <v>1</v>
      </c>
      <c r="F100" s="114" t="s">
        <v>116</v>
      </c>
      <c r="G100" s="113">
        <v>93</v>
      </c>
      <c r="H100" s="113">
        <v>4.24</v>
      </c>
      <c r="I100" s="113"/>
      <c r="J100" s="116">
        <v>1.5249581000607628</v>
      </c>
      <c r="K100" s="116">
        <v>45.100224676227199</v>
      </c>
      <c r="L100" s="117">
        <v>29.574730397136911</v>
      </c>
      <c r="M100" s="117">
        <v>113.91381006111966</v>
      </c>
      <c r="N100" s="117">
        <v>-27.673142818605122</v>
      </c>
      <c r="O100" s="119">
        <v>0.36599999999999999</v>
      </c>
      <c r="P100" s="120">
        <v>113.91381006111966</v>
      </c>
      <c r="Q100" s="121">
        <v>0.40780485878874911</v>
      </c>
      <c r="R100" s="122">
        <v>4.1804858788749122E-2</v>
      </c>
      <c r="S100" s="122">
        <v>15.249581000607629</v>
      </c>
      <c r="T100" s="122">
        <v>6.3750658031799343</v>
      </c>
      <c r="U100" s="122">
        <v>418.04858788749124</v>
      </c>
      <c r="V100" s="119">
        <v>1.08</v>
      </c>
      <c r="W100" s="120">
        <v>-27.673142818605122</v>
      </c>
      <c r="X100" s="120">
        <v>1.0807948846302577</v>
      </c>
      <c r="Y100" s="122">
        <v>7.9488463025767508E-4</v>
      </c>
      <c r="Z100" s="122">
        <v>451.00224676227202</v>
      </c>
      <c r="AA100" s="122">
        <v>3.5849475416300929</v>
      </c>
      <c r="AB100" s="122">
        <v>7.9488463025767508</v>
      </c>
    </row>
    <row r="101" spans="1:28" x14ac:dyDescent="0.25">
      <c r="A101" s="113">
        <v>2</v>
      </c>
      <c r="B101" s="113" t="s">
        <v>56</v>
      </c>
      <c r="C101" s="113" t="s">
        <v>28</v>
      </c>
      <c r="D101" s="113" t="s">
        <v>428</v>
      </c>
      <c r="E101" s="113">
        <v>1</v>
      </c>
      <c r="F101" s="114" t="s">
        <v>436</v>
      </c>
      <c r="G101" s="113">
        <v>94</v>
      </c>
      <c r="H101" s="113">
        <v>4.556</v>
      </c>
      <c r="I101" s="113"/>
      <c r="J101" s="116">
        <v>1.4493170957556896</v>
      </c>
      <c r="K101" s="116">
        <v>44.949539743369606</v>
      </c>
      <c r="L101" s="117">
        <v>31.014289333234167</v>
      </c>
      <c r="M101" s="117">
        <v>34.196278260724824</v>
      </c>
      <c r="N101" s="117">
        <v>-28.051653624721492</v>
      </c>
      <c r="O101" s="119">
        <v>0.36599999999999999</v>
      </c>
      <c r="P101" s="120">
        <v>34.196278260724824</v>
      </c>
      <c r="Q101" s="121">
        <v>0.37873072918532669</v>
      </c>
      <c r="R101" s="122">
        <v>1.2730729185326695E-2</v>
      </c>
      <c r="S101" s="122">
        <v>14.493170957556897</v>
      </c>
      <c r="T101" s="122">
        <v>1.8450863449729884</v>
      </c>
      <c r="U101" s="122">
        <v>127.30729185326695</v>
      </c>
      <c r="V101" s="119">
        <v>1.08</v>
      </c>
      <c r="W101" s="120">
        <v>-28.051653624721492</v>
      </c>
      <c r="X101" s="120">
        <v>1.0803786945483289</v>
      </c>
      <c r="Y101" s="122">
        <v>3.7869454832883953E-4</v>
      </c>
      <c r="Z101" s="122">
        <v>449.49539743369604</v>
      </c>
      <c r="AA101" s="122">
        <v>1.7022145650704572</v>
      </c>
      <c r="AB101" s="122">
        <v>3.7869454832883953</v>
      </c>
    </row>
    <row r="102" spans="1:28" x14ac:dyDescent="0.25">
      <c r="A102" s="113">
        <v>2</v>
      </c>
      <c r="B102" s="113" t="s">
        <v>56</v>
      </c>
      <c r="C102" s="113" t="s">
        <v>30</v>
      </c>
      <c r="D102" s="113" t="s">
        <v>427</v>
      </c>
      <c r="E102" s="113">
        <v>1</v>
      </c>
      <c r="F102" s="114" t="s">
        <v>437</v>
      </c>
      <c r="G102" s="113">
        <v>95</v>
      </c>
      <c r="H102" s="113">
        <v>5.0110000000000001</v>
      </c>
      <c r="I102" s="113"/>
      <c r="J102" s="116">
        <v>1.2028763780904721</v>
      </c>
      <c r="K102" s="116">
        <v>41.088549052540472</v>
      </c>
      <c r="L102" s="117">
        <v>34.158580051066622</v>
      </c>
      <c r="M102" s="117">
        <v>1.4303792568436076</v>
      </c>
      <c r="N102" s="117">
        <v>-27.723025433629623</v>
      </c>
      <c r="O102" s="119">
        <v>0.36599999999999999</v>
      </c>
      <c r="P102" s="120">
        <v>1.4303792568436076</v>
      </c>
      <c r="Q102" s="121">
        <v>0.36677561173272394</v>
      </c>
      <c r="R102" s="122">
        <v>7.7561173272394646E-4</v>
      </c>
      <c r="S102" s="122">
        <v>12.02876378090472</v>
      </c>
      <c r="T102" s="122">
        <v>9.3296503186345595E-2</v>
      </c>
      <c r="U102" s="122">
        <v>7.7561173272394646</v>
      </c>
      <c r="V102" s="119">
        <v>1.08</v>
      </c>
      <c r="W102" s="120">
        <v>-27.723025433629623</v>
      </c>
      <c r="X102" s="120">
        <v>1.0807400365956386</v>
      </c>
      <c r="Y102" s="122">
        <v>7.4003659563848245E-4</v>
      </c>
      <c r="Z102" s="122">
        <v>410.8854905254048</v>
      </c>
      <c r="AA102" s="122">
        <v>3.0407029960566851</v>
      </c>
      <c r="AB102" s="122">
        <v>7.4003659563848245</v>
      </c>
    </row>
    <row r="103" spans="1:28" x14ac:dyDescent="0.25">
      <c r="A103" s="113">
        <v>2</v>
      </c>
      <c r="B103" s="113" t="s">
        <v>56</v>
      </c>
      <c r="C103" s="113" t="s">
        <v>30</v>
      </c>
      <c r="D103" s="113" t="s">
        <v>428</v>
      </c>
      <c r="E103" s="113">
        <v>1</v>
      </c>
      <c r="F103" s="114" t="s">
        <v>438</v>
      </c>
      <c r="G103" s="113">
        <v>96</v>
      </c>
      <c r="H103" s="113">
        <v>4.4340000000000002</v>
      </c>
      <c r="I103" s="113"/>
      <c r="J103" s="116">
        <v>1.4425376782795065</v>
      </c>
      <c r="K103" s="116">
        <v>43.171638724235713</v>
      </c>
      <c r="L103" s="117">
        <v>29.927564024342086</v>
      </c>
      <c r="M103" s="117">
        <v>1.5493562722715422</v>
      </c>
      <c r="N103" s="117">
        <v>-27.05947190480919</v>
      </c>
      <c r="O103" s="119">
        <v>0.36599999999999999</v>
      </c>
      <c r="P103" s="120">
        <v>1.5493562722715422</v>
      </c>
      <c r="Q103" s="121">
        <v>0.36681902742742895</v>
      </c>
      <c r="R103" s="122">
        <v>8.1902742742895329E-4</v>
      </c>
      <c r="S103" s="122">
        <v>14.425376782795063</v>
      </c>
      <c r="T103" s="122">
        <v>0.11814779236105992</v>
      </c>
      <c r="U103" s="122">
        <v>8.190274274289532</v>
      </c>
      <c r="V103" s="119">
        <v>1.08</v>
      </c>
      <c r="W103" s="120">
        <v>-27.05947190480919</v>
      </c>
      <c r="X103" s="120">
        <v>1.0814696366506087</v>
      </c>
      <c r="Y103" s="122">
        <v>1.4696366506086189E-3</v>
      </c>
      <c r="Z103" s="122">
        <v>431.71638724235709</v>
      </c>
      <c r="AA103" s="122">
        <v>6.3446622535971118</v>
      </c>
      <c r="AB103" s="122">
        <v>14.696366506086189</v>
      </c>
    </row>
    <row r="104" spans="1:28" x14ac:dyDescent="0.25">
      <c r="A104" s="113">
        <v>3</v>
      </c>
      <c r="B104" s="113" t="s">
        <v>25</v>
      </c>
      <c r="C104" s="113" t="s">
        <v>26</v>
      </c>
      <c r="D104" s="113" t="s">
        <v>427</v>
      </c>
      <c r="E104" s="113">
        <v>1</v>
      </c>
      <c r="F104" s="114" t="s">
        <v>117</v>
      </c>
      <c r="G104" s="113">
        <v>97</v>
      </c>
      <c r="H104" s="113">
        <v>4.2160000000000002</v>
      </c>
      <c r="I104" s="113"/>
      <c r="J104" s="116">
        <v>1.3506758315769789</v>
      </c>
      <c r="K104" s="116">
        <v>41.869436609997408</v>
      </c>
      <c r="L104" s="117">
        <v>30.998878954628829</v>
      </c>
      <c r="M104" s="117">
        <v>1696.9007412693779</v>
      </c>
      <c r="N104" s="117">
        <v>-22.712930177917528</v>
      </c>
      <c r="O104" s="119">
        <v>0.36599999999999999</v>
      </c>
      <c r="P104" s="120">
        <v>1696.9007412693779</v>
      </c>
      <c r="Q104" s="121">
        <v>0.98164883527333446</v>
      </c>
      <c r="R104" s="122">
        <v>0.61564883527333447</v>
      </c>
      <c r="S104" s="122">
        <v>13.506758315769789</v>
      </c>
      <c r="T104" s="122">
        <v>83.154200254220967</v>
      </c>
      <c r="U104" s="122">
        <v>6156.488352733345</v>
      </c>
      <c r="V104" s="119">
        <v>1.08</v>
      </c>
      <c r="W104" s="120">
        <v>-22.712930177917528</v>
      </c>
      <c r="X104" s="120">
        <v>1.0862485434739153</v>
      </c>
      <c r="Y104" s="122">
        <v>6.2485434739152357E-3</v>
      </c>
      <c r="Z104" s="122">
        <v>418.69436609997405</v>
      </c>
      <c r="AA104" s="122">
        <v>26.162299488590694</v>
      </c>
      <c r="AB104" s="122">
        <v>62.48543473915236</v>
      </c>
    </row>
    <row r="105" spans="1:28" x14ac:dyDescent="0.25">
      <c r="A105" s="113">
        <v>3</v>
      </c>
      <c r="B105" s="113" t="s">
        <v>25</v>
      </c>
      <c r="C105" s="113" t="s">
        <v>26</v>
      </c>
      <c r="D105" s="113" t="s">
        <v>428</v>
      </c>
      <c r="E105" s="113">
        <v>1</v>
      </c>
      <c r="F105" s="114" t="s">
        <v>118</v>
      </c>
      <c r="G105" s="113">
        <v>98</v>
      </c>
      <c r="H105" s="113">
        <v>4.5609999999999999</v>
      </c>
      <c r="I105" s="113"/>
      <c r="J105" s="116">
        <v>2.2185892629353381</v>
      </c>
      <c r="K105" s="116">
        <v>40.645282901344935</v>
      </c>
      <c r="L105" s="117">
        <v>18.320327958122618</v>
      </c>
      <c r="M105" s="117">
        <v>174.49822091947303</v>
      </c>
      <c r="N105" s="117">
        <v>-24.983992020734672</v>
      </c>
      <c r="O105" s="119">
        <v>0.36599999999999999</v>
      </c>
      <c r="P105" s="120">
        <v>174.49822091947303</v>
      </c>
      <c r="Q105" s="121">
        <v>0.42988951716686641</v>
      </c>
      <c r="R105" s="122">
        <v>6.3889517166866416E-2</v>
      </c>
      <c r="S105" s="122">
        <v>22.185892629353379</v>
      </c>
      <c r="T105" s="122">
        <v>14.17445968005328</v>
      </c>
      <c r="U105" s="122">
        <v>638.89517166866415</v>
      </c>
      <c r="V105" s="119">
        <v>1.08</v>
      </c>
      <c r="W105" s="120">
        <v>-24.983992020734672</v>
      </c>
      <c r="X105" s="120">
        <v>1.0837516290895777</v>
      </c>
      <c r="Y105" s="122">
        <v>3.7516290895776017E-3</v>
      </c>
      <c r="Z105" s="122">
        <v>406.45282901344939</v>
      </c>
      <c r="AA105" s="122">
        <v>15.248602568679678</v>
      </c>
      <c r="AB105" s="122">
        <v>37.516290895776017</v>
      </c>
    </row>
    <row r="106" spans="1:28" x14ac:dyDescent="0.25">
      <c r="A106" s="113">
        <v>3</v>
      </c>
      <c r="B106" s="113" t="s">
        <v>25</v>
      </c>
      <c r="C106" s="113" t="s">
        <v>28</v>
      </c>
      <c r="D106" s="113" t="s">
        <v>427</v>
      </c>
      <c r="E106" s="113">
        <v>1</v>
      </c>
      <c r="F106" s="114" t="s">
        <v>119</v>
      </c>
      <c r="G106" s="113">
        <v>99</v>
      </c>
      <c r="H106" s="113">
        <v>4.3090000000000002</v>
      </c>
      <c r="I106" s="113"/>
      <c r="J106" s="116">
        <v>1.9119657062304418</v>
      </c>
      <c r="K106" s="116">
        <v>42.284291480582439</v>
      </c>
      <c r="L106" s="117">
        <v>22.115611876715363</v>
      </c>
      <c r="M106" s="117">
        <v>47.180239322007694</v>
      </c>
      <c r="N106" s="117">
        <v>-27.705457410425304</v>
      </c>
      <c r="O106" s="119">
        <v>0.36599999999999999</v>
      </c>
      <c r="P106" s="120">
        <v>47.180239322007694</v>
      </c>
      <c r="Q106" s="121">
        <v>0.38346732360674424</v>
      </c>
      <c r="R106" s="122">
        <v>1.7467323606744245E-2</v>
      </c>
      <c r="S106" s="122">
        <v>19.119657062304416</v>
      </c>
      <c r="T106" s="122">
        <v>3.3396923715724425</v>
      </c>
      <c r="U106" s="122">
        <v>174.67323606744245</v>
      </c>
      <c r="V106" s="119">
        <v>1.08</v>
      </c>
      <c r="W106" s="120">
        <v>-27.705457410425304</v>
      </c>
      <c r="X106" s="120">
        <v>1.0807593533834718</v>
      </c>
      <c r="Y106" s="122">
        <v>7.593533834717725E-4</v>
      </c>
      <c r="Z106" s="122">
        <v>422.84291480582436</v>
      </c>
      <c r="AA106" s="122">
        <v>3.2108719803486916</v>
      </c>
      <c r="AB106" s="122">
        <v>7.593533834717725</v>
      </c>
    </row>
    <row r="107" spans="1:28" x14ac:dyDescent="0.25">
      <c r="A107" s="113"/>
      <c r="B107" s="113"/>
      <c r="C107" s="113"/>
      <c r="D107" s="113"/>
      <c r="E107" s="113"/>
      <c r="F107" s="113"/>
      <c r="G107" s="113"/>
      <c r="H107" s="113"/>
      <c r="I107" s="124" t="s">
        <v>469</v>
      </c>
      <c r="J107" s="116">
        <v>3.2040182858125652</v>
      </c>
      <c r="K107" s="116">
        <v>51.397907320559391</v>
      </c>
      <c r="L107" s="117">
        <v>16.041702242509039</v>
      </c>
      <c r="M107" s="117">
        <v>2.2564602023543117</v>
      </c>
      <c r="N107" s="117">
        <v>-26.15214103102678</v>
      </c>
      <c r="O107" s="119">
        <v>0.36599999999999999</v>
      </c>
      <c r="P107" s="120">
        <v>2.2564602023543117</v>
      </c>
      <c r="Q107" s="121">
        <v>0.36707705470573049</v>
      </c>
      <c r="R107" s="122">
        <v>1.0770547057304958E-3</v>
      </c>
      <c r="S107" s="122">
        <v>32.040182858125654</v>
      </c>
      <c r="T107" s="122">
        <v>0.34509029719809803</v>
      </c>
      <c r="U107" s="122">
        <v>10.770547057304958</v>
      </c>
      <c r="V107" s="119">
        <v>1.08</v>
      </c>
      <c r="W107" s="120">
        <v>-26.15214103102678</v>
      </c>
      <c r="X107" s="120">
        <v>1.082467260908011</v>
      </c>
      <c r="Y107" s="122">
        <v>2.4672609080109709E-3</v>
      </c>
      <c r="Z107" s="122">
        <v>513.97907320559386</v>
      </c>
      <c r="AA107" s="122">
        <v>12.681204748558708</v>
      </c>
      <c r="AB107" s="122">
        <v>24.672609080109709</v>
      </c>
    </row>
    <row r="108" spans="1:28" x14ac:dyDescent="0.25">
      <c r="A108" s="113">
        <v>3</v>
      </c>
      <c r="B108" s="113" t="s">
        <v>25</v>
      </c>
      <c r="C108" s="113" t="s">
        <v>28</v>
      </c>
      <c r="D108" s="113" t="s">
        <v>428</v>
      </c>
      <c r="E108" s="113">
        <v>2</v>
      </c>
      <c r="F108" s="114" t="s">
        <v>27</v>
      </c>
      <c r="G108" s="113">
        <v>100</v>
      </c>
      <c r="H108" s="113">
        <v>4.4569999999999999</v>
      </c>
      <c r="I108" s="113"/>
      <c r="J108" s="116">
        <v>1.2606937964822456</v>
      </c>
      <c r="K108" s="116">
        <v>42.242766352510138</v>
      </c>
      <c r="L108" s="117">
        <v>33.507554705497476</v>
      </c>
      <c r="M108" s="117">
        <v>45.406449661398156</v>
      </c>
      <c r="N108" s="117">
        <v>-26.989840841872493</v>
      </c>
      <c r="O108" s="119">
        <v>0.36599999999999999</v>
      </c>
      <c r="P108" s="120">
        <v>45.406449661398156</v>
      </c>
      <c r="Q108" s="121">
        <v>0.38282026549606107</v>
      </c>
      <c r="R108" s="122">
        <v>1.6820265496061082E-2</v>
      </c>
      <c r="S108" s="122">
        <v>12.606937964822455</v>
      </c>
      <c r="T108" s="122">
        <v>2.1205204366068564</v>
      </c>
      <c r="U108" s="122">
        <v>168.20265496061083</v>
      </c>
      <c r="V108" s="119">
        <v>1.08</v>
      </c>
      <c r="W108" s="120">
        <v>-26.989840841872493</v>
      </c>
      <c r="X108" s="120">
        <v>1.0815461977886516</v>
      </c>
      <c r="Y108" s="122">
        <v>1.5461977886515044E-3</v>
      </c>
      <c r="Z108" s="122">
        <v>422.42766352510137</v>
      </c>
      <c r="AA108" s="122">
        <v>6.5315671920773344</v>
      </c>
      <c r="AB108" s="122">
        <v>15.461977886515042</v>
      </c>
    </row>
    <row r="109" spans="1:28" x14ac:dyDescent="0.25">
      <c r="A109" s="113">
        <v>3</v>
      </c>
      <c r="B109" s="113" t="s">
        <v>25</v>
      </c>
      <c r="C109" s="113" t="s">
        <v>30</v>
      </c>
      <c r="D109" s="113" t="s">
        <v>427</v>
      </c>
      <c r="E109" s="113">
        <v>2</v>
      </c>
      <c r="F109" s="114" t="s">
        <v>29</v>
      </c>
      <c r="G109" s="113">
        <v>101</v>
      </c>
      <c r="H109" s="113">
        <v>4.3680000000000003</v>
      </c>
      <c r="I109" s="113"/>
      <c r="J109" s="116">
        <v>1.2492610289186854</v>
      </c>
      <c r="K109" s="116">
        <v>41.452651601738232</v>
      </c>
      <c r="L109" s="117">
        <v>33.181737556976486</v>
      </c>
      <c r="M109" s="117">
        <v>3.2368014440397235</v>
      </c>
      <c r="N109" s="117">
        <v>-27.733536288347974</v>
      </c>
      <c r="O109" s="119">
        <v>0.36599999999999999</v>
      </c>
      <c r="P109" s="120">
        <v>3.2368014440397235</v>
      </c>
      <c r="Q109" s="121">
        <v>0.36743478602118768</v>
      </c>
      <c r="R109" s="122">
        <v>1.4347860211876839E-3</v>
      </c>
      <c r="S109" s="122">
        <v>12.492610289186855</v>
      </c>
      <c r="T109" s="122">
        <v>0.17924222611070728</v>
      </c>
      <c r="U109" s="122">
        <v>14.347860211876839</v>
      </c>
      <c r="V109" s="119">
        <v>1.08</v>
      </c>
      <c r="W109" s="120">
        <v>-27.733536288347974</v>
      </c>
      <c r="X109" s="120">
        <v>1.080728479460749</v>
      </c>
      <c r="Y109" s="122">
        <v>7.284794607489431E-4</v>
      </c>
      <c r="Z109" s="122">
        <v>414.52651601738233</v>
      </c>
      <c r="AA109" s="122">
        <v>3.019740528544808</v>
      </c>
      <c r="AB109" s="122">
        <v>7.284794607489431</v>
      </c>
    </row>
    <row r="110" spans="1:28" x14ac:dyDescent="0.25">
      <c r="A110" s="113">
        <v>3</v>
      </c>
      <c r="B110" s="113" t="s">
        <v>25</v>
      </c>
      <c r="C110" s="113" t="s">
        <v>30</v>
      </c>
      <c r="D110" s="113" t="s">
        <v>428</v>
      </c>
      <c r="E110" s="113">
        <v>2</v>
      </c>
      <c r="F110" s="114" t="s">
        <v>31</v>
      </c>
      <c r="G110" s="113">
        <v>102</v>
      </c>
      <c r="H110" s="113">
        <v>4.47</v>
      </c>
      <c r="I110" s="113"/>
      <c r="J110" s="116">
        <v>1.1057254471161204</v>
      </c>
      <c r="K110" s="116">
        <v>41.37772327227632</v>
      </c>
      <c r="L110" s="117">
        <v>37.42133581188255</v>
      </c>
      <c r="M110" s="117">
        <v>3.0205981980949943</v>
      </c>
      <c r="N110" s="117">
        <v>-27.342865702185563</v>
      </c>
      <c r="O110" s="119">
        <v>0.36599999999999999</v>
      </c>
      <c r="P110" s="120">
        <v>3.0205981980949943</v>
      </c>
      <c r="Q110" s="121">
        <v>0.3673558926197536</v>
      </c>
      <c r="R110" s="122">
        <v>1.355892619753607E-3</v>
      </c>
      <c r="S110" s="122">
        <v>11.057254471161205</v>
      </c>
      <c r="T110" s="122">
        <v>0.14992449732185051</v>
      </c>
      <c r="U110" s="122">
        <v>13.558926197536071</v>
      </c>
      <c r="V110" s="119">
        <v>1.08</v>
      </c>
      <c r="W110" s="120">
        <v>-27.342865702185563</v>
      </c>
      <c r="X110" s="120">
        <v>1.0811580366855014</v>
      </c>
      <c r="Y110" s="122">
        <v>1.1580366855012958E-3</v>
      </c>
      <c r="Z110" s="122">
        <v>413.77723272276319</v>
      </c>
      <c r="AA110" s="122">
        <v>4.7916921511816701</v>
      </c>
      <c r="AB110" s="122">
        <v>11.580366855012958</v>
      </c>
    </row>
    <row r="111" spans="1:28" x14ac:dyDescent="0.25">
      <c r="A111" s="113">
        <v>3</v>
      </c>
      <c r="B111" s="113" t="s">
        <v>32</v>
      </c>
      <c r="C111" s="113" t="s">
        <v>26</v>
      </c>
      <c r="D111" s="113" t="s">
        <v>427</v>
      </c>
      <c r="E111" s="113">
        <v>2</v>
      </c>
      <c r="F111" s="114" t="s">
        <v>33</v>
      </c>
      <c r="G111" s="113">
        <v>103</v>
      </c>
      <c r="H111" s="113">
        <v>4.2590000000000003</v>
      </c>
      <c r="I111" s="113"/>
      <c r="J111" s="116">
        <v>2.1394717649385657</v>
      </c>
      <c r="K111" s="116">
        <v>47.385661706558281</v>
      </c>
      <c r="L111" s="117">
        <v>22.148299633166204</v>
      </c>
      <c r="M111" s="117">
        <v>882.10280769008614</v>
      </c>
      <c r="N111" s="117">
        <v>-19.721956411660475</v>
      </c>
      <c r="O111" s="119">
        <v>0.36599999999999999</v>
      </c>
      <c r="P111" s="120">
        <v>882.10280769008614</v>
      </c>
      <c r="Q111" s="121">
        <v>0.68710716565374619</v>
      </c>
      <c r="R111" s="122">
        <v>0.3211071656537462</v>
      </c>
      <c r="S111" s="122">
        <v>21.394717649385658</v>
      </c>
      <c r="T111" s="122">
        <v>68.699971443564067</v>
      </c>
      <c r="U111" s="122">
        <v>3211.0716565374619</v>
      </c>
      <c r="V111" s="119">
        <v>1.08</v>
      </c>
      <c r="W111" s="120">
        <v>-19.721956411660475</v>
      </c>
      <c r="X111" s="120">
        <v>1.089536771253292</v>
      </c>
      <c r="Y111" s="122">
        <v>9.5367712532918869E-3</v>
      </c>
      <c r="Z111" s="122">
        <v>473.85661706558278</v>
      </c>
      <c r="AA111" s="122">
        <v>45.190621638131915</v>
      </c>
      <c r="AB111" s="122">
        <v>95.367712532918873</v>
      </c>
    </row>
    <row r="112" spans="1:28" x14ac:dyDescent="0.25">
      <c r="A112" s="113">
        <v>3</v>
      </c>
      <c r="B112" s="113" t="s">
        <v>32</v>
      </c>
      <c r="C112" s="113" t="s">
        <v>26</v>
      </c>
      <c r="D112" s="113" t="s">
        <v>428</v>
      </c>
      <c r="E112" s="113">
        <v>2</v>
      </c>
      <c r="F112" s="114" t="s">
        <v>34</v>
      </c>
      <c r="G112" s="113">
        <v>104</v>
      </c>
      <c r="H112" s="113">
        <v>4.3179999999999996</v>
      </c>
      <c r="I112" s="113"/>
      <c r="J112" s="116">
        <v>2.2888344210482039</v>
      </c>
      <c r="K112" s="116">
        <v>45.047665470307393</v>
      </c>
      <c r="L112" s="117">
        <v>19.68148724785307</v>
      </c>
      <c r="M112" s="117">
        <v>680.23975939687148</v>
      </c>
      <c r="N112" s="117">
        <v>-22.330255589748056</v>
      </c>
      <c r="O112" s="119">
        <v>0.36599999999999999</v>
      </c>
      <c r="P112" s="120">
        <v>680.23975939687148</v>
      </c>
      <c r="Q112" s="121">
        <v>0.61386456341436746</v>
      </c>
      <c r="R112" s="122">
        <v>0.24786456341436747</v>
      </c>
      <c r="S112" s="122">
        <v>22.888344210482039</v>
      </c>
      <c r="T112" s="122">
        <v>56.732094450088965</v>
      </c>
      <c r="U112" s="122">
        <v>2478.6456341436747</v>
      </c>
      <c r="V112" s="119">
        <v>1.08</v>
      </c>
      <c r="W112" s="120">
        <v>-22.330255589748056</v>
      </c>
      <c r="X112" s="120">
        <v>1.0866692618718556</v>
      </c>
      <c r="Y112" s="122">
        <v>6.6692618718555696E-3</v>
      </c>
      <c r="Z112" s="122">
        <v>450.4766547030739</v>
      </c>
      <c r="AA112" s="122">
        <v>30.043467773722575</v>
      </c>
      <c r="AB112" s="122">
        <v>66.692618718555693</v>
      </c>
    </row>
    <row r="113" spans="1:28" x14ac:dyDescent="0.25">
      <c r="A113" s="113">
        <v>3</v>
      </c>
      <c r="B113" s="113" t="s">
        <v>32</v>
      </c>
      <c r="C113" s="113" t="s">
        <v>28</v>
      </c>
      <c r="D113" s="113" t="s">
        <v>427</v>
      </c>
      <c r="E113" s="113">
        <v>2</v>
      </c>
      <c r="F113" s="114" t="s">
        <v>35</v>
      </c>
      <c r="G113" s="113">
        <v>105</v>
      </c>
      <c r="H113" s="113">
        <v>4.9749999999999996</v>
      </c>
      <c r="I113" s="113"/>
      <c r="J113" s="116">
        <v>1.2594907843352978</v>
      </c>
      <c r="K113" s="116">
        <v>35.029271370310639</v>
      </c>
      <c r="L113" s="117">
        <v>27.812249050156808</v>
      </c>
      <c r="M113" s="117">
        <v>574.24777171780954</v>
      </c>
      <c r="N113" s="117">
        <v>-23.325124332728549</v>
      </c>
      <c r="O113" s="119">
        <v>0.36599999999999999</v>
      </c>
      <c r="P113" s="120">
        <v>574.24777171780954</v>
      </c>
      <c r="Q113" s="121">
        <v>0.57536388757471424</v>
      </c>
      <c r="R113" s="122">
        <v>0.20936388757471425</v>
      </c>
      <c r="S113" s="122">
        <v>12.594907843352976</v>
      </c>
      <c r="T113" s="122">
        <v>26.369188697296394</v>
      </c>
      <c r="U113" s="122">
        <v>2093.6388757471423</v>
      </c>
      <c r="V113" s="119">
        <v>1.08</v>
      </c>
      <c r="W113" s="120">
        <v>-23.325124332728549</v>
      </c>
      <c r="X113" s="120">
        <v>1.0855754802496731</v>
      </c>
      <c r="Y113" s="122">
        <v>5.575480249673026E-3</v>
      </c>
      <c r="Z113" s="122">
        <v>350.29271370310636</v>
      </c>
      <c r="AA113" s="122">
        <v>19.530501068560376</v>
      </c>
      <c r="AB113" s="122">
        <v>55.754802496730264</v>
      </c>
    </row>
    <row r="114" spans="1:28" x14ac:dyDescent="0.25">
      <c r="A114" s="113">
        <v>3</v>
      </c>
      <c r="B114" s="113" t="s">
        <v>32</v>
      </c>
      <c r="C114" s="113" t="s">
        <v>28</v>
      </c>
      <c r="D114" s="113" t="s">
        <v>428</v>
      </c>
      <c r="E114" s="113">
        <v>2</v>
      </c>
      <c r="F114" s="114" t="s">
        <v>37</v>
      </c>
      <c r="G114" s="113">
        <v>106</v>
      </c>
      <c r="H114" s="113">
        <v>4.4390000000000001</v>
      </c>
      <c r="I114" s="113"/>
      <c r="J114" s="116">
        <v>1.1010973621885589</v>
      </c>
      <c r="K114" s="116">
        <v>42.54489650076593</v>
      </c>
      <c r="L114" s="117">
        <v>38.638632660242685</v>
      </c>
      <c r="M114" s="117">
        <v>146.49297570061964</v>
      </c>
      <c r="N114" s="117">
        <v>-25.746646755708369</v>
      </c>
      <c r="O114" s="119">
        <v>0.36599999999999999</v>
      </c>
      <c r="P114" s="120">
        <v>146.49297570061964</v>
      </c>
      <c r="Q114" s="121">
        <v>0.41968206437479677</v>
      </c>
      <c r="R114" s="122">
        <v>5.3682064374796779E-2</v>
      </c>
      <c r="S114" s="122">
        <v>11.010973621885588</v>
      </c>
      <c r="T114" s="122">
        <v>5.9109179479925142</v>
      </c>
      <c r="U114" s="122">
        <v>536.82064374796778</v>
      </c>
      <c r="V114" s="119">
        <v>1.08</v>
      </c>
      <c r="W114" s="120">
        <v>-25.746646755708369</v>
      </c>
      <c r="X114" s="120">
        <v>1.0829131015973144</v>
      </c>
      <c r="Y114" s="122">
        <v>2.9131015973142826E-3</v>
      </c>
      <c r="Z114" s="122">
        <v>425.4489650076593</v>
      </c>
      <c r="AA114" s="122">
        <v>12.393760595395207</v>
      </c>
      <c r="AB114" s="122">
        <v>29.131015973142826</v>
      </c>
    </row>
    <row r="115" spans="1:28" x14ac:dyDescent="0.25">
      <c r="A115" s="113">
        <v>3</v>
      </c>
      <c r="B115" s="113" t="s">
        <v>32</v>
      </c>
      <c r="C115" s="113" t="s">
        <v>30</v>
      </c>
      <c r="D115" s="113" t="s">
        <v>427</v>
      </c>
      <c r="E115" s="113">
        <v>2</v>
      </c>
      <c r="F115" s="114" t="s">
        <v>38</v>
      </c>
      <c r="G115" s="113">
        <v>107</v>
      </c>
      <c r="H115" s="113">
        <v>4.0650000000000004</v>
      </c>
      <c r="I115" s="113"/>
      <c r="J115" s="116">
        <v>1.1122823285713881</v>
      </c>
      <c r="K115" s="116">
        <v>41.389845167829066</v>
      </c>
      <c r="L115" s="117">
        <v>37.211636024992011</v>
      </c>
      <c r="M115" s="117">
        <v>2.0416344139081737</v>
      </c>
      <c r="N115" s="117">
        <v>-27.943303701907155</v>
      </c>
      <c r="O115" s="119">
        <v>0.36599999999999999</v>
      </c>
      <c r="P115" s="120">
        <v>2.0416344139081737</v>
      </c>
      <c r="Q115" s="121">
        <v>0.36699866338133952</v>
      </c>
      <c r="R115" s="122">
        <v>9.9866338133952626E-4</v>
      </c>
      <c r="S115" s="122">
        <v>11.12282328571388</v>
      </c>
      <c r="T115" s="122">
        <v>0.11107956312553041</v>
      </c>
      <c r="U115" s="122">
        <v>9.9866338133952617</v>
      </c>
      <c r="V115" s="119">
        <v>1.08</v>
      </c>
      <c r="W115" s="120">
        <v>-27.943303701907155</v>
      </c>
      <c r="X115" s="120">
        <v>1.0804978306415183</v>
      </c>
      <c r="Y115" s="122">
        <v>4.9783064151820433E-4</v>
      </c>
      <c r="Z115" s="122">
        <v>413.89845167829066</v>
      </c>
      <c r="AA115" s="122">
        <v>2.0605133172239491</v>
      </c>
      <c r="AB115" s="122">
        <v>4.9783064151820442</v>
      </c>
    </row>
    <row r="116" spans="1:28" x14ac:dyDescent="0.25">
      <c r="A116" s="113">
        <v>3</v>
      </c>
      <c r="B116" s="113" t="s">
        <v>32</v>
      </c>
      <c r="C116" s="113" t="s">
        <v>30</v>
      </c>
      <c r="D116" s="113" t="s">
        <v>428</v>
      </c>
      <c r="E116" s="113">
        <v>2</v>
      </c>
      <c r="F116" s="114" t="s">
        <v>39</v>
      </c>
      <c r="G116" s="113">
        <v>108</v>
      </c>
      <c r="H116" s="113">
        <v>4.3220000000000001</v>
      </c>
      <c r="I116" s="113"/>
      <c r="J116" s="116">
        <v>0.9644610428949798</v>
      </c>
      <c r="K116" s="116">
        <v>43.429896836435198</v>
      </c>
      <c r="L116" s="117">
        <v>45.030224036912479</v>
      </c>
      <c r="M116" s="117">
        <v>3.9714464702025376</v>
      </c>
      <c r="N116" s="117">
        <v>-26.763767927378019</v>
      </c>
      <c r="O116" s="119">
        <v>0.36599999999999999</v>
      </c>
      <c r="P116" s="120">
        <v>3.9714464702025376</v>
      </c>
      <c r="Q116" s="121">
        <v>0.36770285990170853</v>
      </c>
      <c r="R116" s="122">
        <v>1.7028599017085422E-3</v>
      </c>
      <c r="S116" s="122">
        <v>9.6446104289497967</v>
      </c>
      <c r="T116" s="122">
        <v>0.1642342036705863</v>
      </c>
      <c r="U116" s="122">
        <v>17.028599017085423</v>
      </c>
      <c r="V116" s="119">
        <v>1.08</v>
      </c>
      <c r="W116" s="120">
        <v>-26.763767927378019</v>
      </c>
      <c r="X116" s="120">
        <v>1.0817947699343839</v>
      </c>
      <c r="Y116" s="122">
        <v>1.7947699343838774E-3</v>
      </c>
      <c r="Z116" s="122">
        <v>434.29896836435199</v>
      </c>
      <c r="AA116" s="122">
        <v>7.7946673095427377</v>
      </c>
      <c r="AB116" s="122">
        <v>17.947699343838774</v>
      </c>
    </row>
    <row r="117" spans="1:28" x14ac:dyDescent="0.25">
      <c r="A117" s="113">
        <v>3</v>
      </c>
      <c r="B117" s="113" t="s">
        <v>36</v>
      </c>
      <c r="C117" s="113" t="s">
        <v>26</v>
      </c>
      <c r="D117" s="113" t="s">
        <v>427</v>
      </c>
      <c r="E117" s="113">
        <v>2</v>
      </c>
      <c r="F117" s="114" t="s">
        <v>41</v>
      </c>
      <c r="G117" s="113">
        <v>109</v>
      </c>
      <c r="H117" s="113">
        <v>4.335</v>
      </c>
      <c r="I117" s="113"/>
      <c r="J117" s="116">
        <v>1.2683484182512599</v>
      </c>
      <c r="K117" s="116">
        <v>43.45037064041712</v>
      </c>
      <c r="L117" s="117">
        <v>34.257440633169615</v>
      </c>
      <c r="M117" s="117">
        <v>2005.9544826696892</v>
      </c>
      <c r="N117" s="117">
        <v>-19.977622259756878</v>
      </c>
      <c r="O117" s="119">
        <v>0.36599999999999999</v>
      </c>
      <c r="P117" s="120">
        <v>2005.9544826696892</v>
      </c>
      <c r="Q117" s="121">
        <v>1.0929123084854764</v>
      </c>
      <c r="R117" s="122">
        <v>0.72691230848547639</v>
      </c>
      <c r="S117" s="122">
        <v>12.683484182512599</v>
      </c>
      <c r="T117" s="122">
        <v>92.197807667492583</v>
      </c>
      <c r="U117" s="122">
        <v>7269.1230848547648</v>
      </c>
      <c r="V117" s="119">
        <v>1.08</v>
      </c>
      <c r="W117" s="120">
        <v>-19.977622259756878</v>
      </c>
      <c r="X117" s="120">
        <v>1.0892557049346994</v>
      </c>
      <c r="Y117" s="122">
        <v>9.2557049346992937E-3</v>
      </c>
      <c r="Z117" s="122">
        <v>434.50370640417117</v>
      </c>
      <c r="AA117" s="122">
        <v>40.216380995102206</v>
      </c>
      <c r="AB117" s="122">
        <v>92.55704934699294</v>
      </c>
    </row>
    <row r="118" spans="1:28" x14ac:dyDescent="0.25">
      <c r="A118" s="113">
        <v>3</v>
      </c>
      <c r="B118" s="113" t="s">
        <v>36</v>
      </c>
      <c r="C118" s="113" t="s">
        <v>26</v>
      </c>
      <c r="D118" s="113" t="s">
        <v>428</v>
      </c>
      <c r="E118" s="113">
        <v>2</v>
      </c>
      <c r="F118" s="114" t="s">
        <v>42</v>
      </c>
      <c r="G118" s="113">
        <v>110</v>
      </c>
      <c r="H118" s="113">
        <v>4.5410000000000004</v>
      </c>
      <c r="I118" s="113"/>
      <c r="J118" s="116">
        <v>1.7570498342880709</v>
      </c>
      <c r="K118" s="116">
        <v>42.533161705620408</v>
      </c>
      <c r="L118" s="117">
        <v>24.207145907648187</v>
      </c>
      <c r="M118" s="117">
        <v>409.20039127422592</v>
      </c>
      <c r="N118" s="117">
        <v>-23.387795219268266</v>
      </c>
      <c r="O118" s="119">
        <v>0.36599999999999999</v>
      </c>
      <c r="P118" s="120">
        <v>409.20039127422592</v>
      </c>
      <c r="Q118" s="121">
        <v>0.51535242456665498</v>
      </c>
      <c r="R118" s="122">
        <v>0.14935242456665498</v>
      </c>
      <c r="S118" s="122">
        <v>17.570498342880711</v>
      </c>
      <c r="T118" s="122">
        <v>26.241965283536278</v>
      </c>
      <c r="U118" s="122">
        <v>1493.5242456665499</v>
      </c>
      <c r="V118" s="119">
        <v>1.08</v>
      </c>
      <c r="W118" s="120">
        <v>-23.387795219268266</v>
      </c>
      <c r="X118" s="120">
        <v>1.0855065776228874</v>
      </c>
      <c r="Y118" s="122">
        <v>5.5065776228873098E-3</v>
      </c>
      <c r="Z118" s="122">
        <v>425.3316170562041</v>
      </c>
      <c r="AA118" s="122">
        <v>23.421215647881677</v>
      </c>
      <c r="AB118" s="122">
        <v>55.065776228873098</v>
      </c>
    </row>
    <row r="119" spans="1:28" x14ac:dyDescent="0.25">
      <c r="A119" s="113">
        <v>3</v>
      </c>
      <c r="B119" s="113" t="s">
        <v>36</v>
      </c>
      <c r="C119" s="113" t="s">
        <v>28</v>
      </c>
      <c r="D119" s="113" t="s">
        <v>427</v>
      </c>
      <c r="E119" s="113">
        <v>2</v>
      </c>
      <c r="F119" s="114" t="s">
        <v>43</v>
      </c>
      <c r="G119" s="113">
        <v>111</v>
      </c>
      <c r="H119" s="113">
        <v>4.4790000000000001</v>
      </c>
      <c r="I119" s="113"/>
      <c r="J119" s="116">
        <v>1.4158299674842831</v>
      </c>
      <c r="K119" s="116">
        <v>40.501758279137064</v>
      </c>
      <c r="L119" s="117">
        <v>28.60637167547922</v>
      </c>
      <c r="M119" s="117">
        <v>159.70209914705711</v>
      </c>
      <c r="N119" s="117">
        <v>-26.630118099817452</v>
      </c>
      <c r="O119" s="119">
        <v>0.36599999999999999</v>
      </c>
      <c r="P119" s="120">
        <v>159.70209914705711</v>
      </c>
      <c r="Q119" s="121">
        <v>0.42449683408591615</v>
      </c>
      <c r="R119" s="122">
        <v>5.8496834085916161E-2</v>
      </c>
      <c r="S119" s="122">
        <v>14.15829967484283</v>
      </c>
      <c r="T119" s="122">
        <v>8.2821570701796166</v>
      </c>
      <c r="U119" s="122">
        <v>584.96834085916157</v>
      </c>
      <c r="V119" s="119">
        <v>1.08</v>
      </c>
      <c r="W119" s="120">
        <v>-26.630118099817452</v>
      </c>
      <c r="X119" s="120">
        <v>1.0819417202740655</v>
      </c>
      <c r="Y119" s="122">
        <v>1.9417202740654727E-3</v>
      </c>
      <c r="Z119" s="122">
        <v>405.01758279137061</v>
      </c>
      <c r="AA119" s="122">
        <v>7.8643085185899544</v>
      </c>
      <c r="AB119" s="122">
        <v>19.417202740654727</v>
      </c>
    </row>
    <row r="120" spans="1:28" x14ac:dyDescent="0.25">
      <c r="A120" s="113"/>
      <c r="B120" s="113"/>
      <c r="C120" s="113"/>
      <c r="D120" s="113"/>
      <c r="E120" s="113"/>
      <c r="F120" s="113"/>
      <c r="G120" s="113"/>
      <c r="H120" s="113"/>
      <c r="I120" s="124" t="s">
        <v>469</v>
      </c>
      <c r="J120" s="116">
        <v>3.2462525234297877</v>
      </c>
      <c r="K120" s="116">
        <v>50.474300313636867</v>
      </c>
      <c r="L120" s="117">
        <v>15.548482426841174</v>
      </c>
      <c r="M120" s="117">
        <v>2.0009392981533773</v>
      </c>
      <c r="N120" s="117">
        <v>-25.846511598405169</v>
      </c>
      <c r="O120" s="119">
        <v>0.36599999999999999</v>
      </c>
      <c r="P120" s="120">
        <v>2.0009392981533773</v>
      </c>
      <c r="Q120" s="121">
        <v>0.36698381345559822</v>
      </c>
      <c r="R120" s="122">
        <v>9.8381345559822586E-4</v>
      </c>
      <c r="S120" s="122">
        <v>32.462525234297878</v>
      </c>
      <c r="T120" s="122">
        <v>0.31937069128199203</v>
      </c>
      <c r="U120" s="122">
        <v>9.8381345559822577</v>
      </c>
      <c r="V120" s="119">
        <v>1.08</v>
      </c>
      <c r="W120" s="120">
        <v>-25.846511598405169</v>
      </c>
      <c r="X120" s="120">
        <v>1.0828033006413942</v>
      </c>
      <c r="Y120" s="122">
        <v>2.8033006413941131E-3</v>
      </c>
      <c r="Z120" s="122">
        <v>504.74300313636866</v>
      </c>
      <c r="AA120" s="122">
        <v>14.149463844313729</v>
      </c>
      <c r="AB120" s="122">
        <v>28.033006413941131</v>
      </c>
    </row>
    <row r="121" spans="1:28" x14ac:dyDescent="0.25">
      <c r="A121" s="113">
        <v>3</v>
      </c>
      <c r="B121" s="113" t="s">
        <v>36</v>
      </c>
      <c r="C121" s="113" t="s">
        <v>28</v>
      </c>
      <c r="D121" s="113" t="s">
        <v>428</v>
      </c>
      <c r="E121" s="113">
        <v>2</v>
      </c>
      <c r="F121" s="114" t="s">
        <v>45</v>
      </c>
      <c r="G121" s="113">
        <v>112</v>
      </c>
      <c r="H121" s="113">
        <v>4.3899999999999997</v>
      </c>
      <c r="I121" s="113"/>
      <c r="J121" s="116">
        <v>1.3058110735114135</v>
      </c>
      <c r="K121" s="116">
        <v>42.247979982123532</v>
      </c>
      <c r="L121" s="117">
        <v>32.35382272300378</v>
      </c>
      <c r="M121" s="117">
        <v>60.373005105408922</v>
      </c>
      <c r="N121" s="117">
        <v>-26.50810488456926</v>
      </c>
      <c r="O121" s="119">
        <v>0.36599999999999999</v>
      </c>
      <c r="P121" s="120">
        <v>60.373005105408922</v>
      </c>
      <c r="Q121" s="121">
        <v>0.38827962940785848</v>
      </c>
      <c r="R121" s="122">
        <v>2.2279629407858492E-2</v>
      </c>
      <c r="S121" s="122">
        <v>13.058110735114134</v>
      </c>
      <c r="T121" s="122">
        <v>2.9092986794512155</v>
      </c>
      <c r="U121" s="122">
        <v>222.79629407858494</v>
      </c>
      <c r="V121" s="119">
        <v>1.08</v>
      </c>
      <c r="W121" s="120">
        <v>-26.50810488456926</v>
      </c>
      <c r="X121" s="120">
        <v>1.0820758755722841</v>
      </c>
      <c r="Y121" s="122">
        <v>2.0758755722840583E-3</v>
      </c>
      <c r="Z121" s="122">
        <v>422.4797998212353</v>
      </c>
      <c r="AA121" s="122">
        <v>8.7701549623236126</v>
      </c>
      <c r="AB121" s="122">
        <v>20.758755722840583</v>
      </c>
    </row>
    <row r="122" spans="1:28" x14ac:dyDescent="0.25">
      <c r="A122" s="113">
        <v>3</v>
      </c>
      <c r="B122" s="113" t="s">
        <v>36</v>
      </c>
      <c r="C122" s="113" t="s">
        <v>30</v>
      </c>
      <c r="D122" s="113" t="s">
        <v>427</v>
      </c>
      <c r="E122" s="113">
        <v>2</v>
      </c>
      <c r="F122" s="114" t="s">
        <v>46</v>
      </c>
      <c r="G122" s="113">
        <v>113</v>
      </c>
      <c r="H122" s="113">
        <v>4.1669999999999998</v>
      </c>
      <c r="I122" s="113"/>
      <c r="J122" s="116">
        <v>1.1257677417248226</v>
      </c>
      <c r="K122" s="116">
        <v>42.442331782653163</v>
      </c>
      <c r="L122" s="117">
        <v>37.70078872363672</v>
      </c>
      <c r="M122" s="117">
        <v>1.5214903831309845</v>
      </c>
      <c r="N122" s="117">
        <v>-27.181822869973114</v>
      </c>
      <c r="O122" s="119">
        <v>0.36599999999999999</v>
      </c>
      <c r="P122" s="120">
        <v>1.5214903831309845</v>
      </c>
      <c r="Q122" s="121">
        <v>0.3668088589379308</v>
      </c>
      <c r="R122" s="122">
        <v>8.0885893793081198E-4</v>
      </c>
      <c r="S122" s="122">
        <v>11.257677417248226</v>
      </c>
      <c r="T122" s="122">
        <v>9.1058729992830878E-2</v>
      </c>
      <c r="U122" s="122">
        <v>8.0885893793081198</v>
      </c>
      <c r="V122" s="119">
        <v>1.08</v>
      </c>
      <c r="W122" s="120">
        <v>-27.181822869973114</v>
      </c>
      <c r="X122" s="120">
        <v>1.0813351083420031</v>
      </c>
      <c r="Y122" s="122">
        <v>1.3351083420030108E-3</v>
      </c>
      <c r="Z122" s="122">
        <v>424.42331782653162</v>
      </c>
      <c r="AA122" s="122">
        <v>5.6665111217079751</v>
      </c>
      <c r="AB122" s="122">
        <v>13.351083420030108</v>
      </c>
    </row>
    <row r="123" spans="1:28" x14ac:dyDescent="0.25">
      <c r="A123" s="113">
        <v>3</v>
      </c>
      <c r="B123" s="113" t="s">
        <v>36</v>
      </c>
      <c r="C123" s="113" t="s">
        <v>30</v>
      </c>
      <c r="D123" s="113" t="s">
        <v>428</v>
      </c>
      <c r="E123" s="113">
        <v>2</v>
      </c>
      <c r="F123" s="114" t="s">
        <v>47</v>
      </c>
      <c r="G123" s="113">
        <v>114</v>
      </c>
      <c r="H123" s="113">
        <v>4.1859999999999999</v>
      </c>
      <c r="I123" s="113"/>
      <c r="J123" s="116">
        <v>0.91670486952544683</v>
      </c>
      <c r="K123" s="116">
        <v>43.510348768495433</v>
      </c>
      <c r="L123" s="117">
        <v>47.463856923787866</v>
      </c>
      <c r="M123" s="117">
        <v>3.1225654326887469</v>
      </c>
      <c r="N123" s="117">
        <v>-26.48603204373725</v>
      </c>
      <c r="O123" s="119">
        <v>0.36599999999999999</v>
      </c>
      <c r="P123" s="120">
        <v>3.1225654326887469</v>
      </c>
      <c r="Q123" s="121">
        <v>0.3673931008739707</v>
      </c>
      <c r="R123" s="122">
        <v>1.3931008739707096E-3</v>
      </c>
      <c r="S123" s="122">
        <v>9.1670486952544685</v>
      </c>
      <c r="T123" s="122">
        <v>0.12770623549091054</v>
      </c>
      <c r="U123" s="122">
        <v>13.931008739707094</v>
      </c>
      <c r="V123" s="119">
        <v>1.08</v>
      </c>
      <c r="W123" s="120">
        <v>-26.48603204373725</v>
      </c>
      <c r="X123" s="120">
        <v>1.08210014494176</v>
      </c>
      <c r="Y123" s="122">
        <v>2.1001449417599183E-3</v>
      </c>
      <c r="Z123" s="122">
        <v>435.1034876849543</v>
      </c>
      <c r="AA123" s="122">
        <v>9.1378038880365562</v>
      </c>
      <c r="AB123" s="122">
        <v>21.001449417599183</v>
      </c>
    </row>
    <row r="124" spans="1:28" x14ac:dyDescent="0.25">
      <c r="A124" s="113">
        <v>3</v>
      </c>
      <c r="B124" s="113" t="s">
        <v>40</v>
      </c>
      <c r="C124" s="113" t="s">
        <v>26</v>
      </c>
      <c r="D124" s="113" t="s">
        <v>427</v>
      </c>
      <c r="E124" s="113">
        <v>2</v>
      </c>
      <c r="F124" s="114" t="s">
        <v>49</v>
      </c>
      <c r="G124" s="113">
        <v>115</v>
      </c>
      <c r="H124" s="113">
        <v>4.2430000000000003</v>
      </c>
      <c r="I124" s="113"/>
      <c r="J124" s="116">
        <v>1.279465256301878</v>
      </c>
      <c r="K124" s="116">
        <v>38.344550902923316</v>
      </c>
      <c r="L124" s="117">
        <v>29.969200581306183</v>
      </c>
      <c r="M124" s="117">
        <v>471.13734825852043</v>
      </c>
      <c r="N124" s="117">
        <v>-27.149820763247973</v>
      </c>
      <c r="O124" s="119">
        <v>0.36599999999999999</v>
      </c>
      <c r="P124" s="120">
        <v>471.13734825852043</v>
      </c>
      <c r="Q124" s="121">
        <v>0.53788128056277984</v>
      </c>
      <c r="R124" s="122">
        <v>0.17188128056277985</v>
      </c>
      <c r="S124" s="122">
        <v>12.794652563018781</v>
      </c>
      <c r="T124" s="122">
        <v>21.991612668875213</v>
      </c>
      <c r="U124" s="122">
        <v>1718.8128056277985</v>
      </c>
      <c r="V124" s="119">
        <v>1.08</v>
      </c>
      <c r="W124" s="120">
        <v>-27.149820763247973</v>
      </c>
      <c r="X124" s="120">
        <v>1.0813702955888496</v>
      </c>
      <c r="Y124" s="122">
        <v>1.3702955888494905E-3</v>
      </c>
      <c r="Z124" s="122">
        <v>383.44550902923316</v>
      </c>
      <c r="AA124" s="122">
        <v>5.2543368958690566</v>
      </c>
      <c r="AB124" s="122">
        <v>13.702955888494905</v>
      </c>
    </row>
    <row r="125" spans="1:28" x14ac:dyDescent="0.25">
      <c r="A125" s="113">
        <v>3</v>
      </c>
      <c r="B125" s="113" t="s">
        <v>40</v>
      </c>
      <c r="C125" s="113" t="s">
        <v>26</v>
      </c>
      <c r="D125" s="113" t="s">
        <v>428</v>
      </c>
      <c r="E125" s="113">
        <v>2</v>
      </c>
      <c r="F125" s="114" t="s">
        <v>50</v>
      </c>
      <c r="G125" s="113">
        <v>116</v>
      </c>
      <c r="H125" s="113">
        <v>4.593</v>
      </c>
      <c r="I125" s="113"/>
      <c r="J125" s="116">
        <v>1.7160861627690953</v>
      </c>
      <c r="K125" s="116">
        <v>37.800326026839926</v>
      </c>
      <c r="L125" s="117">
        <v>22.02705601089686</v>
      </c>
      <c r="M125" s="117">
        <v>158.57888480077096</v>
      </c>
      <c r="N125" s="117">
        <v>-28.073378161904326</v>
      </c>
      <c r="O125" s="119">
        <v>0.36599999999999999</v>
      </c>
      <c r="P125" s="120">
        <v>158.57888480077096</v>
      </c>
      <c r="Q125" s="121">
        <v>0.42408743680924677</v>
      </c>
      <c r="R125" s="122">
        <v>5.8087436809246773E-2</v>
      </c>
      <c r="S125" s="122">
        <v>17.160861627690956</v>
      </c>
      <c r="T125" s="122">
        <v>9.9683046539072606</v>
      </c>
      <c r="U125" s="122">
        <v>580.87436809246776</v>
      </c>
      <c r="V125" s="119">
        <v>1.08</v>
      </c>
      <c r="W125" s="120">
        <v>-28.073378161904326</v>
      </c>
      <c r="X125" s="120">
        <v>1.0803548073118525</v>
      </c>
      <c r="Y125" s="122">
        <v>3.548073118524453E-4</v>
      </c>
      <c r="Z125" s="122">
        <v>378.00326026839923</v>
      </c>
      <c r="AA125" s="122">
        <v>1.3411832064729097</v>
      </c>
      <c r="AB125" s="122">
        <v>3.548073118524453</v>
      </c>
    </row>
    <row r="126" spans="1:28" x14ac:dyDescent="0.25">
      <c r="A126" s="113">
        <v>3</v>
      </c>
      <c r="B126" s="113" t="s">
        <v>40</v>
      </c>
      <c r="C126" s="113" t="s">
        <v>28</v>
      </c>
      <c r="D126" s="113" t="s">
        <v>427</v>
      </c>
      <c r="E126" s="113">
        <v>2</v>
      </c>
      <c r="F126" s="114" t="s">
        <v>51</v>
      </c>
      <c r="G126" s="113">
        <v>117</v>
      </c>
      <c r="H126" s="113">
        <v>4.4180000000000001</v>
      </c>
      <c r="I126" s="113"/>
      <c r="J126" s="116">
        <v>1.1994619030970888</v>
      </c>
      <c r="K126" s="116">
        <v>31.378376724851247</v>
      </c>
      <c r="L126" s="117">
        <v>26.160377952672139</v>
      </c>
      <c r="M126" s="117">
        <v>391.55072509629912</v>
      </c>
      <c r="N126" s="117">
        <v>-25.549230474985613</v>
      </c>
      <c r="O126" s="119">
        <v>0.36599999999999999</v>
      </c>
      <c r="P126" s="120">
        <v>391.55072509629912</v>
      </c>
      <c r="Q126" s="121">
        <v>0.50893069277851799</v>
      </c>
      <c r="R126" s="122">
        <v>0.142930692778518</v>
      </c>
      <c r="S126" s="122">
        <v>11.994619030970886</v>
      </c>
      <c r="T126" s="122">
        <v>17.143992077110653</v>
      </c>
      <c r="U126" s="122">
        <v>1429.3069277851801</v>
      </c>
      <c r="V126" s="119">
        <v>1.08</v>
      </c>
      <c r="W126" s="120">
        <v>-25.549230474985613</v>
      </c>
      <c r="X126" s="120">
        <v>1.08313015921364</v>
      </c>
      <c r="Y126" s="122">
        <v>3.1301592136399048E-3</v>
      </c>
      <c r="Z126" s="122">
        <v>313.7837672485125</v>
      </c>
      <c r="AA126" s="122">
        <v>9.8219315014357083</v>
      </c>
      <c r="AB126" s="122">
        <v>31.301592136399048</v>
      </c>
    </row>
    <row r="127" spans="1:28" x14ac:dyDescent="0.25">
      <c r="A127" s="113">
        <v>3</v>
      </c>
      <c r="B127" s="113" t="s">
        <v>40</v>
      </c>
      <c r="C127" s="113" t="s">
        <v>28</v>
      </c>
      <c r="D127" s="113" t="s">
        <v>428</v>
      </c>
      <c r="E127" s="113">
        <v>2</v>
      </c>
      <c r="F127" s="114" t="s">
        <v>53</v>
      </c>
      <c r="G127" s="113">
        <v>118</v>
      </c>
      <c r="H127" s="113">
        <v>4.5119999999999996</v>
      </c>
      <c r="I127" s="113"/>
      <c r="J127" s="116">
        <v>1.2195796737043298</v>
      </c>
      <c r="K127" s="116">
        <v>36.446924977763651</v>
      </c>
      <c r="L127" s="117">
        <v>29.88482488155973</v>
      </c>
      <c r="M127" s="117">
        <v>122.57739149211523</v>
      </c>
      <c r="N127" s="117">
        <v>-25.859217157921879</v>
      </c>
      <c r="O127" s="119">
        <v>0.36599999999999999</v>
      </c>
      <c r="P127" s="120">
        <v>122.57739149211523</v>
      </c>
      <c r="Q127" s="121">
        <v>0.41096356911215026</v>
      </c>
      <c r="R127" s="122">
        <v>4.496356911215027E-2</v>
      </c>
      <c r="S127" s="122">
        <v>12.195796737043297</v>
      </c>
      <c r="T127" s="122">
        <v>5.4836654946378305</v>
      </c>
      <c r="U127" s="122">
        <v>449.6356911215027</v>
      </c>
      <c r="V127" s="119">
        <v>1.08</v>
      </c>
      <c r="W127" s="120">
        <v>-25.859217157921879</v>
      </c>
      <c r="X127" s="120">
        <v>1.0827893309170311</v>
      </c>
      <c r="Y127" s="122">
        <v>2.789330917031041E-3</v>
      </c>
      <c r="Z127" s="122">
        <v>364.46924977763649</v>
      </c>
      <c r="AA127" s="122">
        <v>10.166253467118704</v>
      </c>
      <c r="AB127" s="122">
        <v>27.89330917031041</v>
      </c>
    </row>
    <row r="128" spans="1:28" x14ac:dyDescent="0.25">
      <c r="A128" s="113">
        <v>3</v>
      </c>
      <c r="B128" s="113" t="s">
        <v>40</v>
      </c>
      <c r="C128" s="113" t="s">
        <v>30</v>
      </c>
      <c r="D128" s="113" t="s">
        <v>427</v>
      </c>
      <c r="E128" s="113">
        <v>2</v>
      </c>
      <c r="F128" s="114" t="s">
        <v>54</v>
      </c>
      <c r="G128" s="113">
        <v>119</v>
      </c>
      <c r="H128" s="113">
        <v>4.452</v>
      </c>
      <c r="I128" s="113"/>
      <c r="J128" s="116">
        <v>0.95680588581566395</v>
      </c>
      <c r="K128" s="116">
        <v>36.428346811880999</v>
      </c>
      <c r="L128" s="117">
        <v>38.072870737857478</v>
      </c>
      <c r="M128" s="117">
        <v>1.2431778566403988</v>
      </c>
      <c r="N128" s="117">
        <v>-27.249561637392649</v>
      </c>
      <c r="O128" s="119">
        <v>0.36599999999999999</v>
      </c>
      <c r="P128" s="120">
        <v>1.2431778566403988</v>
      </c>
      <c r="Q128" s="121">
        <v>0.3667073003204368</v>
      </c>
      <c r="R128" s="122">
        <v>7.0730032043681001E-4</v>
      </c>
      <c r="S128" s="122">
        <v>9.5680588581566397</v>
      </c>
      <c r="T128" s="122">
        <v>6.7674910963324494E-2</v>
      </c>
      <c r="U128" s="122">
        <v>7.0730032043681001</v>
      </c>
      <c r="V128" s="119">
        <v>1.08</v>
      </c>
      <c r="W128" s="120">
        <v>-27.249561637392649</v>
      </c>
      <c r="X128" s="120">
        <v>1.0812606275150598</v>
      </c>
      <c r="Y128" s="122">
        <v>1.2606275150597313E-3</v>
      </c>
      <c r="Z128" s="122">
        <v>364.28346811880999</v>
      </c>
      <c r="AA128" s="122">
        <v>4.5922576319195629</v>
      </c>
      <c r="AB128" s="122">
        <v>12.606275150597313</v>
      </c>
    </row>
    <row r="129" spans="1:28" x14ac:dyDescent="0.25">
      <c r="A129" s="113">
        <v>3</v>
      </c>
      <c r="B129" s="113" t="s">
        <v>40</v>
      </c>
      <c r="C129" s="113" t="s">
        <v>30</v>
      </c>
      <c r="D129" s="113" t="s">
        <v>428</v>
      </c>
      <c r="E129" s="113">
        <v>2</v>
      </c>
      <c r="F129" s="114" t="s">
        <v>55</v>
      </c>
      <c r="G129" s="113">
        <v>120</v>
      </c>
      <c r="H129" s="113">
        <v>4.5579999999999998</v>
      </c>
      <c r="I129" s="113"/>
      <c r="J129" s="116">
        <v>1.0339464644773535</v>
      </c>
      <c r="K129" s="116">
        <v>36.357587374285103</v>
      </c>
      <c r="L129" s="117">
        <v>35.163897380957131</v>
      </c>
      <c r="M129" s="117">
        <v>7.4341850620752048</v>
      </c>
      <c r="N129" s="117">
        <v>-25.938641313841849</v>
      </c>
      <c r="O129" s="119">
        <v>0.36599999999999999</v>
      </c>
      <c r="P129" s="120">
        <v>7.4341850620752048</v>
      </c>
      <c r="Q129" s="121">
        <v>0.36896640279457021</v>
      </c>
      <c r="R129" s="122">
        <v>2.966402794570222E-3</v>
      </c>
      <c r="S129" s="122">
        <v>10.339464644773534</v>
      </c>
      <c r="T129" s="122">
        <v>0.30671016816616214</v>
      </c>
      <c r="U129" s="122">
        <v>29.66402794570222</v>
      </c>
      <c r="V129" s="119">
        <v>1.08</v>
      </c>
      <c r="W129" s="120">
        <v>-25.938641313841849</v>
      </c>
      <c r="X129" s="120">
        <v>1.082702004207748</v>
      </c>
      <c r="Y129" s="122">
        <v>2.7020042077479101E-3</v>
      </c>
      <c r="Z129" s="122">
        <v>363.57587374285106</v>
      </c>
      <c r="AA129" s="122">
        <v>9.8238354068880636</v>
      </c>
      <c r="AB129" s="122">
        <v>27.020042077479101</v>
      </c>
    </row>
    <row r="130" spans="1:28" x14ac:dyDescent="0.25">
      <c r="A130" s="113">
        <v>3</v>
      </c>
      <c r="B130" s="113" t="s">
        <v>44</v>
      </c>
      <c r="C130" s="113" t="s">
        <v>26</v>
      </c>
      <c r="D130" s="113" t="s">
        <v>427</v>
      </c>
      <c r="E130" s="113">
        <v>2</v>
      </c>
      <c r="F130" s="114" t="s">
        <v>57</v>
      </c>
      <c r="G130" s="113">
        <v>121</v>
      </c>
      <c r="H130" s="113">
        <v>4.6050000000000004</v>
      </c>
      <c r="I130" s="113"/>
      <c r="J130" s="116">
        <v>1.3748483834033876</v>
      </c>
      <c r="K130" s="116">
        <v>40.111862401249198</v>
      </c>
      <c r="L130" s="117">
        <v>29.175480646057665</v>
      </c>
      <c r="M130" s="117">
        <v>243.98154366866888</v>
      </c>
      <c r="N130" s="117">
        <v>-27.040377014757656</v>
      </c>
      <c r="O130" s="119">
        <v>0.36599999999999999</v>
      </c>
      <c r="P130" s="120">
        <v>243.98154366866888</v>
      </c>
      <c r="Q130" s="121">
        <v>0.45520601472248146</v>
      </c>
      <c r="R130" s="122">
        <v>8.9206014722481464E-2</v>
      </c>
      <c r="S130" s="122">
        <v>13.748483834033873</v>
      </c>
      <c r="T130" s="122">
        <v>12.26447451310624</v>
      </c>
      <c r="U130" s="122">
        <v>892.06014722481461</v>
      </c>
      <c r="V130" s="119">
        <v>1.08</v>
      </c>
      <c r="W130" s="120">
        <v>-27.040377014757656</v>
      </c>
      <c r="X130" s="120">
        <v>1.0814906319833335</v>
      </c>
      <c r="Y130" s="122">
        <v>1.4906319833334347E-3</v>
      </c>
      <c r="Z130" s="122">
        <v>401.11862401249198</v>
      </c>
      <c r="AA130" s="122">
        <v>5.9792025006371929</v>
      </c>
      <c r="AB130" s="122">
        <v>14.906319833334347</v>
      </c>
    </row>
    <row r="131" spans="1:28" x14ac:dyDescent="0.25">
      <c r="A131" s="113">
        <v>3</v>
      </c>
      <c r="B131" s="113" t="s">
        <v>44</v>
      </c>
      <c r="C131" s="113" t="s">
        <v>26</v>
      </c>
      <c r="D131" s="113" t="s">
        <v>428</v>
      </c>
      <c r="E131" s="113">
        <v>2</v>
      </c>
      <c r="F131" s="114" t="s">
        <v>58</v>
      </c>
      <c r="G131" s="113">
        <v>122</v>
      </c>
      <c r="H131" s="113">
        <v>4.9000000000000004</v>
      </c>
      <c r="I131" s="113"/>
      <c r="J131" s="116">
        <v>1.0739545863613922</v>
      </c>
      <c r="K131" s="116">
        <v>39.543591821198603</v>
      </c>
      <c r="L131" s="117">
        <v>36.820543739353191</v>
      </c>
      <c r="M131" s="117">
        <v>153.67447520082413</v>
      </c>
      <c r="N131" s="117">
        <v>-27.623494438129878</v>
      </c>
      <c r="O131" s="119">
        <v>0.36599999999999999</v>
      </c>
      <c r="P131" s="120">
        <v>153.67447520082413</v>
      </c>
      <c r="Q131" s="121">
        <v>0.42229980273768913</v>
      </c>
      <c r="R131" s="122">
        <v>5.6299802737689142E-2</v>
      </c>
      <c r="S131" s="122">
        <v>10.739545863613921</v>
      </c>
      <c r="T131" s="122">
        <v>6.046343136138292</v>
      </c>
      <c r="U131" s="122">
        <v>562.9980273768914</v>
      </c>
      <c r="V131" s="119">
        <v>1.08</v>
      </c>
      <c r="W131" s="120">
        <v>-27.623494438129878</v>
      </c>
      <c r="X131" s="120">
        <v>1.0808494750537359</v>
      </c>
      <c r="Y131" s="122">
        <v>8.4947505373578203E-4</v>
      </c>
      <c r="Z131" s="122">
        <v>395.43591821198606</v>
      </c>
      <c r="AA131" s="122">
        <v>3.3591294787218517</v>
      </c>
      <c r="AB131" s="122">
        <v>8.4947505373578203</v>
      </c>
    </row>
    <row r="132" spans="1:28" x14ac:dyDescent="0.25">
      <c r="A132" s="113">
        <v>3</v>
      </c>
      <c r="B132" s="113" t="s">
        <v>44</v>
      </c>
      <c r="C132" s="113" t="s">
        <v>28</v>
      </c>
      <c r="D132" s="113" t="s">
        <v>427</v>
      </c>
      <c r="E132" s="113">
        <v>2</v>
      </c>
      <c r="F132" s="114" t="s">
        <v>59</v>
      </c>
      <c r="G132" s="113">
        <v>123</v>
      </c>
      <c r="H132" s="113">
        <v>4.6849999999999996</v>
      </c>
      <c r="I132" s="113"/>
      <c r="J132" s="116">
        <v>1.1350319480154143</v>
      </c>
      <c r="K132" s="116">
        <v>31.421316699023119</v>
      </c>
      <c r="L132" s="117">
        <v>27.683200242920741</v>
      </c>
      <c r="M132" s="117">
        <v>492.97052357711425</v>
      </c>
      <c r="N132" s="117">
        <v>-22.555205306490443</v>
      </c>
      <c r="O132" s="119">
        <v>0.36599999999999999</v>
      </c>
      <c r="P132" s="120">
        <v>492.97052357711425</v>
      </c>
      <c r="Q132" s="121">
        <v>0.54582041489269628</v>
      </c>
      <c r="R132" s="122">
        <v>0.17982041489269629</v>
      </c>
      <c r="S132" s="122">
        <v>11.350319480154143</v>
      </c>
      <c r="T132" s="122">
        <v>20.41019158085971</v>
      </c>
      <c r="U132" s="122">
        <v>1798.2041489269629</v>
      </c>
      <c r="V132" s="119">
        <v>1.08</v>
      </c>
      <c r="W132" s="120">
        <v>-22.555205306490443</v>
      </c>
      <c r="X132" s="120">
        <v>1.0864219490858575</v>
      </c>
      <c r="Y132" s="122">
        <v>6.4219490858574702E-3</v>
      </c>
      <c r="Z132" s="122">
        <v>314.21316699023123</v>
      </c>
      <c r="AA132" s="122">
        <v>20.178609605172962</v>
      </c>
      <c r="AB132" s="122">
        <v>64.219490858574702</v>
      </c>
    </row>
    <row r="133" spans="1:28" x14ac:dyDescent="0.25">
      <c r="A133" s="113"/>
      <c r="B133" s="113"/>
      <c r="C133" s="113"/>
      <c r="D133" s="113"/>
      <c r="E133" s="113"/>
      <c r="F133" s="113"/>
      <c r="G133" s="113"/>
      <c r="H133" s="113"/>
      <c r="I133" s="124" t="s">
        <v>469</v>
      </c>
      <c r="J133" s="116">
        <v>2.7697296214360052</v>
      </c>
      <c r="K133" s="116">
        <v>45.747455508055694</v>
      </c>
      <c r="L133" s="117">
        <v>16.516939109867799</v>
      </c>
      <c r="M133" s="117">
        <v>4.9630403160138439</v>
      </c>
      <c r="N133" s="117">
        <v>-25.126209305539952</v>
      </c>
      <c r="O133" s="119">
        <v>0.36599999999999999</v>
      </c>
      <c r="P133" s="120">
        <v>4.9630403160138439</v>
      </c>
      <c r="Q133" s="121">
        <v>0.36806469278709514</v>
      </c>
      <c r="R133" s="122">
        <v>2.0646927870951459E-3</v>
      </c>
      <c r="S133" s="122">
        <v>27.697296214360055</v>
      </c>
      <c r="T133" s="122">
        <v>0.57186407715826881</v>
      </c>
      <c r="U133" s="122">
        <v>20.646927870951458</v>
      </c>
      <c r="V133" s="119">
        <v>1.08</v>
      </c>
      <c r="W133" s="120">
        <v>-25.126209305539952</v>
      </c>
      <c r="X133" s="120">
        <v>1.0835952643870335</v>
      </c>
      <c r="Y133" s="122">
        <v>3.5952643870333922E-3</v>
      </c>
      <c r="Z133" s="122">
        <v>457.47455508055697</v>
      </c>
      <c r="AA133" s="122">
        <v>16.447419758550726</v>
      </c>
      <c r="AB133" s="122">
        <v>35.952643870333922</v>
      </c>
    </row>
    <row r="134" spans="1:28" x14ac:dyDescent="0.25">
      <c r="A134" s="113">
        <v>3</v>
      </c>
      <c r="B134" s="113" t="s">
        <v>44</v>
      </c>
      <c r="C134" s="113" t="s">
        <v>28</v>
      </c>
      <c r="D134" s="113" t="s">
        <v>428</v>
      </c>
      <c r="E134" s="113">
        <v>2</v>
      </c>
      <c r="F134" s="114" t="s">
        <v>60</v>
      </c>
      <c r="G134" s="113">
        <v>124</v>
      </c>
      <c r="H134" s="113">
        <v>5.0640000000000001</v>
      </c>
      <c r="I134" s="113"/>
      <c r="J134" s="116">
        <v>1.0639896141296308</v>
      </c>
      <c r="K134" s="116">
        <v>35.903382711020839</v>
      </c>
      <c r="L134" s="117">
        <v>33.744110124975869</v>
      </c>
      <c r="M134" s="117">
        <v>168.75940633805044</v>
      </c>
      <c r="N134" s="117">
        <v>-25.236077499219054</v>
      </c>
      <c r="O134" s="119">
        <v>0.36599999999999999</v>
      </c>
      <c r="P134" s="120">
        <v>168.75940633805044</v>
      </c>
      <c r="Q134" s="121">
        <v>0.42779798380482725</v>
      </c>
      <c r="R134" s="122">
        <v>6.1797983804827261E-2</v>
      </c>
      <c r="S134" s="122">
        <v>10.639896141296308</v>
      </c>
      <c r="T134" s="122">
        <v>6.5752412942487339</v>
      </c>
      <c r="U134" s="122">
        <v>617.97983804827265</v>
      </c>
      <c r="V134" s="119">
        <v>1.08</v>
      </c>
      <c r="W134" s="120">
        <v>-25.236077499219054</v>
      </c>
      <c r="X134" s="120">
        <v>1.0834744664433513</v>
      </c>
      <c r="Y134" s="122">
        <v>3.474466443351254E-3</v>
      </c>
      <c r="Z134" s="122">
        <v>359.03382711020839</v>
      </c>
      <c r="AA134" s="122">
        <v>12.474509843223949</v>
      </c>
      <c r="AB134" s="122">
        <v>34.74466443351254</v>
      </c>
    </row>
    <row r="135" spans="1:28" x14ac:dyDescent="0.25">
      <c r="A135" s="113">
        <v>3</v>
      </c>
      <c r="B135" s="113" t="s">
        <v>44</v>
      </c>
      <c r="C135" s="113" t="s">
        <v>30</v>
      </c>
      <c r="D135" s="113" t="s">
        <v>427</v>
      </c>
      <c r="E135" s="113">
        <v>2</v>
      </c>
      <c r="F135" s="114" t="s">
        <v>61</v>
      </c>
      <c r="G135" s="113">
        <v>125</v>
      </c>
      <c r="H135" s="113">
        <v>4.3330000000000002</v>
      </c>
      <c r="I135" s="113"/>
      <c r="J135" s="116">
        <v>1.3089843623143547</v>
      </c>
      <c r="K135" s="116">
        <v>32.869927638575966</v>
      </c>
      <c r="L135" s="117">
        <v>25.111016284763075</v>
      </c>
      <c r="M135" s="117">
        <v>-2.4772515197753644</v>
      </c>
      <c r="N135" s="117">
        <v>-28.227533471194981</v>
      </c>
      <c r="O135" s="119">
        <v>0.36599999999999999</v>
      </c>
      <c r="P135" s="120">
        <v>-2.4772515197753644</v>
      </c>
      <c r="Q135" s="121">
        <v>0.36534966398813629</v>
      </c>
      <c r="R135" s="122">
        <v>-6.5033601186370582E-4</v>
      </c>
      <c r="S135" s="122">
        <v>13.089843623143548</v>
      </c>
      <c r="T135" s="122">
        <v>-8.5127966977947361E-2</v>
      </c>
      <c r="U135" s="122">
        <v>-6.5033601186370582</v>
      </c>
      <c r="V135" s="119">
        <v>1.08</v>
      </c>
      <c r="W135" s="120">
        <v>-28.227533471194981</v>
      </c>
      <c r="X135" s="120">
        <v>1.0801853053567534</v>
      </c>
      <c r="Y135" s="122">
        <v>1.8530535675331805E-4</v>
      </c>
      <c r="Z135" s="122">
        <v>328.69927638575967</v>
      </c>
      <c r="AA135" s="122">
        <v>0.60909736675220694</v>
      </c>
      <c r="AB135" s="122">
        <v>1.8530535675331805</v>
      </c>
    </row>
    <row r="136" spans="1:28" x14ac:dyDescent="0.25">
      <c r="A136" s="113">
        <v>3</v>
      </c>
      <c r="B136" s="113" t="s">
        <v>44</v>
      </c>
      <c r="C136" s="113" t="s">
        <v>30</v>
      </c>
      <c r="D136" s="113" t="s">
        <v>428</v>
      </c>
      <c r="E136" s="113">
        <v>2</v>
      </c>
      <c r="F136" s="114" t="s">
        <v>62</v>
      </c>
      <c r="G136" s="113">
        <v>126</v>
      </c>
      <c r="H136" s="113">
        <v>4.2290000000000001</v>
      </c>
      <c r="I136" s="113"/>
      <c r="J136" s="116">
        <v>0.79458012450572413</v>
      </c>
      <c r="K136" s="116">
        <v>36.906524164787285</v>
      </c>
      <c r="L136" s="117">
        <v>46.447832039273983</v>
      </c>
      <c r="M136" s="117">
        <v>13.418966929797437</v>
      </c>
      <c r="N136" s="117">
        <v>-25.566738755425046</v>
      </c>
      <c r="O136" s="119">
        <v>0.36599999999999999</v>
      </c>
      <c r="P136" s="120">
        <v>13.418966929797437</v>
      </c>
      <c r="Q136" s="121">
        <v>0.37115015612912</v>
      </c>
      <c r="R136" s="122">
        <v>5.1501561291200093E-3</v>
      </c>
      <c r="S136" s="122">
        <v>7.9458012450572406</v>
      </c>
      <c r="T136" s="122">
        <v>0.40922116983000945</v>
      </c>
      <c r="U136" s="122">
        <v>51.50156129120009</v>
      </c>
      <c r="V136" s="119">
        <v>1.08</v>
      </c>
      <c r="W136" s="120">
        <v>-25.566738755425046</v>
      </c>
      <c r="X136" s="120">
        <v>1.0831109090383015</v>
      </c>
      <c r="Y136" s="122">
        <v>3.1109090383014681E-3</v>
      </c>
      <c r="Z136" s="122">
        <v>369.06524164787288</v>
      </c>
      <c r="AA136" s="122">
        <v>11.481283959652831</v>
      </c>
      <c r="AB136" s="122">
        <v>31.109090383014681</v>
      </c>
    </row>
    <row r="137" spans="1:28" x14ac:dyDescent="0.25">
      <c r="A137" s="113">
        <v>3</v>
      </c>
      <c r="B137" s="113" t="s">
        <v>48</v>
      </c>
      <c r="C137" s="113" t="s">
        <v>26</v>
      </c>
      <c r="D137" s="113" t="s">
        <v>427</v>
      </c>
      <c r="E137" s="113">
        <v>2</v>
      </c>
      <c r="F137" s="114" t="s">
        <v>63</v>
      </c>
      <c r="G137" s="113">
        <v>127</v>
      </c>
      <c r="H137" s="113">
        <v>4.4160000000000004</v>
      </c>
      <c r="I137" s="113"/>
      <c r="J137" s="116">
        <v>1.2899482096617816</v>
      </c>
      <c r="K137" s="116">
        <v>38.539229686027987</v>
      </c>
      <c r="L137" s="117">
        <v>29.876571320745345</v>
      </c>
      <c r="M137" s="117">
        <v>376.99660939887258</v>
      </c>
      <c r="N137" s="117">
        <v>-25.671344711346226</v>
      </c>
      <c r="O137" s="119">
        <v>0.36599999999999999</v>
      </c>
      <c r="P137" s="120">
        <v>376.99660939887258</v>
      </c>
      <c r="Q137" s="121">
        <v>0.50363463590323587</v>
      </c>
      <c r="R137" s="122">
        <v>0.13763463590323588</v>
      </c>
      <c r="S137" s="122">
        <v>12.899482096617817</v>
      </c>
      <c r="T137" s="122">
        <v>17.754155217083028</v>
      </c>
      <c r="U137" s="122">
        <v>1376.3463590323588</v>
      </c>
      <c r="V137" s="119">
        <v>1.08</v>
      </c>
      <c r="W137" s="120">
        <v>-25.671344711346226</v>
      </c>
      <c r="X137" s="120">
        <v>1.0829958957031469</v>
      </c>
      <c r="Y137" s="122">
        <v>2.9958957031468447E-3</v>
      </c>
      <c r="Z137" s="122">
        <v>385.39229686027988</v>
      </c>
      <c r="AA137" s="122">
        <v>11.545951261896057</v>
      </c>
      <c r="AB137" s="122">
        <v>29.958957031468444</v>
      </c>
    </row>
    <row r="138" spans="1:28" x14ac:dyDescent="0.25">
      <c r="A138" s="113">
        <v>3</v>
      </c>
      <c r="B138" s="113" t="s">
        <v>48</v>
      </c>
      <c r="C138" s="113" t="s">
        <v>26</v>
      </c>
      <c r="D138" s="113" t="s">
        <v>428</v>
      </c>
      <c r="E138" s="113">
        <v>2</v>
      </c>
      <c r="F138" s="114" t="s">
        <v>64</v>
      </c>
      <c r="G138" s="113">
        <v>128</v>
      </c>
      <c r="H138" s="113">
        <v>4.242</v>
      </c>
      <c r="I138" s="113" t="s">
        <v>439</v>
      </c>
      <c r="J138" s="116">
        <v>1.1256235971297235</v>
      </c>
      <c r="K138" s="116">
        <v>40.28786657215197</v>
      </c>
      <c r="L138" s="117">
        <v>35.791597364237703</v>
      </c>
      <c r="M138" s="117">
        <v>109.15050877687851</v>
      </c>
      <c r="N138" s="117">
        <v>-28.549286162694393</v>
      </c>
      <c r="O138" s="119">
        <v>0.36599999999999999</v>
      </c>
      <c r="P138" s="120">
        <v>109.15050877687851</v>
      </c>
      <c r="Q138" s="121">
        <v>0.40606809107120012</v>
      </c>
      <c r="R138" s="122">
        <v>4.0068091071200129E-2</v>
      </c>
      <c r="S138" s="122">
        <v>11.256235971297235</v>
      </c>
      <c r="T138" s="122">
        <v>4.5101588801685653</v>
      </c>
      <c r="U138" s="122">
        <v>400.68091071200126</v>
      </c>
      <c r="V138" s="119">
        <v>1.08</v>
      </c>
      <c r="W138" s="120">
        <v>-28.549286162694393</v>
      </c>
      <c r="X138" s="120">
        <v>1.0798315193014776</v>
      </c>
      <c r="Y138" s="122">
        <v>-1.6848069852248848E-4</v>
      </c>
      <c r="Z138" s="122">
        <v>402.87866572151972</v>
      </c>
      <c r="AA138" s="122">
        <v>-0.67877279020569792</v>
      </c>
      <c r="AB138" s="122">
        <v>-1.6848069852248848</v>
      </c>
    </row>
    <row r="139" spans="1:28" x14ac:dyDescent="0.25">
      <c r="A139" s="113">
        <v>3</v>
      </c>
      <c r="B139" s="113" t="s">
        <v>48</v>
      </c>
      <c r="C139" s="113" t="s">
        <v>28</v>
      </c>
      <c r="D139" s="113" t="s">
        <v>427</v>
      </c>
      <c r="E139" s="113">
        <v>2</v>
      </c>
      <c r="F139" s="114" t="s">
        <v>65</v>
      </c>
      <c r="G139" s="113">
        <v>129</v>
      </c>
      <c r="H139" s="113">
        <v>4.1660000000000004</v>
      </c>
      <c r="I139" s="113"/>
      <c r="J139" s="116">
        <v>1.1475563676566261</v>
      </c>
      <c r="K139" s="116">
        <v>34.455762395496343</v>
      </c>
      <c r="L139" s="117">
        <v>30.025333279145954</v>
      </c>
      <c r="M139" s="117">
        <v>389.07082570260047</v>
      </c>
      <c r="N139" s="117">
        <v>-23.492048902851671</v>
      </c>
      <c r="O139" s="119">
        <v>0.36599999999999999</v>
      </c>
      <c r="P139" s="120">
        <v>389.07082570260047</v>
      </c>
      <c r="Q139" s="121">
        <v>0.50802832890206251</v>
      </c>
      <c r="R139" s="122">
        <v>0.14202832890206252</v>
      </c>
      <c r="S139" s="122">
        <v>11.47556367656626</v>
      </c>
      <c r="T139" s="122">
        <v>16.298551321919145</v>
      </c>
      <c r="U139" s="122">
        <v>1420.2832890206253</v>
      </c>
      <c r="V139" s="119">
        <v>1.08</v>
      </c>
      <c r="W139" s="120">
        <v>-23.492048902851671</v>
      </c>
      <c r="X139" s="120">
        <v>1.0853919571607329</v>
      </c>
      <c r="Y139" s="122">
        <v>5.3919571607328187E-3</v>
      </c>
      <c r="Z139" s="122">
        <v>344.55762395496345</v>
      </c>
      <c r="AA139" s="122">
        <v>18.578399477690507</v>
      </c>
      <c r="AB139" s="122">
        <v>53.919571607328187</v>
      </c>
    </row>
    <row r="140" spans="1:28" x14ac:dyDescent="0.25">
      <c r="A140" s="113">
        <v>3</v>
      </c>
      <c r="B140" s="113" t="s">
        <v>48</v>
      </c>
      <c r="C140" s="113" t="s">
        <v>28</v>
      </c>
      <c r="D140" s="113" t="s">
        <v>428</v>
      </c>
      <c r="E140" s="113">
        <v>2</v>
      </c>
      <c r="F140" s="114" t="s">
        <v>66</v>
      </c>
      <c r="G140" s="113">
        <v>130</v>
      </c>
      <c r="H140" s="113">
        <v>5.0960000000000001</v>
      </c>
      <c r="I140" s="113"/>
      <c r="J140" s="116">
        <v>1.1302859534286533</v>
      </c>
      <c r="K140" s="116">
        <v>35.006455513784815</v>
      </c>
      <c r="L140" s="117">
        <v>30.97132668737046</v>
      </c>
      <c r="M140" s="117">
        <v>136.27324768243429</v>
      </c>
      <c r="N140" s="117">
        <v>-24.506457011851282</v>
      </c>
      <c r="O140" s="119">
        <v>0.36599999999999999</v>
      </c>
      <c r="P140" s="120">
        <v>136.27324768243429</v>
      </c>
      <c r="Q140" s="121">
        <v>0.41595661981378973</v>
      </c>
      <c r="R140" s="122">
        <v>4.9956619813789738E-2</v>
      </c>
      <c r="S140" s="122">
        <v>11.302859534286533</v>
      </c>
      <c r="T140" s="122">
        <v>5.6465265656302082</v>
      </c>
      <c r="U140" s="122">
        <v>499.5661981378974</v>
      </c>
      <c r="V140" s="119">
        <v>1.08</v>
      </c>
      <c r="W140" s="120">
        <v>-24.506457011851282</v>
      </c>
      <c r="X140" s="120">
        <v>1.0842766644630777</v>
      </c>
      <c r="Y140" s="122">
        <v>4.2766644630776174E-3</v>
      </c>
      <c r="Z140" s="122">
        <v>350.06455513784812</v>
      </c>
      <c r="AA140" s="122">
        <v>14.971086427411102</v>
      </c>
      <c r="AB140" s="122">
        <v>42.76664463077617</v>
      </c>
    </row>
    <row r="141" spans="1:28" x14ac:dyDescent="0.25">
      <c r="A141" s="113">
        <v>3</v>
      </c>
      <c r="B141" s="113" t="s">
        <v>48</v>
      </c>
      <c r="C141" s="113" t="s">
        <v>30</v>
      </c>
      <c r="D141" s="113" t="s">
        <v>427</v>
      </c>
      <c r="E141" s="113">
        <v>2</v>
      </c>
      <c r="F141" s="114" t="s">
        <v>67</v>
      </c>
      <c r="G141" s="113">
        <v>131</v>
      </c>
      <c r="H141" s="113">
        <v>4.1509999999999998</v>
      </c>
      <c r="I141" s="113"/>
      <c r="J141" s="116">
        <v>0.86356995834230743</v>
      </c>
      <c r="K141" s="116">
        <v>35.417828549649364</v>
      </c>
      <c r="L141" s="117">
        <v>41.013270792370719</v>
      </c>
      <c r="M141" s="117">
        <v>3.7493964832723261</v>
      </c>
      <c r="N141" s="117">
        <v>-26.977852991779699</v>
      </c>
      <c r="O141" s="119">
        <v>0.36599999999999999</v>
      </c>
      <c r="P141" s="120">
        <v>3.7493964832723261</v>
      </c>
      <c r="Q141" s="121">
        <v>0.3676218334361448</v>
      </c>
      <c r="R141" s="122">
        <v>1.6218334361448039E-3</v>
      </c>
      <c r="S141" s="122">
        <v>8.6356995834230741</v>
      </c>
      <c r="T141" s="122">
        <v>0.14005666328897298</v>
      </c>
      <c r="U141" s="122">
        <v>16.21833436144804</v>
      </c>
      <c r="V141" s="119">
        <v>1.08</v>
      </c>
      <c r="W141" s="120">
        <v>-26.977852991779699</v>
      </c>
      <c r="X141" s="120">
        <v>1.0815593787250675</v>
      </c>
      <c r="Y141" s="122">
        <v>1.5593787250673952E-3</v>
      </c>
      <c r="Z141" s="122">
        <v>354.17828549649369</v>
      </c>
      <c r="AA141" s="122">
        <v>5.5229808328407817</v>
      </c>
      <c r="AB141" s="122">
        <v>15.59378725067395</v>
      </c>
    </row>
    <row r="142" spans="1:28" x14ac:dyDescent="0.25">
      <c r="A142" s="113">
        <v>3</v>
      </c>
      <c r="B142" s="113" t="s">
        <v>48</v>
      </c>
      <c r="C142" s="113" t="s">
        <v>30</v>
      </c>
      <c r="D142" s="113" t="s">
        <v>428</v>
      </c>
      <c r="E142" s="113">
        <v>2</v>
      </c>
      <c r="F142" s="114" t="s">
        <v>68</v>
      </c>
      <c r="G142" s="113">
        <v>132</v>
      </c>
      <c r="H142" s="113">
        <v>4.8470000000000004</v>
      </c>
      <c r="I142" s="113"/>
      <c r="J142" s="116">
        <v>0.72916997334842337</v>
      </c>
      <c r="K142" s="116">
        <v>34.250668782212209</v>
      </c>
      <c r="L142" s="117">
        <v>46.972132745578683</v>
      </c>
      <c r="M142" s="117">
        <v>9.7852787576158775</v>
      </c>
      <c r="N142" s="117">
        <v>-25.619074810305939</v>
      </c>
      <c r="O142" s="119">
        <v>0.36599999999999999</v>
      </c>
      <c r="P142" s="120">
        <v>9.7852787576158775</v>
      </c>
      <c r="Q142" s="121">
        <v>0.36982429154259866</v>
      </c>
      <c r="R142" s="122">
        <v>3.8242915425986679E-3</v>
      </c>
      <c r="S142" s="122">
        <v>7.2916997334842328</v>
      </c>
      <c r="T142" s="122">
        <v>0.27885585621932718</v>
      </c>
      <c r="U142" s="122">
        <v>38.242915425986681</v>
      </c>
      <c r="V142" s="119">
        <v>1.08</v>
      </c>
      <c r="W142" s="120">
        <v>-25.619074810305939</v>
      </c>
      <c r="X142" s="120">
        <v>1.0830533660363715</v>
      </c>
      <c r="Y142" s="122">
        <v>3.0533660363714077E-3</v>
      </c>
      <c r="Z142" s="122">
        <v>342.50668782212205</v>
      </c>
      <c r="AA142" s="122">
        <v>10.457982878261319</v>
      </c>
      <c r="AB142" s="122">
        <v>30.533660363714077</v>
      </c>
    </row>
    <row r="143" spans="1:28" x14ac:dyDescent="0.25">
      <c r="A143" s="113">
        <v>3</v>
      </c>
      <c r="B143" s="113" t="s">
        <v>52</v>
      </c>
      <c r="C143" s="113" t="s">
        <v>26</v>
      </c>
      <c r="D143" s="113" t="s">
        <v>427</v>
      </c>
      <c r="E143" s="113">
        <v>2</v>
      </c>
      <c r="F143" s="114" t="s">
        <v>69</v>
      </c>
      <c r="G143" s="113">
        <v>133</v>
      </c>
      <c r="H143" s="113">
        <v>4.5190000000000001</v>
      </c>
      <c r="I143" s="113"/>
      <c r="J143" s="116">
        <v>1.290985791795471</v>
      </c>
      <c r="K143" s="116">
        <v>39.849467550121524</v>
      </c>
      <c r="L143" s="117">
        <v>30.867471821436446</v>
      </c>
      <c r="M143" s="117">
        <v>660.94917998529297</v>
      </c>
      <c r="N143" s="117">
        <v>-22.731473754038916</v>
      </c>
      <c r="O143" s="119">
        <v>0.36599999999999999</v>
      </c>
      <c r="P143" s="120">
        <v>660.94917998529297</v>
      </c>
      <c r="Q143" s="121">
        <v>0.60685964645641777</v>
      </c>
      <c r="R143" s="122">
        <v>0.24085964645641778</v>
      </c>
      <c r="S143" s="122">
        <v>12.90985791795471</v>
      </c>
      <c r="T143" s="122">
        <v>31.094638139211572</v>
      </c>
      <c r="U143" s="122">
        <v>2408.5964645641775</v>
      </c>
      <c r="V143" s="119">
        <v>1.08</v>
      </c>
      <c r="W143" s="120">
        <v>-22.731473754038916</v>
      </c>
      <c r="X143" s="120">
        <v>1.0862281562868101</v>
      </c>
      <c r="Y143" s="122">
        <v>6.2281562868100604E-3</v>
      </c>
      <c r="Z143" s="122">
        <v>398.49467550121528</v>
      </c>
      <c r="AA143" s="122">
        <v>24.81887118483229</v>
      </c>
      <c r="AB143" s="122">
        <v>62.281562868100607</v>
      </c>
    </row>
    <row r="144" spans="1:28" x14ac:dyDescent="0.25">
      <c r="A144" s="113">
        <v>3</v>
      </c>
      <c r="B144" s="113" t="s">
        <v>52</v>
      </c>
      <c r="C144" s="113" t="s">
        <v>26</v>
      </c>
      <c r="D144" s="113" t="s">
        <v>428</v>
      </c>
      <c r="E144" s="113">
        <v>2</v>
      </c>
      <c r="F144" s="114" t="s">
        <v>70</v>
      </c>
      <c r="G144" s="113">
        <v>134</v>
      </c>
      <c r="H144" s="113">
        <v>4.2270000000000003</v>
      </c>
      <c r="I144" s="113"/>
      <c r="J144" s="116">
        <v>1.1621587171587509</v>
      </c>
      <c r="K144" s="116">
        <v>40.650346923691011</v>
      </c>
      <c r="L144" s="117">
        <v>34.97830917886423</v>
      </c>
      <c r="M144" s="117">
        <v>247.52238472922357</v>
      </c>
      <c r="N144" s="117">
        <v>-26.32440320649755</v>
      </c>
      <c r="O144" s="119">
        <v>0.36599999999999999</v>
      </c>
      <c r="P144" s="120">
        <v>247.52238472922357</v>
      </c>
      <c r="Q144" s="121">
        <v>0.45649578811304264</v>
      </c>
      <c r="R144" s="122">
        <v>9.0495788113042652E-2</v>
      </c>
      <c r="S144" s="122">
        <v>11.621587171587509</v>
      </c>
      <c r="T144" s="122">
        <v>10.517046902172378</v>
      </c>
      <c r="U144" s="122">
        <v>904.95788113042647</v>
      </c>
      <c r="V144" s="119">
        <v>1.08</v>
      </c>
      <c r="W144" s="120">
        <v>-26.32440320649755</v>
      </c>
      <c r="X144" s="120">
        <v>1.0822778575429193</v>
      </c>
      <c r="Y144" s="122">
        <v>2.2778575429192038E-3</v>
      </c>
      <c r="Z144" s="122">
        <v>406.50346923691012</v>
      </c>
      <c r="AA144" s="122">
        <v>9.2595699362412027</v>
      </c>
      <c r="AB144" s="122">
        <v>22.778575429192038</v>
      </c>
    </row>
    <row r="145" spans="1:28" x14ac:dyDescent="0.25">
      <c r="A145" s="113">
        <v>3</v>
      </c>
      <c r="B145" s="113" t="s">
        <v>52</v>
      </c>
      <c r="C145" s="113" t="s">
        <v>28</v>
      </c>
      <c r="D145" s="113" t="s">
        <v>427</v>
      </c>
      <c r="E145" s="113">
        <v>2</v>
      </c>
      <c r="F145" s="114" t="s">
        <v>71</v>
      </c>
      <c r="G145" s="113">
        <v>135</v>
      </c>
      <c r="H145" s="113">
        <v>4.391</v>
      </c>
      <c r="I145" s="113"/>
      <c r="J145" s="116">
        <v>1.2967960089074879</v>
      </c>
      <c r="K145" s="116">
        <v>38.0805097047921</v>
      </c>
      <c r="L145" s="117">
        <v>29.365073182846849</v>
      </c>
      <c r="M145" s="117">
        <v>629.29818632739125</v>
      </c>
      <c r="N145" s="117">
        <v>-21.202214840830699</v>
      </c>
      <c r="O145" s="119">
        <v>0.36599999999999999</v>
      </c>
      <c r="P145" s="120">
        <v>629.29818632739125</v>
      </c>
      <c r="Q145" s="121">
        <v>0.59536419842119759</v>
      </c>
      <c r="R145" s="122">
        <v>0.2293641984211976</v>
      </c>
      <c r="S145" s="122">
        <v>12.967960089074881</v>
      </c>
      <c r="T145" s="122">
        <v>29.743857709887426</v>
      </c>
      <c r="U145" s="122">
        <v>2293.6419842119758</v>
      </c>
      <c r="V145" s="119">
        <v>1.08</v>
      </c>
      <c r="W145" s="120">
        <v>-21.202214840830699</v>
      </c>
      <c r="X145" s="120">
        <v>1.0879094266030973</v>
      </c>
      <c r="Y145" s="122">
        <v>7.909426603097236E-3</v>
      </c>
      <c r="Z145" s="122">
        <v>380.80509704792098</v>
      </c>
      <c r="AA145" s="122">
        <v>30.119499651858508</v>
      </c>
      <c r="AB145" s="122">
        <v>79.094266030972364</v>
      </c>
    </row>
    <row r="146" spans="1:28" x14ac:dyDescent="0.25">
      <c r="A146" s="113"/>
      <c r="B146" s="113"/>
      <c r="C146" s="113"/>
      <c r="D146" s="113"/>
      <c r="E146" s="113"/>
      <c r="F146" s="113"/>
      <c r="G146" s="113"/>
      <c r="H146" s="113"/>
      <c r="I146" s="124" t="s">
        <v>469</v>
      </c>
      <c r="J146" s="116">
        <v>2.7544713406209045</v>
      </c>
      <c r="K146" s="116">
        <v>46.334033131334529</v>
      </c>
      <c r="L146" s="117">
        <v>16.821388717331889</v>
      </c>
      <c r="M146" s="117">
        <v>2.102098868733103</v>
      </c>
      <c r="N146" s="117">
        <v>-25.312303206558148</v>
      </c>
      <c r="O146" s="119">
        <v>0.36599999999999999</v>
      </c>
      <c r="P146" s="120">
        <v>2.102098868733103</v>
      </c>
      <c r="Q146" s="121">
        <v>0.36702072726578405</v>
      </c>
      <c r="R146" s="122">
        <v>1.0207272657840605E-3</v>
      </c>
      <c r="S146" s="122">
        <v>27.544713406209045</v>
      </c>
      <c r="T146" s="122">
        <v>0.28115640001925313</v>
      </c>
      <c r="U146" s="122">
        <v>10.207272657840605</v>
      </c>
      <c r="V146" s="119">
        <v>1.08</v>
      </c>
      <c r="W146" s="120">
        <v>-25.312303206558148</v>
      </c>
      <c r="X146" s="120">
        <v>1.0833906575862076</v>
      </c>
      <c r="Y146" s="122">
        <v>3.3906575862074906E-3</v>
      </c>
      <c r="Z146" s="122">
        <v>463.3403313133453</v>
      </c>
      <c r="AA146" s="122">
        <v>15.710284093634865</v>
      </c>
      <c r="AB146" s="122">
        <v>33.906575862074902</v>
      </c>
    </row>
    <row r="147" spans="1:28" x14ac:dyDescent="0.25">
      <c r="A147" s="113">
        <v>3</v>
      </c>
      <c r="B147" s="113" t="s">
        <v>52</v>
      </c>
      <c r="C147" s="113" t="s">
        <v>28</v>
      </c>
      <c r="D147" s="113" t="s">
        <v>428</v>
      </c>
      <c r="E147" s="113">
        <v>2</v>
      </c>
      <c r="F147" s="114" t="s">
        <v>120</v>
      </c>
      <c r="G147" s="113">
        <v>136</v>
      </c>
      <c r="H147" s="113">
        <v>4.673</v>
      </c>
      <c r="I147" s="113"/>
      <c r="J147" s="116">
        <v>1.3047779016755299</v>
      </c>
      <c r="K147" s="116">
        <v>36.402198325408143</v>
      </c>
      <c r="L147" s="117">
        <v>27.899153011912819</v>
      </c>
      <c r="M147" s="117">
        <v>58.422811631648635</v>
      </c>
      <c r="N147" s="117">
        <v>-25.102908823801261</v>
      </c>
      <c r="O147" s="119">
        <v>0.36599999999999999</v>
      </c>
      <c r="P147" s="120">
        <v>58.422811631648635</v>
      </c>
      <c r="Q147" s="121">
        <v>0.38756828948361993</v>
      </c>
      <c r="R147" s="122">
        <v>2.156828948361994E-2</v>
      </c>
      <c r="S147" s="122">
        <v>13.0477790167553</v>
      </c>
      <c r="T147" s="122">
        <v>2.8141827495168026</v>
      </c>
      <c r="U147" s="122">
        <v>215.68289483619941</v>
      </c>
      <c r="V147" s="119">
        <v>1.08</v>
      </c>
      <c r="W147" s="120">
        <v>-25.102908823801261</v>
      </c>
      <c r="X147" s="120">
        <v>1.0836208827759444</v>
      </c>
      <c r="Y147" s="122">
        <v>3.6208827759443007E-3</v>
      </c>
      <c r="Z147" s="122">
        <v>364.02198325408142</v>
      </c>
      <c r="AA147" s="122">
        <v>13.180809292297882</v>
      </c>
      <c r="AB147" s="122">
        <v>36.208827759443011</v>
      </c>
    </row>
    <row r="148" spans="1:28" x14ac:dyDescent="0.25">
      <c r="A148" s="113">
        <v>3</v>
      </c>
      <c r="B148" s="113" t="s">
        <v>52</v>
      </c>
      <c r="C148" s="113" t="s">
        <v>30</v>
      </c>
      <c r="D148" s="113" t="s">
        <v>427</v>
      </c>
      <c r="E148" s="113">
        <v>2</v>
      </c>
      <c r="F148" s="114" t="s">
        <v>121</v>
      </c>
      <c r="G148" s="113">
        <v>137</v>
      </c>
      <c r="H148" s="113">
        <v>4.8639999999999999</v>
      </c>
      <c r="I148" s="113" t="s">
        <v>440</v>
      </c>
      <c r="J148" s="116">
        <v>1.3520092785668563</v>
      </c>
      <c r="K148" s="116">
        <v>36.045414080163255</v>
      </c>
      <c r="L148" s="117">
        <v>26.660626263136134</v>
      </c>
      <c r="M148" s="117">
        <v>63.757088170867171</v>
      </c>
      <c r="N148" s="117">
        <v>-25.679456406038309</v>
      </c>
      <c r="O148" s="119">
        <v>0.36599999999999999</v>
      </c>
      <c r="P148" s="120">
        <v>63.757088170867171</v>
      </c>
      <c r="Q148" s="121">
        <v>0.3895139614906446</v>
      </c>
      <c r="R148" s="122">
        <v>2.3513961490644608E-2</v>
      </c>
      <c r="S148" s="122">
        <v>13.520092785668561</v>
      </c>
      <c r="T148" s="122">
        <v>3.1791094111215257</v>
      </c>
      <c r="U148" s="122">
        <v>235.13961490644607</v>
      </c>
      <c r="V148" s="119">
        <v>1.08</v>
      </c>
      <c r="W148" s="120">
        <v>-25.679456406038309</v>
      </c>
      <c r="X148" s="120">
        <v>1.0829869769544871</v>
      </c>
      <c r="Y148" s="122">
        <v>2.9869769544870195E-3</v>
      </c>
      <c r="Z148" s="122">
        <v>360.45414080163255</v>
      </c>
      <c r="AA148" s="122">
        <v>10.766682117238956</v>
      </c>
      <c r="AB148" s="122">
        <v>29.869769544870195</v>
      </c>
    </row>
    <row r="149" spans="1:28" x14ac:dyDescent="0.25">
      <c r="A149" s="113">
        <v>3</v>
      </c>
      <c r="B149" s="113" t="s">
        <v>52</v>
      </c>
      <c r="C149" s="113" t="s">
        <v>30</v>
      </c>
      <c r="D149" s="113" t="s">
        <v>428</v>
      </c>
      <c r="E149" s="113">
        <v>2</v>
      </c>
      <c r="F149" s="114" t="s">
        <v>122</v>
      </c>
      <c r="G149" s="113">
        <v>138</v>
      </c>
      <c r="H149" s="113">
        <v>4.508</v>
      </c>
      <c r="I149" s="113" t="s">
        <v>441</v>
      </c>
      <c r="J149" s="116">
        <v>1.0927722121717722</v>
      </c>
      <c r="K149" s="116">
        <v>36.624892230505637</v>
      </c>
      <c r="L149" s="117">
        <v>33.515577924256903</v>
      </c>
      <c r="M149" s="117">
        <v>9.0296692157352361</v>
      </c>
      <c r="N149" s="117">
        <v>-26.401490017437389</v>
      </c>
      <c r="O149" s="119">
        <v>0.36599999999999999</v>
      </c>
      <c r="P149" s="120">
        <v>9.0296692157352361</v>
      </c>
      <c r="Q149" s="121">
        <v>0.36954857937625712</v>
      </c>
      <c r="R149" s="122">
        <v>3.5485793762571327E-3</v>
      </c>
      <c r="S149" s="122">
        <v>10.927722121717721</v>
      </c>
      <c r="T149" s="122">
        <v>0.3877788935059634</v>
      </c>
      <c r="U149" s="122">
        <v>35.485793762571326</v>
      </c>
      <c r="V149" s="119">
        <v>1.08</v>
      </c>
      <c r="W149" s="120">
        <v>-26.401490017437389</v>
      </c>
      <c r="X149" s="120">
        <v>1.0821930998657145</v>
      </c>
      <c r="Y149" s="122">
        <v>2.1930998657144762E-3</v>
      </c>
      <c r="Z149" s="122">
        <v>366.24892230505634</v>
      </c>
      <c r="AA149" s="122">
        <v>8.0322046232529072</v>
      </c>
      <c r="AB149" s="122">
        <v>21.930998657144762</v>
      </c>
    </row>
    <row r="150" spans="1:28" x14ac:dyDescent="0.25">
      <c r="A150" s="113">
        <v>3</v>
      </c>
      <c r="B150" s="113" t="s">
        <v>56</v>
      </c>
      <c r="C150" s="113" t="s">
        <v>26</v>
      </c>
      <c r="D150" s="113" t="s">
        <v>427</v>
      </c>
      <c r="E150" s="113">
        <v>2</v>
      </c>
      <c r="F150" s="114" t="s">
        <v>72</v>
      </c>
      <c r="G150" s="113">
        <v>139</v>
      </c>
      <c r="H150" s="113">
        <v>4.7110000000000003</v>
      </c>
      <c r="I150" s="113"/>
      <c r="J150" s="116">
        <v>1.2512729245371264</v>
      </c>
      <c r="K150" s="116">
        <v>38.89006150497778</v>
      </c>
      <c r="L150" s="117">
        <v>31.080398802175054</v>
      </c>
      <c r="M150" s="125">
        <v>690.19293814050673</v>
      </c>
      <c r="N150" s="117">
        <v>-23.655515504135579</v>
      </c>
      <c r="O150" s="119">
        <v>0.36599999999999999</v>
      </c>
      <c r="P150" s="120">
        <v>690.19293814050673</v>
      </c>
      <c r="Q150" s="121">
        <v>0.61747843837000205</v>
      </c>
      <c r="R150" s="122">
        <v>0.25147843837000206</v>
      </c>
      <c r="S150" s="122">
        <v>12.512729245371263</v>
      </c>
      <c r="T150" s="122">
        <v>31.466816103726195</v>
      </c>
      <c r="U150" s="122">
        <v>2514.7843837000205</v>
      </c>
      <c r="V150" s="119">
        <v>1.08</v>
      </c>
      <c r="W150" s="120">
        <v>-23.655515504135579</v>
      </c>
      <c r="X150" s="120">
        <v>1.0852122352315208</v>
      </c>
      <c r="Y150" s="122">
        <v>5.212235231520701E-3</v>
      </c>
      <c r="Z150" s="122">
        <v>388.9006150497778</v>
      </c>
      <c r="AA150" s="122">
        <v>20.270414873225214</v>
      </c>
      <c r="AB150" s="122">
        <v>52.12235231520701</v>
      </c>
    </row>
    <row r="151" spans="1:28" x14ac:dyDescent="0.25">
      <c r="A151" s="113">
        <v>3</v>
      </c>
      <c r="B151" s="113" t="s">
        <v>56</v>
      </c>
      <c r="C151" s="113" t="s">
        <v>26</v>
      </c>
      <c r="D151" s="113" t="s">
        <v>428</v>
      </c>
      <c r="E151" s="113">
        <v>2</v>
      </c>
      <c r="F151" s="114" t="s">
        <v>73</v>
      </c>
      <c r="G151" s="113">
        <v>140</v>
      </c>
      <c r="H151" s="113">
        <v>4.4240000000000004</v>
      </c>
      <c r="I151" s="113"/>
      <c r="J151" s="116">
        <v>1.2263196260196241</v>
      </c>
      <c r="K151" s="116">
        <v>39.874709975942977</v>
      </c>
      <c r="L151" s="117">
        <v>32.515756194303037</v>
      </c>
      <c r="M151" s="117">
        <v>232.23093791063573</v>
      </c>
      <c r="N151" s="117">
        <v>-26.007240974875181</v>
      </c>
      <c r="O151" s="119">
        <v>0.36599999999999999</v>
      </c>
      <c r="P151" s="120">
        <v>232.23093791063573</v>
      </c>
      <c r="Q151" s="121">
        <v>0.45092554393972634</v>
      </c>
      <c r="R151" s="122">
        <v>8.4925543939726345E-2</v>
      </c>
      <c r="S151" s="122">
        <v>12.26319626019624</v>
      </c>
      <c r="T151" s="122">
        <v>10.414586128367835</v>
      </c>
      <c r="U151" s="122">
        <v>849.25543939726344</v>
      </c>
      <c r="V151" s="119">
        <v>1.08</v>
      </c>
      <c r="W151" s="120">
        <v>-26.007240974875181</v>
      </c>
      <c r="X151" s="120">
        <v>1.082626578886029</v>
      </c>
      <c r="Y151" s="122">
        <v>2.6265788860289074E-3</v>
      </c>
      <c r="Z151" s="122">
        <v>398.74709975942977</v>
      </c>
      <c r="AA151" s="122">
        <v>10.473407130933806</v>
      </c>
      <c r="AB151" s="122">
        <v>26.265788860289074</v>
      </c>
    </row>
    <row r="152" spans="1:28" x14ac:dyDescent="0.25">
      <c r="A152" s="113">
        <v>3</v>
      </c>
      <c r="B152" s="113" t="s">
        <v>56</v>
      </c>
      <c r="C152" s="113" t="s">
        <v>28</v>
      </c>
      <c r="D152" s="113" t="s">
        <v>427</v>
      </c>
      <c r="E152" s="113">
        <v>2</v>
      </c>
      <c r="F152" s="114" t="s">
        <v>74</v>
      </c>
      <c r="G152" s="113">
        <v>141</v>
      </c>
      <c r="H152" s="113">
        <v>4.1920000000000002</v>
      </c>
      <c r="I152" s="113"/>
      <c r="J152" s="116">
        <v>1.3474754165337304</v>
      </c>
      <c r="K152" s="116">
        <v>38.904635384352396</v>
      </c>
      <c r="L152" s="117">
        <v>28.872241309182005</v>
      </c>
      <c r="M152" s="117">
        <v>153.6039456184393</v>
      </c>
      <c r="N152" s="117">
        <v>-27.86638258269279</v>
      </c>
      <c r="O152" s="119">
        <v>0.36599999999999999</v>
      </c>
      <c r="P152" s="120">
        <v>153.6039456184393</v>
      </c>
      <c r="Q152" s="121">
        <v>0.4222740945707889</v>
      </c>
      <c r="R152" s="122">
        <v>5.6274094570788913E-2</v>
      </c>
      <c r="S152" s="122">
        <v>13.474754165337304</v>
      </c>
      <c r="T152" s="122">
        <v>7.5827959021832321</v>
      </c>
      <c r="U152" s="122">
        <v>562.74094570788918</v>
      </c>
      <c r="V152" s="119">
        <v>1.08</v>
      </c>
      <c r="W152" s="120">
        <v>-27.86638258269279</v>
      </c>
      <c r="X152" s="120">
        <v>1.0805824090382208</v>
      </c>
      <c r="Y152" s="122">
        <v>5.8240903822071033E-4</v>
      </c>
      <c r="Z152" s="122">
        <v>389.046353843524</v>
      </c>
      <c r="AA152" s="122">
        <v>2.2658411276528101</v>
      </c>
      <c r="AB152" s="122">
        <v>5.8240903822071033</v>
      </c>
    </row>
    <row r="153" spans="1:28" x14ac:dyDescent="0.25">
      <c r="A153" s="113">
        <v>3</v>
      </c>
      <c r="B153" s="113" t="s">
        <v>56</v>
      </c>
      <c r="C153" s="113" t="s">
        <v>28</v>
      </c>
      <c r="D153" s="113" t="s">
        <v>428</v>
      </c>
      <c r="E153" s="113">
        <v>2</v>
      </c>
      <c r="F153" s="114" t="s">
        <v>75</v>
      </c>
      <c r="G153" s="113">
        <v>142</v>
      </c>
      <c r="H153" s="113">
        <v>4.7610000000000001</v>
      </c>
      <c r="I153" s="113"/>
      <c r="J153" s="116">
        <v>1.1733749064520538</v>
      </c>
      <c r="K153" s="116">
        <v>36.940037237021912</v>
      </c>
      <c r="L153" s="117">
        <v>31.481870827387894</v>
      </c>
      <c r="M153" s="117">
        <v>104.3168718644517</v>
      </c>
      <c r="N153" s="117">
        <v>-25.97505188706328</v>
      </c>
      <c r="O153" s="119">
        <v>0.36599999999999999</v>
      </c>
      <c r="P153" s="120">
        <v>104.3168718644517</v>
      </c>
      <c r="Q153" s="121">
        <v>0.40430561605485316</v>
      </c>
      <c r="R153" s="122">
        <v>3.8305616054853164E-2</v>
      </c>
      <c r="S153" s="122">
        <v>11.733749064520538</v>
      </c>
      <c r="T153" s="122">
        <v>4.4946848654951621</v>
      </c>
      <c r="U153" s="122">
        <v>383.05616054853164</v>
      </c>
      <c r="V153" s="119">
        <v>1.08</v>
      </c>
      <c r="W153" s="120">
        <v>-25.97505188706328</v>
      </c>
      <c r="X153" s="120">
        <v>1.08266197079978</v>
      </c>
      <c r="Y153" s="122">
        <v>2.6619707997799225E-3</v>
      </c>
      <c r="Z153" s="122">
        <v>369.40037237021909</v>
      </c>
      <c r="AA153" s="122">
        <v>9.8333300467735327</v>
      </c>
      <c r="AB153" s="122">
        <v>26.619707997799221</v>
      </c>
    </row>
    <row r="154" spans="1:28" x14ac:dyDescent="0.25">
      <c r="A154" s="113">
        <v>3</v>
      </c>
      <c r="B154" s="113" t="s">
        <v>56</v>
      </c>
      <c r="C154" s="113" t="s">
        <v>30</v>
      </c>
      <c r="D154" s="113" t="s">
        <v>427</v>
      </c>
      <c r="E154" s="113">
        <v>2</v>
      </c>
      <c r="F154" s="114" t="s">
        <v>76</v>
      </c>
      <c r="G154" s="113">
        <v>143</v>
      </c>
      <c r="H154" s="113">
        <v>4.3410000000000002</v>
      </c>
      <c r="I154" s="113" t="s">
        <v>442</v>
      </c>
      <c r="J154" s="116">
        <v>1.3998411258129948</v>
      </c>
      <c r="K154" s="116">
        <v>35.966065714297571</v>
      </c>
      <c r="L154" s="117">
        <v>25.692962616317853</v>
      </c>
      <c r="M154" s="117">
        <v>3.420922682767646</v>
      </c>
      <c r="N154" s="117">
        <v>-29.277931177808565</v>
      </c>
      <c r="O154" s="119">
        <v>0.36599999999999999</v>
      </c>
      <c r="P154" s="120">
        <v>3.420922682767646</v>
      </c>
      <c r="Q154" s="121">
        <v>0.36750197247548116</v>
      </c>
      <c r="R154" s="122">
        <v>1.5019724754811725E-3</v>
      </c>
      <c r="S154" s="122">
        <v>13.998411258129948</v>
      </c>
      <c r="T154" s="122">
        <v>0.21025228410176952</v>
      </c>
      <c r="U154" s="122">
        <v>15.019724754811726</v>
      </c>
      <c r="V154" s="119">
        <v>1.08</v>
      </c>
      <c r="W154" s="120">
        <v>-29.277931177808565</v>
      </c>
      <c r="X154" s="120">
        <v>1.0790303217908284</v>
      </c>
      <c r="Y154" s="122">
        <v>-9.6967820917170933E-4</v>
      </c>
      <c r="Z154" s="122">
        <v>359.66065714297571</v>
      </c>
      <c r="AA154" s="122">
        <v>-3.4875510192792083</v>
      </c>
      <c r="AB154" s="122">
        <v>-9.6967820917170933</v>
      </c>
    </row>
    <row r="155" spans="1:28" x14ac:dyDescent="0.25">
      <c r="A155" s="113">
        <v>3</v>
      </c>
      <c r="B155" s="113" t="s">
        <v>56</v>
      </c>
      <c r="C155" s="113" t="s">
        <v>30</v>
      </c>
      <c r="D155" s="113" t="s">
        <v>428</v>
      </c>
      <c r="E155" s="113">
        <v>2</v>
      </c>
      <c r="F155" s="114" t="s">
        <v>77</v>
      </c>
      <c r="G155" s="113">
        <v>144</v>
      </c>
      <c r="H155" s="113">
        <v>4.5069999999999997</v>
      </c>
      <c r="I155" s="113"/>
      <c r="J155" s="116">
        <v>1.1793511058032131</v>
      </c>
      <c r="K155" s="116">
        <v>36.108428138248783</v>
      </c>
      <c r="L155" s="117">
        <v>30.617199543520716</v>
      </c>
      <c r="M155" s="117">
        <v>9.909282730329581</v>
      </c>
      <c r="N155" s="117">
        <v>-26.152410449232718</v>
      </c>
      <c r="O155" s="119">
        <v>0.36599999999999999</v>
      </c>
      <c r="P155" s="120">
        <v>9.909282730329581</v>
      </c>
      <c r="Q155" s="121">
        <v>0.36986953884549223</v>
      </c>
      <c r="R155" s="122">
        <v>3.8695388454922375E-3</v>
      </c>
      <c r="S155" s="122">
        <v>11.793511058032131</v>
      </c>
      <c r="T155" s="122">
        <v>0.45635449163797592</v>
      </c>
      <c r="U155" s="122">
        <v>38.695388454922373</v>
      </c>
      <c r="V155" s="119">
        <v>1.08</v>
      </c>
      <c r="W155" s="120">
        <v>-26.152410449232718</v>
      </c>
      <c r="X155" s="120">
        <v>1.0824669646815348</v>
      </c>
      <c r="Y155" s="122">
        <v>2.4669646815347335E-3</v>
      </c>
      <c r="Z155" s="122">
        <v>361.0842813824878</v>
      </c>
      <c r="AA155" s="122">
        <v>8.9078216922794713</v>
      </c>
      <c r="AB155" s="122">
        <v>24.669646815347335</v>
      </c>
    </row>
    <row r="156" spans="1:28" x14ac:dyDescent="0.25">
      <c r="A156" s="113">
        <v>4</v>
      </c>
      <c r="B156" s="113" t="s">
        <v>25</v>
      </c>
      <c r="C156" s="113" t="s">
        <v>26</v>
      </c>
      <c r="D156" s="113" t="s">
        <v>427</v>
      </c>
      <c r="E156" s="113">
        <v>2</v>
      </c>
      <c r="F156" s="114" t="s">
        <v>78</v>
      </c>
      <c r="G156" s="113">
        <v>145</v>
      </c>
      <c r="H156" s="113">
        <v>4.1890000000000001</v>
      </c>
      <c r="I156" s="113"/>
      <c r="J156" s="116">
        <v>1.1570188042382614</v>
      </c>
      <c r="K156" s="116">
        <v>39.010711006973793</v>
      </c>
      <c r="L156" s="117">
        <v>33.716574755807024</v>
      </c>
      <c r="M156" s="117">
        <v>486.87503018819314</v>
      </c>
      <c r="N156" s="117">
        <v>-25.970025764957413</v>
      </c>
      <c r="O156" s="119">
        <v>0.36599999999999999</v>
      </c>
      <c r="P156" s="120">
        <v>486.87503018819314</v>
      </c>
      <c r="Q156" s="121">
        <v>0.54360405580980253</v>
      </c>
      <c r="R156" s="122">
        <v>0.17760405580980254</v>
      </c>
      <c r="S156" s="122">
        <v>11.570188042382613</v>
      </c>
      <c r="T156" s="122">
        <v>20.54912322809232</v>
      </c>
      <c r="U156" s="122">
        <v>1776.0405580980255</v>
      </c>
      <c r="V156" s="119">
        <v>1.08</v>
      </c>
      <c r="W156" s="120">
        <v>-25.970025764957413</v>
      </c>
      <c r="X156" s="120">
        <v>1.0826674970205767</v>
      </c>
      <c r="Y156" s="122">
        <v>2.6674970205766702E-3</v>
      </c>
      <c r="Z156" s="122">
        <v>390.10711006973793</v>
      </c>
      <c r="AA156" s="122">
        <v>10.40609553816801</v>
      </c>
      <c r="AB156" s="122">
        <v>26.674970205766702</v>
      </c>
    </row>
    <row r="157" spans="1:28" x14ac:dyDescent="0.25">
      <c r="A157" s="113">
        <v>4</v>
      </c>
      <c r="B157" s="113" t="s">
        <v>25</v>
      </c>
      <c r="C157" s="113" t="s">
        <v>26</v>
      </c>
      <c r="D157" s="113" t="s">
        <v>428</v>
      </c>
      <c r="E157" s="113">
        <v>2</v>
      </c>
      <c r="F157" s="114" t="s">
        <v>79</v>
      </c>
      <c r="G157" s="113">
        <v>146</v>
      </c>
      <c r="H157" s="113">
        <v>4.6879999999999997</v>
      </c>
      <c r="I157" s="113"/>
      <c r="J157" s="116">
        <v>1.2705646225957803</v>
      </c>
      <c r="K157" s="116">
        <v>36.77450788843008</v>
      </c>
      <c r="L157" s="117">
        <v>28.94343761382186</v>
      </c>
      <c r="M157" s="117">
        <v>119.27283996369577</v>
      </c>
      <c r="N157" s="117">
        <v>-25.459543319891392</v>
      </c>
      <c r="O157" s="119">
        <v>0.36599999999999999</v>
      </c>
      <c r="P157" s="120">
        <v>119.27283996369577</v>
      </c>
      <c r="Q157" s="121">
        <v>0.40975876526469807</v>
      </c>
      <c r="R157" s="122">
        <v>4.3758765264698074E-2</v>
      </c>
      <c r="S157" s="122">
        <v>12.705646225957802</v>
      </c>
      <c r="T157" s="122">
        <v>5.5598339073798444</v>
      </c>
      <c r="U157" s="122">
        <v>437.58765264698076</v>
      </c>
      <c r="V157" s="119">
        <v>1.08</v>
      </c>
      <c r="W157" s="120">
        <v>-25.459543319891392</v>
      </c>
      <c r="X157" s="120">
        <v>1.0832287692062093</v>
      </c>
      <c r="Y157" s="122">
        <v>3.2287692062091811E-3</v>
      </c>
      <c r="Z157" s="122">
        <v>367.74507888430082</v>
      </c>
      <c r="AA157" s="122">
        <v>11.873639864365966</v>
      </c>
      <c r="AB157" s="122">
        <v>32.287692062091807</v>
      </c>
    </row>
    <row r="158" spans="1:28" x14ac:dyDescent="0.25">
      <c r="A158" s="113">
        <v>4</v>
      </c>
      <c r="B158" s="113" t="s">
        <v>25</v>
      </c>
      <c r="C158" s="113" t="s">
        <v>28</v>
      </c>
      <c r="D158" s="113" t="s">
        <v>427</v>
      </c>
      <c r="E158" s="113">
        <v>2</v>
      </c>
      <c r="F158" s="114" t="s">
        <v>80</v>
      </c>
      <c r="G158" s="113">
        <v>147</v>
      </c>
      <c r="H158" s="113">
        <v>4.4610000000000003</v>
      </c>
      <c r="I158" s="113"/>
      <c r="J158" s="116">
        <v>1.5145995859339805</v>
      </c>
      <c r="K158" s="116">
        <v>37.226344422230746</v>
      </c>
      <c r="L158" s="117">
        <v>24.578340551489756</v>
      </c>
      <c r="M158" s="117">
        <v>290.19384509376249</v>
      </c>
      <c r="N158" s="117">
        <v>-23.792183235139088</v>
      </c>
      <c r="O158" s="119">
        <v>0.36599999999999999</v>
      </c>
      <c r="P158" s="120">
        <v>290.19384509376249</v>
      </c>
      <c r="Q158" s="121">
        <v>0.47203650510658429</v>
      </c>
      <c r="R158" s="122">
        <v>0.1060365051065843</v>
      </c>
      <c r="S158" s="122">
        <v>15.145995859339806</v>
      </c>
      <c r="T158" s="122">
        <v>16.060284672831898</v>
      </c>
      <c r="U158" s="122">
        <v>1060.3650510658429</v>
      </c>
      <c r="V158" s="119">
        <v>1.08</v>
      </c>
      <c r="W158" s="120">
        <v>-23.792183235139088</v>
      </c>
      <c r="X158" s="120">
        <v>1.0850619765852665</v>
      </c>
      <c r="Y158" s="122">
        <v>5.0619765852664145E-3</v>
      </c>
      <c r="Z158" s="122">
        <v>372.26344422230744</v>
      </c>
      <c r="AA158" s="122">
        <v>18.843888382039506</v>
      </c>
      <c r="AB158" s="122">
        <v>50.619765852664145</v>
      </c>
    </row>
    <row r="159" spans="1:28" x14ac:dyDescent="0.25">
      <c r="A159" s="113"/>
      <c r="B159" s="113"/>
      <c r="C159" s="113"/>
      <c r="D159" s="113"/>
      <c r="E159" s="113"/>
      <c r="F159" s="113"/>
      <c r="G159" s="113"/>
      <c r="H159" s="113"/>
      <c r="I159" s="124" t="s">
        <v>469</v>
      </c>
      <c r="J159" s="116">
        <v>2.8038760313275017</v>
      </c>
      <c r="K159" s="116">
        <v>44.881494201201349</v>
      </c>
      <c r="L159" s="117">
        <v>16.006946705112384</v>
      </c>
      <c r="M159" s="117">
        <v>2.2093491228508899</v>
      </c>
      <c r="N159" s="117">
        <v>-26.200283626915905</v>
      </c>
      <c r="O159" s="119">
        <v>0.36599999999999999</v>
      </c>
      <c r="P159" s="120">
        <v>2.2093491228508899</v>
      </c>
      <c r="Q159" s="121">
        <v>0.3670598635776357</v>
      </c>
      <c r="R159" s="122">
        <v>1.0598635776357113E-3</v>
      </c>
      <c r="S159" s="122">
        <v>28.03876031327502</v>
      </c>
      <c r="T159" s="122">
        <v>0.29717260818097857</v>
      </c>
      <c r="U159" s="122">
        <v>10.598635776357114</v>
      </c>
      <c r="V159" s="119">
        <v>1.08</v>
      </c>
      <c r="W159" s="120">
        <v>-26.200283626915905</v>
      </c>
      <c r="X159" s="120">
        <v>1.0824143278885556</v>
      </c>
      <c r="Y159" s="122">
        <v>2.4143278885555564E-3</v>
      </c>
      <c r="Z159" s="122">
        <v>448.81494201201355</v>
      </c>
      <c r="AA159" s="122">
        <v>10.835864313000492</v>
      </c>
      <c r="AB159" s="122">
        <v>24.143278885555564</v>
      </c>
    </row>
    <row r="160" spans="1:28" x14ac:dyDescent="0.25">
      <c r="A160" s="113">
        <v>4</v>
      </c>
      <c r="B160" s="113" t="s">
        <v>25</v>
      </c>
      <c r="C160" s="113" t="s">
        <v>28</v>
      </c>
      <c r="D160" s="113" t="s">
        <v>428</v>
      </c>
      <c r="E160" s="113">
        <v>2</v>
      </c>
      <c r="F160" s="114" t="s">
        <v>81</v>
      </c>
      <c r="G160" s="113">
        <v>148</v>
      </c>
      <c r="H160" s="113">
        <v>4.2380000000000004</v>
      </c>
      <c r="I160" s="113"/>
      <c r="J160" s="116">
        <v>1.139463117325566</v>
      </c>
      <c r="K160" s="116">
        <v>36.852992893775784</v>
      </c>
      <c r="L160" s="117">
        <v>32.342418401635889</v>
      </c>
      <c r="M160" s="117">
        <v>7.2037377685500505</v>
      </c>
      <c r="N160" s="117">
        <v>-26.497242925150871</v>
      </c>
      <c r="O160" s="119">
        <v>0.36599999999999999</v>
      </c>
      <c r="P160" s="120">
        <v>7.2037377685500505</v>
      </c>
      <c r="Q160" s="121">
        <v>0.36888231426603219</v>
      </c>
      <c r="R160" s="122">
        <v>2.8823142660321932E-3</v>
      </c>
      <c r="S160" s="122">
        <v>11.394631173255661</v>
      </c>
      <c r="T160" s="122">
        <v>0.3284290798684994</v>
      </c>
      <c r="U160" s="122">
        <v>28.823142660321928</v>
      </c>
      <c r="V160" s="119">
        <v>1.08</v>
      </c>
      <c r="W160" s="120">
        <v>-26.497242925150871</v>
      </c>
      <c r="X160" s="120">
        <v>1.0820878184364227</v>
      </c>
      <c r="Y160" s="122">
        <v>2.0878184364225838E-3</v>
      </c>
      <c r="Z160" s="122">
        <v>368.5299289377578</v>
      </c>
      <c r="AA160" s="122">
        <v>7.6942358000975544</v>
      </c>
      <c r="AB160" s="122">
        <v>20.878184364225838</v>
      </c>
    </row>
    <row r="161" spans="1:28" x14ac:dyDescent="0.25">
      <c r="A161" s="113">
        <v>4</v>
      </c>
      <c r="B161" s="113" t="s">
        <v>25</v>
      </c>
      <c r="C161" s="113" t="s">
        <v>30</v>
      </c>
      <c r="D161" s="113" t="s">
        <v>427</v>
      </c>
      <c r="E161" s="113">
        <v>2</v>
      </c>
      <c r="F161" s="114" t="s">
        <v>82</v>
      </c>
      <c r="G161" s="113">
        <v>149</v>
      </c>
      <c r="H161" s="113">
        <v>4.0810000000000004</v>
      </c>
      <c r="I161" s="113"/>
      <c r="J161" s="116">
        <v>0.84235951394082398</v>
      </c>
      <c r="K161" s="116">
        <v>37.685052147231765</v>
      </c>
      <c r="L161" s="117">
        <v>44.737492155729548</v>
      </c>
      <c r="M161" s="117">
        <v>9.3829851028743523</v>
      </c>
      <c r="N161" s="117">
        <v>-27.484170302441537</v>
      </c>
      <c r="O161" s="119">
        <v>0.36599999999999999</v>
      </c>
      <c r="P161" s="120">
        <v>9.3829851028743523</v>
      </c>
      <c r="Q161" s="121">
        <v>0.36967749997184557</v>
      </c>
      <c r="R161" s="122">
        <v>3.677499971845577E-3</v>
      </c>
      <c r="S161" s="122">
        <v>8.4235951394082385</v>
      </c>
      <c r="T161" s="122">
        <v>0.30977770888012335</v>
      </c>
      <c r="U161" s="122">
        <v>36.774999718455767</v>
      </c>
      <c r="V161" s="119">
        <v>1.08</v>
      </c>
      <c r="W161" s="120">
        <v>-27.484170302441537</v>
      </c>
      <c r="X161" s="120">
        <v>1.0810026673133637</v>
      </c>
      <c r="Y161" s="122">
        <v>1.0026673133636255E-3</v>
      </c>
      <c r="Z161" s="122">
        <v>376.85052147231767</v>
      </c>
      <c r="AA161" s="122">
        <v>3.7785569990433006</v>
      </c>
      <c r="AB161" s="122">
        <v>10.026673133636255</v>
      </c>
    </row>
    <row r="162" spans="1:28" x14ac:dyDescent="0.25">
      <c r="A162" s="113">
        <v>4</v>
      </c>
      <c r="B162" s="113" t="s">
        <v>25</v>
      </c>
      <c r="C162" s="113" t="s">
        <v>30</v>
      </c>
      <c r="D162" s="113" t="s">
        <v>428</v>
      </c>
      <c r="E162" s="113">
        <v>2</v>
      </c>
      <c r="F162" s="114" t="s">
        <v>83</v>
      </c>
      <c r="G162" s="113">
        <v>150</v>
      </c>
      <c r="H162" s="113">
        <v>4.7759999999999998</v>
      </c>
      <c r="I162" s="113"/>
      <c r="J162" s="116">
        <v>1.2670527542672894</v>
      </c>
      <c r="K162" s="116">
        <v>37.088392024857313</v>
      </c>
      <c r="L162" s="117">
        <v>29.271387398786537</v>
      </c>
      <c r="M162" s="117">
        <v>7.2314775920117249</v>
      </c>
      <c r="N162" s="117">
        <v>-27.247953027260113</v>
      </c>
      <c r="O162" s="119">
        <v>0.36599999999999999</v>
      </c>
      <c r="P162" s="120">
        <v>7.2314775920117249</v>
      </c>
      <c r="Q162" s="121">
        <v>0.36889243633183239</v>
      </c>
      <c r="R162" s="122">
        <v>2.8924363318323931E-3</v>
      </c>
      <c r="S162" s="122">
        <v>12.670527542672893</v>
      </c>
      <c r="T162" s="122">
        <v>0.36648694207910087</v>
      </c>
      <c r="U162" s="122">
        <v>28.92436331832393</v>
      </c>
      <c r="V162" s="119">
        <v>1.08</v>
      </c>
      <c r="W162" s="120">
        <v>-27.247953027260113</v>
      </c>
      <c r="X162" s="120">
        <v>1.0812623962319339</v>
      </c>
      <c r="Y162" s="122">
        <v>1.2623962319338045E-3</v>
      </c>
      <c r="Z162" s="122">
        <v>370.88392024857313</v>
      </c>
      <c r="AA162" s="122">
        <v>4.6820246340663632</v>
      </c>
      <c r="AB162" s="122">
        <v>12.623962319338045</v>
      </c>
    </row>
    <row r="163" spans="1:28" x14ac:dyDescent="0.25">
      <c r="A163" s="113">
        <v>4</v>
      </c>
      <c r="B163" s="113" t="s">
        <v>32</v>
      </c>
      <c r="C163" s="113" t="s">
        <v>26</v>
      </c>
      <c r="D163" s="113" t="s">
        <v>427</v>
      </c>
      <c r="E163" s="113">
        <v>2</v>
      </c>
      <c r="F163" s="114" t="s">
        <v>84</v>
      </c>
      <c r="G163" s="113">
        <v>151</v>
      </c>
      <c r="H163" s="113">
        <v>4.1440000000000001</v>
      </c>
      <c r="I163" s="113"/>
      <c r="J163" s="116">
        <v>1.7455818521320725</v>
      </c>
      <c r="K163" s="116">
        <v>40.457969445253489</v>
      </c>
      <c r="L163" s="117">
        <v>23.177354528427117</v>
      </c>
      <c r="M163" s="117">
        <v>490.31099308014103</v>
      </c>
      <c r="N163" s="117">
        <v>-25.143461375239433</v>
      </c>
      <c r="O163" s="119">
        <v>0.36599999999999999</v>
      </c>
      <c r="P163" s="120">
        <v>490.31099308014103</v>
      </c>
      <c r="Q163" s="121">
        <v>0.54485340530840054</v>
      </c>
      <c r="R163" s="122">
        <v>0.17885340530840055</v>
      </c>
      <c r="S163" s="122">
        <v>17.455818521320722</v>
      </c>
      <c r="T163" s="122">
        <v>31.220325849836605</v>
      </c>
      <c r="U163" s="122">
        <v>1788.5340530840053</v>
      </c>
      <c r="V163" s="119">
        <v>1.08</v>
      </c>
      <c r="W163" s="120">
        <v>-25.143461375239433</v>
      </c>
      <c r="X163" s="120">
        <v>1.0835762960912168</v>
      </c>
      <c r="Y163" s="122">
        <v>3.5762960912166797E-3</v>
      </c>
      <c r="Z163" s="122">
        <v>404.57969445253491</v>
      </c>
      <c r="AA163" s="122">
        <v>14.468967798562392</v>
      </c>
      <c r="AB163" s="122">
        <v>35.762960912166797</v>
      </c>
    </row>
    <row r="164" spans="1:28" x14ac:dyDescent="0.25">
      <c r="A164" s="113">
        <v>4</v>
      </c>
      <c r="B164" s="113" t="s">
        <v>32</v>
      </c>
      <c r="C164" s="113" t="s">
        <v>26</v>
      </c>
      <c r="D164" s="113" t="s">
        <v>428</v>
      </c>
      <c r="E164" s="113">
        <v>2</v>
      </c>
      <c r="F164" s="114" t="s">
        <v>85</v>
      </c>
      <c r="G164" s="113">
        <v>152</v>
      </c>
      <c r="H164" s="113">
        <v>4.8460000000000001</v>
      </c>
      <c r="I164" s="113"/>
      <c r="J164" s="116">
        <v>1.8834815889315242</v>
      </c>
      <c r="K164" s="116">
        <v>37.343701421805271</v>
      </c>
      <c r="L164" s="117">
        <v>19.826953255746922</v>
      </c>
      <c r="M164" s="117">
        <v>211.89885897454144</v>
      </c>
      <c r="N164" s="117">
        <v>-23.432743610598465</v>
      </c>
      <c r="O164" s="119">
        <v>0.36599999999999999</v>
      </c>
      <c r="P164" s="120">
        <v>211.89885897454144</v>
      </c>
      <c r="Q164" s="121">
        <v>0.44351817361549173</v>
      </c>
      <c r="R164" s="122">
        <v>7.7518173615491737E-2</v>
      </c>
      <c r="S164" s="122">
        <v>18.834815889315241</v>
      </c>
      <c r="T164" s="122">
        <v>14.600405281237613</v>
      </c>
      <c r="U164" s="122">
        <v>775.18173615491742</v>
      </c>
      <c r="V164" s="119">
        <v>1.08</v>
      </c>
      <c r="W164" s="120">
        <v>-23.432743610598465</v>
      </c>
      <c r="X164" s="120">
        <v>1.0854571596856575</v>
      </c>
      <c r="Y164" s="122">
        <v>5.4571596856574089E-3</v>
      </c>
      <c r="Z164" s="122">
        <v>373.4370142180527</v>
      </c>
      <c r="AA164" s="122">
        <v>20.379054191230299</v>
      </c>
      <c r="AB164" s="122">
        <v>54.571596856574089</v>
      </c>
    </row>
    <row r="165" spans="1:28" x14ac:dyDescent="0.25">
      <c r="A165" s="113">
        <v>4</v>
      </c>
      <c r="B165" s="113" t="s">
        <v>32</v>
      </c>
      <c r="C165" s="113" t="s">
        <v>28</v>
      </c>
      <c r="D165" s="113" t="s">
        <v>427</v>
      </c>
      <c r="E165" s="113">
        <v>2</v>
      </c>
      <c r="F165" s="114" t="s">
        <v>86</v>
      </c>
      <c r="G165" s="113">
        <v>153</v>
      </c>
      <c r="H165" s="113">
        <v>4.274</v>
      </c>
      <c r="I165" s="113"/>
      <c r="J165" s="116">
        <v>1.2427325784787289</v>
      </c>
      <c r="K165" s="116">
        <v>36.218576399534363</v>
      </c>
      <c r="L165" s="117">
        <v>29.144304274915488</v>
      </c>
      <c r="M165" s="117">
        <v>118.62807292319614</v>
      </c>
      <c r="N165" s="117">
        <v>-26.870171404825683</v>
      </c>
      <c r="O165" s="119">
        <v>0.36599999999999999</v>
      </c>
      <c r="P165" s="120">
        <v>118.62807292319614</v>
      </c>
      <c r="Q165" s="121">
        <v>0.40952368675681489</v>
      </c>
      <c r="R165" s="122">
        <v>4.3523686756814894E-2</v>
      </c>
      <c r="S165" s="122">
        <v>12.427325784787289</v>
      </c>
      <c r="T165" s="122">
        <v>5.4088303468197072</v>
      </c>
      <c r="U165" s="122">
        <v>435.23686756814897</v>
      </c>
      <c r="V165" s="119">
        <v>1.08</v>
      </c>
      <c r="W165" s="120">
        <v>-26.870171404825683</v>
      </c>
      <c r="X165" s="120">
        <v>1.0816777771244319</v>
      </c>
      <c r="Y165" s="122">
        <v>1.6777771244318451E-3</v>
      </c>
      <c r="Z165" s="122">
        <v>362.18576399534362</v>
      </c>
      <c r="AA165" s="122">
        <v>6.0766698962625858</v>
      </c>
      <c r="AB165" s="122">
        <v>16.777771244318451</v>
      </c>
    </row>
    <row r="166" spans="1:28" x14ac:dyDescent="0.25">
      <c r="A166" s="113">
        <v>4</v>
      </c>
      <c r="B166" s="113" t="s">
        <v>32</v>
      </c>
      <c r="C166" s="113" t="s">
        <v>28</v>
      </c>
      <c r="D166" s="113" t="s">
        <v>428</v>
      </c>
      <c r="E166" s="113">
        <v>2</v>
      </c>
      <c r="F166" s="114" t="s">
        <v>429</v>
      </c>
      <c r="G166" s="113">
        <v>154</v>
      </c>
      <c r="H166" s="113">
        <v>5.0949999999999998</v>
      </c>
      <c r="I166" s="113"/>
      <c r="J166" s="116">
        <v>1.427560074971663</v>
      </c>
      <c r="K166" s="116">
        <v>35.852893418362811</v>
      </c>
      <c r="L166" s="117">
        <v>25.11480535701763</v>
      </c>
      <c r="M166" s="117">
        <v>36.160295497588912</v>
      </c>
      <c r="N166" s="117">
        <v>-26.439734292335856</v>
      </c>
      <c r="O166" s="119">
        <v>0.36599999999999999</v>
      </c>
      <c r="P166" s="120">
        <v>36.160295497588912</v>
      </c>
      <c r="Q166" s="121">
        <v>0.37944723845872863</v>
      </c>
      <c r="R166" s="122">
        <v>1.3447238458728639E-2</v>
      </c>
      <c r="S166" s="122">
        <v>14.275600749716631</v>
      </c>
      <c r="T166" s="122">
        <v>1.9196740742304488</v>
      </c>
      <c r="U166" s="122">
        <v>134.4723845872864</v>
      </c>
      <c r="V166" s="119">
        <v>1.08</v>
      </c>
      <c r="W166" s="120">
        <v>-26.439734292335856</v>
      </c>
      <c r="X166" s="120">
        <v>1.082151049870097</v>
      </c>
      <c r="Y166" s="122">
        <v>2.1510498700969549E-3</v>
      </c>
      <c r="Z166" s="122">
        <v>358.52893418362811</v>
      </c>
      <c r="AA166" s="122">
        <v>7.7121361730169307</v>
      </c>
      <c r="AB166" s="122">
        <v>21.510498700969549</v>
      </c>
    </row>
    <row r="167" spans="1:28" x14ac:dyDescent="0.25">
      <c r="A167" s="113">
        <v>4</v>
      </c>
      <c r="B167" s="113" t="s">
        <v>32</v>
      </c>
      <c r="C167" s="113" t="s">
        <v>30</v>
      </c>
      <c r="D167" s="113" t="s">
        <v>427</v>
      </c>
      <c r="E167" s="113">
        <v>2</v>
      </c>
      <c r="F167" s="114" t="s">
        <v>430</v>
      </c>
      <c r="G167" s="113">
        <v>155</v>
      </c>
      <c r="H167" s="113">
        <v>4.8689999999999998</v>
      </c>
      <c r="I167" s="113"/>
      <c r="J167" s="116">
        <v>1.2083242199203403</v>
      </c>
      <c r="K167" s="116">
        <v>32.798827340031522</v>
      </c>
      <c r="L167" s="117">
        <v>27.144061833167434</v>
      </c>
      <c r="M167" s="117">
        <v>0.1954971229247473</v>
      </c>
      <c r="N167" s="117">
        <v>-28.022835373923638</v>
      </c>
      <c r="O167" s="119">
        <v>0.36599999999999999</v>
      </c>
      <c r="P167" s="120">
        <v>0.1954971229247473</v>
      </c>
      <c r="Q167" s="121">
        <v>0.36632499081763059</v>
      </c>
      <c r="R167" s="122">
        <v>3.2499081763059934E-4</v>
      </c>
      <c r="S167" s="122">
        <v>12.083242199203402</v>
      </c>
      <c r="T167" s="122">
        <v>3.926942761947675E-2</v>
      </c>
      <c r="U167" s="122">
        <v>3.2499081763059934</v>
      </c>
      <c r="V167" s="119">
        <v>1.08</v>
      </c>
      <c r="W167" s="120">
        <v>-28.022835373923638</v>
      </c>
      <c r="X167" s="120">
        <v>1.0804103816668666</v>
      </c>
      <c r="Y167" s="122">
        <v>4.1038166686657718E-4</v>
      </c>
      <c r="Z167" s="122">
        <v>327.98827340031522</v>
      </c>
      <c r="AA167" s="122">
        <v>1.3460037435071199</v>
      </c>
      <c r="AB167" s="122">
        <v>4.1038166686657718</v>
      </c>
    </row>
    <row r="168" spans="1:28" x14ac:dyDescent="0.25">
      <c r="A168" s="113">
        <v>4</v>
      </c>
      <c r="B168" s="113" t="s">
        <v>32</v>
      </c>
      <c r="C168" s="113" t="s">
        <v>30</v>
      </c>
      <c r="D168" s="113" t="s">
        <v>428</v>
      </c>
      <c r="E168" s="113">
        <v>2</v>
      </c>
      <c r="F168" s="114" t="s">
        <v>431</v>
      </c>
      <c r="G168" s="113">
        <v>156</v>
      </c>
      <c r="H168" s="113">
        <v>4.0430000000000001</v>
      </c>
      <c r="I168" s="113"/>
      <c r="J168" s="116">
        <v>1.0787361763434502</v>
      </c>
      <c r="K168" s="116">
        <v>36.872068547101392</v>
      </c>
      <c r="L168" s="117">
        <v>34.180802828069787</v>
      </c>
      <c r="M168" s="117">
        <v>8.4990590628530427E-2</v>
      </c>
      <c r="N168" s="117">
        <v>-26.926963771152998</v>
      </c>
      <c r="O168" s="119">
        <v>0.36599999999999999</v>
      </c>
      <c r="P168" s="120">
        <v>8.4990590628530427E-2</v>
      </c>
      <c r="Q168" s="121">
        <v>0.36628466567346218</v>
      </c>
      <c r="R168" s="122">
        <v>2.8466567346219218E-4</v>
      </c>
      <c r="S168" s="122">
        <v>10.787361763434502</v>
      </c>
      <c r="T168" s="122">
        <v>3.0707916012683838E-2</v>
      </c>
      <c r="U168" s="122">
        <v>2.8466567346219218</v>
      </c>
      <c r="V168" s="119">
        <v>1.08</v>
      </c>
      <c r="W168" s="120">
        <v>-26.926963771152998</v>
      </c>
      <c r="X168" s="120">
        <v>1.0816153326373479</v>
      </c>
      <c r="Y168" s="122">
        <v>1.6153326373478105E-3</v>
      </c>
      <c r="Z168" s="122">
        <v>368.72068547101395</v>
      </c>
      <c r="AA168" s="122">
        <v>5.9560655730658549</v>
      </c>
      <c r="AB168" s="122">
        <v>16.153326373478105</v>
      </c>
    </row>
    <row r="169" spans="1:28" x14ac:dyDescent="0.25">
      <c r="A169" s="113">
        <v>4</v>
      </c>
      <c r="B169" s="113" t="s">
        <v>36</v>
      </c>
      <c r="C169" s="113" t="s">
        <v>26</v>
      </c>
      <c r="D169" s="113" t="s">
        <v>427</v>
      </c>
      <c r="E169" s="113">
        <v>2</v>
      </c>
      <c r="F169" s="114" t="s">
        <v>87</v>
      </c>
      <c r="G169" s="113">
        <v>157</v>
      </c>
      <c r="H169" s="113">
        <v>4.173</v>
      </c>
      <c r="I169" s="113"/>
      <c r="J169" s="116">
        <v>1.0350732855176155</v>
      </c>
      <c r="K169" s="116">
        <v>37.888015305414577</v>
      </c>
      <c r="L169" s="117">
        <v>36.604186230608477</v>
      </c>
      <c r="M169" s="117">
        <v>2167.8397019537774</v>
      </c>
      <c r="N169" s="117">
        <v>-24.034099078735476</v>
      </c>
      <c r="O169" s="119">
        <v>0.36599999999999999</v>
      </c>
      <c r="P169" s="120">
        <v>2167.8397019537774</v>
      </c>
      <c r="Q169" s="121">
        <v>1.1510934160752144</v>
      </c>
      <c r="R169" s="122">
        <v>0.78509341607521443</v>
      </c>
      <c r="S169" s="122">
        <v>10.350732855176155</v>
      </c>
      <c r="T169" s="122">
        <v>81.262922161522042</v>
      </c>
      <c r="U169" s="122">
        <v>7850.9341607521446</v>
      </c>
      <c r="V169" s="119">
        <v>1.08</v>
      </c>
      <c r="W169" s="120">
        <v>-24.034099078735476</v>
      </c>
      <c r="X169" s="120">
        <v>1.0847960023142385</v>
      </c>
      <c r="Y169" s="122">
        <v>4.796002314238379E-3</v>
      </c>
      <c r="Z169" s="122">
        <v>378.88015305414575</v>
      </c>
      <c r="AA169" s="122">
        <v>18.171100908666741</v>
      </c>
      <c r="AB169" s="122">
        <v>47.96002314238379</v>
      </c>
    </row>
    <row r="170" spans="1:28" x14ac:dyDescent="0.25">
      <c r="A170" s="113">
        <v>4</v>
      </c>
      <c r="B170" s="113" t="s">
        <v>36</v>
      </c>
      <c r="C170" s="113" t="s">
        <v>26</v>
      </c>
      <c r="D170" s="113" t="s">
        <v>428</v>
      </c>
      <c r="E170" s="113">
        <v>2</v>
      </c>
      <c r="F170" s="114" t="s">
        <v>88</v>
      </c>
      <c r="G170" s="113">
        <v>158</v>
      </c>
      <c r="H170" s="113">
        <v>4.0640000000000001</v>
      </c>
      <c r="I170" s="113"/>
      <c r="J170" s="116">
        <v>1.3578447679021302</v>
      </c>
      <c r="K170" s="116">
        <v>37.866783963948471</v>
      </c>
      <c r="L170" s="117">
        <v>27.887417515665394</v>
      </c>
      <c r="M170" s="117">
        <v>442.53014414963894</v>
      </c>
      <c r="N170" s="117">
        <v>-23.470768738577348</v>
      </c>
      <c r="O170" s="119">
        <v>0.36599999999999999</v>
      </c>
      <c r="P170" s="120">
        <v>442.53014414963894</v>
      </c>
      <c r="Q170" s="121">
        <v>0.52747700713737922</v>
      </c>
      <c r="R170" s="122">
        <v>0.16147700713737922</v>
      </c>
      <c r="S170" s="122">
        <v>13.578447679021302</v>
      </c>
      <c r="T170" s="122">
        <v>21.926070927798531</v>
      </c>
      <c r="U170" s="122">
        <v>1614.7700713737922</v>
      </c>
      <c r="V170" s="119">
        <v>1.08</v>
      </c>
      <c r="W170" s="120">
        <v>-23.470768738577348</v>
      </c>
      <c r="X170" s="120">
        <v>1.0854153534037192</v>
      </c>
      <c r="Y170" s="122">
        <v>5.4153534037191253E-3</v>
      </c>
      <c r="Z170" s="122">
        <v>378.66783963948467</v>
      </c>
      <c r="AA170" s="122">
        <v>20.506201742706512</v>
      </c>
      <c r="AB170" s="122">
        <v>54.15353403719125</v>
      </c>
    </row>
    <row r="171" spans="1:28" x14ac:dyDescent="0.25">
      <c r="A171" s="113">
        <v>4</v>
      </c>
      <c r="B171" s="113" t="s">
        <v>36</v>
      </c>
      <c r="C171" s="113" t="s">
        <v>28</v>
      </c>
      <c r="D171" s="113" t="s">
        <v>427</v>
      </c>
      <c r="E171" s="113">
        <v>2</v>
      </c>
      <c r="F171" s="114" t="s">
        <v>89</v>
      </c>
      <c r="G171" s="113">
        <v>159</v>
      </c>
      <c r="H171" s="113">
        <v>4.7670000000000003</v>
      </c>
      <c r="I171" s="113"/>
      <c r="J171" s="116">
        <v>1.1229308852418702</v>
      </c>
      <c r="K171" s="116">
        <v>36.314726258108621</v>
      </c>
      <c r="L171" s="117">
        <v>32.339235419895601</v>
      </c>
      <c r="M171" s="117">
        <v>489.74529369752833</v>
      </c>
      <c r="N171" s="117">
        <v>-25.594279339351537</v>
      </c>
      <c r="O171" s="119">
        <v>0.36599999999999999</v>
      </c>
      <c r="P171" s="120">
        <v>489.74529369752833</v>
      </c>
      <c r="Q171" s="121">
        <v>0.54464771367382336</v>
      </c>
      <c r="R171" s="122">
        <v>0.17864771367382337</v>
      </c>
      <c r="S171" s="122">
        <v>11.229308852418702</v>
      </c>
      <c r="T171" s="122">
        <v>20.060903526218265</v>
      </c>
      <c r="U171" s="122">
        <v>1786.4771367382334</v>
      </c>
      <c r="V171" s="119">
        <v>1.08</v>
      </c>
      <c r="W171" s="120">
        <v>-25.594279339351537</v>
      </c>
      <c r="X171" s="120">
        <v>1.0830806284326873</v>
      </c>
      <c r="Y171" s="122">
        <v>3.0806284326871936E-3</v>
      </c>
      <c r="Z171" s="122">
        <v>363.14726258108618</v>
      </c>
      <c r="AA171" s="122">
        <v>11.187217823598163</v>
      </c>
      <c r="AB171" s="122">
        <v>30.806284326871939</v>
      </c>
    </row>
    <row r="172" spans="1:28" x14ac:dyDescent="0.25">
      <c r="A172" s="113">
        <v>4</v>
      </c>
      <c r="B172" s="113" t="s">
        <v>36</v>
      </c>
      <c r="C172" s="113" t="s">
        <v>28</v>
      </c>
      <c r="D172" s="113" t="s">
        <v>428</v>
      </c>
      <c r="E172" s="113">
        <v>2</v>
      </c>
      <c r="F172" s="114" t="s">
        <v>90</v>
      </c>
      <c r="G172" s="113">
        <v>160</v>
      </c>
      <c r="H172" s="113">
        <v>4.49</v>
      </c>
      <c r="I172" s="127"/>
      <c r="J172" s="116">
        <v>0.95468191097948329</v>
      </c>
      <c r="K172" s="116">
        <v>37.748182413855979</v>
      </c>
      <c r="L172" s="117">
        <v>39.540062485448317</v>
      </c>
      <c r="M172" s="117">
        <v>1060.3899039838404</v>
      </c>
      <c r="N172" s="117">
        <v>-17.594816084472221</v>
      </c>
      <c r="O172" s="119">
        <v>0.36599999999999999</v>
      </c>
      <c r="P172" s="120">
        <v>1060.3899039838404</v>
      </c>
      <c r="Q172" s="121">
        <v>0.75170591316432134</v>
      </c>
      <c r="R172" s="122">
        <v>0.38570591316432135</v>
      </c>
      <c r="S172" s="122">
        <v>9.5468191097948321</v>
      </c>
      <c r="T172" s="122">
        <v>36.822645825580089</v>
      </c>
      <c r="U172" s="122">
        <v>3857.0591316432137</v>
      </c>
      <c r="V172" s="119">
        <v>1.08</v>
      </c>
      <c r="W172" s="120">
        <v>-17.594816084472221</v>
      </c>
      <c r="X172" s="120">
        <v>1.0918751816114873</v>
      </c>
      <c r="Y172" s="122">
        <v>1.1875181611487262E-2</v>
      </c>
      <c r="Z172" s="122">
        <v>377.48182413855977</v>
      </c>
      <c r="AA172" s="122">
        <v>44.826652166808934</v>
      </c>
      <c r="AB172" s="122">
        <v>118.75181611487263</v>
      </c>
    </row>
    <row r="173" spans="1:28" x14ac:dyDescent="0.25">
      <c r="A173" s="113">
        <v>4</v>
      </c>
      <c r="B173" s="113" t="s">
        <v>36</v>
      </c>
      <c r="C173" s="113" t="s">
        <v>30</v>
      </c>
      <c r="D173" s="113" t="s">
        <v>427</v>
      </c>
      <c r="E173" s="113">
        <v>2</v>
      </c>
      <c r="F173" s="114" t="s">
        <v>91</v>
      </c>
      <c r="G173" s="113">
        <v>161</v>
      </c>
      <c r="H173" s="113">
        <v>4.3540000000000001</v>
      </c>
      <c r="I173" s="127"/>
      <c r="J173" s="116">
        <v>0.83041761232475508</v>
      </c>
      <c r="K173" s="116">
        <v>36.996167193189443</v>
      </c>
      <c r="L173" s="117">
        <v>44.551279553932659</v>
      </c>
      <c r="M173" s="117">
        <v>13.044890630922614</v>
      </c>
      <c r="N173" s="117">
        <v>-27.030196746349596</v>
      </c>
      <c r="O173" s="119">
        <v>0.36599999999999999</v>
      </c>
      <c r="P173" s="120">
        <v>13.044890630922614</v>
      </c>
      <c r="Q173" s="121">
        <v>0.37101366434090066</v>
      </c>
      <c r="R173" s="122">
        <v>5.0136643409006698E-3</v>
      </c>
      <c r="S173" s="122">
        <v>8.3041761232475508</v>
      </c>
      <c r="T173" s="122">
        <v>0.41634351709685008</v>
      </c>
      <c r="U173" s="122">
        <v>50.136643409006695</v>
      </c>
      <c r="V173" s="119">
        <v>1.08</v>
      </c>
      <c r="W173" s="120">
        <v>-27.030196746349596</v>
      </c>
      <c r="X173" s="120">
        <v>1.0815018254519702</v>
      </c>
      <c r="Y173" s="122">
        <v>1.5018254519700847E-3</v>
      </c>
      <c r="Z173" s="122">
        <v>369.96167193189444</v>
      </c>
      <c r="AA173" s="122">
        <v>5.5561785516072559</v>
      </c>
      <c r="AB173" s="122">
        <v>15.018254519700847</v>
      </c>
    </row>
    <row r="174" spans="1:28" x14ac:dyDescent="0.25">
      <c r="A174" s="113">
        <v>4</v>
      </c>
      <c r="B174" s="113" t="s">
        <v>36</v>
      </c>
      <c r="C174" s="113" t="s">
        <v>30</v>
      </c>
      <c r="D174" s="113" t="s">
        <v>428</v>
      </c>
      <c r="E174" s="113">
        <v>2</v>
      </c>
      <c r="F174" s="114" t="s">
        <v>92</v>
      </c>
      <c r="G174" s="113">
        <v>162</v>
      </c>
      <c r="H174" s="113">
        <v>4.1879999999999997</v>
      </c>
      <c r="I174" s="127"/>
      <c r="J174" s="116">
        <v>1.3217672759956489</v>
      </c>
      <c r="K174" s="116">
        <v>37.140008239104375</v>
      </c>
      <c r="L174" s="117">
        <v>28.098749994493456</v>
      </c>
      <c r="M174" s="117">
        <v>16.711918168018471</v>
      </c>
      <c r="N174" s="117">
        <v>-26.237201161765213</v>
      </c>
      <c r="O174" s="119">
        <v>0.36599999999999999</v>
      </c>
      <c r="P174" s="120">
        <v>16.711918168018471</v>
      </c>
      <c r="Q174" s="121">
        <v>0.372351661726258</v>
      </c>
      <c r="R174" s="122">
        <v>6.3516617262580066E-3</v>
      </c>
      <c r="S174" s="122">
        <v>13.217672759956489</v>
      </c>
      <c r="T174" s="122">
        <v>0.83954186179618673</v>
      </c>
      <c r="U174" s="122">
        <v>63.51661726258007</v>
      </c>
      <c r="V174" s="119">
        <v>1.08</v>
      </c>
      <c r="W174" s="120">
        <v>-26.237201161765213</v>
      </c>
      <c r="X174" s="120">
        <v>1.0823737368401933</v>
      </c>
      <c r="Y174" s="122">
        <v>2.3737368401932635E-3</v>
      </c>
      <c r="Z174" s="122">
        <v>371.40008239104378</v>
      </c>
      <c r="AA174" s="122">
        <v>8.8160605802243399</v>
      </c>
      <c r="AB174" s="122">
        <v>23.737368401932635</v>
      </c>
    </row>
    <row r="175" spans="1:28" x14ac:dyDescent="0.25">
      <c r="A175" s="113">
        <v>4</v>
      </c>
      <c r="B175" s="113" t="s">
        <v>40</v>
      </c>
      <c r="C175" s="113" t="s">
        <v>26</v>
      </c>
      <c r="D175" s="113" t="s">
        <v>427</v>
      </c>
      <c r="E175" s="113">
        <v>2</v>
      </c>
      <c r="F175" s="114" t="s">
        <v>93</v>
      </c>
      <c r="G175" s="113">
        <v>163</v>
      </c>
      <c r="H175" s="113">
        <v>4.2729999999999997</v>
      </c>
      <c r="I175" s="127"/>
      <c r="J175" s="116">
        <v>1.3484011785721133</v>
      </c>
      <c r="K175" s="116">
        <v>39.699653374399951</v>
      </c>
      <c r="L175" s="117">
        <v>29.44201918930375</v>
      </c>
      <c r="M175" s="117">
        <v>135.30901603100466</v>
      </c>
      <c r="N175" s="117">
        <v>-28.029479813022078</v>
      </c>
      <c r="O175" s="119">
        <v>0.36599999999999999</v>
      </c>
      <c r="P175" s="120">
        <v>135.30901603100466</v>
      </c>
      <c r="Q175" s="121">
        <v>0.41560510961467045</v>
      </c>
      <c r="R175" s="122">
        <v>4.9605109614670462E-2</v>
      </c>
      <c r="S175" s="122">
        <v>13.484011785721133</v>
      </c>
      <c r="T175" s="122">
        <v>6.6887588267620517</v>
      </c>
      <c r="U175" s="122">
        <v>496.05109614670459</v>
      </c>
      <c r="V175" s="119">
        <v>1.08</v>
      </c>
      <c r="W175" s="120">
        <v>-28.029479813022078</v>
      </c>
      <c r="X175" s="120">
        <v>1.0804030757731498</v>
      </c>
      <c r="Y175" s="122">
        <v>4.030757731496859E-4</v>
      </c>
      <c r="Z175" s="122">
        <v>396.99653374399952</v>
      </c>
      <c r="AA175" s="122">
        <v>1.6001968477660797</v>
      </c>
      <c r="AB175" s="122">
        <v>4.030757731496859</v>
      </c>
    </row>
    <row r="176" spans="1:28" x14ac:dyDescent="0.25">
      <c r="A176" s="113">
        <v>4</v>
      </c>
      <c r="B176" s="113" t="s">
        <v>40</v>
      </c>
      <c r="C176" s="113" t="s">
        <v>26</v>
      </c>
      <c r="D176" s="113" t="s">
        <v>428</v>
      </c>
      <c r="E176" s="113">
        <v>2</v>
      </c>
      <c r="F176" s="114" t="s">
        <v>94</v>
      </c>
      <c r="G176" s="113">
        <v>164</v>
      </c>
      <c r="H176" s="113">
        <v>4.056</v>
      </c>
      <c r="I176" s="127"/>
      <c r="J176" s="116">
        <v>1.5460846245324362</v>
      </c>
      <c r="K176" s="116">
        <v>38.887096829774222</v>
      </c>
      <c r="L176" s="117">
        <v>25.151984705581285</v>
      </c>
      <c r="M176" s="117">
        <v>49.448171946464463</v>
      </c>
      <c r="N176" s="117">
        <v>-25.651052173752845</v>
      </c>
      <c r="O176" s="119">
        <v>0.36599999999999999</v>
      </c>
      <c r="P176" s="120">
        <v>49.448171946464463</v>
      </c>
      <c r="Q176" s="121">
        <v>0.3842946271549359</v>
      </c>
      <c r="R176" s="122">
        <v>1.8294627154935905E-2</v>
      </c>
      <c r="S176" s="122">
        <v>15.460846245324362</v>
      </c>
      <c r="T176" s="122">
        <v>2.8285041755799991</v>
      </c>
      <c r="U176" s="122">
        <v>182.94627154935904</v>
      </c>
      <c r="V176" s="119">
        <v>1.08</v>
      </c>
      <c r="W176" s="120">
        <v>-25.651052173752845</v>
      </c>
      <c r="X176" s="120">
        <v>1.0830182071919534</v>
      </c>
      <c r="Y176" s="122">
        <v>3.0182071919533371E-3</v>
      </c>
      <c r="Z176" s="122">
        <v>388.87096829774219</v>
      </c>
      <c r="AA176" s="122">
        <v>11.736931532581037</v>
      </c>
      <c r="AB176" s="122">
        <v>30.182071919533371</v>
      </c>
    </row>
    <row r="177" spans="1:28" x14ac:dyDescent="0.25">
      <c r="A177" s="113">
        <v>4</v>
      </c>
      <c r="B177" s="113" t="s">
        <v>40</v>
      </c>
      <c r="C177" s="113" t="s">
        <v>28</v>
      </c>
      <c r="D177" s="113" t="s">
        <v>427</v>
      </c>
      <c r="E177" s="113">
        <v>2</v>
      </c>
      <c r="F177" s="114" t="s">
        <v>95</v>
      </c>
      <c r="G177" s="113">
        <v>165</v>
      </c>
      <c r="H177" s="113">
        <v>4.1360000000000001</v>
      </c>
      <c r="I177" s="127"/>
      <c r="J177" s="116">
        <v>1.1900079057952766</v>
      </c>
      <c r="K177" s="116">
        <v>36.46565925949178</v>
      </c>
      <c r="L177" s="117">
        <v>30.64320756350098</v>
      </c>
      <c r="M177" s="117">
        <v>157.68872272083109</v>
      </c>
      <c r="N177" s="117">
        <v>-25.867333297663155</v>
      </c>
      <c r="O177" s="119">
        <v>0.36599999999999999</v>
      </c>
      <c r="P177" s="120">
        <v>157.68872272083109</v>
      </c>
      <c r="Q177" s="121">
        <v>0.42376298171453969</v>
      </c>
      <c r="R177" s="122">
        <v>5.7762981714539696E-2</v>
      </c>
      <c r="S177" s="122">
        <v>11.900079057952766</v>
      </c>
      <c r="T177" s="122">
        <v>6.8738404902610242</v>
      </c>
      <c r="U177" s="122">
        <v>577.62981714539694</v>
      </c>
      <c r="V177" s="119">
        <v>1.08</v>
      </c>
      <c r="W177" s="120">
        <v>-25.867333297663155</v>
      </c>
      <c r="X177" s="120">
        <v>1.0827804072438023</v>
      </c>
      <c r="Y177" s="122">
        <v>2.7804072438022409E-3</v>
      </c>
      <c r="Z177" s="122">
        <v>364.65659259491781</v>
      </c>
      <c r="AA177" s="122">
        <v>10.13893831551152</v>
      </c>
      <c r="AB177" s="122">
        <v>27.804072438022409</v>
      </c>
    </row>
    <row r="178" spans="1:28" x14ac:dyDescent="0.25">
      <c r="A178" s="113">
        <v>4</v>
      </c>
      <c r="B178" s="113" t="s">
        <v>40</v>
      </c>
      <c r="C178" s="113" t="s">
        <v>28</v>
      </c>
      <c r="D178" s="113" t="s">
        <v>428</v>
      </c>
      <c r="E178" s="113">
        <v>2</v>
      </c>
      <c r="F178" s="114" t="s">
        <v>96</v>
      </c>
      <c r="G178" s="113">
        <v>166</v>
      </c>
      <c r="H178" s="113">
        <v>4.6879999999999997</v>
      </c>
      <c r="I178" s="127"/>
      <c r="J178" s="116">
        <v>1.0432373155914567</v>
      </c>
      <c r="K178" s="116">
        <v>36.208277990821628</v>
      </c>
      <c r="L178" s="117">
        <v>34.707613933741982</v>
      </c>
      <c r="M178" s="117">
        <v>373.65290024275868</v>
      </c>
      <c r="N178" s="117">
        <v>-22.119219486052089</v>
      </c>
      <c r="O178" s="119">
        <v>0.36599999999999999</v>
      </c>
      <c r="P178" s="120">
        <v>373.65290024275868</v>
      </c>
      <c r="Q178" s="121">
        <v>0.50241782318421946</v>
      </c>
      <c r="R178" s="122">
        <v>0.13641782318421947</v>
      </c>
      <c r="S178" s="122">
        <v>10.432373155914568</v>
      </c>
      <c r="T178" s="122">
        <v>14.231616365753514</v>
      </c>
      <c r="U178" s="122">
        <v>1364.1782318421945</v>
      </c>
      <c r="V178" s="119">
        <v>1.08</v>
      </c>
      <c r="W178" s="120">
        <v>-22.119219486052089</v>
      </c>
      <c r="X178" s="120">
        <v>1.0869012767176127</v>
      </c>
      <c r="Y178" s="122">
        <v>6.9012767176126477E-3</v>
      </c>
      <c r="Z178" s="122">
        <v>362.08277990821631</v>
      </c>
      <c r="AA178" s="122">
        <v>24.988334588290378</v>
      </c>
      <c r="AB178" s="122">
        <v>69.012767176126474</v>
      </c>
    </row>
    <row r="179" spans="1:28" x14ac:dyDescent="0.25">
      <c r="A179" s="113">
        <v>4</v>
      </c>
      <c r="B179" s="113" t="s">
        <v>40</v>
      </c>
      <c r="C179" s="113" t="s">
        <v>30</v>
      </c>
      <c r="D179" s="113" t="s">
        <v>427</v>
      </c>
      <c r="E179" s="113">
        <v>2</v>
      </c>
      <c r="F179" s="114" t="s">
        <v>97</v>
      </c>
      <c r="G179" s="113">
        <v>167</v>
      </c>
      <c r="H179" s="113">
        <v>4.2279999999999998</v>
      </c>
      <c r="I179" s="127"/>
      <c r="J179" s="116">
        <v>0.81877636465267556</v>
      </c>
      <c r="K179" s="116">
        <v>36.92175726609257</v>
      </c>
      <c r="L179" s="117">
        <v>45.093823979341124</v>
      </c>
      <c r="M179" s="117">
        <v>0.4534476770938376</v>
      </c>
      <c r="N179" s="117">
        <v>-26.201343283872895</v>
      </c>
      <c r="O179" s="119">
        <v>0.36599999999999999</v>
      </c>
      <c r="P179" s="120">
        <v>0.4534476770938376</v>
      </c>
      <c r="Q179" s="121">
        <v>0.36641911990694193</v>
      </c>
      <c r="R179" s="122">
        <v>4.191199069419338E-4</v>
      </c>
      <c r="S179" s="122">
        <v>8.187763646526756</v>
      </c>
      <c r="T179" s="122">
        <v>3.4316547375948421E-2</v>
      </c>
      <c r="U179" s="122">
        <v>4.191199069419338</v>
      </c>
      <c r="V179" s="119">
        <v>1.08</v>
      </c>
      <c r="W179" s="120">
        <v>-26.201343283872895</v>
      </c>
      <c r="X179" s="120">
        <v>1.0824131627899158</v>
      </c>
      <c r="Y179" s="122">
        <v>2.4131627899157682E-3</v>
      </c>
      <c r="Z179" s="122">
        <v>369.21757266092573</v>
      </c>
      <c r="AA179" s="122">
        <v>8.9098210772836737</v>
      </c>
      <c r="AB179" s="122">
        <v>24.131627899157682</v>
      </c>
    </row>
    <row r="180" spans="1:28" x14ac:dyDescent="0.25">
      <c r="A180" s="113">
        <v>4</v>
      </c>
      <c r="B180" s="113" t="s">
        <v>40</v>
      </c>
      <c r="C180" s="113" t="s">
        <v>30</v>
      </c>
      <c r="D180" s="113" t="s">
        <v>428</v>
      </c>
      <c r="E180" s="113">
        <v>2</v>
      </c>
      <c r="F180" s="114" t="s">
        <v>98</v>
      </c>
      <c r="G180" s="113">
        <v>168</v>
      </c>
      <c r="H180" s="113">
        <v>4.21</v>
      </c>
      <c r="I180" s="127"/>
      <c r="J180" s="116">
        <v>0.66651085343190941</v>
      </c>
      <c r="K180" s="116">
        <v>36.785815232376798</v>
      </c>
      <c r="L180" s="117">
        <v>55.191622226351086</v>
      </c>
      <c r="M180" s="117">
        <v>3.8261520487761551</v>
      </c>
      <c r="N180" s="117">
        <v>-26.406672976527183</v>
      </c>
      <c r="O180" s="119">
        <v>0.36599999999999999</v>
      </c>
      <c r="P180" s="120">
        <v>3.8261520487761551</v>
      </c>
      <c r="Q180" s="121">
        <v>0.36764984170392534</v>
      </c>
      <c r="R180" s="122">
        <v>1.6498417039253477E-3</v>
      </c>
      <c r="S180" s="122">
        <v>6.6651085343190948</v>
      </c>
      <c r="T180" s="122">
        <v>0.10996374021108392</v>
      </c>
      <c r="U180" s="122">
        <v>16.498417039253475</v>
      </c>
      <c r="V180" s="119">
        <v>1.08</v>
      </c>
      <c r="W180" s="120">
        <v>-26.406672976527183</v>
      </c>
      <c r="X180" s="120">
        <v>1.0821874011479982</v>
      </c>
      <c r="Y180" s="122">
        <v>2.1874011479980915E-3</v>
      </c>
      <c r="Z180" s="122">
        <v>367.85815232376802</v>
      </c>
      <c r="AA180" s="122">
        <v>8.046533446934669</v>
      </c>
      <c r="AB180" s="122">
        <v>21.874011479980915</v>
      </c>
    </row>
    <row r="181" spans="1:28" x14ac:dyDescent="0.25">
      <c r="A181" s="113">
        <v>4</v>
      </c>
      <c r="B181" s="113" t="s">
        <v>44</v>
      </c>
      <c r="C181" s="113" t="s">
        <v>26</v>
      </c>
      <c r="D181" s="113" t="s">
        <v>427</v>
      </c>
      <c r="E181" s="113">
        <v>2</v>
      </c>
      <c r="F181" s="114" t="s">
        <v>99</v>
      </c>
      <c r="G181" s="113">
        <v>169</v>
      </c>
      <c r="H181" s="113">
        <v>4.3310000000000004</v>
      </c>
      <c r="I181" s="113"/>
      <c r="J181" s="116">
        <v>1.2638281670702167</v>
      </c>
      <c r="K181" s="116">
        <v>40.431727961464588</v>
      </c>
      <c r="L181" s="117">
        <v>31.991475593705648</v>
      </c>
      <c r="M181" s="117">
        <v>110.23596663443735</v>
      </c>
      <c r="N181" s="117">
        <v>-28.418623497414828</v>
      </c>
      <c r="O181" s="119">
        <v>0.36599999999999999</v>
      </c>
      <c r="P181" s="120">
        <v>110.23596663443735</v>
      </c>
      <c r="Q181" s="121">
        <v>0.40646386984666533</v>
      </c>
      <c r="R181" s="122">
        <v>4.0463869846665335E-2</v>
      </c>
      <c r="S181" s="122">
        <v>12.638281670702167</v>
      </c>
      <c r="T181" s="122">
        <v>5.1139378460878859</v>
      </c>
      <c r="U181" s="122">
        <v>404.63869846665335</v>
      </c>
      <c r="V181" s="119">
        <v>1.08</v>
      </c>
      <c r="W181" s="120">
        <v>-28.418623497414828</v>
      </c>
      <c r="X181" s="120">
        <v>1.0799751909111697</v>
      </c>
      <c r="Y181" s="122">
        <v>-2.4809088830402004E-5</v>
      </c>
      <c r="Z181" s="122">
        <v>404.31727961464588</v>
      </c>
      <c r="AA181" s="122">
        <v>-0.10030743305626234</v>
      </c>
      <c r="AB181" s="122">
        <v>-0.24809088830402004</v>
      </c>
    </row>
    <row r="182" spans="1:28" x14ac:dyDescent="0.25">
      <c r="A182" s="113">
        <v>4</v>
      </c>
      <c r="B182" s="113" t="s">
        <v>44</v>
      </c>
      <c r="C182" s="113" t="s">
        <v>26</v>
      </c>
      <c r="D182" s="113" t="s">
        <v>428</v>
      </c>
      <c r="E182" s="113">
        <v>2</v>
      </c>
      <c r="F182" s="114" t="s">
        <v>100</v>
      </c>
      <c r="G182" s="113">
        <v>170</v>
      </c>
      <c r="H182" s="113">
        <v>4.07</v>
      </c>
      <c r="I182" s="113"/>
      <c r="J182" s="116">
        <v>1.2644296077763217</v>
      </c>
      <c r="K182" s="116">
        <v>41.197616381002504</v>
      </c>
      <c r="L182" s="117">
        <v>32.581976986013743</v>
      </c>
      <c r="M182" s="117">
        <v>60.683053389211871</v>
      </c>
      <c r="N182" s="117">
        <v>-28.334565348837351</v>
      </c>
      <c r="O182" s="119">
        <v>0.36599999999999999</v>
      </c>
      <c r="P182" s="120">
        <v>60.683053389211871</v>
      </c>
      <c r="Q182" s="121">
        <v>0.38839271967317063</v>
      </c>
      <c r="R182" s="122">
        <v>2.2392719673170636E-2</v>
      </c>
      <c r="S182" s="122">
        <v>12.644296077763217</v>
      </c>
      <c r="T182" s="122">
        <v>2.8314017753392267</v>
      </c>
      <c r="U182" s="122">
        <v>223.92719673170635</v>
      </c>
      <c r="V182" s="119">
        <v>1.08</v>
      </c>
      <c r="W182" s="120">
        <v>-28.334565348837351</v>
      </c>
      <c r="X182" s="120">
        <v>1.0800676177774342</v>
      </c>
      <c r="Y182" s="122">
        <v>6.7617777434136883E-5</v>
      </c>
      <c r="Z182" s="122">
        <v>411.97616381002507</v>
      </c>
      <c r="AA182" s="122">
        <v>0.27856912552675794</v>
      </c>
      <c r="AB182" s="122">
        <v>0.67617777434136883</v>
      </c>
    </row>
    <row r="183" spans="1:28" x14ac:dyDescent="0.25">
      <c r="A183" s="113">
        <v>4</v>
      </c>
      <c r="B183" s="113" t="s">
        <v>44</v>
      </c>
      <c r="C183" s="113" t="s">
        <v>28</v>
      </c>
      <c r="D183" s="113" t="s">
        <v>427</v>
      </c>
      <c r="E183" s="113">
        <v>2</v>
      </c>
      <c r="F183" s="114" t="s">
        <v>101</v>
      </c>
      <c r="G183" s="113">
        <v>171</v>
      </c>
      <c r="H183" s="113">
        <v>4.7910000000000004</v>
      </c>
      <c r="I183" s="113"/>
      <c r="J183" s="116">
        <v>1.3598792830564954</v>
      </c>
      <c r="K183" s="116">
        <v>38.794814740154187</v>
      </c>
      <c r="L183" s="117">
        <v>28.528131300712282</v>
      </c>
      <c r="M183" s="117">
        <v>450.90595224310476</v>
      </c>
      <c r="N183" s="117">
        <v>-24.074542736865421</v>
      </c>
      <c r="O183" s="119">
        <v>0.36599999999999999</v>
      </c>
      <c r="P183" s="120">
        <v>450.90595224310476</v>
      </c>
      <c r="Q183" s="121">
        <v>0.5305234650790791</v>
      </c>
      <c r="R183" s="122">
        <v>0.16452346507907911</v>
      </c>
      <c r="S183" s="122">
        <v>13.598792830564953</v>
      </c>
      <c r="T183" s="122">
        <v>22.373205173770845</v>
      </c>
      <c r="U183" s="122">
        <v>1645.2346507907912</v>
      </c>
      <c r="V183" s="119">
        <v>1.08</v>
      </c>
      <c r="W183" s="120">
        <v>-24.074542736865421</v>
      </c>
      <c r="X183" s="120">
        <v>1.0847515364120091</v>
      </c>
      <c r="Y183" s="122">
        <v>4.7515364120089831E-3</v>
      </c>
      <c r="Z183" s="122">
        <v>387.94814740154186</v>
      </c>
      <c r="AA183" s="122">
        <v>18.433497483498542</v>
      </c>
      <c r="AB183" s="122">
        <v>47.515364120089828</v>
      </c>
    </row>
    <row r="184" spans="1:28" x14ac:dyDescent="0.25">
      <c r="A184" s="113">
        <v>4</v>
      </c>
      <c r="B184" s="113" t="s">
        <v>44</v>
      </c>
      <c r="C184" s="113" t="s">
        <v>28</v>
      </c>
      <c r="D184" s="113" t="s">
        <v>428</v>
      </c>
      <c r="E184" s="113">
        <v>2</v>
      </c>
      <c r="F184" s="114" t="s">
        <v>433</v>
      </c>
      <c r="G184" s="113">
        <v>172</v>
      </c>
      <c r="H184" s="113">
        <v>4.641</v>
      </c>
      <c r="I184" s="113"/>
      <c r="J184" s="116">
        <v>1.2000767417853107</v>
      </c>
      <c r="K184" s="116">
        <v>37.393744438276279</v>
      </c>
      <c r="L184" s="117">
        <v>31.159461004674547</v>
      </c>
      <c r="M184" s="117">
        <v>339.16010604739915</v>
      </c>
      <c r="N184" s="117">
        <v>-23.037885655738602</v>
      </c>
      <c r="O184" s="119">
        <v>0.36599999999999999</v>
      </c>
      <c r="P184" s="120">
        <v>339.16010604739915</v>
      </c>
      <c r="Q184" s="121">
        <v>0.48986377682658139</v>
      </c>
      <c r="R184" s="122">
        <v>0.1238637768265814</v>
      </c>
      <c r="S184" s="122">
        <v>12.000767417853107</v>
      </c>
      <c r="T184" s="122">
        <v>14.864603771926665</v>
      </c>
      <c r="U184" s="122">
        <v>1238.6377682658137</v>
      </c>
      <c r="V184" s="119">
        <v>1.08</v>
      </c>
      <c r="W184" s="120">
        <v>-23.037885655738602</v>
      </c>
      <c r="X184" s="120">
        <v>1.0858912795542326</v>
      </c>
      <c r="Y184" s="122">
        <v>5.8912795542325203E-3</v>
      </c>
      <c r="Z184" s="122">
        <v>373.93744438276275</v>
      </c>
      <c r="AA184" s="122">
        <v>22.029700206541303</v>
      </c>
      <c r="AB184" s="122">
        <v>58.912795542325199</v>
      </c>
    </row>
    <row r="185" spans="1:28" x14ac:dyDescent="0.25">
      <c r="A185" s="113">
        <v>4</v>
      </c>
      <c r="B185" s="113" t="s">
        <v>44</v>
      </c>
      <c r="C185" s="113" t="s">
        <v>30</v>
      </c>
      <c r="D185" s="113" t="s">
        <v>427</v>
      </c>
      <c r="E185" s="113">
        <v>2</v>
      </c>
      <c r="F185" s="114" t="s">
        <v>434</v>
      </c>
      <c r="G185" s="113">
        <v>173</v>
      </c>
      <c r="H185" s="113">
        <v>4.1909999999999998</v>
      </c>
      <c r="I185" s="113"/>
      <c r="J185" s="116">
        <v>1.4387480586332879</v>
      </c>
      <c r="K185" s="116">
        <v>38.511497359793417</v>
      </c>
      <c r="L185" s="117">
        <v>26.767367037406601</v>
      </c>
      <c r="M185" s="117">
        <v>-6.7715293875875799</v>
      </c>
      <c r="N185" s="117">
        <v>-28.269436068705215</v>
      </c>
      <c r="O185" s="119">
        <v>0.36599999999999999</v>
      </c>
      <c r="P185" s="120">
        <v>-6.7715293875875799</v>
      </c>
      <c r="Q185" s="121">
        <v>0.36378257637393085</v>
      </c>
      <c r="R185" s="122">
        <v>-2.2174236260691371E-3</v>
      </c>
      <c r="S185" s="122">
        <v>14.387480586332879</v>
      </c>
      <c r="T185" s="122">
        <v>-0.31903139371745565</v>
      </c>
      <c r="U185" s="122">
        <v>-22.174236260691373</v>
      </c>
      <c r="V185" s="119">
        <v>1.08</v>
      </c>
      <c r="W185" s="120">
        <v>-28.269436068705215</v>
      </c>
      <c r="X185" s="120">
        <v>1.0801392311234812</v>
      </c>
      <c r="Y185" s="122">
        <v>1.3923112348113165E-4</v>
      </c>
      <c r="Z185" s="122">
        <v>385.11497359793418</v>
      </c>
      <c r="AA185" s="122">
        <v>0.53619990443446719</v>
      </c>
      <c r="AB185" s="122">
        <v>1.3923112348113165</v>
      </c>
    </row>
    <row r="186" spans="1:28" x14ac:dyDescent="0.25">
      <c r="A186" s="113">
        <v>4</v>
      </c>
      <c r="B186" s="113" t="s">
        <v>44</v>
      </c>
      <c r="C186" s="113" t="s">
        <v>30</v>
      </c>
      <c r="D186" s="113" t="s">
        <v>428</v>
      </c>
      <c r="E186" s="113">
        <v>2</v>
      </c>
      <c r="F186" s="114" t="s">
        <v>435</v>
      </c>
      <c r="G186" s="113">
        <v>174</v>
      </c>
      <c r="H186" s="113">
        <v>4.2699999999999996</v>
      </c>
      <c r="I186" s="113"/>
      <c r="J186" s="116">
        <v>0.78266586375219438</v>
      </c>
      <c r="K186" s="116">
        <v>37.589129484747495</v>
      </c>
      <c r="L186" s="117">
        <v>48.027046055823469</v>
      </c>
      <c r="M186" s="117">
        <v>6.950444745015492</v>
      </c>
      <c r="N186" s="117">
        <v>-26.877725671645514</v>
      </c>
      <c r="O186" s="119">
        <v>0.36599999999999999</v>
      </c>
      <c r="P186" s="120">
        <v>6.950444745015492</v>
      </c>
      <c r="Q186" s="121">
        <v>0.36878988933429591</v>
      </c>
      <c r="R186" s="122">
        <v>2.7898893342959141E-3</v>
      </c>
      <c r="S186" s="122">
        <v>7.8266586375219438</v>
      </c>
      <c r="T186" s="122">
        <v>0.21835511455997461</v>
      </c>
      <c r="U186" s="122">
        <v>27.898893342959141</v>
      </c>
      <c r="V186" s="119">
        <v>1.08</v>
      </c>
      <c r="W186" s="120">
        <v>-26.877725671645514</v>
      </c>
      <c r="X186" s="120">
        <v>1.0816694710423091</v>
      </c>
      <c r="Y186" s="122">
        <v>1.6694710423090786E-3</v>
      </c>
      <c r="Z186" s="122">
        <v>375.89129484747497</v>
      </c>
      <c r="AA186" s="122">
        <v>6.2753963180392329</v>
      </c>
      <c r="AB186" s="122">
        <v>16.694710423090786</v>
      </c>
    </row>
    <row r="187" spans="1:28" x14ac:dyDescent="0.25">
      <c r="A187" s="113">
        <v>4</v>
      </c>
      <c r="B187" s="113" t="s">
        <v>48</v>
      </c>
      <c r="C187" s="113" t="s">
        <v>26</v>
      </c>
      <c r="D187" s="113" t="s">
        <v>427</v>
      </c>
      <c r="E187" s="113">
        <v>2</v>
      </c>
      <c r="F187" s="114" t="s">
        <v>102</v>
      </c>
      <c r="G187" s="113">
        <v>175</v>
      </c>
      <c r="H187" s="113">
        <v>4.3079999999999998</v>
      </c>
      <c r="I187" s="113"/>
      <c r="J187" s="116">
        <v>1.0953308130626271</v>
      </c>
      <c r="K187" s="116">
        <v>41.290386613675878</v>
      </c>
      <c r="L187" s="117">
        <v>37.696726980796655</v>
      </c>
      <c r="M187" s="117">
        <v>310.65766682390267</v>
      </c>
      <c r="N187" s="117">
        <v>-26.206216099471668</v>
      </c>
      <c r="O187" s="119">
        <v>0.36599999999999999</v>
      </c>
      <c r="P187" s="120">
        <v>310.65766682390267</v>
      </c>
      <c r="Q187" s="121">
        <v>0.47948759782669381</v>
      </c>
      <c r="R187" s="122">
        <v>0.11348759782669382</v>
      </c>
      <c r="S187" s="122">
        <v>10.953308130626272</v>
      </c>
      <c r="T187" s="122">
        <v>12.4306462800037</v>
      </c>
      <c r="U187" s="122">
        <v>1134.8759782669381</v>
      </c>
      <c r="V187" s="119">
        <v>1.08</v>
      </c>
      <c r="W187" s="120">
        <v>-26.206216099471668</v>
      </c>
      <c r="X187" s="120">
        <v>1.0824078051020678</v>
      </c>
      <c r="Y187" s="122">
        <v>2.4078051020677282E-3</v>
      </c>
      <c r="Z187" s="122">
        <v>412.90386613675878</v>
      </c>
      <c r="AA187" s="122">
        <v>9.94192035547578</v>
      </c>
      <c r="AB187" s="122">
        <v>24.078051020677282</v>
      </c>
    </row>
    <row r="188" spans="1:28" x14ac:dyDescent="0.25">
      <c r="A188" s="113">
        <v>4</v>
      </c>
      <c r="B188" s="113" t="s">
        <v>48</v>
      </c>
      <c r="C188" s="113" t="s">
        <v>26</v>
      </c>
      <c r="D188" s="113" t="s">
        <v>428</v>
      </c>
      <c r="E188" s="113">
        <v>2</v>
      </c>
      <c r="F188" s="114" t="s">
        <v>103</v>
      </c>
      <c r="G188" s="113">
        <v>176</v>
      </c>
      <c r="H188" s="113">
        <v>4.8680000000000003</v>
      </c>
      <c r="I188" s="113"/>
      <c r="J188" s="116">
        <v>1.0506963576807817</v>
      </c>
      <c r="K188" s="116">
        <v>40.349260887144084</v>
      </c>
      <c r="L188" s="117">
        <v>38.402399125288319</v>
      </c>
      <c r="M188" s="117">
        <v>128.39916434982763</v>
      </c>
      <c r="N188" s="117">
        <v>-28.359322589183325</v>
      </c>
      <c r="O188" s="119">
        <v>0.36599999999999999</v>
      </c>
      <c r="P188" s="120">
        <v>128.39916434982763</v>
      </c>
      <c r="Q188" s="121">
        <v>0.41308605379373631</v>
      </c>
      <c r="R188" s="122">
        <v>4.7086053793736315E-2</v>
      </c>
      <c r="S188" s="122">
        <v>10.506963576807818</v>
      </c>
      <c r="T188" s="122">
        <v>4.9473145218640111</v>
      </c>
      <c r="U188" s="122">
        <v>470.86053793736318</v>
      </c>
      <c r="V188" s="119">
        <v>1.08</v>
      </c>
      <c r="W188" s="120">
        <v>-28.359322589183325</v>
      </c>
      <c r="X188" s="120">
        <v>1.0800403957570479</v>
      </c>
      <c r="Y188" s="122">
        <v>4.0395757047839709E-5</v>
      </c>
      <c r="Z188" s="122">
        <v>403.49260887144084</v>
      </c>
      <c r="AA188" s="122">
        <v>0.16299389398569739</v>
      </c>
      <c r="AB188" s="122">
        <v>0.40395757047839709</v>
      </c>
    </row>
    <row r="189" spans="1:28" x14ac:dyDescent="0.25">
      <c r="A189" s="113">
        <v>4</v>
      </c>
      <c r="B189" s="113" t="s">
        <v>48</v>
      </c>
      <c r="C189" s="113" t="s">
        <v>28</v>
      </c>
      <c r="D189" s="113" t="s">
        <v>427</v>
      </c>
      <c r="E189" s="113">
        <v>2</v>
      </c>
      <c r="F189" s="114" t="s">
        <v>104</v>
      </c>
      <c r="G189" s="113">
        <v>177</v>
      </c>
      <c r="H189" s="113">
        <v>4.96</v>
      </c>
      <c r="I189" s="113"/>
      <c r="J189" s="116">
        <v>1.2774009150214627</v>
      </c>
      <c r="K189" s="116">
        <v>37.978191704635826</v>
      </c>
      <c r="L189" s="117">
        <v>29.730831767877454</v>
      </c>
      <c r="M189" s="117">
        <v>814.27323336386689</v>
      </c>
      <c r="N189" s="117">
        <v>-19.998349406358368</v>
      </c>
      <c r="O189" s="119">
        <v>0.36599999999999999</v>
      </c>
      <c r="P189" s="120">
        <v>814.27323336386689</v>
      </c>
      <c r="Q189" s="121">
        <v>0.66250839428196517</v>
      </c>
      <c r="R189" s="122">
        <v>0.29650839428196518</v>
      </c>
      <c r="S189" s="122">
        <v>12.774009150214626</v>
      </c>
      <c r="T189" s="122">
        <v>37.876009416732693</v>
      </c>
      <c r="U189" s="122">
        <v>2965.0839428196514</v>
      </c>
      <c r="V189" s="119">
        <v>1.08</v>
      </c>
      <c r="W189" s="120">
        <v>-19.998349406358368</v>
      </c>
      <c r="X189" s="120">
        <v>1.0892329184705312</v>
      </c>
      <c r="Y189" s="122">
        <v>9.2329184705310929E-3</v>
      </c>
      <c r="Z189" s="122">
        <v>379.78191704635827</v>
      </c>
      <c r="AA189" s="122">
        <v>35.064954766710287</v>
      </c>
      <c r="AB189" s="122">
        <v>92.329184705310922</v>
      </c>
    </row>
    <row r="190" spans="1:28" x14ac:dyDescent="0.25">
      <c r="A190" s="113">
        <v>4</v>
      </c>
      <c r="B190" s="113" t="s">
        <v>48</v>
      </c>
      <c r="C190" s="113" t="s">
        <v>28</v>
      </c>
      <c r="D190" s="113" t="s">
        <v>428</v>
      </c>
      <c r="E190" s="113">
        <v>2</v>
      </c>
      <c r="F190" s="114" t="s">
        <v>105</v>
      </c>
      <c r="G190" s="113">
        <v>178</v>
      </c>
      <c r="H190" s="113">
        <v>4.766</v>
      </c>
      <c r="I190" s="113"/>
      <c r="J190" s="116">
        <v>1.0025437541579296</v>
      </c>
      <c r="K190" s="116">
        <v>38.998320732499522</v>
      </c>
      <c r="L190" s="117">
        <v>38.899370297564246</v>
      </c>
      <c r="M190" s="117">
        <v>460.35402417314026</v>
      </c>
      <c r="N190" s="117">
        <v>-23.975442218724371</v>
      </c>
      <c r="O190" s="119">
        <v>0.36599999999999999</v>
      </c>
      <c r="P190" s="120">
        <v>460.35402417314026</v>
      </c>
      <c r="Q190" s="121">
        <v>0.53395970402160398</v>
      </c>
      <c r="R190" s="122">
        <v>0.16795970402160398</v>
      </c>
      <c r="S190" s="122">
        <v>10.025437541579297</v>
      </c>
      <c r="T190" s="122">
        <v>16.838695221707358</v>
      </c>
      <c r="U190" s="122">
        <v>1679.5970402160399</v>
      </c>
      <c r="V190" s="119">
        <v>1.08</v>
      </c>
      <c r="W190" s="120">
        <v>-23.975442218724371</v>
      </c>
      <c r="X190" s="120">
        <v>1.0848604927053143</v>
      </c>
      <c r="Y190" s="122">
        <v>4.86049270531419E-3</v>
      </c>
      <c r="Z190" s="122">
        <v>389.98320732499519</v>
      </c>
      <c r="AA190" s="122">
        <v>18.955105343981703</v>
      </c>
      <c r="AB190" s="122">
        <v>48.6049270531419</v>
      </c>
    </row>
    <row r="191" spans="1:28" x14ac:dyDescent="0.25">
      <c r="A191" s="113">
        <v>4</v>
      </c>
      <c r="B191" s="113" t="s">
        <v>48</v>
      </c>
      <c r="C191" s="113" t="s">
        <v>30</v>
      </c>
      <c r="D191" s="113" t="s">
        <v>427</v>
      </c>
      <c r="E191" s="113">
        <v>2</v>
      </c>
      <c r="F191" s="114" t="s">
        <v>106</v>
      </c>
      <c r="G191" s="113">
        <v>179</v>
      </c>
      <c r="H191" s="113">
        <v>4.2149999999999999</v>
      </c>
      <c r="I191" s="113"/>
      <c r="J191" s="116">
        <v>0.84140429309452525</v>
      </c>
      <c r="K191" s="116">
        <v>37.040609721755324</v>
      </c>
      <c r="L191" s="117">
        <v>44.022368349853544</v>
      </c>
      <c r="M191" s="117">
        <v>-0.29079491294099391</v>
      </c>
      <c r="N191" s="117">
        <v>-25.90130401329154</v>
      </c>
      <c r="O191" s="119">
        <v>0.36599999999999999</v>
      </c>
      <c r="P191" s="120">
        <v>-0.29079491294099391</v>
      </c>
      <c r="Q191" s="121">
        <v>0.36614753684241003</v>
      </c>
      <c r="R191" s="122">
        <v>1.4753684241003429E-4</v>
      </c>
      <c r="S191" s="122">
        <v>8.4140429309452536</v>
      </c>
      <c r="T191" s="122">
        <v>1.2413813259341327E-2</v>
      </c>
      <c r="U191" s="122">
        <v>1.4753684241003429</v>
      </c>
      <c r="V191" s="119">
        <v>1.08</v>
      </c>
      <c r="W191" s="120">
        <v>-25.90130401329154</v>
      </c>
      <c r="X191" s="120">
        <v>1.0827430565183216</v>
      </c>
      <c r="Y191" s="122">
        <v>2.7430565183215183E-3</v>
      </c>
      <c r="Z191" s="122">
        <v>370.40609721755322</v>
      </c>
      <c r="AA191" s="122">
        <v>10.160448593986434</v>
      </c>
      <c r="AB191" s="122">
        <v>27.430565183215183</v>
      </c>
    </row>
    <row r="192" spans="1:28" x14ac:dyDescent="0.25">
      <c r="A192" s="113">
        <v>4</v>
      </c>
      <c r="B192" s="113" t="s">
        <v>48</v>
      </c>
      <c r="C192" s="113" t="s">
        <v>30</v>
      </c>
      <c r="D192" s="113" t="s">
        <v>428</v>
      </c>
      <c r="E192" s="113">
        <v>2</v>
      </c>
      <c r="F192" s="114" t="s">
        <v>107</v>
      </c>
      <c r="G192" s="113">
        <v>180</v>
      </c>
      <c r="H192" s="113">
        <v>4.3929999999999998</v>
      </c>
      <c r="I192" s="113"/>
      <c r="J192" s="116">
        <v>0.8037556778087247</v>
      </c>
      <c r="K192" s="116">
        <v>35.622719603084235</v>
      </c>
      <c r="L192" s="117">
        <v>44.320333388128951</v>
      </c>
      <c r="M192" s="117">
        <v>1.2587319185697874</v>
      </c>
      <c r="N192" s="117">
        <v>-25.734608134507003</v>
      </c>
      <c r="O192" s="119">
        <v>0.36599999999999999</v>
      </c>
      <c r="P192" s="120">
        <v>1.2587319185697874</v>
      </c>
      <c r="Q192" s="121">
        <v>0.36671297613591686</v>
      </c>
      <c r="R192" s="122">
        <v>7.1297613591686515E-4</v>
      </c>
      <c r="S192" s="122">
        <v>8.0375567780872466</v>
      </c>
      <c r="T192" s="122">
        <v>5.7305861738530535E-2</v>
      </c>
      <c r="U192" s="122">
        <v>7.1297613591686524</v>
      </c>
      <c r="V192" s="119">
        <v>1.08</v>
      </c>
      <c r="W192" s="120">
        <v>-25.734608134507003</v>
      </c>
      <c r="X192" s="120">
        <v>1.0829263379919856</v>
      </c>
      <c r="Y192" s="122">
        <v>2.9263379919854948E-3</v>
      </c>
      <c r="Z192" s="122">
        <v>356.22719603084238</v>
      </c>
      <c r="AA192" s="122">
        <v>10.424411775235185</v>
      </c>
      <c r="AB192" s="122">
        <v>29.263379919854952</v>
      </c>
    </row>
    <row r="193" spans="1:28" x14ac:dyDescent="0.25">
      <c r="A193" s="113">
        <v>4</v>
      </c>
      <c r="B193" s="113" t="s">
        <v>52</v>
      </c>
      <c r="C193" s="113" t="s">
        <v>26</v>
      </c>
      <c r="D193" s="113" t="s">
        <v>427</v>
      </c>
      <c r="E193" s="113">
        <v>2</v>
      </c>
      <c r="F193" s="114" t="s">
        <v>108</v>
      </c>
      <c r="G193" s="113">
        <v>181</v>
      </c>
      <c r="H193" s="113">
        <v>4.1059999999999999</v>
      </c>
      <c r="I193" s="113"/>
      <c r="J193" s="116">
        <v>1.2882082485320538</v>
      </c>
      <c r="K193" s="116">
        <v>38.646415436601579</v>
      </c>
      <c r="L193" s="117">
        <v>30.000130398668194</v>
      </c>
      <c r="M193" s="117">
        <v>349.92227134041548</v>
      </c>
      <c r="N193" s="117">
        <v>-24.188966109288884</v>
      </c>
      <c r="O193" s="119">
        <v>0.36599999999999999</v>
      </c>
      <c r="P193" s="120">
        <v>349.92227134041548</v>
      </c>
      <c r="Q193" s="121">
        <v>0.49378112979835453</v>
      </c>
      <c r="R193" s="122">
        <v>0.12778112979835454</v>
      </c>
      <c r="S193" s="122">
        <v>12.882082485320538</v>
      </c>
      <c r="T193" s="122">
        <v>16.460870541298533</v>
      </c>
      <c r="U193" s="122">
        <v>1277.8112979835455</v>
      </c>
      <c r="V193" s="119">
        <v>1.08</v>
      </c>
      <c r="W193" s="120">
        <v>-24.188966109288884</v>
      </c>
      <c r="X193" s="120">
        <v>1.0846257330726374</v>
      </c>
      <c r="Y193" s="122">
        <v>4.6257330726373613E-3</v>
      </c>
      <c r="Z193" s="122">
        <v>386.4641543660158</v>
      </c>
      <c r="AA193" s="122">
        <v>17.876800202397099</v>
      </c>
      <c r="AB193" s="122">
        <v>46.25733072637361</v>
      </c>
    </row>
    <row r="194" spans="1:28" x14ac:dyDescent="0.25">
      <c r="A194" s="113">
        <v>4</v>
      </c>
      <c r="B194" s="113" t="s">
        <v>52</v>
      </c>
      <c r="C194" s="113" t="s">
        <v>26</v>
      </c>
      <c r="D194" s="113" t="s">
        <v>428</v>
      </c>
      <c r="E194" s="113">
        <v>2</v>
      </c>
      <c r="F194" s="114" t="s">
        <v>109</v>
      </c>
      <c r="G194" s="113">
        <v>182</v>
      </c>
      <c r="H194" s="113">
        <v>5.1120000000000001</v>
      </c>
      <c r="I194" s="113"/>
      <c r="J194" s="116">
        <v>1.1060815305687675</v>
      </c>
      <c r="K194" s="116">
        <v>38.806729442132458</v>
      </c>
      <c r="L194" s="117">
        <v>35.084872470637251</v>
      </c>
      <c r="M194" s="117">
        <v>305.8881350901778</v>
      </c>
      <c r="N194" s="117">
        <v>-25.754269961910026</v>
      </c>
      <c r="O194" s="119">
        <v>0.36599999999999999</v>
      </c>
      <c r="P194" s="120">
        <v>305.8881350901778</v>
      </c>
      <c r="Q194" s="121">
        <v>0.47775106087065977</v>
      </c>
      <c r="R194" s="122">
        <v>0.11175106087065978</v>
      </c>
      <c r="S194" s="122">
        <v>11.060815305687674</v>
      </c>
      <c r="T194" s="122">
        <v>12.360578445050287</v>
      </c>
      <c r="U194" s="122">
        <v>1117.5106087065978</v>
      </c>
      <c r="V194" s="119">
        <v>1.08</v>
      </c>
      <c r="W194" s="120">
        <v>-25.754269961910026</v>
      </c>
      <c r="X194" s="120">
        <v>1.0829047199241719</v>
      </c>
      <c r="Y194" s="122">
        <v>2.9047199241718502E-3</v>
      </c>
      <c r="Z194" s="122">
        <v>388.06729442132462</v>
      </c>
      <c r="AA194" s="122">
        <v>11.272268020250852</v>
      </c>
      <c r="AB194" s="122">
        <v>29.047199241718502</v>
      </c>
    </row>
    <row r="195" spans="1:28" x14ac:dyDescent="0.25">
      <c r="A195" s="113">
        <v>4</v>
      </c>
      <c r="B195" s="113" t="s">
        <v>52</v>
      </c>
      <c r="C195" s="113" t="s">
        <v>28</v>
      </c>
      <c r="D195" s="113" t="s">
        <v>427</v>
      </c>
      <c r="E195" s="113">
        <v>2</v>
      </c>
      <c r="F195" s="114" t="s">
        <v>110</v>
      </c>
      <c r="G195" s="113">
        <v>183</v>
      </c>
      <c r="H195" s="113">
        <v>4.681</v>
      </c>
      <c r="I195" s="113"/>
      <c r="J195" s="116">
        <v>1.0632700852667809</v>
      </c>
      <c r="K195" s="116">
        <v>36.805921388992878</v>
      </c>
      <c r="L195" s="117">
        <v>34.615778153636334</v>
      </c>
      <c r="M195" s="117">
        <v>261.74769925579216</v>
      </c>
      <c r="N195" s="117">
        <v>-25.27530036394089</v>
      </c>
      <c r="O195" s="119">
        <v>0.36599999999999999</v>
      </c>
      <c r="P195" s="120">
        <v>261.74769925579216</v>
      </c>
      <c r="Q195" s="121">
        <v>0.46167711060839567</v>
      </c>
      <c r="R195" s="122">
        <v>9.5677110608395677E-2</v>
      </c>
      <c r="S195" s="122">
        <v>10.63270085266781</v>
      </c>
      <c r="T195" s="122">
        <v>10.173060955466811</v>
      </c>
      <c r="U195" s="122">
        <v>956.77110608395662</v>
      </c>
      <c r="V195" s="119">
        <v>1.08</v>
      </c>
      <c r="W195" s="120">
        <v>-25.27530036394089</v>
      </c>
      <c r="X195" s="120">
        <v>1.083431341594413</v>
      </c>
      <c r="Y195" s="122">
        <v>3.43134159441294E-3</v>
      </c>
      <c r="Z195" s="122">
        <v>368.0592138899288</v>
      </c>
      <c r="AA195" s="122">
        <v>12.629368898274416</v>
      </c>
      <c r="AB195" s="122">
        <v>34.313415944129403</v>
      </c>
    </row>
    <row r="196" spans="1:28" x14ac:dyDescent="0.25">
      <c r="A196" s="113">
        <v>4</v>
      </c>
      <c r="B196" s="113" t="s">
        <v>52</v>
      </c>
      <c r="C196" s="113" t="s">
        <v>28</v>
      </c>
      <c r="D196" s="113" t="s">
        <v>428</v>
      </c>
      <c r="E196" s="113">
        <v>2</v>
      </c>
      <c r="F196" s="114" t="s">
        <v>111</v>
      </c>
      <c r="G196" s="113">
        <v>184</v>
      </c>
      <c r="H196" s="113">
        <v>4.5940000000000003</v>
      </c>
      <c r="I196" s="113"/>
      <c r="J196" s="116">
        <v>1.2296976603388658</v>
      </c>
      <c r="K196" s="116">
        <v>37.899803451599631</v>
      </c>
      <c r="L196" s="117">
        <v>30.820424136739142</v>
      </c>
      <c r="M196" s="117">
        <v>5.3535111387405756</v>
      </c>
      <c r="N196" s="117">
        <v>-26.350664712773266</v>
      </c>
      <c r="O196" s="119">
        <v>0.36599999999999999</v>
      </c>
      <c r="P196" s="120">
        <v>5.3535111387405756</v>
      </c>
      <c r="Q196" s="121">
        <v>0.36820717498370326</v>
      </c>
      <c r="R196" s="122">
        <v>2.2071749837032639E-3</v>
      </c>
      <c r="S196" s="122">
        <v>12.296976603388657</v>
      </c>
      <c r="T196" s="122">
        <v>0.27141579134183774</v>
      </c>
      <c r="U196" s="122">
        <v>22.071749837032641</v>
      </c>
      <c r="V196" s="119">
        <v>1.08</v>
      </c>
      <c r="W196" s="120">
        <v>-26.350664712773266</v>
      </c>
      <c r="X196" s="120">
        <v>1.0822489827848745</v>
      </c>
      <c r="Y196" s="122">
        <v>2.2489827848743982E-3</v>
      </c>
      <c r="Z196" s="122">
        <v>378.99803451599627</v>
      </c>
      <c r="AA196" s="122">
        <v>8.5236005512770863</v>
      </c>
      <c r="AB196" s="122">
        <v>22.489827848743982</v>
      </c>
    </row>
    <row r="197" spans="1:28" x14ac:dyDescent="0.25">
      <c r="A197" s="113">
        <v>4</v>
      </c>
      <c r="B197" s="113" t="s">
        <v>52</v>
      </c>
      <c r="C197" s="113" t="s">
        <v>30</v>
      </c>
      <c r="D197" s="113" t="s">
        <v>427</v>
      </c>
      <c r="E197" s="113">
        <v>2</v>
      </c>
      <c r="F197" s="114" t="s">
        <v>112</v>
      </c>
      <c r="G197" s="113">
        <v>185</v>
      </c>
      <c r="H197" s="113">
        <v>4.1660000000000004</v>
      </c>
      <c r="I197" s="113"/>
      <c r="J197" s="116">
        <v>1.1538778285541711</v>
      </c>
      <c r="K197" s="116">
        <v>35.721919385281161</v>
      </c>
      <c r="L197" s="117">
        <v>30.958146955680167</v>
      </c>
      <c r="M197" s="117">
        <v>-6.5566327347430011</v>
      </c>
      <c r="N197" s="117">
        <v>-27.901865058064793</v>
      </c>
      <c r="O197" s="119">
        <v>0.36599999999999999</v>
      </c>
      <c r="P197" s="120">
        <v>-6.5566327347430011</v>
      </c>
      <c r="Q197" s="121">
        <v>0.36386099861976917</v>
      </c>
      <c r="R197" s="122">
        <v>-2.1390013802308205E-3</v>
      </c>
      <c r="S197" s="122">
        <v>11.538778285541712</v>
      </c>
      <c r="T197" s="122">
        <v>-0.24681462678951138</v>
      </c>
      <c r="U197" s="122">
        <v>-21.390013802308204</v>
      </c>
      <c r="V197" s="119">
        <v>1.08</v>
      </c>
      <c r="W197" s="120">
        <v>-27.901865058064793</v>
      </c>
      <c r="X197" s="120">
        <v>1.0805433944018461</v>
      </c>
      <c r="Y197" s="122">
        <v>5.4339440184603127E-4</v>
      </c>
      <c r="Z197" s="122">
        <v>357.2191938528116</v>
      </c>
      <c r="AA197" s="122">
        <v>1.9411091017157005</v>
      </c>
      <c r="AB197" s="122">
        <v>5.4339440184603136</v>
      </c>
    </row>
    <row r="198" spans="1:28" x14ac:dyDescent="0.25">
      <c r="A198" s="113">
        <v>4</v>
      </c>
      <c r="B198" s="113" t="s">
        <v>52</v>
      </c>
      <c r="C198" s="113" t="s">
        <v>30</v>
      </c>
      <c r="D198" s="113" t="s">
        <v>428</v>
      </c>
      <c r="E198" s="113">
        <v>2</v>
      </c>
      <c r="F198" s="114" t="s">
        <v>113</v>
      </c>
      <c r="G198" s="113">
        <v>186</v>
      </c>
      <c r="H198" s="113">
        <v>4.3860000000000001</v>
      </c>
      <c r="I198" s="113"/>
      <c r="J198" s="116">
        <v>0.70475804007633147</v>
      </c>
      <c r="K198" s="116">
        <v>36.374464416126692</v>
      </c>
      <c r="L198" s="117">
        <v>51.612698752875552</v>
      </c>
      <c r="M198" s="117">
        <v>8.1477267521844823</v>
      </c>
      <c r="N198" s="117">
        <v>-27.101087345181512</v>
      </c>
      <c r="O198" s="119">
        <v>0.36599999999999999</v>
      </c>
      <c r="P198" s="120">
        <v>8.1477267521844823</v>
      </c>
      <c r="Q198" s="121">
        <v>0.369226768027827</v>
      </c>
      <c r="R198" s="122">
        <v>3.2267680278270094E-3</v>
      </c>
      <c r="S198" s="122">
        <v>7.047580400763314</v>
      </c>
      <c r="T198" s="122">
        <v>0.22740907110723324</v>
      </c>
      <c r="U198" s="122">
        <v>32.267680278270092</v>
      </c>
      <c r="V198" s="119">
        <v>1.08</v>
      </c>
      <c r="W198" s="120">
        <v>-27.101087345181512</v>
      </c>
      <c r="X198" s="120">
        <v>1.0814238793509132</v>
      </c>
      <c r="Y198" s="122">
        <v>1.4238793509131487E-3</v>
      </c>
      <c r="Z198" s="122">
        <v>363.74464416126688</v>
      </c>
      <c r="AA198" s="122">
        <v>5.1792848782647889</v>
      </c>
      <c r="AB198" s="122">
        <v>14.238793509131487</v>
      </c>
    </row>
    <row r="199" spans="1:28" x14ac:dyDescent="0.25">
      <c r="A199" s="113">
        <v>4</v>
      </c>
      <c r="B199" s="113" t="s">
        <v>56</v>
      </c>
      <c r="C199" s="113" t="s">
        <v>26</v>
      </c>
      <c r="D199" s="113" t="s">
        <v>427</v>
      </c>
      <c r="E199" s="113">
        <v>2</v>
      </c>
      <c r="F199" s="114" t="s">
        <v>114</v>
      </c>
      <c r="G199" s="113">
        <v>187</v>
      </c>
      <c r="H199" s="113">
        <v>4.5149999999999997</v>
      </c>
      <c r="I199" s="113"/>
      <c r="J199" s="116">
        <v>1.3938507217804172</v>
      </c>
      <c r="K199" s="116">
        <v>39.269647749388575</v>
      </c>
      <c r="L199" s="117">
        <v>28.173496010554128</v>
      </c>
      <c r="M199" s="117">
        <v>617.89085150321921</v>
      </c>
      <c r="N199" s="117">
        <v>-23.261194993809976</v>
      </c>
      <c r="O199" s="119">
        <v>0.36599999999999999</v>
      </c>
      <c r="P199" s="120">
        <v>617.89085150321921</v>
      </c>
      <c r="Q199" s="121">
        <v>0.59122047202345296</v>
      </c>
      <c r="R199" s="122">
        <v>0.22522047202345297</v>
      </c>
      <c r="S199" s="122">
        <v>13.938507217804171</v>
      </c>
      <c r="T199" s="122">
        <v>31.392371748961619</v>
      </c>
      <c r="U199" s="122">
        <v>2252.2047202345298</v>
      </c>
      <c r="V199" s="119">
        <v>1.08</v>
      </c>
      <c r="W199" s="120">
        <v>-23.261194993809976</v>
      </c>
      <c r="X199" s="120">
        <v>1.0856457663653643</v>
      </c>
      <c r="Y199" s="122">
        <v>5.6457663653641799E-3</v>
      </c>
      <c r="Z199" s="122">
        <v>392.69647749388577</v>
      </c>
      <c r="AA199" s="122">
        <v>22.170725644319717</v>
      </c>
      <c r="AB199" s="122">
        <v>56.457663653641802</v>
      </c>
    </row>
    <row r="200" spans="1:28" x14ac:dyDescent="0.25">
      <c r="A200" s="113">
        <v>4</v>
      </c>
      <c r="B200" s="113" t="s">
        <v>56</v>
      </c>
      <c r="C200" s="113" t="s">
        <v>26</v>
      </c>
      <c r="D200" s="113" t="s">
        <v>428</v>
      </c>
      <c r="E200" s="113">
        <v>2</v>
      </c>
      <c r="F200" s="114" t="s">
        <v>115</v>
      </c>
      <c r="G200" s="113">
        <v>188</v>
      </c>
      <c r="H200" s="113">
        <v>4.1040000000000001</v>
      </c>
      <c r="I200" s="113"/>
      <c r="J200" s="116">
        <v>1.0138445984800173</v>
      </c>
      <c r="K200" s="116">
        <v>41.454161361903736</v>
      </c>
      <c r="L200" s="117">
        <v>40.888082280117601</v>
      </c>
      <c r="M200" s="117">
        <v>182.65228756134061</v>
      </c>
      <c r="N200" s="117">
        <v>-28.083131174384491</v>
      </c>
      <c r="O200" s="119">
        <v>0.36599999999999999</v>
      </c>
      <c r="P200" s="120">
        <v>182.65228756134061</v>
      </c>
      <c r="Q200" s="121">
        <v>0.43286114745192561</v>
      </c>
      <c r="R200" s="122">
        <v>6.6861147451925618E-2</v>
      </c>
      <c r="S200" s="122">
        <v>10.138445984800173</v>
      </c>
      <c r="T200" s="122">
        <v>6.778681319231076</v>
      </c>
      <c r="U200" s="122">
        <v>668.61147451925615</v>
      </c>
      <c r="V200" s="119">
        <v>1.08</v>
      </c>
      <c r="W200" s="120">
        <v>-28.083131174384491</v>
      </c>
      <c r="X200" s="120">
        <v>1.0803440833735234</v>
      </c>
      <c r="Y200" s="122">
        <v>3.4408337352331841E-4</v>
      </c>
      <c r="Z200" s="122">
        <v>414.54161361903738</v>
      </c>
      <c r="AA200" s="122">
        <v>1.4263687687983837</v>
      </c>
      <c r="AB200" s="122">
        <v>3.4408337352331841</v>
      </c>
    </row>
    <row r="201" spans="1:28" x14ac:dyDescent="0.25">
      <c r="A201" s="113">
        <v>4</v>
      </c>
      <c r="B201" s="113" t="s">
        <v>56</v>
      </c>
      <c r="C201" s="113" t="s">
        <v>28</v>
      </c>
      <c r="D201" s="113" t="s">
        <v>427</v>
      </c>
      <c r="E201" s="113">
        <v>2</v>
      </c>
      <c r="F201" s="114" t="s">
        <v>116</v>
      </c>
      <c r="G201" s="113">
        <v>189</v>
      </c>
      <c r="H201" s="113">
        <v>4.7910000000000004</v>
      </c>
      <c r="I201" s="113"/>
      <c r="J201" s="116">
        <v>1.2943235285044949</v>
      </c>
      <c r="K201" s="116">
        <v>38.070294966206525</v>
      </c>
      <c r="L201" s="117">
        <v>29.413275836988163</v>
      </c>
      <c r="M201" s="117">
        <v>378.66221134387416</v>
      </c>
      <c r="N201" s="117">
        <v>-24.906938189324254</v>
      </c>
      <c r="O201" s="119">
        <v>0.36599999999999999</v>
      </c>
      <c r="P201" s="120">
        <v>378.66221134387416</v>
      </c>
      <c r="Q201" s="121">
        <v>0.5042407557553138</v>
      </c>
      <c r="R201" s="122">
        <v>0.1382407557553138</v>
      </c>
      <c r="S201" s="122">
        <v>12.943235285044951</v>
      </c>
      <c r="T201" s="122">
        <v>17.892826277234583</v>
      </c>
      <c r="U201" s="122">
        <v>1382.4075575531381</v>
      </c>
      <c r="V201" s="119">
        <v>1.08</v>
      </c>
      <c r="W201" s="120">
        <v>-24.906938189324254</v>
      </c>
      <c r="X201" s="120">
        <v>1.0838363478358239</v>
      </c>
      <c r="Y201" s="122">
        <v>3.8363478358238723E-3</v>
      </c>
      <c r="Z201" s="122">
        <v>380.70294966206524</v>
      </c>
      <c r="AA201" s="122">
        <v>14.605089370278286</v>
      </c>
      <c r="AB201" s="122">
        <v>38.363478358238723</v>
      </c>
    </row>
    <row r="202" spans="1:28" x14ac:dyDescent="0.25">
      <c r="A202" s="113">
        <v>4</v>
      </c>
      <c r="B202" s="113" t="s">
        <v>56</v>
      </c>
      <c r="C202" s="113" t="s">
        <v>28</v>
      </c>
      <c r="D202" s="113" t="s">
        <v>428</v>
      </c>
      <c r="E202" s="113">
        <v>2</v>
      </c>
      <c r="F202" s="114" t="s">
        <v>436</v>
      </c>
      <c r="G202" s="113">
        <v>190</v>
      </c>
      <c r="H202" s="113">
        <v>4.3390000000000004</v>
      </c>
      <c r="I202" s="113"/>
      <c r="J202" s="116">
        <v>1.0989405070061364</v>
      </c>
      <c r="K202" s="116">
        <v>40.25955246158528</v>
      </c>
      <c r="L202" s="117">
        <v>36.634878962888642</v>
      </c>
      <c r="M202" s="117">
        <v>206.37153564226929</v>
      </c>
      <c r="N202" s="117">
        <v>-26.492802556549037</v>
      </c>
      <c r="O202" s="119">
        <v>0.36599999999999999</v>
      </c>
      <c r="P202" s="120">
        <v>206.37153564226929</v>
      </c>
      <c r="Q202" s="121">
        <v>0.4415042720479247</v>
      </c>
      <c r="R202" s="122">
        <v>7.5504272047924703E-2</v>
      </c>
      <c r="S202" s="122">
        <v>10.989405070061364</v>
      </c>
      <c r="T202" s="122">
        <v>8.2974703005475643</v>
      </c>
      <c r="U202" s="122">
        <v>755.04272047924701</v>
      </c>
      <c r="V202" s="119">
        <v>1.08</v>
      </c>
      <c r="W202" s="120">
        <v>-26.492802556549037</v>
      </c>
      <c r="X202" s="120">
        <v>1.0820927006780028</v>
      </c>
      <c r="Y202" s="122">
        <v>2.0927006780027124E-3</v>
      </c>
      <c r="Z202" s="122">
        <v>402.59552461585281</v>
      </c>
      <c r="AA202" s="122">
        <v>8.4251192732445279</v>
      </c>
      <c r="AB202" s="122">
        <v>20.927006780027124</v>
      </c>
    </row>
    <row r="203" spans="1:28" x14ac:dyDescent="0.25">
      <c r="A203" s="113">
        <v>4</v>
      </c>
      <c r="B203" s="113" t="s">
        <v>56</v>
      </c>
      <c r="C203" s="113" t="s">
        <v>30</v>
      </c>
      <c r="D203" s="113" t="s">
        <v>427</v>
      </c>
      <c r="E203" s="113">
        <v>2</v>
      </c>
      <c r="F203" s="114" t="s">
        <v>437</v>
      </c>
      <c r="G203" s="113">
        <v>191</v>
      </c>
      <c r="H203" s="113">
        <v>4.3259999999999996</v>
      </c>
      <c r="I203" s="113"/>
      <c r="J203" s="116">
        <v>1.0178718985346322</v>
      </c>
      <c r="K203" s="116">
        <v>34.817109002397871</v>
      </c>
      <c r="L203" s="117">
        <v>34.205786654019953</v>
      </c>
      <c r="M203" s="117">
        <v>-3.3452573509204915</v>
      </c>
      <c r="N203" s="117">
        <v>-27.061414801657797</v>
      </c>
      <c r="O203" s="119">
        <v>0.36599999999999999</v>
      </c>
      <c r="P203" s="120">
        <v>-3.3452573509204915</v>
      </c>
      <c r="Q203" s="121">
        <v>0.36503291128622695</v>
      </c>
      <c r="R203" s="122">
        <v>-9.6708871377304551E-4</v>
      </c>
      <c r="S203" s="122">
        <v>10.178718985346322</v>
      </c>
      <c r="T203" s="122">
        <v>-9.8437242513958523E-2</v>
      </c>
      <c r="U203" s="122">
        <v>-9.6708871377304551</v>
      </c>
      <c r="V203" s="119">
        <v>1.08</v>
      </c>
      <c r="W203" s="120">
        <v>-27.061414801657797</v>
      </c>
      <c r="X203" s="120">
        <v>1.0814675003840357</v>
      </c>
      <c r="Y203" s="122">
        <v>1.4675003840356471E-3</v>
      </c>
      <c r="Z203" s="122">
        <v>348.17109002397871</v>
      </c>
      <c r="AA203" s="122">
        <v>5.1094120832029857</v>
      </c>
      <c r="AB203" s="122">
        <v>14.675003840356471</v>
      </c>
    </row>
    <row r="204" spans="1:28" x14ac:dyDescent="0.25">
      <c r="A204" s="113">
        <v>4</v>
      </c>
      <c r="B204" s="113" t="s">
        <v>56</v>
      </c>
      <c r="C204" s="113" t="s">
        <v>30</v>
      </c>
      <c r="D204" s="113" t="s">
        <v>428</v>
      </c>
      <c r="E204" s="113">
        <v>2</v>
      </c>
      <c r="F204" s="114" t="s">
        <v>438</v>
      </c>
      <c r="G204" s="113">
        <v>192</v>
      </c>
      <c r="H204" s="113">
        <v>4.609</v>
      </c>
      <c r="I204" s="113"/>
      <c r="J204" s="116">
        <v>1.2008629378840561</v>
      </c>
      <c r="K204" s="116">
        <v>36.538020153362595</v>
      </c>
      <c r="L204" s="117">
        <v>30.426469999768081</v>
      </c>
      <c r="M204" s="117">
        <v>-1.6921547168670017</v>
      </c>
      <c r="N204" s="117">
        <v>-25.830682802430516</v>
      </c>
      <c r="O204" s="119">
        <v>0.36599999999999999</v>
      </c>
      <c r="P204" s="120">
        <v>-1.6921547168670017</v>
      </c>
      <c r="Q204" s="121">
        <v>0.36563615979149933</v>
      </c>
      <c r="R204" s="122">
        <v>-3.6384020850066534E-4</v>
      </c>
      <c r="S204" s="122">
        <v>12.008629378840562</v>
      </c>
      <c r="T204" s="122">
        <v>-4.3692222170045654E-2</v>
      </c>
      <c r="U204" s="122">
        <v>-3.6384020850066534</v>
      </c>
      <c r="V204" s="119">
        <v>1.08</v>
      </c>
      <c r="W204" s="120">
        <v>-25.830682802430516</v>
      </c>
      <c r="X204" s="120">
        <v>1.0828207043493019</v>
      </c>
      <c r="Y204" s="122">
        <v>2.8207043493018169E-3</v>
      </c>
      <c r="Z204" s="122">
        <v>365.38020153362595</v>
      </c>
      <c r="AA204" s="122">
        <v>10.306295236146731</v>
      </c>
      <c r="AB204" s="122">
        <v>28.207043493018169</v>
      </c>
    </row>
    <row r="205" spans="1:28" x14ac:dyDescent="0.25">
      <c r="A205" s="113">
        <v>5</v>
      </c>
      <c r="B205" s="113" t="s">
        <v>25</v>
      </c>
      <c r="C205" s="113" t="s">
        <v>26</v>
      </c>
      <c r="D205" s="113" t="s">
        <v>427</v>
      </c>
      <c r="E205" s="113">
        <v>2</v>
      </c>
      <c r="F205" s="114" t="s">
        <v>117</v>
      </c>
      <c r="G205" s="113">
        <v>193</v>
      </c>
      <c r="H205" s="113">
        <v>4.3209999999999997</v>
      </c>
      <c r="I205" s="113"/>
      <c r="J205" s="116">
        <v>2.6809945162672597</v>
      </c>
      <c r="K205" s="116">
        <v>41.206148032574291</v>
      </c>
      <c r="L205" s="117">
        <v>15.369724847459024</v>
      </c>
      <c r="M205" s="117">
        <v>109.39721620994472</v>
      </c>
      <c r="N205" s="117">
        <v>-28.194355000927295</v>
      </c>
      <c r="O205" s="119">
        <v>0.36599999999999999</v>
      </c>
      <c r="P205" s="120">
        <v>109.39721620994472</v>
      </c>
      <c r="Q205" s="121">
        <v>0.40615804561425994</v>
      </c>
      <c r="R205" s="122">
        <v>4.0158045614259952E-2</v>
      </c>
      <c r="S205" s="122">
        <v>26.809945162672594</v>
      </c>
      <c r="T205" s="122">
        <v>10.766350007584139</v>
      </c>
      <c r="U205" s="122">
        <v>401.58045614259953</v>
      </c>
      <c r="V205" s="119">
        <v>1.08</v>
      </c>
      <c r="W205" s="120">
        <v>-28.194355000927295</v>
      </c>
      <c r="X205" s="120">
        <v>1.0802217868971296</v>
      </c>
      <c r="Y205" s="122">
        <v>2.2178689712948341E-4</v>
      </c>
      <c r="Z205" s="122">
        <v>412.06148032574293</v>
      </c>
      <c r="AA205" s="122">
        <v>0.91389837148028197</v>
      </c>
      <c r="AB205" s="122">
        <v>2.2178689712948341</v>
      </c>
    </row>
    <row r="206" spans="1:28" x14ac:dyDescent="0.25">
      <c r="A206" s="113">
        <v>5</v>
      </c>
      <c r="B206" s="113" t="s">
        <v>25</v>
      </c>
      <c r="C206" s="113" t="s">
        <v>26</v>
      </c>
      <c r="D206" s="113" t="s">
        <v>428</v>
      </c>
      <c r="E206" s="113">
        <v>2</v>
      </c>
      <c r="F206" s="114" t="s">
        <v>118</v>
      </c>
      <c r="G206" s="113">
        <v>194</v>
      </c>
      <c r="H206" s="113">
        <v>4.3280000000000003</v>
      </c>
      <c r="I206" s="113"/>
      <c r="J206" s="116">
        <v>2.5514484237482824</v>
      </c>
      <c r="K206" s="116">
        <v>41.351312998414464</v>
      </c>
      <c r="L206" s="117">
        <v>16.206995451495771</v>
      </c>
      <c r="M206" s="117">
        <v>14.147300255459276</v>
      </c>
      <c r="N206" s="117">
        <v>-31.039514458369549</v>
      </c>
      <c r="O206" s="119">
        <v>0.36599999999999999</v>
      </c>
      <c r="P206" s="120">
        <v>14.147300255459276</v>
      </c>
      <c r="Q206" s="121">
        <v>0.37141590703868993</v>
      </c>
      <c r="R206" s="122">
        <v>5.4159070386899377E-3</v>
      </c>
      <c r="S206" s="122">
        <v>25.514484237482826</v>
      </c>
      <c r="T206" s="122">
        <v>1.381840747703267</v>
      </c>
      <c r="U206" s="122">
        <v>54.15907038689938</v>
      </c>
      <c r="V206" s="119">
        <v>1.08</v>
      </c>
      <c r="W206" s="120">
        <v>-31.039514458369549</v>
      </c>
      <c r="X206" s="120">
        <v>1.0770932808742919</v>
      </c>
      <c r="Y206" s="122">
        <v>-2.9067191257081681E-3</v>
      </c>
      <c r="Z206" s="122">
        <v>413.51312998414465</v>
      </c>
      <c r="AA206" s="122">
        <v>-12.019665236563611</v>
      </c>
      <c r="AB206" s="122">
        <v>-29.067191257081681</v>
      </c>
    </row>
    <row r="207" spans="1:28" x14ac:dyDescent="0.25">
      <c r="A207" s="113">
        <v>5</v>
      </c>
      <c r="B207" s="113" t="s">
        <v>25</v>
      </c>
      <c r="C207" s="113" t="s">
        <v>28</v>
      </c>
      <c r="D207" s="113" t="s">
        <v>427</v>
      </c>
      <c r="E207" s="113">
        <v>2</v>
      </c>
      <c r="F207" s="114" t="s">
        <v>119</v>
      </c>
      <c r="G207" s="113">
        <v>195</v>
      </c>
      <c r="H207" s="113">
        <v>4.3170000000000002</v>
      </c>
      <c r="I207" s="113"/>
      <c r="J207" s="116">
        <v>1.5323727070504278</v>
      </c>
      <c r="K207" s="116">
        <v>36.433456662207604</v>
      </c>
      <c r="L207" s="117">
        <v>23.775845454945603</v>
      </c>
      <c r="M207" s="117">
        <v>-3.0814063727418048</v>
      </c>
      <c r="N207" s="117">
        <v>-29.040412693417203</v>
      </c>
      <c r="O207" s="119">
        <v>0.36599999999999999</v>
      </c>
      <c r="P207" s="120">
        <v>-3.0814063727418048</v>
      </c>
      <c r="Q207" s="121">
        <v>0.36512919600249683</v>
      </c>
      <c r="R207" s="122">
        <v>-8.7080399750316673E-4</v>
      </c>
      <c r="S207" s="122">
        <v>15.323727070504278</v>
      </c>
      <c r="T207" s="122">
        <v>-0.13343962789642616</v>
      </c>
      <c r="U207" s="122">
        <v>-8.7080399750316673</v>
      </c>
      <c r="V207" s="119">
        <v>1.08</v>
      </c>
      <c r="W207" s="120">
        <v>-29.040412693417203</v>
      </c>
      <c r="X207" s="120">
        <v>1.0792914918439631</v>
      </c>
      <c r="Y207" s="122">
        <v>-7.0850815603695771E-4</v>
      </c>
      <c r="Z207" s="122">
        <v>364.33456662207601</v>
      </c>
      <c r="AA207" s="122">
        <v>-2.5813401197793122</v>
      </c>
      <c r="AB207" s="122">
        <v>-7.0850815603695771</v>
      </c>
    </row>
    <row r="208" spans="1:28" x14ac:dyDescent="0.25">
      <c r="A208" s="113"/>
      <c r="B208" s="113"/>
      <c r="C208" s="113"/>
      <c r="D208" s="113"/>
      <c r="E208" s="113"/>
      <c r="F208" s="113"/>
      <c r="G208" s="113"/>
      <c r="H208" s="113"/>
      <c r="I208" s="124" t="s">
        <v>469</v>
      </c>
      <c r="J208" s="116">
        <v>2.9824572880903513</v>
      </c>
      <c r="K208" s="116">
        <v>47.316788584052709</v>
      </c>
      <c r="L208" s="117">
        <v>15.865034772836381</v>
      </c>
      <c r="M208" s="117">
        <v>-3.8867531595092877</v>
      </c>
      <c r="N208" s="117">
        <v>-27.011297284396704</v>
      </c>
      <c r="O208" s="119">
        <v>0.36599999999999999</v>
      </c>
      <c r="P208" s="120">
        <v>-3.8867531595092877</v>
      </c>
      <c r="Q208" s="121">
        <v>0.36483530760690935</v>
      </c>
      <c r="R208" s="122">
        <v>-1.1646923930906383E-3</v>
      </c>
      <c r="S208" s="122">
        <v>29.824572880903517</v>
      </c>
      <c r="T208" s="122">
        <v>-0.34736453161565672</v>
      </c>
      <c r="U208" s="122">
        <v>-11.646923930906382</v>
      </c>
      <c r="V208" s="119">
        <v>1.08</v>
      </c>
      <c r="W208" s="120">
        <v>-27.011297284396704</v>
      </c>
      <c r="X208" s="120">
        <v>1.0815226058928931</v>
      </c>
      <c r="Y208" s="122">
        <v>1.522605892892992E-3</v>
      </c>
      <c r="Z208" s="122">
        <v>473.16788584052711</v>
      </c>
      <c r="AA208" s="122">
        <v>7.2044821130850512</v>
      </c>
      <c r="AB208" s="122">
        <v>15.226058928929922</v>
      </c>
    </row>
    <row r="209" spans="1:28" x14ac:dyDescent="0.25">
      <c r="A209" s="113"/>
      <c r="B209" s="113"/>
      <c r="C209" s="113"/>
      <c r="D209" s="113"/>
      <c r="E209" s="113"/>
      <c r="F209" s="113"/>
      <c r="G209" s="113"/>
      <c r="H209" s="113"/>
      <c r="I209" s="124" t="s">
        <v>469</v>
      </c>
      <c r="J209" s="116">
        <v>2.7604493850243439</v>
      </c>
      <c r="K209" s="116">
        <v>45.837032108278436</v>
      </c>
      <c r="L209" s="117">
        <v>16.604916705572638</v>
      </c>
      <c r="M209" s="117">
        <v>4.5122648519114517</v>
      </c>
      <c r="N209" s="117">
        <v>-26.499906576589304</v>
      </c>
      <c r="O209" s="119">
        <v>0.36599999999999999</v>
      </c>
      <c r="P209" s="120">
        <v>4.5122648519114517</v>
      </c>
      <c r="Q209" s="121">
        <v>0.36790020501374088</v>
      </c>
      <c r="R209" s="122">
        <v>1.9002050137408855E-3</v>
      </c>
      <c r="S209" s="122">
        <v>27.60449385024344</v>
      </c>
      <c r="T209" s="122">
        <v>0.52454197616012022</v>
      </c>
      <c r="U209" s="122">
        <v>19.002050137408855</v>
      </c>
      <c r="V209" s="119">
        <v>1.08</v>
      </c>
      <c r="W209" s="120">
        <v>-26.499906576589304</v>
      </c>
      <c r="X209" s="120">
        <v>1.0820848897176605</v>
      </c>
      <c r="Y209" s="122">
        <v>2.0848897176604098E-3</v>
      </c>
      <c r="Z209" s="122">
        <v>458.37032108278436</v>
      </c>
      <c r="AA209" s="122">
        <v>9.556515693061975</v>
      </c>
      <c r="AB209" s="122">
        <v>20.848897176604098</v>
      </c>
    </row>
    <row r="210" spans="1:28" x14ac:dyDescent="0.25">
      <c r="A210" s="113">
        <v>5</v>
      </c>
      <c r="B210" s="113" t="s">
        <v>25</v>
      </c>
      <c r="C210" s="113" t="s">
        <v>30</v>
      </c>
      <c r="D210" s="113" t="s">
        <v>427</v>
      </c>
      <c r="E210" s="113">
        <v>3</v>
      </c>
      <c r="F210" s="114" t="s">
        <v>27</v>
      </c>
      <c r="G210" s="113">
        <v>197</v>
      </c>
      <c r="H210" s="113">
        <v>4.22</v>
      </c>
      <c r="I210" s="113" t="s">
        <v>443</v>
      </c>
      <c r="J210" s="116">
        <v>2.1003338941990553</v>
      </c>
      <c r="K210" s="116">
        <v>48.389437133784618</v>
      </c>
      <c r="L210" s="117">
        <v>23.038925985735958</v>
      </c>
      <c r="M210" s="117">
        <v>35.167177515032229</v>
      </c>
      <c r="N210" s="117">
        <v>-28.024434922646595</v>
      </c>
      <c r="O210" s="119">
        <v>0.36599999999999999</v>
      </c>
      <c r="P210" s="120">
        <v>35.167177515032229</v>
      </c>
      <c r="Q210" s="121">
        <v>0.37908493221175976</v>
      </c>
      <c r="R210" s="122">
        <v>1.308493221175977E-2</v>
      </c>
      <c r="S210" s="122">
        <v>21.003338941990553</v>
      </c>
      <c r="T210" s="122">
        <v>2.7482726627656056</v>
      </c>
      <c r="U210" s="122">
        <v>130.84932211759769</v>
      </c>
      <c r="V210" s="119">
        <v>1.08</v>
      </c>
      <c r="W210" s="120">
        <v>-28.024434922646595</v>
      </c>
      <c r="X210" s="120">
        <v>1.080408622882997</v>
      </c>
      <c r="Y210" s="122">
        <v>4.0862288299692295E-4</v>
      </c>
      <c r="Z210" s="122">
        <v>483.89437133784617</v>
      </c>
      <c r="AA210" s="122">
        <v>1.9773031308205429</v>
      </c>
      <c r="AB210" s="122">
        <v>4.0862288299692295</v>
      </c>
    </row>
    <row r="211" spans="1:28" x14ac:dyDescent="0.25">
      <c r="A211" s="113">
        <v>5</v>
      </c>
      <c r="B211" s="113" t="s">
        <v>32</v>
      </c>
      <c r="C211" s="113" t="s">
        <v>26</v>
      </c>
      <c r="D211" s="113" t="s">
        <v>428</v>
      </c>
      <c r="E211" s="113">
        <v>3</v>
      </c>
      <c r="F211" s="114" t="s">
        <v>29</v>
      </c>
      <c r="G211" s="113">
        <v>200</v>
      </c>
      <c r="H211" s="113">
        <v>4.335</v>
      </c>
      <c r="I211" s="113"/>
      <c r="J211" s="116">
        <v>1.8719484974006142</v>
      </c>
      <c r="K211" s="116">
        <v>45.882467293268938</v>
      </c>
      <c r="L211" s="117">
        <v>24.510539342819147</v>
      </c>
      <c r="M211" s="117">
        <v>12.485277812019245</v>
      </c>
      <c r="N211" s="117">
        <v>-27.251626590982283</v>
      </c>
      <c r="O211" s="119">
        <v>0.36599999999999999</v>
      </c>
      <c r="P211" s="120">
        <v>12.485277812019245</v>
      </c>
      <c r="Q211" s="121">
        <v>0.37080947387017715</v>
      </c>
      <c r="R211" s="122">
        <v>4.8094738701771611E-3</v>
      </c>
      <c r="S211" s="122">
        <v>18.719484974006143</v>
      </c>
      <c r="T211" s="122">
        <v>0.90030873845656534</v>
      </c>
      <c r="U211" s="122">
        <v>48.094738701771611</v>
      </c>
      <c r="V211" s="119">
        <v>1.08</v>
      </c>
      <c r="W211" s="120">
        <v>-27.251626590982283</v>
      </c>
      <c r="X211" s="120">
        <v>1.081258357034268</v>
      </c>
      <c r="Y211" s="122">
        <v>1.2583570342679096E-3</v>
      </c>
      <c r="Z211" s="122">
        <v>458.82467293268934</v>
      </c>
      <c r="AA211" s="122">
        <v>5.7736525468052262</v>
      </c>
      <c r="AB211" s="122">
        <v>12.583570342679096</v>
      </c>
    </row>
    <row r="212" spans="1:28" x14ac:dyDescent="0.25">
      <c r="A212" s="113">
        <v>5</v>
      </c>
      <c r="B212" s="113" t="s">
        <v>32</v>
      </c>
      <c r="C212" s="113" t="s">
        <v>28</v>
      </c>
      <c r="D212" s="113" t="s">
        <v>427</v>
      </c>
      <c r="E212" s="113">
        <v>3</v>
      </c>
      <c r="F212" s="114" t="s">
        <v>31</v>
      </c>
      <c r="G212" s="113">
        <v>201</v>
      </c>
      <c r="H212" s="113">
        <v>4.2569999999999997</v>
      </c>
      <c r="I212" s="113"/>
      <c r="J212" s="116">
        <v>1.4385917331315179</v>
      </c>
      <c r="K212" s="116">
        <v>46.641350535834121</v>
      </c>
      <c r="L212" s="117">
        <v>32.421533824822909</v>
      </c>
      <c r="M212" s="117">
        <v>154.08652529231065</v>
      </c>
      <c r="N212" s="117">
        <v>-26.974448034984299</v>
      </c>
      <c r="O212" s="119">
        <v>0.36599999999999999</v>
      </c>
      <c r="P212" s="120">
        <v>154.08652529231065</v>
      </c>
      <c r="Q212" s="121">
        <v>0.42244999551429024</v>
      </c>
      <c r="R212" s="122">
        <v>5.6449995514290252E-2</v>
      </c>
      <c r="S212" s="122">
        <v>14.385917331315179</v>
      </c>
      <c r="T212" s="122">
        <v>8.1208496882169214</v>
      </c>
      <c r="U212" s="122">
        <v>564.49995514290254</v>
      </c>
      <c r="V212" s="119">
        <v>1.08</v>
      </c>
      <c r="W212" s="120">
        <v>-26.974448034984299</v>
      </c>
      <c r="X212" s="120">
        <v>1.0815631225582814</v>
      </c>
      <c r="Y212" s="122">
        <v>1.5631225582812824E-3</v>
      </c>
      <c r="Z212" s="122">
        <v>466.41350535834118</v>
      </c>
      <c r="AA212" s="122">
        <v>7.2906147171267097</v>
      </c>
      <c r="AB212" s="122">
        <v>15.631225582812824</v>
      </c>
    </row>
    <row r="213" spans="1:28" x14ac:dyDescent="0.25">
      <c r="A213" s="113">
        <v>5</v>
      </c>
      <c r="B213" s="113" t="s">
        <v>32</v>
      </c>
      <c r="C213" s="113" t="s">
        <v>28</v>
      </c>
      <c r="D213" s="113" t="s">
        <v>428</v>
      </c>
      <c r="E213" s="113">
        <v>3</v>
      </c>
      <c r="F213" s="114" t="s">
        <v>33</v>
      </c>
      <c r="G213" s="113">
        <v>202</v>
      </c>
      <c r="H213" s="113">
        <v>4.2279999999999998</v>
      </c>
      <c r="I213" s="113"/>
      <c r="J213" s="116">
        <v>1.0502274446305884</v>
      </c>
      <c r="K213" s="116">
        <v>45.061113329828885</v>
      </c>
      <c r="L213" s="117">
        <v>42.906051979701289</v>
      </c>
      <c r="M213" s="117">
        <v>-1.2022154475455888</v>
      </c>
      <c r="N213" s="117">
        <v>-27.388697027626158</v>
      </c>
      <c r="O213" s="119">
        <v>0.36599999999999999</v>
      </c>
      <c r="P213" s="120">
        <v>-1.2022154475455888</v>
      </c>
      <c r="Q213" s="121">
        <v>0.36581494652015772</v>
      </c>
      <c r="R213" s="122">
        <v>-1.8505347984226761E-4</v>
      </c>
      <c r="S213" s="122">
        <v>10.502274446305883</v>
      </c>
      <c r="T213" s="122">
        <v>-1.9434824325474279E-2</v>
      </c>
      <c r="U213" s="122">
        <v>-1.8505347984226763</v>
      </c>
      <c r="V213" s="119">
        <v>1.08</v>
      </c>
      <c r="W213" s="120">
        <v>-27.388697027626158</v>
      </c>
      <c r="X213" s="120">
        <v>1.0811076435865632</v>
      </c>
      <c r="Y213" s="122">
        <v>1.1076435865631229E-3</v>
      </c>
      <c r="Z213" s="122">
        <v>450.61113329828885</v>
      </c>
      <c r="AA213" s="122">
        <v>4.9911653183179014</v>
      </c>
      <c r="AB213" s="122">
        <v>11.076435865631229</v>
      </c>
    </row>
    <row r="214" spans="1:28" x14ac:dyDescent="0.25">
      <c r="A214" s="113">
        <v>5</v>
      </c>
      <c r="B214" s="113" t="s">
        <v>32</v>
      </c>
      <c r="C214" s="113" t="s">
        <v>30</v>
      </c>
      <c r="D214" s="113" t="s">
        <v>427</v>
      </c>
      <c r="E214" s="113">
        <v>3</v>
      </c>
      <c r="F214" s="114" t="s">
        <v>34</v>
      </c>
      <c r="G214" s="113">
        <v>203</v>
      </c>
      <c r="H214" s="113">
        <v>4.5129999999999999</v>
      </c>
      <c r="I214" s="113"/>
      <c r="J214" s="116">
        <v>1.4795260911463264</v>
      </c>
      <c r="K214" s="116">
        <v>42.600835927457922</v>
      </c>
      <c r="L214" s="117">
        <v>28.793568550353235</v>
      </c>
      <c r="M214" s="117">
        <v>-3.3580860678819393</v>
      </c>
      <c r="N214" s="117">
        <v>-27.319199753117658</v>
      </c>
      <c r="O214" s="119">
        <v>0.36599999999999999</v>
      </c>
      <c r="P214" s="120">
        <v>-3.3580860678819393</v>
      </c>
      <c r="Q214" s="121">
        <v>0.36502822981552346</v>
      </c>
      <c r="R214" s="122">
        <v>-9.7177018447652808E-4</v>
      </c>
      <c r="S214" s="122">
        <v>14.795260911463261</v>
      </c>
      <c r="T214" s="122">
        <v>-0.14377593425311019</v>
      </c>
      <c r="U214" s="122">
        <v>-9.7177018447652799</v>
      </c>
      <c r="V214" s="119">
        <v>1.08</v>
      </c>
      <c r="W214" s="120">
        <v>-27.319199753117658</v>
      </c>
      <c r="X214" s="120">
        <v>1.081184058180191</v>
      </c>
      <c r="Y214" s="122">
        <v>1.1840581801909611E-3</v>
      </c>
      <c r="Z214" s="122">
        <v>426.00835927457922</v>
      </c>
      <c r="AA214" s="122">
        <v>5.0441868262879535</v>
      </c>
      <c r="AB214" s="122">
        <v>11.840581801909611</v>
      </c>
    </row>
    <row r="215" spans="1:28" x14ac:dyDescent="0.25">
      <c r="A215" s="113">
        <v>5</v>
      </c>
      <c r="B215" s="113" t="s">
        <v>32</v>
      </c>
      <c r="C215" s="113" t="s">
        <v>30</v>
      </c>
      <c r="D215" s="113" t="s">
        <v>428</v>
      </c>
      <c r="E215" s="113">
        <v>3</v>
      </c>
      <c r="F215" s="114" t="s">
        <v>35</v>
      </c>
      <c r="G215" s="113">
        <v>204</v>
      </c>
      <c r="H215" s="113">
        <v>4.33</v>
      </c>
      <c r="I215" s="113"/>
      <c r="J215" s="116">
        <v>1.0830141920218279</v>
      </c>
      <c r="K215" s="116">
        <v>43.380472180533694</v>
      </c>
      <c r="L215" s="117">
        <v>40.055312755919431</v>
      </c>
      <c r="M215" s="117">
        <v>-2.7563830937630938</v>
      </c>
      <c r="N215" s="117">
        <v>-26.950449156645689</v>
      </c>
      <c r="O215" s="119">
        <v>0.36599999999999999</v>
      </c>
      <c r="P215" s="120">
        <v>-2.7563830937630938</v>
      </c>
      <c r="Q215" s="121">
        <v>0.36524780350934472</v>
      </c>
      <c r="R215" s="122">
        <v>-7.5219649065527694E-4</v>
      </c>
      <c r="S215" s="122">
        <v>10.83014192021828</v>
      </c>
      <c r="T215" s="122">
        <v>-8.1463947456867913E-2</v>
      </c>
      <c r="U215" s="122">
        <v>-7.5219649065527694</v>
      </c>
      <c r="V215" s="119">
        <v>1.08</v>
      </c>
      <c r="W215" s="120">
        <v>-26.950449156645689</v>
      </c>
      <c r="X215" s="120">
        <v>1.0815895099035102</v>
      </c>
      <c r="Y215" s="122">
        <v>1.5895099035101445E-3</v>
      </c>
      <c r="Z215" s="122">
        <v>433.8047218053369</v>
      </c>
      <c r="AA215" s="122">
        <v>6.895369014990461</v>
      </c>
      <c r="AB215" s="122">
        <v>15.895099035101445</v>
      </c>
    </row>
    <row r="216" spans="1:28" x14ac:dyDescent="0.25">
      <c r="A216" s="113">
        <v>5</v>
      </c>
      <c r="B216" s="113" t="s">
        <v>36</v>
      </c>
      <c r="C216" s="113" t="s">
        <v>26</v>
      </c>
      <c r="D216" s="113" t="s">
        <v>427</v>
      </c>
      <c r="E216" s="113">
        <v>3</v>
      </c>
      <c r="F216" s="114" t="s">
        <v>37</v>
      </c>
      <c r="G216" s="113">
        <v>205</v>
      </c>
      <c r="H216" s="113">
        <v>4.2930000000000001</v>
      </c>
      <c r="I216" s="113"/>
      <c r="J216" s="116">
        <v>1.5289193972387489</v>
      </c>
      <c r="K216" s="116">
        <v>43.898331895671411</v>
      </c>
      <c r="L216" s="117">
        <v>28.711998797943465</v>
      </c>
      <c r="M216" s="117">
        <v>300.22196128151876</v>
      </c>
      <c r="N216" s="117">
        <v>-24.514630426235772</v>
      </c>
      <c r="O216" s="119">
        <v>0.36599999999999999</v>
      </c>
      <c r="P216" s="120">
        <v>300.22196128151876</v>
      </c>
      <c r="Q216" s="121">
        <v>0.47568798708645471</v>
      </c>
      <c r="R216" s="122">
        <v>0.10968798708645472</v>
      </c>
      <c r="S216" s="122">
        <v>15.289193972387489</v>
      </c>
      <c r="T216" s="122">
        <v>16.770409110055404</v>
      </c>
      <c r="U216" s="122">
        <v>1096.879870864547</v>
      </c>
      <c r="V216" s="119">
        <v>1.08</v>
      </c>
      <c r="W216" s="120">
        <v>-24.514630426235772</v>
      </c>
      <c r="X216" s="120">
        <v>1.0842676780867777</v>
      </c>
      <c r="Y216" s="122">
        <v>4.2676780867776376E-3</v>
      </c>
      <c r="Z216" s="122">
        <v>438.98331895671413</v>
      </c>
      <c r="AA216" s="122">
        <v>18.734394907724873</v>
      </c>
      <c r="AB216" s="122">
        <v>42.676780867776372</v>
      </c>
    </row>
    <row r="217" spans="1:28" x14ac:dyDescent="0.25">
      <c r="A217" s="113">
        <v>5</v>
      </c>
      <c r="B217" s="113" t="s">
        <v>36</v>
      </c>
      <c r="C217" s="113" t="s">
        <v>26</v>
      </c>
      <c r="D217" s="113" t="s">
        <v>428</v>
      </c>
      <c r="E217" s="113">
        <v>3</v>
      </c>
      <c r="F217" s="114" t="s">
        <v>38</v>
      </c>
      <c r="G217" s="113">
        <v>206</v>
      </c>
      <c r="H217" s="113">
        <v>4.92</v>
      </c>
      <c r="I217" s="113"/>
      <c r="J217" s="116">
        <v>1.1486629929364838</v>
      </c>
      <c r="K217" s="116">
        <v>43.364815202010831</v>
      </c>
      <c r="L217" s="117">
        <v>37.752426489471425</v>
      </c>
      <c r="M217" s="117">
        <v>1573.3275953387608</v>
      </c>
      <c r="N217" s="117">
        <v>-6.1979892456804428</v>
      </c>
      <c r="O217" s="119">
        <v>0.36599999999999999</v>
      </c>
      <c r="P217" s="120">
        <v>1573.3275953387608</v>
      </c>
      <c r="Q217" s="121">
        <v>0.93709076500094446</v>
      </c>
      <c r="R217" s="122">
        <v>0.57109076500094447</v>
      </c>
      <c r="S217" s="122">
        <v>11.486629929364838</v>
      </c>
      <c r="T217" s="122">
        <v>65.599082736437111</v>
      </c>
      <c r="U217" s="122">
        <v>5710.9076500094452</v>
      </c>
      <c r="V217" s="119">
        <v>1.08</v>
      </c>
      <c r="W217" s="120">
        <v>-6.1979892456804428</v>
      </c>
      <c r="X217" s="120">
        <v>1.1044020714832556</v>
      </c>
      <c r="Y217" s="122">
        <v>2.4402071483255572E-2</v>
      </c>
      <c r="Z217" s="122">
        <v>433.64815202010828</v>
      </c>
      <c r="AA217" s="122">
        <v>105.81913204176362</v>
      </c>
      <c r="AB217" s="122">
        <v>244.02071483255574</v>
      </c>
    </row>
    <row r="218" spans="1:28" x14ac:dyDescent="0.25">
      <c r="A218" s="113">
        <v>5</v>
      </c>
      <c r="B218" s="113" t="s">
        <v>36</v>
      </c>
      <c r="C218" s="113" t="s">
        <v>28</v>
      </c>
      <c r="D218" s="113" t="s">
        <v>427</v>
      </c>
      <c r="E218" s="113">
        <v>3</v>
      </c>
      <c r="F218" s="114" t="s">
        <v>39</v>
      </c>
      <c r="G218" s="113">
        <v>207</v>
      </c>
      <c r="H218" s="113">
        <v>4.3029999999999999</v>
      </c>
      <c r="I218" s="113"/>
      <c r="J218" s="116">
        <v>1.1763796039795813</v>
      </c>
      <c r="K218" s="116">
        <v>41.587756569410914</v>
      </c>
      <c r="L218" s="117">
        <v>35.352327113393883</v>
      </c>
      <c r="M218" s="117">
        <v>728.63412088009159</v>
      </c>
      <c r="N218" s="117">
        <v>-19.136085208245923</v>
      </c>
      <c r="O218" s="119">
        <v>0.36599999999999999</v>
      </c>
      <c r="P218" s="120">
        <v>728.63412088009159</v>
      </c>
      <c r="Q218" s="121">
        <v>0.6314334846283195</v>
      </c>
      <c r="R218" s="122">
        <v>0.2654334846283195</v>
      </c>
      <c r="S218" s="122">
        <v>11.763796039795812</v>
      </c>
      <c r="T218" s="122">
        <v>31.225053752998274</v>
      </c>
      <c r="U218" s="122">
        <v>2654.334846283195</v>
      </c>
      <c r="V218" s="119">
        <v>1.08</v>
      </c>
      <c r="W218" s="120">
        <v>-19.136085208245923</v>
      </c>
      <c r="X218" s="120">
        <v>1.090180842893482</v>
      </c>
      <c r="Y218" s="122">
        <v>1.0180842893481978E-2</v>
      </c>
      <c r="Z218" s="122">
        <v>415.87756569410914</v>
      </c>
      <c r="AA218" s="122">
        <v>42.339841592554556</v>
      </c>
      <c r="AB218" s="122">
        <v>101.80842893481979</v>
      </c>
    </row>
    <row r="219" spans="1:28" x14ac:dyDescent="0.25">
      <c r="A219" s="113">
        <v>5</v>
      </c>
      <c r="B219" s="113" t="s">
        <v>36</v>
      </c>
      <c r="C219" s="113" t="s">
        <v>28</v>
      </c>
      <c r="D219" s="113" t="s">
        <v>428</v>
      </c>
      <c r="E219" s="113">
        <v>3</v>
      </c>
      <c r="F219" s="114" t="s">
        <v>41</v>
      </c>
      <c r="G219" s="113">
        <v>208</v>
      </c>
      <c r="H219" s="113">
        <v>4.444</v>
      </c>
      <c r="I219" s="113"/>
      <c r="J219" s="116">
        <v>1.1918605026964857</v>
      </c>
      <c r="K219" s="116">
        <v>42.074799298752339</v>
      </c>
      <c r="L219" s="117">
        <v>35.301781713180013</v>
      </c>
      <c r="M219" s="117">
        <v>345.74208512370603</v>
      </c>
      <c r="N219" s="117">
        <v>-22.688873597525912</v>
      </c>
      <c r="O219" s="119">
        <v>0.36599999999999999</v>
      </c>
      <c r="P219" s="120">
        <v>345.74208512370603</v>
      </c>
      <c r="Q219" s="121">
        <v>0.49225960785571837</v>
      </c>
      <c r="R219" s="122">
        <v>0.12625960785571838</v>
      </c>
      <c r="S219" s="122">
        <v>11.918605026964856</v>
      </c>
      <c r="T219" s="122">
        <v>15.048383968917763</v>
      </c>
      <c r="U219" s="122">
        <v>1262.5960785571838</v>
      </c>
      <c r="V219" s="119">
        <v>1.08</v>
      </c>
      <c r="W219" s="120">
        <v>-22.688873597525912</v>
      </c>
      <c r="X219" s="120">
        <v>1.0862749917582222</v>
      </c>
      <c r="Y219" s="122">
        <v>6.2749917582221038E-3</v>
      </c>
      <c r="Z219" s="122">
        <v>420.74799298752339</v>
      </c>
      <c r="AA219" s="122">
        <v>26.401901882852009</v>
      </c>
      <c r="AB219" s="122">
        <v>62.749917582221038</v>
      </c>
    </row>
    <row r="220" spans="1:28" x14ac:dyDescent="0.25">
      <c r="A220" s="113">
        <v>5</v>
      </c>
      <c r="B220" s="113" t="s">
        <v>36</v>
      </c>
      <c r="C220" s="113" t="s">
        <v>30</v>
      </c>
      <c r="D220" s="113" t="s">
        <v>427</v>
      </c>
      <c r="E220" s="113">
        <v>3</v>
      </c>
      <c r="F220" s="114" t="s">
        <v>42</v>
      </c>
      <c r="G220" s="113">
        <v>209</v>
      </c>
      <c r="H220" s="113">
        <v>4.0579999999999998</v>
      </c>
      <c r="I220" s="113"/>
      <c r="J220" s="116">
        <v>0.99155638463450602</v>
      </c>
      <c r="K220" s="116">
        <v>40.607072692333269</v>
      </c>
      <c r="L220" s="117">
        <v>40.952862914902504</v>
      </c>
      <c r="M220" s="117">
        <v>-2.7384769251292278</v>
      </c>
      <c r="N220" s="117">
        <v>-27.747681430889532</v>
      </c>
      <c r="O220" s="119">
        <v>0.36599999999999999</v>
      </c>
      <c r="P220" s="120">
        <v>-2.7384769251292278</v>
      </c>
      <c r="Q220" s="121">
        <v>0.36525433782085021</v>
      </c>
      <c r="R220" s="122">
        <v>-7.4566217914978639E-4</v>
      </c>
      <c r="S220" s="122">
        <v>9.9155638463450604</v>
      </c>
      <c r="T220" s="122">
        <v>-7.3936609451644958E-2</v>
      </c>
      <c r="U220" s="122">
        <v>-7.4566217914978647</v>
      </c>
      <c r="V220" s="119">
        <v>1.08</v>
      </c>
      <c r="W220" s="120">
        <v>-27.747681430889532</v>
      </c>
      <c r="X220" s="120">
        <v>1.0807129262664972</v>
      </c>
      <c r="Y220" s="122">
        <v>7.1292626649710478E-4</v>
      </c>
      <c r="Z220" s="122">
        <v>406.0707269233327</v>
      </c>
      <c r="AA220" s="122">
        <v>2.8949848727921697</v>
      </c>
      <c r="AB220" s="122">
        <v>7.1292626649710478</v>
      </c>
    </row>
    <row r="221" spans="1:28" x14ac:dyDescent="0.25">
      <c r="A221" s="113">
        <v>5</v>
      </c>
      <c r="B221" s="113" t="s">
        <v>40</v>
      </c>
      <c r="C221" s="113" t="s">
        <v>26</v>
      </c>
      <c r="D221" s="113" t="s">
        <v>427</v>
      </c>
      <c r="E221" s="113">
        <v>3</v>
      </c>
      <c r="F221" s="114" t="s">
        <v>43</v>
      </c>
      <c r="G221" s="113">
        <v>211</v>
      </c>
      <c r="H221" s="113">
        <v>4.3849999999999998</v>
      </c>
      <c r="I221" s="113"/>
      <c r="J221" s="116">
        <v>1.3455114345742254</v>
      </c>
      <c r="K221" s="116">
        <v>42.974536017294113</v>
      </c>
      <c r="L221" s="117">
        <v>31.93918305933461</v>
      </c>
      <c r="M221" s="117">
        <v>547.35622956880684</v>
      </c>
      <c r="N221" s="117">
        <v>-21.841259105726863</v>
      </c>
      <c r="O221" s="119">
        <v>0.36599999999999999</v>
      </c>
      <c r="P221" s="120">
        <v>547.35622956880684</v>
      </c>
      <c r="Q221" s="121">
        <v>0.56559102215983925</v>
      </c>
      <c r="R221" s="122">
        <v>0.19959102215983926</v>
      </c>
      <c r="S221" s="122">
        <v>13.455114345742253</v>
      </c>
      <c r="T221" s="122">
        <v>26.855200255442128</v>
      </c>
      <c r="U221" s="122">
        <v>1995.9102215983924</v>
      </c>
      <c r="V221" s="119">
        <v>1.08</v>
      </c>
      <c r="W221" s="120">
        <v>-21.841259105726863</v>
      </c>
      <c r="X221" s="120">
        <v>1.0872068670081976</v>
      </c>
      <c r="Y221" s="122">
        <v>7.2068670081975039E-3</v>
      </c>
      <c r="Z221" s="122">
        <v>429.7453601729411</v>
      </c>
      <c r="AA221" s="122">
        <v>30.971176581563231</v>
      </c>
      <c r="AB221" s="122">
        <v>72.068670081975043</v>
      </c>
    </row>
    <row r="222" spans="1:28" x14ac:dyDescent="0.25">
      <c r="A222" s="113"/>
      <c r="B222" s="113"/>
      <c r="C222" s="113"/>
      <c r="D222" s="113"/>
      <c r="E222" s="113"/>
      <c r="F222" s="113"/>
      <c r="G222" s="113"/>
      <c r="H222" s="113"/>
      <c r="I222" s="124" t="s">
        <v>469</v>
      </c>
      <c r="J222" s="116">
        <v>2.9362593767203546</v>
      </c>
      <c r="K222" s="116">
        <v>46.842033706907486</v>
      </c>
      <c r="L222" s="117">
        <v>15.952961811986631</v>
      </c>
      <c r="M222" s="117">
        <v>1.4072730120161374</v>
      </c>
      <c r="N222" s="117">
        <v>-25.771601508130171</v>
      </c>
      <c r="O222" s="119">
        <v>0.36599999999999999</v>
      </c>
      <c r="P222" s="120">
        <v>1.4072730120161374</v>
      </c>
      <c r="Q222" s="121">
        <v>0.36676718006893044</v>
      </c>
      <c r="R222" s="122">
        <v>7.6718006893045088E-4</v>
      </c>
      <c r="S222" s="122">
        <v>29.362593767203546</v>
      </c>
      <c r="T222" s="122">
        <v>0.22526396710300045</v>
      </c>
      <c r="U222" s="122">
        <v>7.6718006893045096</v>
      </c>
      <c r="V222" s="119">
        <v>1.08</v>
      </c>
      <c r="W222" s="120">
        <v>-25.771601508130171</v>
      </c>
      <c r="X222" s="120">
        <v>1.0828856639794786</v>
      </c>
      <c r="Y222" s="122">
        <v>2.8856639794785366E-3</v>
      </c>
      <c r="Z222" s="122">
        <v>468.42033706907489</v>
      </c>
      <c r="AA222" s="122">
        <v>13.517036939354242</v>
      </c>
      <c r="AB222" s="122">
        <v>28.856639794785362</v>
      </c>
    </row>
    <row r="223" spans="1:28" x14ac:dyDescent="0.25">
      <c r="A223" s="113">
        <v>5</v>
      </c>
      <c r="B223" s="113" t="s">
        <v>40</v>
      </c>
      <c r="C223" s="113" t="s">
        <v>26</v>
      </c>
      <c r="D223" s="113" t="s">
        <v>428</v>
      </c>
      <c r="E223" s="113">
        <v>3</v>
      </c>
      <c r="F223" s="114" t="s">
        <v>45</v>
      </c>
      <c r="G223" s="113">
        <v>212</v>
      </c>
      <c r="H223" s="113">
        <v>4.2350000000000003</v>
      </c>
      <c r="I223" s="113"/>
      <c r="J223" s="116">
        <v>1.3869909502851216</v>
      </c>
      <c r="K223" s="116">
        <v>43.227086697727344</v>
      </c>
      <c r="L223" s="117">
        <v>31.166091378491849</v>
      </c>
      <c r="M223" s="117">
        <v>605.23243055083526</v>
      </c>
      <c r="N223" s="117">
        <v>-19.017104465632407</v>
      </c>
      <c r="O223" s="119">
        <v>0.36599999999999999</v>
      </c>
      <c r="P223" s="120">
        <v>605.23243055083526</v>
      </c>
      <c r="Q223" s="121">
        <v>0.5866218828755958</v>
      </c>
      <c r="R223" s="122">
        <v>0.22062188287559581</v>
      </c>
      <c r="S223" s="122">
        <v>13.869909502851216</v>
      </c>
      <c r="T223" s="122">
        <v>30.600055498331542</v>
      </c>
      <c r="U223" s="122">
        <v>2206.2188287559588</v>
      </c>
      <c r="V223" s="119">
        <v>1.08</v>
      </c>
      <c r="W223" s="120">
        <v>-19.017104465632407</v>
      </c>
      <c r="X223" s="120">
        <v>1.0903116421566283</v>
      </c>
      <c r="Y223" s="122">
        <v>1.0311642156628276E-2</v>
      </c>
      <c r="Z223" s="122">
        <v>432.27086697727344</v>
      </c>
      <c r="AA223" s="122">
        <v>44.574224950051061</v>
      </c>
      <c r="AB223" s="122">
        <v>103.11642156628275</v>
      </c>
    </row>
    <row r="224" spans="1:28" x14ac:dyDescent="0.25">
      <c r="A224" s="113">
        <v>5</v>
      </c>
      <c r="B224" s="113" t="s">
        <v>40</v>
      </c>
      <c r="C224" s="113" t="s">
        <v>28</v>
      </c>
      <c r="D224" s="113" t="s">
        <v>427</v>
      </c>
      <c r="E224" s="113">
        <v>3</v>
      </c>
      <c r="F224" s="114" t="s">
        <v>46</v>
      </c>
      <c r="G224" s="113">
        <v>213</v>
      </c>
      <c r="H224" s="113">
        <v>4.3719999999999999</v>
      </c>
      <c r="I224" s="113"/>
      <c r="J224" s="116">
        <v>1.2415375939783522</v>
      </c>
      <c r="K224" s="116">
        <v>38.450564753692731</v>
      </c>
      <c r="L224" s="117">
        <v>30.970117167763483</v>
      </c>
      <c r="M224" s="117">
        <v>680.39464455355846</v>
      </c>
      <c r="N224" s="117">
        <v>-20.033619998976729</v>
      </c>
      <c r="O224" s="119">
        <v>0.36599999999999999</v>
      </c>
      <c r="P224" s="120">
        <v>680.39464455355846</v>
      </c>
      <c r="Q224" s="121">
        <v>0.61392080229445278</v>
      </c>
      <c r="R224" s="122">
        <v>0.24792080229445279</v>
      </c>
      <c r="S224" s="122">
        <v>12.415375939783521</v>
      </c>
      <c r="T224" s="122">
        <v>30.780299637783763</v>
      </c>
      <c r="U224" s="122">
        <v>2479.2080229445278</v>
      </c>
      <c r="V224" s="119">
        <v>1.08</v>
      </c>
      <c r="W224" s="120">
        <v>-20.033619998976729</v>
      </c>
      <c r="X224" s="120">
        <v>1.0891941435918386</v>
      </c>
      <c r="Y224" s="122">
        <v>9.1941435918385661E-3</v>
      </c>
      <c r="Z224" s="122">
        <v>384.50564753692731</v>
      </c>
      <c r="AA224" s="122">
        <v>35.352001353273785</v>
      </c>
      <c r="AB224" s="122">
        <v>91.941435918385665</v>
      </c>
    </row>
    <row r="225" spans="1:28" x14ac:dyDescent="0.25">
      <c r="A225" s="113">
        <v>5</v>
      </c>
      <c r="B225" s="113" t="s">
        <v>40</v>
      </c>
      <c r="C225" s="113" t="s">
        <v>28</v>
      </c>
      <c r="D225" s="113" t="s">
        <v>428</v>
      </c>
      <c r="E225" s="113">
        <v>3</v>
      </c>
      <c r="F225" s="114" t="s">
        <v>47</v>
      </c>
      <c r="G225" s="113">
        <v>214</v>
      </c>
      <c r="H225" s="113">
        <v>4.3499999999999996</v>
      </c>
      <c r="I225" s="113"/>
      <c r="J225" s="116">
        <v>0.96116250250723723</v>
      </c>
      <c r="K225" s="116">
        <v>40.742202460511912</v>
      </c>
      <c r="L225" s="117">
        <v>42.388464337959483</v>
      </c>
      <c r="M225" s="117">
        <v>199.36586500923133</v>
      </c>
      <c r="N225" s="117">
        <v>-25.574014335564048</v>
      </c>
      <c r="O225" s="119">
        <v>0.36599999999999999</v>
      </c>
      <c r="P225" s="120">
        <v>199.36586500923133</v>
      </c>
      <c r="Q225" s="121">
        <v>0.4389516118585855</v>
      </c>
      <c r="R225" s="122">
        <v>7.2951611858585508E-2</v>
      </c>
      <c r="S225" s="122">
        <v>9.6116250250723709</v>
      </c>
      <c r="T225" s="122">
        <v>7.0118353815934675</v>
      </c>
      <c r="U225" s="122">
        <v>729.51611858585511</v>
      </c>
      <c r="V225" s="119">
        <v>1.08</v>
      </c>
      <c r="W225" s="120">
        <v>-25.574014335564048</v>
      </c>
      <c r="X225" s="120">
        <v>1.0831029096101206</v>
      </c>
      <c r="Y225" s="122">
        <v>3.1029096101204967E-3</v>
      </c>
      <c r="Z225" s="122">
        <v>407.42202460511913</v>
      </c>
      <c r="AA225" s="122">
        <v>12.641937155219736</v>
      </c>
      <c r="AB225" s="122">
        <v>31.029096101204967</v>
      </c>
    </row>
    <row r="226" spans="1:28" x14ac:dyDescent="0.25">
      <c r="A226" s="113">
        <v>5</v>
      </c>
      <c r="B226" s="113" t="s">
        <v>40</v>
      </c>
      <c r="C226" s="113" t="s">
        <v>30</v>
      </c>
      <c r="D226" s="113" t="s">
        <v>427</v>
      </c>
      <c r="E226" s="113">
        <v>3</v>
      </c>
      <c r="F226" s="114" t="s">
        <v>49</v>
      </c>
      <c r="G226" s="113">
        <v>215</v>
      </c>
      <c r="H226" s="113">
        <v>4.157</v>
      </c>
      <c r="I226" s="113"/>
      <c r="J226" s="116">
        <v>0.89670216510323153</v>
      </c>
      <c r="K226" s="116">
        <v>41.979986612725128</v>
      </c>
      <c r="L226" s="117">
        <v>46.815975522811677</v>
      </c>
      <c r="M226" s="117">
        <v>-1.1787909431607444</v>
      </c>
      <c r="N226" s="117">
        <v>-27.028752495180129</v>
      </c>
      <c r="O226" s="119">
        <v>0.36599999999999999</v>
      </c>
      <c r="P226" s="120">
        <v>-1.1787909431607444</v>
      </c>
      <c r="Q226" s="121">
        <v>0.36582349448293044</v>
      </c>
      <c r="R226" s="122">
        <v>-1.7650551706954731E-4</v>
      </c>
      <c r="S226" s="122">
        <v>8.9670216510323151</v>
      </c>
      <c r="T226" s="122">
        <v>-1.5827287930892844E-2</v>
      </c>
      <c r="U226" s="122">
        <v>-1.7650551706954731</v>
      </c>
      <c r="V226" s="119">
        <v>1.08</v>
      </c>
      <c r="W226" s="120">
        <v>-27.028752495180129</v>
      </c>
      <c r="X226" s="120">
        <v>1.081503413443311</v>
      </c>
      <c r="Y226" s="122">
        <v>1.5034134433109525E-3</v>
      </c>
      <c r="Z226" s="122">
        <v>419.79986612725128</v>
      </c>
      <c r="AA226" s="122">
        <v>6.3113276223584771</v>
      </c>
      <c r="AB226" s="122">
        <v>15.034134433109525</v>
      </c>
    </row>
    <row r="227" spans="1:28" x14ac:dyDescent="0.25">
      <c r="A227" s="113">
        <v>5</v>
      </c>
      <c r="B227" s="113" t="s">
        <v>40</v>
      </c>
      <c r="C227" s="113" t="s">
        <v>30</v>
      </c>
      <c r="D227" s="113" t="s">
        <v>428</v>
      </c>
      <c r="E227" s="113">
        <v>3</v>
      </c>
      <c r="F227" s="114" t="s">
        <v>50</v>
      </c>
      <c r="G227" s="113">
        <v>216</v>
      </c>
      <c r="H227" s="113">
        <v>4.2249999999999996</v>
      </c>
      <c r="I227" s="113"/>
      <c r="J227" s="116">
        <v>0.7557666532083076</v>
      </c>
      <c r="K227" s="116">
        <v>41.449945563496918</v>
      </c>
      <c r="L227" s="117">
        <v>54.844898736319742</v>
      </c>
      <c r="M227" s="117">
        <v>-0.87826862607614586</v>
      </c>
      <c r="N227" s="117">
        <v>-26.923340332391415</v>
      </c>
      <c r="O227" s="119">
        <v>0.36599999999999999</v>
      </c>
      <c r="P227" s="120">
        <v>-0.87826862607614586</v>
      </c>
      <c r="Q227" s="121">
        <v>0.36593315957930733</v>
      </c>
      <c r="R227" s="122">
        <v>-6.684042069265983E-5</v>
      </c>
      <c r="S227" s="122">
        <v>7.5576665320830765</v>
      </c>
      <c r="T227" s="122">
        <v>-5.0515761045926829E-3</v>
      </c>
      <c r="U227" s="122">
        <v>-0.6684042069265983</v>
      </c>
      <c r="V227" s="119">
        <v>1.08</v>
      </c>
      <c r="W227" s="120">
        <v>-26.923340332391415</v>
      </c>
      <c r="X227" s="120">
        <v>1.0816193166923065</v>
      </c>
      <c r="Y227" s="122">
        <v>1.6193166923064162E-3</v>
      </c>
      <c r="Z227" s="122">
        <v>414.49945563496919</v>
      </c>
      <c r="AA227" s="122">
        <v>6.712058874616285</v>
      </c>
      <c r="AB227" s="122">
        <v>16.193166923064162</v>
      </c>
    </row>
    <row r="228" spans="1:28" x14ac:dyDescent="0.25">
      <c r="A228" s="113">
        <v>5</v>
      </c>
      <c r="B228" s="113" t="s">
        <v>44</v>
      </c>
      <c r="C228" s="113" t="s">
        <v>26</v>
      </c>
      <c r="D228" s="113" t="s">
        <v>427</v>
      </c>
      <c r="E228" s="113">
        <v>3</v>
      </c>
      <c r="F228" s="114" t="s">
        <v>51</v>
      </c>
      <c r="G228" s="113">
        <v>217</v>
      </c>
      <c r="H228" s="113">
        <v>4.8769999999999998</v>
      </c>
      <c r="I228" s="113"/>
      <c r="J228" s="116">
        <v>1.2624468857643987</v>
      </c>
      <c r="K228" s="116">
        <v>44.577295223534094</v>
      </c>
      <c r="L228" s="117">
        <v>35.310234217531452</v>
      </c>
      <c r="M228" s="117">
        <v>516.93712659002847</v>
      </c>
      <c r="N228" s="117">
        <v>-22.375199818615961</v>
      </c>
      <c r="O228" s="119">
        <v>0.36599999999999999</v>
      </c>
      <c r="P228" s="120">
        <v>516.93712659002847</v>
      </c>
      <c r="Q228" s="121">
        <v>0.55453386225324863</v>
      </c>
      <c r="R228" s="122">
        <v>0.18853386225324864</v>
      </c>
      <c r="S228" s="122">
        <v>12.624468857643986</v>
      </c>
      <c r="T228" s="122">
        <v>23.801398726274783</v>
      </c>
      <c r="U228" s="122">
        <v>1885.3386225324864</v>
      </c>
      <c r="V228" s="119">
        <v>1.08</v>
      </c>
      <c r="W228" s="120">
        <v>-22.375199818615961</v>
      </c>
      <c r="X228" s="120">
        <v>1.0866198496726407</v>
      </c>
      <c r="Y228" s="122">
        <v>6.6198496726406209E-3</v>
      </c>
      <c r="Z228" s="122">
        <v>445.77295223534094</v>
      </c>
      <c r="AA228" s="122">
        <v>29.509499319271651</v>
      </c>
      <c r="AB228" s="122">
        <v>66.198496726406205</v>
      </c>
    </row>
    <row r="229" spans="1:28" x14ac:dyDescent="0.25">
      <c r="A229" s="113">
        <v>5</v>
      </c>
      <c r="B229" s="113" t="s">
        <v>44</v>
      </c>
      <c r="C229" s="113" t="s">
        <v>26</v>
      </c>
      <c r="D229" s="113" t="s">
        <v>428</v>
      </c>
      <c r="E229" s="113">
        <v>3</v>
      </c>
      <c r="F229" s="114" t="s">
        <v>53</v>
      </c>
      <c r="G229" s="113">
        <v>218</v>
      </c>
      <c r="H229" s="113">
        <v>4.6859999999999999</v>
      </c>
      <c r="I229" s="113"/>
      <c r="J229" s="116">
        <v>1.045636823648818</v>
      </c>
      <c r="K229" s="116">
        <v>45.40236189514615</v>
      </c>
      <c r="L229" s="117">
        <v>43.420775615678529</v>
      </c>
      <c r="M229" s="117">
        <v>260.22848587613095</v>
      </c>
      <c r="N229" s="117">
        <v>-26.672540106227949</v>
      </c>
      <c r="O229" s="119">
        <v>0.36599999999999999</v>
      </c>
      <c r="P229" s="120">
        <v>260.22848587613095</v>
      </c>
      <c r="Q229" s="121">
        <v>0.46112378938099879</v>
      </c>
      <c r="R229" s="122">
        <v>9.5123789380998802E-2</v>
      </c>
      <c r="S229" s="122">
        <v>10.45636823648818</v>
      </c>
      <c r="T229" s="122">
        <v>9.946493698178676</v>
      </c>
      <c r="U229" s="122">
        <v>951.23789380998801</v>
      </c>
      <c r="V229" s="119">
        <v>1.08</v>
      </c>
      <c r="W229" s="120">
        <v>-26.672540106227949</v>
      </c>
      <c r="X229" s="120">
        <v>1.08189507657804</v>
      </c>
      <c r="Y229" s="122">
        <v>1.8950765780398893E-3</v>
      </c>
      <c r="Z229" s="122">
        <v>454.02361895146151</v>
      </c>
      <c r="AA229" s="122">
        <v>8.6040952615182231</v>
      </c>
      <c r="AB229" s="122">
        <v>18.950765780398893</v>
      </c>
    </row>
    <row r="230" spans="1:28" x14ac:dyDescent="0.25">
      <c r="A230" s="113">
        <v>5</v>
      </c>
      <c r="B230" s="113" t="s">
        <v>44</v>
      </c>
      <c r="C230" s="113" t="s">
        <v>28</v>
      </c>
      <c r="D230" s="113" t="s">
        <v>427</v>
      </c>
      <c r="E230" s="113">
        <v>3</v>
      </c>
      <c r="F230" s="114" t="s">
        <v>54</v>
      </c>
      <c r="G230" s="113">
        <v>219</v>
      </c>
      <c r="H230" s="113">
        <v>4.2030000000000003</v>
      </c>
      <c r="I230" s="113"/>
      <c r="J230" s="116">
        <v>1.3161655235488681</v>
      </c>
      <c r="K230" s="116">
        <v>45.436062687861352</v>
      </c>
      <c r="L230" s="117">
        <v>34.521541458819669</v>
      </c>
      <c r="M230" s="117">
        <v>323.22909166049288</v>
      </c>
      <c r="N230" s="117">
        <v>-23.507176526084837</v>
      </c>
      <c r="O230" s="119">
        <v>0.36599999999999999</v>
      </c>
      <c r="P230" s="120">
        <v>323.22909166049288</v>
      </c>
      <c r="Q230" s="121">
        <v>0.48406443265350235</v>
      </c>
      <c r="R230" s="122">
        <v>0.11806443265350236</v>
      </c>
      <c r="S230" s="122">
        <v>13.161655235488681</v>
      </c>
      <c r="T230" s="122">
        <v>15.539233581589702</v>
      </c>
      <c r="U230" s="122">
        <v>1180.6443265350238</v>
      </c>
      <c r="V230" s="119">
        <v>1.08</v>
      </c>
      <c r="W230" s="120">
        <v>-23.507176526084837</v>
      </c>
      <c r="X230" s="120">
        <v>1.0853753252547174</v>
      </c>
      <c r="Y230" s="122">
        <v>5.3753252547172892E-3</v>
      </c>
      <c r="Z230" s="122">
        <v>454.36062687861352</v>
      </c>
      <c r="AA230" s="122">
        <v>24.423361524097903</v>
      </c>
      <c r="AB230" s="122">
        <v>53.753252547172892</v>
      </c>
    </row>
    <row r="231" spans="1:28" x14ac:dyDescent="0.25">
      <c r="A231" s="113">
        <v>5</v>
      </c>
      <c r="B231" s="113" t="s">
        <v>44</v>
      </c>
      <c r="C231" s="113" t="s">
        <v>28</v>
      </c>
      <c r="D231" s="113" t="s">
        <v>428</v>
      </c>
      <c r="E231" s="113">
        <v>3</v>
      </c>
      <c r="F231" s="114" t="s">
        <v>55</v>
      </c>
      <c r="G231" s="113">
        <v>220</v>
      </c>
      <c r="H231" s="113">
        <v>4.3959999999999999</v>
      </c>
      <c r="I231" s="113"/>
      <c r="J231" s="116">
        <v>1.0102804430580612</v>
      </c>
      <c r="K231" s="116">
        <v>45.894390060085094</v>
      </c>
      <c r="L231" s="117">
        <v>45.427376502672267</v>
      </c>
      <c r="M231" s="117">
        <v>103.29999767543151</v>
      </c>
      <c r="N231" s="117">
        <v>-26.763310296098513</v>
      </c>
      <c r="O231" s="119">
        <v>0.36599999999999999</v>
      </c>
      <c r="P231" s="120">
        <v>103.29999767543151</v>
      </c>
      <c r="Q231" s="121">
        <v>0.40393482822491578</v>
      </c>
      <c r="R231" s="122">
        <v>3.7934828224915784E-2</v>
      </c>
      <c r="S231" s="122">
        <v>10.102804430580612</v>
      </c>
      <c r="T231" s="122">
        <v>3.8324815066399367</v>
      </c>
      <c r="U231" s="122">
        <v>379.34828224915782</v>
      </c>
      <c r="V231" s="119">
        <v>1.08</v>
      </c>
      <c r="W231" s="120">
        <v>-26.763310296098513</v>
      </c>
      <c r="X231" s="120">
        <v>1.0817952731087819</v>
      </c>
      <c r="Y231" s="122">
        <v>1.795273108781803E-3</v>
      </c>
      <c r="Z231" s="122">
        <v>458.9439006008509</v>
      </c>
      <c r="AA231" s="122">
        <v>8.239296431881364</v>
      </c>
      <c r="AB231" s="122">
        <v>17.95273108781803</v>
      </c>
    </row>
    <row r="232" spans="1:28" x14ac:dyDescent="0.25">
      <c r="A232" s="113">
        <v>5</v>
      </c>
      <c r="B232" s="113" t="s">
        <v>44</v>
      </c>
      <c r="C232" s="113" t="s">
        <v>30</v>
      </c>
      <c r="D232" s="113" t="s">
        <v>427</v>
      </c>
      <c r="E232" s="113">
        <v>3</v>
      </c>
      <c r="F232" s="114" t="s">
        <v>57</v>
      </c>
      <c r="G232" s="113">
        <v>221</v>
      </c>
      <c r="H232" s="113">
        <v>4.3150000000000004</v>
      </c>
      <c r="I232" s="113"/>
      <c r="J232" s="116">
        <v>1.5484167219511813</v>
      </c>
      <c r="K232" s="116">
        <v>44.081324337067798</v>
      </c>
      <c r="L232" s="117">
        <v>28.468643945875446</v>
      </c>
      <c r="M232" s="117">
        <v>-3.8574832521475368</v>
      </c>
      <c r="N232" s="117">
        <v>-28.247436722430681</v>
      </c>
      <c r="O232" s="119">
        <v>0.36599999999999999</v>
      </c>
      <c r="P232" s="120">
        <v>-3.8574832521475368</v>
      </c>
      <c r="Q232" s="121">
        <v>0.36484598885715575</v>
      </c>
      <c r="R232" s="122">
        <v>-1.1540111428442468E-3</v>
      </c>
      <c r="S232" s="122">
        <v>15.484167219511814</v>
      </c>
      <c r="T232" s="122">
        <v>-0.17868901508980253</v>
      </c>
      <c r="U232" s="122">
        <v>-11.540111428442469</v>
      </c>
      <c r="V232" s="119">
        <v>1.08</v>
      </c>
      <c r="W232" s="120">
        <v>-28.247436722430681</v>
      </c>
      <c r="X232" s="120">
        <v>1.0801634206319259</v>
      </c>
      <c r="Y232" s="122">
        <v>1.634206319258702E-4</v>
      </c>
      <c r="Z232" s="122">
        <v>440.81324337067798</v>
      </c>
      <c r="AA232" s="122">
        <v>0.72037978792928614</v>
      </c>
      <c r="AB232" s="122">
        <v>1.634206319258702</v>
      </c>
    </row>
    <row r="233" spans="1:28" x14ac:dyDescent="0.25">
      <c r="A233" s="113">
        <v>5</v>
      </c>
      <c r="B233" s="113" t="s">
        <v>44</v>
      </c>
      <c r="C233" s="113" t="s">
        <v>30</v>
      </c>
      <c r="D233" s="113" t="s">
        <v>428</v>
      </c>
      <c r="E233" s="113">
        <v>3</v>
      </c>
      <c r="F233" s="114" t="s">
        <v>58</v>
      </c>
      <c r="G233" s="113">
        <v>222</v>
      </c>
      <c r="H233" s="113">
        <v>4.282</v>
      </c>
      <c r="I233" s="113"/>
      <c r="J233" s="116">
        <v>0.72521963163644887</v>
      </c>
      <c r="K233" s="116">
        <v>41.872299461253306</v>
      </c>
      <c r="L233" s="117">
        <v>57.737404828340068</v>
      </c>
      <c r="M233" s="117">
        <v>-0.77570695409398116</v>
      </c>
      <c r="N233" s="117">
        <v>-26.514527575167861</v>
      </c>
      <c r="O233" s="119">
        <v>0.36599999999999999</v>
      </c>
      <c r="P233" s="120">
        <v>-0.77570695409398116</v>
      </c>
      <c r="Q233" s="121">
        <v>0.36597058581489234</v>
      </c>
      <c r="R233" s="122">
        <v>-2.9414185107656809E-5</v>
      </c>
      <c r="S233" s="122">
        <v>7.2521963163644889</v>
      </c>
      <c r="T233" s="122">
        <v>-2.133174448866119E-3</v>
      </c>
      <c r="U233" s="122">
        <v>-0.29414185107656809</v>
      </c>
      <c r="V233" s="119">
        <v>1.08</v>
      </c>
      <c r="W233" s="120">
        <v>-26.514527575167861</v>
      </c>
      <c r="X233" s="120">
        <v>1.0820688137399752</v>
      </c>
      <c r="Y233" s="122">
        <v>2.0688137399751394E-3</v>
      </c>
      <c r="Z233" s="122">
        <v>418.72299461253306</v>
      </c>
      <c r="AA233" s="122">
        <v>8.6625988449794455</v>
      </c>
      <c r="AB233" s="122">
        <v>20.688137399751394</v>
      </c>
    </row>
    <row r="234" spans="1:28" x14ac:dyDescent="0.25">
      <c r="A234" s="113">
        <v>5</v>
      </c>
      <c r="B234" s="113" t="s">
        <v>48</v>
      </c>
      <c r="C234" s="113" t="s">
        <v>26</v>
      </c>
      <c r="D234" s="113" t="s">
        <v>427</v>
      </c>
      <c r="E234" s="113">
        <v>3</v>
      </c>
      <c r="F234" s="114" t="s">
        <v>59</v>
      </c>
      <c r="G234" s="113">
        <v>223</v>
      </c>
      <c r="H234" s="113">
        <v>4.9050000000000002</v>
      </c>
      <c r="I234" s="113"/>
      <c r="J234" s="116">
        <v>1.3125421246613966</v>
      </c>
      <c r="K234" s="116">
        <v>43.427976847247997</v>
      </c>
      <c r="L234" s="117">
        <v>33.086920435754649</v>
      </c>
      <c r="M234" s="117">
        <v>400.57129973679673</v>
      </c>
      <c r="N234" s="117">
        <v>-25.632671786224545</v>
      </c>
      <c r="O234" s="119">
        <v>0.36599999999999999</v>
      </c>
      <c r="P234" s="120">
        <v>400.57129973679673</v>
      </c>
      <c r="Q234" s="121">
        <v>0.51221288171164303</v>
      </c>
      <c r="R234" s="122">
        <v>0.14621288171164304</v>
      </c>
      <c r="S234" s="122">
        <v>13.125421246613969</v>
      </c>
      <c r="T234" s="122">
        <v>19.191056641466545</v>
      </c>
      <c r="U234" s="122">
        <v>1462.1288171164304</v>
      </c>
      <c r="V234" s="119">
        <v>1.08</v>
      </c>
      <c r="W234" s="120">
        <v>-25.632671786224545</v>
      </c>
      <c r="X234" s="120">
        <v>1.0830384162778024</v>
      </c>
      <c r="Y234" s="122">
        <v>3.0384162778023249E-3</v>
      </c>
      <c r="Z234" s="122">
        <v>434.27976847247993</v>
      </c>
      <c r="AA234" s="122">
        <v>13.19522717647008</v>
      </c>
      <c r="AB234" s="122">
        <v>30.384162778023253</v>
      </c>
    </row>
    <row r="235" spans="1:28" x14ac:dyDescent="0.25">
      <c r="A235" s="113"/>
      <c r="B235" s="113"/>
      <c r="C235" s="113"/>
      <c r="D235" s="113"/>
      <c r="E235" s="113"/>
      <c r="F235" s="113"/>
      <c r="G235" s="113"/>
      <c r="H235" s="113"/>
      <c r="I235" s="124" t="s">
        <v>469</v>
      </c>
      <c r="J235" s="116">
        <v>2.9867119131435871</v>
      </c>
      <c r="K235" s="116">
        <v>44.851692715312915</v>
      </c>
      <c r="L235" s="117">
        <v>15.017080327678951</v>
      </c>
      <c r="M235" s="117">
        <v>1.6715824455675947</v>
      </c>
      <c r="N235" s="117">
        <v>-25.82650822756316</v>
      </c>
      <c r="O235" s="119">
        <v>0.36599999999999999</v>
      </c>
      <c r="P235" s="120">
        <v>1.6715824455675947</v>
      </c>
      <c r="Q235" s="121">
        <v>0.3668636287272502</v>
      </c>
      <c r="R235" s="122">
        <v>8.6362872725020967E-4</v>
      </c>
      <c r="S235" s="122">
        <v>29.867119131435867</v>
      </c>
      <c r="T235" s="122">
        <v>0.25794102082112347</v>
      </c>
      <c r="U235" s="122">
        <v>8.6362872725020967</v>
      </c>
      <c r="V235" s="119">
        <v>1.08</v>
      </c>
      <c r="W235" s="120">
        <v>-25.82650822756316</v>
      </c>
      <c r="X235" s="120">
        <v>1.0828252942793</v>
      </c>
      <c r="Y235" s="122">
        <v>2.8252942792998947E-3</v>
      </c>
      <c r="Z235" s="122">
        <v>448.51692715312913</v>
      </c>
      <c r="AA235" s="122">
        <v>12.671923084549032</v>
      </c>
      <c r="AB235" s="122">
        <v>28.252942792998947</v>
      </c>
    </row>
    <row r="236" spans="1:28" x14ac:dyDescent="0.25">
      <c r="A236" s="113">
        <v>5</v>
      </c>
      <c r="B236" s="113" t="s">
        <v>48</v>
      </c>
      <c r="C236" s="113" t="s">
        <v>26</v>
      </c>
      <c r="D236" s="113" t="s">
        <v>428</v>
      </c>
      <c r="E236" s="113">
        <v>3</v>
      </c>
      <c r="F236" s="114" t="s">
        <v>60</v>
      </c>
      <c r="G236" s="113">
        <v>224</v>
      </c>
      <c r="H236" s="113">
        <v>4.2039999999999997</v>
      </c>
      <c r="I236" s="113"/>
      <c r="J236" s="116">
        <v>1.0657047147110816</v>
      </c>
      <c r="K236" s="116">
        <v>46.680909191541645</v>
      </c>
      <c r="L236" s="117">
        <v>43.802855094055857</v>
      </c>
      <c r="M236" s="117">
        <v>123.13183207331379</v>
      </c>
      <c r="N236" s="117">
        <v>-28.669706119863964</v>
      </c>
      <c r="O236" s="119">
        <v>0.36599999999999999</v>
      </c>
      <c r="P236" s="120">
        <v>123.13183207331379</v>
      </c>
      <c r="Q236" s="121">
        <v>0.41116570931263507</v>
      </c>
      <c r="R236" s="122">
        <v>4.5165709312635083E-2</v>
      </c>
      <c r="S236" s="122">
        <v>10.657047147110816</v>
      </c>
      <c r="T236" s="122">
        <v>4.8133309357745411</v>
      </c>
      <c r="U236" s="122">
        <v>451.6570931263509</v>
      </c>
      <c r="V236" s="119">
        <v>1.08</v>
      </c>
      <c r="W236" s="120">
        <v>-28.669706119863964</v>
      </c>
      <c r="X236" s="120">
        <v>1.0796991098076512</v>
      </c>
      <c r="Y236" s="122">
        <v>-3.0089019234891268E-4</v>
      </c>
      <c r="Z236" s="122">
        <v>466.80909191541645</v>
      </c>
      <c r="AA236" s="122">
        <v>-1.4045827745665092</v>
      </c>
      <c r="AB236" s="122">
        <v>-3.0089019234891268</v>
      </c>
    </row>
    <row r="237" spans="1:28" x14ac:dyDescent="0.25">
      <c r="A237" s="113">
        <v>5</v>
      </c>
      <c r="B237" s="113" t="s">
        <v>48</v>
      </c>
      <c r="C237" s="113" t="s">
        <v>28</v>
      </c>
      <c r="D237" s="113" t="s">
        <v>427</v>
      </c>
      <c r="E237" s="113">
        <v>3</v>
      </c>
      <c r="F237" s="114" t="s">
        <v>61</v>
      </c>
      <c r="G237" s="113">
        <v>225</v>
      </c>
      <c r="H237" s="113">
        <v>4.1870000000000003</v>
      </c>
      <c r="I237" s="113"/>
      <c r="J237" s="116">
        <v>1.4312682517294089</v>
      </c>
      <c r="K237" s="116">
        <v>42.336839949947112</v>
      </c>
      <c r="L237" s="117">
        <v>29.579947643491206</v>
      </c>
      <c r="M237" s="117">
        <v>537.74417825474245</v>
      </c>
      <c r="N237" s="117">
        <v>-23.137686714456972</v>
      </c>
      <c r="O237" s="119">
        <v>0.36599999999999999</v>
      </c>
      <c r="P237" s="120">
        <v>537.74417825474245</v>
      </c>
      <c r="Q237" s="121">
        <v>0.5620973653936614</v>
      </c>
      <c r="R237" s="122">
        <v>0.1960973653936614</v>
      </c>
      <c r="S237" s="122">
        <v>14.312682517294087</v>
      </c>
      <c r="T237" s="122">
        <v>28.066793333572882</v>
      </c>
      <c r="U237" s="122">
        <v>1960.973653936614</v>
      </c>
      <c r="V237" s="119">
        <v>1.08</v>
      </c>
      <c r="W237" s="120">
        <v>-23.137686714456972</v>
      </c>
      <c r="X237" s="120">
        <v>1.0857815553360108</v>
      </c>
      <c r="Y237" s="122">
        <v>5.7815553360107685E-3</v>
      </c>
      <c r="Z237" s="122">
        <v>423.36839949947114</v>
      </c>
      <c r="AA237" s="122">
        <v>24.47727829224506</v>
      </c>
      <c r="AB237" s="122">
        <v>57.815553360107685</v>
      </c>
    </row>
    <row r="238" spans="1:28" x14ac:dyDescent="0.25">
      <c r="A238" s="113">
        <v>5</v>
      </c>
      <c r="B238" s="113" t="s">
        <v>48</v>
      </c>
      <c r="C238" s="113" t="s">
        <v>28</v>
      </c>
      <c r="D238" s="113" t="s">
        <v>428</v>
      </c>
      <c r="E238" s="113">
        <v>3</v>
      </c>
      <c r="F238" s="114" t="s">
        <v>62</v>
      </c>
      <c r="G238" s="113">
        <v>226</v>
      </c>
      <c r="H238" s="113">
        <v>4.5389999999999997</v>
      </c>
      <c r="I238" s="113"/>
      <c r="J238" s="116">
        <v>1.1146748448868966</v>
      </c>
      <c r="K238" s="116">
        <v>42.946750945809214</v>
      </c>
      <c r="L238" s="117">
        <v>38.528501062717453</v>
      </c>
      <c r="M238" s="117">
        <v>596.38520420906332</v>
      </c>
      <c r="N238" s="117">
        <v>-22.421705442169863</v>
      </c>
      <c r="O238" s="119">
        <v>0.36599999999999999</v>
      </c>
      <c r="P238" s="120">
        <v>596.38520420906332</v>
      </c>
      <c r="Q238" s="121">
        <v>0.58340758333882692</v>
      </c>
      <c r="R238" s="122">
        <v>0.21740758333882693</v>
      </c>
      <c r="S238" s="122">
        <v>11.146748448868966</v>
      </c>
      <c r="T238" s="122">
        <v>24.233876423544196</v>
      </c>
      <c r="U238" s="122">
        <v>2174.0758333882691</v>
      </c>
      <c r="V238" s="119">
        <v>1.08</v>
      </c>
      <c r="W238" s="120">
        <v>-22.421705442169863</v>
      </c>
      <c r="X238" s="120">
        <v>1.0865687208062811</v>
      </c>
      <c r="Y238" s="122">
        <v>6.5687208062810143E-3</v>
      </c>
      <c r="Z238" s="122">
        <v>429.46750945809214</v>
      </c>
      <c r="AA238" s="122">
        <v>28.210521649990582</v>
      </c>
      <c r="AB238" s="122">
        <v>65.687208062810143</v>
      </c>
    </row>
    <row r="239" spans="1:28" x14ac:dyDescent="0.25">
      <c r="A239" s="113">
        <v>5</v>
      </c>
      <c r="B239" s="113" t="s">
        <v>48</v>
      </c>
      <c r="C239" s="113" t="s">
        <v>30</v>
      </c>
      <c r="D239" s="113" t="s">
        <v>427</v>
      </c>
      <c r="E239" s="113">
        <v>3</v>
      </c>
      <c r="F239" s="114" t="s">
        <v>63</v>
      </c>
      <c r="G239" s="113">
        <v>227</v>
      </c>
      <c r="H239" s="113">
        <v>4.3159999999999998</v>
      </c>
      <c r="I239" s="113"/>
      <c r="J239" s="116">
        <v>1.3731159525198047</v>
      </c>
      <c r="K239" s="116">
        <v>42.856401760454752</v>
      </c>
      <c r="L239" s="117">
        <v>31.211058091495463</v>
      </c>
      <c r="M239" s="117">
        <v>0.35619701131996351</v>
      </c>
      <c r="N239" s="117">
        <v>-28.817435195617904</v>
      </c>
      <c r="O239" s="119">
        <v>0.36599999999999999</v>
      </c>
      <c r="P239" s="120">
        <v>0.35619701131996351</v>
      </c>
      <c r="Q239" s="121">
        <v>0.36638363205445063</v>
      </c>
      <c r="R239" s="122">
        <v>3.8363205445063331E-4</v>
      </c>
      <c r="S239" s="122">
        <v>13.731159525198047</v>
      </c>
      <c r="T239" s="122">
        <v>5.2677129386411094E-2</v>
      </c>
      <c r="U239" s="122">
        <v>3.8363205445063335</v>
      </c>
      <c r="V239" s="119">
        <v>1.08</v>
      </c>
      <c r="W239" s="120">
        <v>-28.817435195617904</v>
      </c>
      <c r="X239" s="120">
        <v>1.0795366716959978</v>
      </c>
      <c r="Y239" s="122">
        <v>-4.633283040023084E-4</v>
      </c>
      <c r="Z239" s="122">
        <v>428.56401760454753</v>
      </c>
      <c r="AA239" s="122">
        <v>-1.9856583943313046</v>
      </c>
      <c r="AB239" s="122">
        <v>-4.633283040023084</v>
      </c>
    </row>
    <row r="240" spans="1:28" x14ac:dyDescent="0.25">
      <c r="A240" s="113">
        <v>5</v>
      </c>
      <c r="B240" s="113" t="s">
        <v>48</v>
      </c>
      <c r="C240" s="113" t="s">
        <v>30</v>
      </c>
      <c r="D240" s="113" t="s">
        <v>428</v>
      </c>
      <c r="E240" s="113">
        <v>3</v>
      </c>
      <c r="F240" s="114" t="s">
        <v>64</v>
      </c>
      <c r="G240" s="113">
        <v>228</v>
      </c>
      <c r="H240" s="113">
        <v>4.1749999999999998</v>
      </c>
      <c r="I240" s="113"/>
      <c r="J240" s="116">
        <v>1.1520962065203055</v>
      </c>
      <c r="K240" s="116">
        <v>41.685605974306121</v>
      </c>
      <c r="L240" s="117">
        <v>36.182400166223815</v>
      </c>
      <c r="M240" s="117">
        <v>1.2624160065009704</v>
      </c>
      <c r="N240" s="117">
        <v>-25.990333146579079</v>
      </c>
      <c r="O240" s="119">
        <v>0.36599999999999999</v>
      </c>
      <c r="P240" s="120">
        <v>1.2624160065009704</v>
      </c>
      <c r="Q240" s="121">
        <v>0.36671432049226121</v>
      </c>
      <c r="R240" s="122">
        <v>7.143204922612223E-4</v>
      </c>
      <c r="S240" s="122">
        <v>11.520962065203056</v>
      </c>
      <c r="T240" s="122">
        <v>8.2296592937387156E-2</v>
      </c>
      <c r="U240" s="122">
        <v>7.143204922612223</v>
      </c>
      <c r="V240" s="119">
        <v>1.08</v>
      </c>
      <c r="W240" s="120">
        <v>-25.990333146579079</v>
      </c>
      <c r="X240" s="120">
        <v>1.0826451690525447</v>
      </c>
      <c r="Y240" s="122">
        <v>2.6451690525446381E-3</v>
      </c>
      <c r="Z240" s="122">
        <v>416.85605974306122</v>
      </c>
      <c r="AA240" s="122">
        <v>11.026547485980442</v>
      </c>
      <c r="AB240" s="122">
        <v>26.451690525446377</v>
      </c>
    </row>
    <row r="241" spans="1:28" x14ac:dyDescent="0.25">
      <c r="A241" s="113">
        <v>5</v>
      </c>
      <c r="B241" s="113" t="s">
        <v>52</v>
      </c>
      <c r="C241" s="113" t="s">
        <v>26</v>
      </c>
      <c r="D241" s="113" t="s">
        <v>427</v>
      </c>
      <c r="E241" s="113">
        <v>3</v>
      </c>
      <c r="F241" s="114" t="s">
        <v>65</v>
      </c>
      <c r="G241" s="113">
        <v>229</v>
      </c>
      <c r="H241" s="113">
        <v>4.8029999999999999</v>
      </c>
      <c r="I241" s="113"/>
      <c r="J241" s="116">
        <v>1.360643736449251</v>
      </c>
      <c r="K241" s="116">
        <v>43.923862584026722</v>
      </c>
      <c r="L241" s="117">
        <v>32.281677714293423</v>
      </c>
      <c r="M241" s="117">
        <v>501.60739677824927</v>
      </c>
      <c r="N241" s="117">
        <v>-24.425029660755506</v>
      </c>
      <c r="O241" s="119">
        <v>0.36599999999999999</v>
      </c>
      <c r="P241" s="120">
        <v>501.60739677824927</v>
      </c>
      <c r="Q241" s="121">
        <v>0.54896066624839002</v>
      </c>
      <c r="R241" s="122">
        <v>0.18296066624839002</v>
      </c>
      <c r="S241" s="122">
        <v>13.606437364492511</v>
      </c>
      <c r="T241" s="122">
        <v>24.89442845474538</v>
      </c>
      <c r="U241" s="122">
        <v>1829.6066624839002</v>
      </c>
      <c r="V241" s="119">
        <v>1.08</v>
      </c>
      <c r="W241" s="120">
        <v>-24.425029660755506</v>
      </c>
      <c r="X241" s="120">
        <v>1.0843661908292768</v>
      </c>
      <c r="Y241" s="122">
        <v>4.3661908292766949E-3</v>
      </c>
      <c r="Z241" s="122">
        <v>439.23862584026716</v>
      </c>
      <c r="AA241" s="122">
        <v>19.177996600078718</v>
      </c>
      <c r="AB241" s="122">
        <v>43.661908292766952</v>
      </c>
    </row>
    <row r="242" spans="1:28" x14ac:dyDescent="0.25">
      <c r="A242" s="113">
        <v>5</v>
      </c>
      <c r="B242" s="113" t="s">
        <v>52</v>
      </c>
      <c r="C242" s="113" t="s">
        <v>26</v>
      </c>
      <c r="D242" s="113" t="s">
        <v>428</v>
      </c>
      <c r="E242" s="113">
        <v>3</v>
      </c>
      <c r="F242" s="114" t="s">
        <v>66</v>
      </c>
      <c r="G242" s="113">
        <v>230</v>
      </c>
      <c r="H242" s="113">
        <v>4.1379999999999999</v>
      </c>
      <c r="I242" s="113"/>
      <c r="J242" s="116">
        <v>0.99168904696748106</v>
      </c>
      <c r="K242" s="116">
        <v>47.168682887896544</v>
      </c>
      <c r="L242" s="117">
        <v>47.563984932711755</v>
      </c>
      <c r="M242" s="117">
        <v>323.32455973940807</v>
      </c>
      <c r="N242" s="117">
        <v>-27.247917612170433</v>
      </c>
      <c r="O242" s="119">
        <v>0.36599999999999999</v>
      </c>
      <c r="P242" s="120">
        <v>323.32455973940807</v>
      </c>
      <c r="Q242" s="121">
        <v>0.48409918777371092</v>
      </c>
      <c r="R242" s="122">
        <v>0.11809918777371092</v>
      </c>
      <c r="S242" s="122">
        <v>9.9168904696748115</v>
      </c>
      <c r="T242" s="122">
        <v>11.7117670970945</v>
      </c>
      <c r="U242" s="122">
        <v>1180.9918777371092</v>
      </c>
      <c r="V242" s="119">
        <v>1.08</v>
      </c>
      <c r="W242" s="120">
        <v>-27.247917612170433</v>
      </c>
      <c r="X242" s="120">
        <v>1.081262435171926</v>
      </c>
      <c r="Y242" s="122">
        <v>1.2624351719259241E-3</v>
      </c>
      <c r="Z242" s="122">
        <v>471.68682887896546</v>
      </c>
      <c r="AA242" s="122">
        <v>5.9547404291101076</v>
      </c>
      <c r="AB242" s="122">
        <v>12.624351719259241</v>
      </c>
    </row>
    <row r="243" spans="1:28" x14ac:dyDescent="0.25">
      <c r="A243" s="113">
        <v>5</v>
      </c>
      <c r="B243" s="113" t="s">
        <v>52</v>
      </c>
      <c r="C243" s="113" t="s">
        <v>28</v>
      </c>
      <c r="D243" s="113" t="s">
        <v>427</v>
      </c>
      <c r="E243" s="113">
        <v>3</v>
      </c>
      <c r="F243" s="114" t="s">
        <v>67</v>
      </c>
      <c r="G243" s="113">
        <v>231</v>
      </c>
      <c r="H243" s="113">
        <v>4.5350000000000001</v>
      </c>
      <c r="I243" s="113"/>
      <c r="J243" s="116">
        <v>1.212743746383186</v>
      </c>
      <c r="K243" s="116">
        <v>43.709595540396613</v>
      </c>
      <c r="L243" s="117">
        <v>36.041905530952832</v>
      </c>
      <c r="M243" s="117">
        <v>614.95571807321858</v>
      </c>
      <c r="N243" s="117">
        <v>-22.751590982833292</v>
      </c>
      <c r="O243" s="119">
        <v>0.36599999999999999</v>
      </c>
      <c r="P243" s="120">
        <v>614.95571807321858</v>
      </c>
      <c r="Q243" s="121">
        <v>0.59015422583057675</v>
      </c>
      <c r="R243" s="122">
        <v>0.22415422583057676</v>
      </c>
      <c r="S243" s="122">
        <v>12.12743746383186</v>
      </c>
      <c r="T243" s="122">
        <v>27.184163560139638</v>
      </c>
      <c r="U243" s="122">
        <v>2241.5422583057675</v>
      </c>
      <c r="V243" s="119">
        <v>1.08</v>
      </c>
      <c r="W243" s="120">
        <v>-22.751590982833292</v>
      </c>
      <c r="X243" s="120">
        <v>1.0862060389842456</v>
      </c>
      <c r="Y243" s="122">
        <v>6.2060389842455432E-3</v>
      </c>
      <c r="Z243" s="122">
        <v>437.09595540396612</v>
      </c>
      <c r="AA243" s="122">
        <v>27.126345390930652</v>
      </c>
      <c r="AB243" s="122">
        <v>62.060389842455436</v>
      </c>
    </row>
    <row r="244" spans="1:28" x14ac:dyDescent="0.25">
      <c r="A244" s="113">
        <v>5</v>
      </c>
      <c r="B244" s="113" t="s">
        <v>52</v>
      </c>
      <c r="C244" s="113" t="s">
        <v>28</v>
      </c>
      <c r="D244" s="113" t="s">
        <v>428</v>
      </c>
      <c r="E244" s="113">
        <v>3</v>
      </c>
      <c r="F244" s="114" t="s">
        <v>68</v>
      </c>
      <c r="G244" s="113">
        <v>232</v>
      </c>
      <c r="H244" s="113">
        <v>4.4340000000000002</v>
      </c>
      <c r="I244" s="113"/>
      <c r="J244" s="116">
        <v>0.95443212183499015</v>
      </c>
      <c r="K244" s="116">
        <v>44.674446451947524</v>
      </c>
      <c r="L244" s="117">
        <v>46.807358459453873</v>
      </c>
      <c r="M244" s="117">
        <v>233.13716179671485</v>
      </c>
      <c r="N244" s="117">
        <v>-26.516543528298776</v>
      </c>
      <c r="O244" s="119">
        <v>0.36599999999999999</v>
      </c>
      <c r="P244" s="120">
        <v>233.13716179671485</v>
      </c>
      <c r="Q244" s="121">
        <v>0.45125567320147814</v>
      </c>
      <c r="R244" s="122">
        <v>8.5255673201478144E-2</v>
      </c>
      <c r="S244" s="122">
        <v>9.5443212183499018</v>
      </c>
      <c r="T244" s="122">
        <v>8.1370753072157296</v>
      </c>
      <c r="U244" s="122">
        <v>852.55673201478157</v>
      </c>
      <c r="V244" s="119">
        <v>1.08</v>
      </c>
      <c r="W244" s="120">
        <v>-26.516543528298776</v>
      </c>
      <c r="X244" s="120">
        <v>1.0820665971729353</v>
      </c>
      <c r="Y244" s="122">
        <v>2.066597172935225E-3</v>
      </c>
      <c r="Z244" s="122">
        <v>446.74446451947523</v>
      </c>
      <c r="AA244" s="122">
        <v>9.2324084740040853</v>
      </c>
      <c r="AB244" s="122">
        <v>20.66597172935225</v>
      </c>
    </row>
    <row r="245" spans="1:28" x14ac:dyDescent="0.25">
      <c r="A245" s="113">
        <v>5</v>
      </c>
      <c r="B245" s="113" t="s">
        <v>52</v>
      </c>
      <c r="C245" s="113" t="s">
        <v>30</v>
      </c>
      <c r="D245" s="113" t="s">
        <v>427</v>
      </c>
      <c r="E245" s="113">
        <v>3</v>
      </c>
      <c r="F245" s="114" t="s">
        <v>69</v>
      </c>
      <c r="G245" s="113">
        <v>233</v>
      </c>
      <c r="H245" s="113">
        <v>4.1289999999999996</v>
      </c>
      <c r="I245" s="113"/>
      <c r="J245" s="116">
        <v>1.4943523173863262</v>
      </c>
      <c r="K245" s="116">
        <v>40.77646964326928</v>
      </c>
      <c r="L245" s="117">
        <v>27.287052168921406</v>
      </c>
      <c r="M245" s="117">
        <v>-0.5624864364972515</v>
      </c>
      <c r="N245" s="117">
        <v>-27.938464410047104</v>
      </c>
      <c r="O245" s="119">
        <v>0.36599999999999999</v>
      </c>
      <c r="P245" s="120">
        <v>-0.5624864364972515</v>
      </c>
      <c r="Q245" s="121">
        <v>0.36604839297169328</v>
      </c>
      <c r="R245" s="122">
        <v>4.8392971693289599E-5</v>
      </c>
      <c r="S245" s="122">
        <v>14.943523173863262</v>
      </c>
      <c r="T245" s="122">
        <v>7.2316149395078196E-3</v>
      </c>
      <c r="U245" s="122">
        <v>0.48392971693289599</v>
      </c>
      <c r="V245" s="119">
        <v>1.08</v>
      </c>
      <c r="W245" s="120">
        <v>-27.938464410047104</v>
      </c>
      <c r="X245" s="120">
        <v>1.0805031516753099</v>
      </c>
      <c r="Y245" s="122">
        <v>5.0315167530978755E-4</v>
      </c>
      <c r="Z245" s="122">
        <v>407.7646964326928</v>
      </c>
      <c r="AA245" s="122">
        <v>2.0516749014229636</v>
      </c>
      <c r="AB245" s="122">
        <v>5.0315167530978755</v>
      </c>
    </row>
    <row r="246" spans="1:28" x14ac:dyDescent="0.25">
      <c r="A246" s="113">
        <v>5</v>
      </c>
      <c r="B246" s="113" t="s">
        <v>52</v>
      </c>
      <c r="C246" s="113" t="s">
        <v>30</v>
      </c>
      <c r="D246" s="113" t="s">
        <v>428</v>
      </c>
      <c r="E246" s="113">
        <v>3</v>
      </c>
      <c r="F246" s="114" t="s">
        <v>70</v>
      </c>
      <c r="G246" s="113">
        <v>234</v>
      </c>
      <c r="H246" s="113">
        <v>4.4139999999999997</v>
      </c>
      <c r="I246" s="113"/>
      <c r="J246" s="116">
        <v>1.1191513459032161</v>
      </c>
      <c r="K246" s="116">
        <v>41.739514961696848</v>
      </c>
      <c r="L246" s="117">
        <v>37.29568401493615</v>
      </c>
      <c r="M246" s="117">
        <v>2.5689930170187409</v>
      </c>
      <c r="N246" s="117">
        <v>-26.078272911880561</v>
      </c>
      <c r="O246" s="119">
        <v>0.36599999999999999</v>
      </c>
      <c r="P246" s="120">
        <v>2.5689930170187409</v>
      </c>
      <c r="Q246" s="121">
        <v>0.36719109973781955</v>
      </c>
      <c r="R246" s="122">
        <v>1.1910997378195565E-3</v>
      </c>
      <c r="S246" s="122">
        <v>11.191513459032162</v>
      </c>
      <c r="T246" s="122">
        <v>0.13330208746857244</v>
      </c>
      <c r="U246" s="122">
        <v>11.910997378195564</v>
      </c>
      <c r="V246" s="119">
        <v>1.08</v>
      </c>
      <c r="W246" s="120">
        <v>-26.078272911880561</v>
      </c>
      <c r="X246" s="120">
        <v>1.0825484791558619</v>
      </c>
      <c r="Y246" s="122">
        <v>2.5484791558618713E-3</v>
      </c>
      <c r="Z246" s="122">
        <v>417.39514961696852</v>
      </c>
      <c r="AA246" s="122">
        <v>10.637228385566914</v>
      </c>
      <c r="AB246" s="122">
        <v>25.484791558618713</v>
      </c>
    </row>
    <row r="247" spans="1:28" x14ac:dyDescent="0.25">
      <c r="A247" s="113">
        <v>5</v>
      </c>
      <c r="B247" s="113" t="s">
        <v>56</v>
      </c>
      <c r="C247" s="113" t="s">
        <v>26</v>
      </c>
      <c r="D247" s="113" t="s">
        <v>427</v>
      </c>
      <c r="E247" s="113">
        <v>3</v>
      </c>
      <c r="F247" s="114" t="s">
        <v>71</v>
      </c>
      <c r="G247" s="113">
        <v>235</v>
      </c>
      <c r="H247" s="113">
        <v>4.8550000000000004</v>
      </c>
      <c r="I247" s="113"/>
      <c r="J247" s="116">
        <v>1.2201072500978463</v>
      </c>
      <c r="K247" s="116">
        <v>43.524850074872496</v>
      </c>
      <c r="L247" s="117">
        <v>35.672970610888534</v>
      </c>
      <c r="M247" s="117">
        <v>397.25101804691189</v>
      </c>
      <c r="N247" s="117">
        <v>-26.564868342036728</v>
      </c>
      <c r="O247" s="119">
        <v>0.36599999999999999</v>
      </c>
      <c r="P247" s="120">
        <v>397.25101804691189</v>
      </c>
      <c r="Q247" s="121">
        <v>0.5110048029513351</v>
      </c>
      <c r="R247" s="122">
        <v>0.14500480295133511</v>
      </c>
      <c r="S247" s="122">
        <v>12.201072500978462</v>
      </c>
      <c r="T247" s="122">
        <v>17.692141137993353</v>
      </c>
      <c r="U247" s="122">
        <v>1450.0480295133511</v>
      </c>
      <c r="V247" s="119">
        <v>1.08</v>
      </c>
      <c r="W247" s="120">
        <v>-26.564868342036728</v>
      </c>
      <c r="X247" s="120">
        <v>1.0820134633735243</v>
      </c>
      <c r="Y247" s="122">
        <v>2.0134633735242602E-3</v>
      </c>
      <c r="Z247" s="122">
        <v>435.24850074872495</v>
      </c>
      <c r="AA247" s="122">
        <v>8.7635691463890417</v>
      </c>
      <c r="AB247" s="122">
        <v>20.134633735242602</v>
      </c>
    </row>
    <row r="248" spans="1:28" x14ac:dyDescent="0.25">
      <c r="A248" s="113"/>
      <c r="B248" s="113"/>
      <c r="C248" s="113"/>
      <c r="D248" s="113"/>
      <c r="E248" s="113"/>
      <c r="F248" s="113"/>
      <c r="G248" s="113"/>
      <c r="H248" s="113"/>
      <c r="I248" s="124" t="s">
        <v>469</v>
      </c>
      <c r="J248" s="116">
        <v>2.9537744965485273</v>
      </c>
      <c r="K248" s="116">
        <v>46.237821902452893</v>
      </c>
      <c r="L248" s="117">
        <v>15.65380903534836</v>
      </c>
      <c r="M248" s="117">
        <v>1.8296488711954262</v>
      </c>
      <c r="N248" s="117">
        <v>-25.81598392936926</v>
      </c>
      <c r="O248" s="119">
        <v>0.36599999999999999</v>
      </c>
      <c r="P248" s="120">
        <v>1.8296488711954262</v>
      </c>
      <c r="Q248" s="121">
        <v>0.3669213083601281</v>
      </c>
      <c r="R248" s="122">
        <v>9.2130836012810358E-4</v>
      </c>
      <c r="S248" s="122">
        <v>29.537744965485274</v>
      </c>
      <c r="T248" s="122">
        <v>0.27213371376033385</v>
      </c>
      <c r="U248" s="122">
        <v>9.2130836012810349</v>
      </c>
      <c r="V248" s="119">
        <v>1.08</v>
      </c>
      <c r="W248" s="120">
        <v>-25.81598392936926</v>
      </c>
      <c r="X248" s="120">
        <v>1.0828368657052849</v>
      </c>
      <c r="Y248" s="122">
        <v>2.8368657052848523E-3</v>
      </c>
      <c r="Z248" s="122">
        <v>462.3782190245289</v>
      </c>
      <c r="AA248" s="122">
        <v>13.117049124213743</v>
      </c>
      <c r="AB248" s="122">
        <v>28.368657052848523</v>
      </c>
    </row>
    <row r="249" spans="1:28" x14ac:dyDescent="0.25">
      <c r="A249" s="113">
        <v>5</v>
      </c>
      <c r="B249" s="113" t="s">
        <v>56</v>
      </c>
      <c r="C249" s="113" t="s">
        <v>26</v>
      </c>
      <c r="D249" s="113" t="s">
        <v>428</v>
      </c>
      <c r="E249" s="113">
        <v>3</v>
      </c>
      <c r="F249" s="114" t="s">
        <v>120</v>
      </c>
      <c r="G249" s="113">
        <v>236</v>
      </c>
      <c r="H249" s="113">
        <v>4.0339999999999998</v>
      </c>
      <c r="I249" s="113"/>
      <c r="J249" s="116">
        <v>1.1189377839942252</v>
      </c>
      <c r="K249" s="116">
        <v>45.665927366732369</v>
      </c>
      <c r="L249" s="117">
        <v>40.81185569024278</v>
      </c>
      <c r="M249" s="117">
        <v>216.13669100344322</v>
      </c>
      <c r="N249" s="117">
        <v>-31.21390570923791</v>
      </c>
      <c r="O249" s="119">
        <v>0.36599999999999999</v>
      </c>
      <c r="P249" s="120">
        <v>216.13669100344322</v>
      </c>
      <c r="Q249" s="121">
        <v>0.44506218887447607</v>
      </c>
      <c r="R249" s="122">
        <v>7.906218887447608E-2</v>
      </c>
      <c r="S249" s="122">
        <v>11.189377839942251</v>
      </c>
      <c r="T249" s="122">
        <v>8.8465670416939144</v>
      </c>
      <c r="U249" s="122">
        <v>790.62188874476067</v>
      </c>
      <c r="V249" s="119">
        <v>1.08</v>
      </c>
      <c r="W249" s="120">
        <v>-31.21390570923791</v>
      </c>
      <c r="X249" s="120">
        <v>1.0769015157379185</v>
      </c>
      <c r="Y249" s="122">
        <v>-3.0984842620815911E-3</v>
      </c>
      <c r="Z249" s="122">
        <v>456.65927366732365</v>
      </c>
      <c r="AA249" s="122">
        <v>-14.149515725918125</v>
      </c>
      <c r="AB249" s="122">
        <v>-30.984842620815908</v>
      </c>
    </row>
    <row r="250" spans="1:28" x14ac:dyDescent="0.25">
      <c r="A250" s="113">
        <v>5</v>
      </c>
      <c r="B250" s="113" t="s">
        <v>56</v>
      </c>
      <c r="C250" s="113" t="s">
        <v>28</v>
      </c>
      <c r="D250" s="113" t="s">
        <v>427</v>
      </c>
      <c r="E250" s="113">
        <v>3</v>
      </c>
      <c r="F250" s="114" t="s">
        <v>121</v>
      </c>
      <c r="G250" s="113">
        <v>237</v>
      </c>
      <c r="H250" s="113">
        <v>4.3440000000000003</v>
      </c>
      <c r="I250" s="113"/>
      <c r="J250" s="116">
        <v>1.3174343129318464</v>
      </c>
      <c r="K250" s="116">
        <v>40.114123248936089</v>
      </c>
      <c r="L250" s="117">
        <v>30.448670461349423</v>
      </c>
      <c r="M250" s="117">
        <v>881.21479631904128</v>
      </c>
      <c r="N250" s="117">
        <v>-20.828508177011322</v>
      </c>
      <c r="O250" s="119">
        <v>0.36599999999999999</v>
      </c>
      <c r="P250" s="120">
        <v>881.21479631904128</v>
      </c>
      <c r="Q250" s="121">
        <v>0.68678520210733796</v>
      </c>
      <c r="R250" s="122">
        <v>0.32078520210733796</v>
      </c>
      <c r="S250" s="122">
        <v>13.174343129318464</v>
      </c>
      <c r="T250" s="122">
        <v>42.261343233698426</v>
      </c>
      <c r="U250" s="122">
        <v>3207.85202107338</v>
      </c>
      <c r="V250" s="119">
        <v>1.08</v>
      </c>
      <c r="W250" s="120">
        <v>-20.828508177011322</v>
      </c>
      <c r="X250" s="120">
        <v>1.0883202717688831</v>
      </c>
      <c r="Y250" s="122">
        <v>8.3202717688830585E-3</v>
      </c>
      <c r="Z250" s="122">
        <v>401.1412324893609</v>
      </c>
      <c r="AA250" s="122">
        <v>33.376040720161846</v>
      </c>
      <c r="AB250" s="122">
        <v>83.202717688830589</v>
      </c>
    </row>
    <row r="251" spans="1:28" x14ac:dyDescent="0.25">
      <c r="A251" s="113">
        <v>5</v>
      </c>
      <c r="B251" s="113" t="s">
        <v>56</v>
      </c>
      <c r="C251" s="113" t="s">
        <v>28</v>
      </c>
      <c r="D251" s="113" t="s">
        <v>428</v>
      </c>
      <c r="E251" s="113">
        <v>3</v>
      </c>
      <c r="F251" s="114" t="s">
        <v>122</v>
      </c>
      <c r="G251" s="113">
        <v>238</v>
      </c>
      <c r="H251" s="113">
        <v>4.1950000000000003</v>
      </c>
      <c r="I251" s="113"/>
      <c r="J251" s="116">
        <v>0.92038287445468892</v>
      </c>
      <c r="K251" s="116">
        <v>42.952649534952471</v>
      </c>
      <c r="L251" s="117">
        <v>46.668240714932004</v>
      </c>
      <c r="M251" s="117">
        <v>912.85429613692509</v>
      </c>
      <c r="N251" s="117">
        <v>-23.610545720499012</v>
      </c>
      <c r="O251" s="119">
        <v>0.36599999999999999</v>
      </c>
      <c r="P251" s="120">
        <v>912.85429613692509</v>
      </c>
      <c r="Q251" s="121">
        <v>0.69825535035496478</v>
      </c>
      <c r="R251" s="122">
        <v>0.33225535035496478</v>
      </c>
      <c r="S251" s="122">
        <v>9.2038287445468878</v>
      </c>
      <c r="T251" s="122">
        <v>30.580213441265222</v>
      </c>
      <c r="U251" s="122">
        <v>3322.5535035496478</v>
      </c>
      <c r="V251" s="119">
        <v>1.08</v>
      </c>
      <c r="W251" s="120">
        <v>-23.610545720499012</v>
      </c>
      <c r="X251" s="120">
        <v>1.0852616769330843</v>
      </c>
      <c r="Y251" s="122">
        <v>5.2616769330842139E-3</v>
      </c>
      <c r="Z251" s="122">
        <v>429.52649534952468</v>
      </c>
      <c r="AA251" s="122">
        <v>22.600296527290979</v>
      </c>
      <c r="AB251" s="122">
        <v>52.616769330842139</v>
      </c>
    </row>
    <row r="252" spans="1:28" x14ac:dyDescent="0.25">
      <c r="A252" s="113">
        <v>5</v>
      </c>
      <c r="B252" s="113" t="s">
        <v>56</v>
      </c>
      <c r="C252" s="113" t="s">
        <v>30</v>
      </c>
      <c r="D252" s="113" t="s">
        <v>427</v>
      </c>
      <c r="E252" s="113">
        <v>3</v>
      </c>
      <c r="F252" s="114" t="s">
        <v>72</v>
      </c>
      <c r="G252" s="113">
        <v>239</v>
      </c>
      <c r="H252" s="113">
        <v>4.274</v>
      </c>
      <c r="I252" s="113"/>
      <c r="J252" s="116">
        <v>1.3261836111102636</v>
      </c>
      <c r="K252" s="116">
        <v>43.735740999638992</v>
      </c>
      <c r="L252" s="117">
        <v>32.978646873055538</v>
      </c>
      <c r="M252" s="117">
        <v>3.2260833329588054</v>
      </c>
      <c r="N252" s="117">
        <v>-31.983972402690192</v>
      </c>
      <c r="O252" s="119">
        <v>0.36599999999999999</v>
      </c>
      <c r="P252" s="120">
        <v>3.2260833329588054</v>
      </c>
      <c r="Q252" s="121">
        <v>0.36743087494390458</v>
      </c>
      <c r="R252" s="122">
        <v>1.430874943904592E-3</v>
      </c>
      <c r="S252" s="122">
        <v>13.261836111102637</v>
      </c>
      <c r="T252" s="122">
        <v>0.18976029001545877</v>
      </c>
      <c r="U252" s="122">
        <v>14.30874943904592</v>
      </c>
      <c r="V252" s="119">
        <v>1.08</v>
      </c>
      <c r="W252" s="120">
        <v>-31.983972402690192</v>
      </c>
      <c r="X252" s="120">
        <v>1.0760547215661311</v>
      </c>
      <c r="Y252" s="122">
        <v>-3.9452784338689373E-3</v>
      </c>
      <c r="Z252" s="122">
        <v>437.35740999638995</v>
      </c>
      <c r="AA252" s="122">
        <v>-17.254967575515323</v>
      </c>
      <c r="AB252" s="122">
        <v>-39.452784338689369</v>
      </c>
    </row>
    <row r="253" spans="1:28" x14ac:dyDescent="0.25">
      <c r="A253" s="113">
        <v>5</v>
      </c>
      <c r="B253" s="113" t="s">
        <v>56</v>
      </c>
      <c r="C253" s="113" t="s">
        <v>30</v>
      </c>
      <c r="D253" s="113" t="s">
        <v>428</v>
      </c>
      <c r="E253" s="113">
        <v>3</v>
      </c>
      <c r="F253" s="114" t="s">
        <v>73</v>
      </c>
      <c r="G253" s="113">
        <v>240</v>
      </c>
      <c r="H253" s="113">
        <v>4.9279999999999999</v>
      </c>
      <c r="I253" s="113"/>
      <c r="J253" s="116">
        <v>0.70403252989440857</v>
      </c>
      <c r="K253" s="116">
        <v>39.968319335471065</v>
      </c>
      <c r="L253" s="117">
        <v>56.770557663671525</v>
      </c>
      <c r="M253" s="117">
        <v>18.251203779147083</v>
      </c>
      <c r="N253" s="117">
        <v>-27.227670771625171</v>
      </c>
      <c r="O253" s="119">
        <v>0.36599999999999999</v>
      </c>
      <c r="P253" s="120">
        <v>18.251203779147083</v>
      </c>
      <c r="Q253" s="121">
        <v>0.37291329395630374</v>
      </c>
      <c r="R253" s="122">
        <v>6.9132939563037454E-3</v>
      </c>
      <c r="S253" s="122">
        <v>7.0403252989440857</v>
      </c>
      <c r="T253" s="122">
        <v>0.48671838339602508</v>
      </c>
      <c r="U253" s="122">
        <v>69.132939563037453</v>
      </c>
      <c r="V253" s="119">
        <v>1.08</v>
      </c>
      <c r="W253" s="120">
        <v>-27.227670771625171</v>
      </c>
      <c r="X253" s="120">
        <v>1.0812846971974279</v>
      </c>
      <c r="Y253" s="122">
        <v>1.2846971974278532E-3</v>
      </c>
      <c r="Z253" s="122">
        <v>399.68319335471062</v>
      </c>
      <c r="AA253" s="122">
        <v>5.1347187836181147</v>
      </c>
      <c r="AB253" s="122">
        <v>12.846971974278532</v>
      </c>
    </row>
    <row r="254" spans="1:28" x14ac:dyDescent="0.25">
      <c r="A254" s="113">
        <v>6</v>
      </c>
      <c r="B254" s="113" t="s">
        <v>25</v>
      </c>
      <c r="C254" s="113" t="s">
        <v>26</v>
      </c>
      <c r="D254" s="113" t="s">
        <v>427</v>
      </c>
      <c r="E254" s="113">
        <v>3</v>
      </c>
      <c r="F254" s="114" t="s">
        <v>74</v>
      </c>
      <c r="G254" s="113">
        <v>241</v>
      </c>
      <c r="H254" s="113">
        <v>3.9990000000000001</v>
      </c>
      <c r="I254" s="113" t="s">
        <v>444</v>
      </c>
      <c r="J254" s="116">
        <v>1.0465669789643235</v>
      </c>
      <c r="K254" s="116">
        <v>42.980786742793462</v>
      </c>
      <c r="L254" s="117">
        <v>41.068357407308028</v>
      </c>
      <c r="M254" s="117">
        <v>5.2880175077230351</v>
      </c>
      <c r="N254" s="117">
        <v>-28.431773791931011</v>
      </c>
      <c r="O254" s="119">
        <v>0.36599999999999999</v>
      </c>
      <c r="P254" s="120">
        <v>5.2880175077230351</v>
      </c>
      <c r="Q254" s="121">
        <v>0.36818327648793514</v>
      </c>
      <c r="R254" s="122">
        <v>2.1832764879351485E-3</v>
      </c>
      <c r="S254" s="122">
        <v>10.465669789643234</v>
      </c>
      <c r="T254" s="122">
        <v>0.22849450782221267</v>
      </c>
      <c r="U254" s="122">
        <v>21.832764879351487</v>
      </c>
      <c r="V254" s="119">
        <v>1.08</v>
      </c>
      <c r="W254" s="120">
        <v>-28.431773791931011</v>
      </c>
      <c r="X254" s="120">
        <v>1.0799607313751642</v>
      </c>
      <c r="Y254" s="122">
        <v>-3.9268624835830934E-5</v>
      </c>
      <c r="Z254" s="122">
        <v>429.80786742793464</v>
      </c>
      <c r="AA254" s="122">
        <v>-0.16877963897516124</v>
      </c>
      <c r="AB254" s="122">
        <v>-0.39268624835830929</v>
      </c>
    </row>
    <row r="255" spans="1:28" x14ac:dyDescent="0.25">
      <c r="A255" s="113">
        <v>6</v>
      </c>
      <c r="B255" s="113" t="s">
        <v>25</v>
      </c>
      <c r="C255" s="113" t="s">
        <v>26</v>
      </c>
      <c r="D255" s="113" t="s">
        <v>428</v>
      </c>
      <c r="E255" s="113">
        <v>3</v>
      </c>
      <c r="F255" s="114" t="s">
        <v>75</v>
      </c>
      <c r="G255" s="113">
        <v>242</v>
      </c>
      <c r="H255" s="113">
        <v>3.794</v>
      </c>
      <c r="I255" s="113" t="s">
        <v>444</v>
      </c>
      <c r="J255" s="116">
        <v>2.1808411652438457</v>
      </c>
      <c r="K255" s="116">
        <v>45.463368021731391</v>
      </c>
      <c r="L255" s="117">
        <v>20.846712152302945</v>
      </c>
      <c r="M255" s="117">
        <v>2.0531242569631338</v>
      </c>
      <c r="N255" s="117">
        <v>-29.332398964194422</v>
      </c>
      <c r="O255" s="119">
        <v>0.36599999999999999</v>
      </c>
      <c r="P255" s="120">
        <v>2.0531242569631338</v>
      </c>
      <c r="Q255" s="121">
        <v>0.36700285610275996</v>
      </c>
      <c r="R255" s="122">
        <v>1.0028561027599636E-3</v>
      </c>
      <c r="S255" s="122">
        <v>21.808411652438458</v>
      </c>
      <c r="T255" s="122">
        <v>0.21870698717149409</v>
      </c>
      <c r="U255" s="122">
        <v>10.028561027599636</v>
      </c>
      <c r="V255" s="119">
        <v>1.08</v>
      </c>
      <c r="W255" s="120">
        <v>-29.332398964194422</v>
      </c>
      <c r="X255" s="120">
        <v>1.0789704300275769</v>
      </c>
      <c r="Y255" s="122">
        <v>-1.0295699724232055E-3</v>
      </c>
      <c r="Z255" s="122">
        <v>454.63368021731395</v>
      </c>
      <c r="AA255" s="122">
        <v>-4.6807718560400033</v>
      </c>
      <c r="AB255" s="122">
        <v>-10.295699724232055</v>
      </c>
    </row>
    <row r="256" spans="1:28" x14ac:dyDescent="0.25">
      <c r="A256" s="113">
        <v>6</v>
      </c>
      <c r="B256" s="113" t="s">
        <v>25</v>
      </c>
      <c r="C256" s="113" t="s">
        <v>28</v>
      </c>
      <c r="D256" s="113" t="s">
        <v>427</v>
      </c>
      <c r="E256" s="113">
        <v>3</v>
      </c>
      <c r="F256" s="114" t="s">
        <v>76</v>
      </c>
      <c r="G256" s="113">
        <v>243</v>
      </c>
      <c r="H256" s="113">
        <v>4.3159999999999998</v>
      </c>
      <c r="I256" s="113"/>
      <c r="J256" s="116">
        <v>1.2780354430433345</v>
      </c>
      <c r="K256" s="116">
        <v>39.334428892181045</v>
      </c>
      <c r="L256" s="117">
        <v>30.77725982193072</v>
      </c>
      <c r="M256" s="117">
        <v>445.87143340437228</v>
      </c>
      <c r="N256" s="117">
        <v>-23.23021059210793</v>
      </c>
      <c r="O256" s="119">
        <v>0.36599999999999999</v>
      </c>
      <c r="P256" s="120">
        <v>445.87143340437228</v>
      </c>
      <c r="Q256" s="121">
        <v>0.52869232683662282</v>
      </c>
      <c r="R256" s="122">
        <v>0.16269232683662282</v>
      </c>
      <c r="S256" s="122">
        <v>12.780354430433345</v>
      </c>
      <c r="T256" s="122">
        <v>20.792656000839422</v>
      </c>
      <c r="U256" s="122">
        <v>1626.9232683662283</v>
      </c>
      <c r="V256" s="119">
        <v>1.08</v>
      </c>
      <c r="W256" s="120">
        <v>-23.23021059210793</v>
      </c>
      <c r="X256" s="120">
        <v>1.0856798316471583</v>
      </c>
      <c r="Y256" s="122">
        <v>5.67983164715824E-3</v>
      </c>
      <c r="Z256" s="122">
        <v>393.34428892181046</v>
      </c>
      <c r="AA256" s="122">
        <v>22.341293404470534</v>
      </c>
      <c r="AB256" s="122">
        <v>56.798316471582396</v>
      </c>
    </row>
    <row r="257" spans="1:28" x14ac:dyDescent="0.25">
      <c r="A257" s="113">
        <v>6</v>
      </c>
      <c r="B257" s="113" t="s">
        <v>25</v>
      </c>
      <c r="C257" s="113" t="s">
        <v>30</v>
      </c>
      <c r="D257" s="113" t="s">
        <v>427</v>
      </c>
      <c r="E257" s="113">
        <v>3</v>
      </c>
      <c r="F257" s="114" t="s">
        <v>77</v>
      </c>
      <c r="G257" s="113">
        <v>245</v>
      </c>
      <c r="H257" s="113">
        <v>4.0750000000000002</v>
      </c>
      <c r="I257" s="113"/>
      <c r="J257" s="116">
        <v>1.2170035742750496</v>
      </c>
      <c r="K257" s="116">
        <v>38.335647724698397</v>
      </c>
      <c r="L257" s="117">
        <v>31.500028870115976</v>
      </c>
      <c r="M257" s="117">
        <v>0.27285192941071035</v>
      </c>
      <c r="N257" s="117">
        <v>-28.155220774403158</v>
      </c>
      <c r="O257" s="119">
        <v>0.36599999999999999</v>
      </c>
      <c r="P257" s="120">
        <v>0.27285192941071035</v>
      </c>
      <c r="Q257" s="121">
        <v>0.3663532184844715</v>
      </c>
      <c r="R257" s="122">
        <v>3.5321848447150694E-4</v>
      </c>
      <c r="S257" s="122">
        <v>12.170035742750496</v>
      </c>
      <c r="T257" s="122">
        <v>4.2986815810184008E-2</v>
      </c>
      <c r="U257" s="122">
        <v>3.5321848447150699</v>
      </c>
      <c r="V257" s="119">
        <v>1.08</v>
      </c>
      <c r="W257" s="120">
        <v>-28.155220774403158</v>
      </c>
      <c r="X257" s="120">
        <v>1.0802648170822453</v>
      </c>
      <c r="Y257" s="122">
        <v>2.6481708224523892E-4</v>
      </c>
      <c r="Z257" s="122">
        <v>383.35647724698396</v>
      </c>
      <c r="AA257" s="122">
        <v>1.015193437643596</v>
      </c>
      <c r="AB257" s="122">
        <v>2.6481708224523888</v>
      </c>
    </row>
    <row r="258" spans="1:28" x14ac:dyDescent="0.25">
      <c r="A258" s="113">
        <v>6</v>
      </c>
      <c r="B258" s="113" t="s">
        <v>25</v>
      </c>
      <c r="C258" s="113" t="s">
        <v>30</v>
      </c>
      <c r="D258" s="113" t="s">
        <v>428</v>
      </c>
      <c r="E258" s="113">
        <v>3</v>
      </c>
      <c r="F258" s="114" t="s">
        <v>78</v>
      </c>
      <c r="G258" s="113">
        <v>246</v>
      </c>
      <c r="H258" s="113">
        <v>4.1440000000000001</v>
      </c>
      <c r="I258" s="113"/>
      <c r="J258" s="116">
        <v>0.5592217998316249</v>
      </c>
      <c r="K258" s="116">
        <v>41.443688229409553</v>
      </c>
      <c r="L258" s="117">
        <v>74.109571983581048</v>
      </c>
      <c r="M258" s="117">
        <v>0.18192096707953453</v>
      </c>
      <c r="N258" s="117">
        <v>-27.112353105578606</v>
      </c>
      <c r="O258" s="119">
        <v>0.36599999999999999</v>
      </c>
      <c r="P258" s="120">
        <v>0.18192096707953453</v>
      </c>
      <c r="Q258" s="121">
        <v>0.36632003671911728</v>
      </c>
      <c r="R258" s="122">
        <v>3.2003671911728926E-4</v>
      </c>
      <c r="S258" s="122">
        <v>5.592217998316249</v>
      </c>
      <c r="T258" s="122">
        <v>1.789715100769787E-2</v>
      </c>
      <c r="U258" s="122">
        <v>3.200367191172893</v>
      </c>
      <c r="V258" s="119">
        <v>1.08</v>
      </c>
      <c r="W258" s="120">
        <v>-27.112353105578606</v>
      </c>
      <c r="X258" s="120">
        <v>1.0814114923360654</v>
      </c>
      <c r="Y258" s="122">
        <v>1.4114923360653009E-3</v>
      </c>
      <c r="Z258" s="122">
        <v>414.43688229409554</v>
      </c>
      <c r="AA258" s="122">
        <v>5.8497448314091303</v>
      </c>
      <c r="AB258" s="122">
        <v>14.114923360653009</v>
      </c>
    </row>
    <row r="259" spans="1:28" x14ac:dyDescent="0.25">
      <c r="A259" s="113">
        <v>6</v>
      </c>
      <c r="B259" s="113" t="s">
        <v>32</v>
      </c>
      <c r="C259" s="113" t="s">
        <v>26</v>
      </c>
      <c r="D259" s="113" t="s">
        <v>427</v>
      </c>
      <c r="E259" s="113">
        <v>3</v>
      </c>
      <c r="F259" s="114" t="s">
        <v>79</v>
      </c>
      <c r="G259" s="113">
        <v>247</v>
      </c>
      <c r="H259" s="113">
        <v>4.7640000000000002</v>
      </c>
      <c r="I259" s="113" t="s">
        <v>444</v>
      </c>
      <c r="J259" s="116">
        <v>0.60000546363511542</v>
      </c>
      <c r="K259" s="116">
        <v>42.42191796504023</v>
      </c>
      <c r="L259" s="117">
        <v>70.702552786816796</v>
      </c>
      <c r="M259" s="117">
        <v>1145.1181662861063</v>
      </c>
      <c r="N259" s="117">
        <v>-28.047151875916793</v>
      </c>
      <c r="O259" s="119">
        <v>0.36599999999999999</v>
      </c>
      <c r="P259" s="120">
        <v>1145.1181662861063</v>
      </c>
      <c r="Q259" s="121">
        <v>0.78237604729836963</v>
      </c>
      <c r="R259" s="122">
        <v>0.41637604729836963</v>
      </c>
      <c r="S259" s="122">
        <v>6.0000546363511544</v>
      </c>
      <c r="T259" s="122">
        <v>24.982790330581505</v>
      </c>
      <c r="U259" s="122">
        <v>4163.7604729836967</v>
      </c>
      <c r="V259" s="119">
        <v>1.08</v>
      </c>
      <c r="W259" s="120">
        <v>-28.047151875916793</v>
      </c>
      <c r="X259" s="120">
        <v>1.0803836444492634</v>
      </c>
      <c r="Y259" s="122">
        <v>3.8364444926330954E-4</v>
      </c>
      <c r="Z259" s="122">
        <v>424.21917965040228</v>
      </c>
      <c r="AA259" s="122">
        <v>1.6274933354391155</v>
      </c>
      <c r="AB259" s="122">
        <v>3.8364444926330954</v>
      </c>
    </row>
    <row r="260" spans="1:28" x14ac:dyDescent="0.25">
      <c r="A260" s="113">
        <v>6</v>
      </c>
      <c r="B260" s="113" t="s">
        <v>32</v>
      </c>
      <c r="C260" s="113" t="s">
        <v>26</v>
      </c>
      <c r="D260" s="113" t="s">
        <v>428</v>
      </c>
      <c r="E260" s="113">
        <v>3</v>
      </c>
      <c r="F260" s="114" t="s">
        <v>80</v>
      </c>
      <c r="G260" s="113">
        <v>248</v>
      </c>
      <c r="H260" s="113">
        <v>4.3410000000000002</v>
      </c>
      <c r="I260" s="113"/>
      <c r="J260" s="116">
        <v>1.1665681477069239</v>
      </c>
      <c r="K260" s="116">
        <v>41.487016649050432</v>
      </c>
      <c r="L260" s="117">
        <v>35.563303121724864</v>
      </c>
      <c r="M260" s="117">
        <v>305.17286416164268</v>
      </c>
      <c r="N260" s="117">
        <v>-22.724898821526676</v>
      </c>
      <c r="O260" s="119">
        <v>0.36599999999999999</v>
      </c>
      <c r="P260" s="120">
        <v>305.17286416164268</v>
      </c>
      <c r="Q260" s="121">
        <v>0.47749063293055605</v>
      </c>
      <c r="R260" s="122">
        <v>0.11149063293055606</v>
      </c>
      <c r="S260" s="122">
        <v>11.665681477069239</v>
      </c>
      <c r="T260" s="122">
        <v>13.006142114447135</v>
      </c>
      <c r="U260" s="122">
        <v>1114.9063293055606</v>
      </c>
      <c r="V260" s="119">
        <v>1.08</v>
      </c>
      <c r="W260" s="120">
        <v>-22.724898821526676</v>
      </c>
      <c r="X260" s="120">
        <v>1.0862353849031399</v>
      </c>
      <c r="Y260" s="122">
        <v>6.2353849031397957E-3</v>
      </c>
      <c r="Z260" s="122">
        <v>414.87016649050435</v>
      </c>
      <c r="AA260" s="122">
        <v>25.868751728979841</v>
      </c>
      <c r="AB260" s="122">
        <v>62.353849031397949</v>
      </c>
    </row>
    <row r="261" spans="1:28" x14ac:dyDescent="0.25">
      <c r="A261" s="113"/>
      <c r="B261" s="113"/>
      <c r="C261" s="113"/>
      <c r="D261" s="113"/>
      <c r="E261" s="113"/>
      <c r="F261" s="113"/>
      <c r="G261" s="113"/>
      <c r="H261" s="113"/>
      <c r="I261" s="124" t="s">
        <v>469</v>
      </c>
      <c r="J261" s="116">
        <v>2.8228147788641538</v>
      </c>
      <c r="K261" s="116">
        <v>51.214346411520204</v>
      </c>
      <c r="L261" s="117">
        <v>18.143006333602894</v>
      </c>
      <c r="M261" s="117">
        <v>1.769815827193848</v>
      </c>
      <c r="N261" s="117">
        <v>-26.330328311775599</v>
      </c>
      <c r="O261" s="119">
        <v>0.36599999999999999</v>
      </c>
      <c r="P261" s="120">
        <v>1.769815827193848</v>
      </c>
      <c r="Q261" s="121">
        <v>0.36689947483819818</v>
      </c>
      <c r="R261" s="122">
        <v>8.9947483819818874E-4</v>
      </c>
      <c r="S261" s="122">
        <v>28.228147788641536</v>
      </c>
      <c r="T261" s="122">
        <v>0.25390508664822908</v>
      </c>
      <c r="U261" s="122">
        <v>8.9947483819818874</v>
      </c>
      <c r="V261" s="119">
        <v>1.08</v>
      </c>
      <c r="W261" s="120">
        <v>-26.330328311775599</v>
      </c>
      <c r="X261" s="120">
        <v>1.0822713428388189</v>
      </c>
      <c r="Y261" s="122">
        <v>2.2713428388188017E-3</v>
      </c>
      <c r="Z261" s="122">
        <v>512.14346411520205</v>
      </c>
      <c r="AA261" s="122">
        <v>11.632533896659181</v>
      </c>
      <c r="AB261" s="122">
        <v>22.713428388188017</v>
      </c>
    </row>
    <row r="262" spans="1:28" x14ac:dyDescent="0.25">
      <c r="A262" s="113">
        <v>6</v>
      </c>
      <c r="B262" s="113" t="s">
        <v>32</v>
      </c>
      <c r="C262" s="113" t="s">
        <v>28</v>
      </c>
      <c r="D262" s="113" t="s">
        <v>427</v>
      </c>
      <c r="E262" s="113">
        <v>3</v>
      </c>
      <c r="F262" s="114" t="s">
        <v>81</v>
      </c>
      <c r="G262" s="113">
        <v>249</v>
      </c>
      <c r="H262" s="113">
        <v>4.2679999999999998</v>
      </c>
      <c r="I262" s="113" t="s">
        <v>443</v>
      </c>
      <c r="J262" s="116">
        <v>1.0209032463590124</v>
      </c>
      <c r="K262" s="116">
        <v>43.761724302445892</v>
      </c>
      <c r="L262" s="117">
        <v>42.86569217848934</v>
      </c>
      <c r="M262" s="117">
        <v>318.88892352135935</v>
      </c>
      <c r="N262" s="117">
        <v>-27.128523827494305</v>
      </c>
      <c r="O262" s="119">
        <v>0.36599999999999999</v>
      </c>
      <c r="P262" s="120">
        <v>318.88892352135935</v>
      </c>
      <c r="Q262" s="121">
        <v>0.48248437034571712</v>
      </c>
      <c r="R262" s="122">
        <v>0.11648437034571713</v>
      </c>
      <c r="S262" s="122">
        <v>10.209032463590125</v>
      </c>
      <c r="T262" s="122">
        <v>11.89192718360281</v>
      </c>
      <c r="U262" s="122">
        <v>1164.8437034571712</v>
      </c>
      <c r="V262" s="119">
        <v>1.08</v>
      </c>
      <c r="W262" s="120">
        <v>-27.128523827494305</v>
      </c>
      <c r="X262" s="120">
        <v>1.0813937121750734</v>
      </c>
      <c r="Y262" s="122">
        <v>1.3937121750733361E-3</v>
      </c>
      <c r="Z262" s="122">
        <v>437.6172430244589</v>
      </c>
      <c r="AA262" s="122">
        <v>6.0991247962521538</v>
      </c>
      <c r="AB262" s="122">
        <v>13.937121750733361</v>
      </c>
    </row>
    <row r="263" spans="1:28" x14ac:dyDescent="0.25">
      <c r="A263" s="113">
        <v>6</v>
      </c>
      <c r="B263" s="113" t="s">
        <v>32</v>
      </c>
      <c r="C263" s="113" t="s">
        <v>28</v>
      </c>
      <c r="D263" s="113" t="s">
        <v>428</v>
      </c>
      <c r="E263" s="113">
        <v>3</v>
      </c>
      <c r="F263" s="114" t="s">
        <v>82</v>
      </c>
      <c r="G263" s="113">
        <v>250</v>
      </c>
      <c r="H263" s="113">
        <v>4.9279999999999999</v>
      </c>
      <c r="I263" s="113"/>
      <c r="J263" s="116">
        <v>0.78735756031980697</v>
      </c>
      <c r="K263" s="116">
        <v>40.903229832909823</v>
      </c>
      <c r="L263" s="117">
        <v>51.950005809680476</v>
      </c>
      <c r="M263" s="117">
        <v>45.961975929059292</v>
      </c>
      <c r="N263" s="117">
        <v>-26.478536496177561</v>
      </c>
      <c r="O263" s="119">
        <v>0.36599999999999999</v>
      </c>
      <c r="P263" s="120">
        <v>45.961975929059292</v>
      </c>
      <c r="Q263" s="121">
        <v>0.3830229160068726</v>
      </c>
      <c r="R263" s="122">
        <v>1.7022916006872613E-2</v>
      </c>
      <c r="S263" s="122">
        <v>7.8735756031980699</v>
      </c>
      <c r="T263" s="122">
        <v>1.3403121616700211</v>
      </c>
      <c r="U263" s="122">
        <v>170.22916006872612</v>
      </c>
      <c r="V263" s="119">
        <v>1.08</v>
      </c>
      <c r="W263" s="120">
        <v>-26.478536496177561</v>
      </c>
      <c r="X263" s="120">
        <v>1.0821083863890093</v>
      </c>
      <c r="Y263" s="122">
        <v>2.1083863890092314E-3</v>
      </c>
      <c r="Z263" s="122">
        <v>409.03229832909818</v>
      </c>
      <c r="AA263" s="122">
        <v>8.6239813046223386</v>
      </c>
      <c r="AB263" s="122">
        <v>21.083863890092314</v>
      </c>
    </row>
    <row r="264" spans="1:28" x14ac:dyDescent="0.25">
      <c r="A264" s="113">
        <v>6</v>
      </c>
      <c r="B264" s="113" t="s">
        <v>32</v>
      </c>
      <c r="C264" s="113" t="s">
        <v>30</v>
      </c>
      <c r="D264" s="113" t="s">
        <v>427</v>
      </c>
      <c r="E264" s="113">
        <v>3</v>
      </c>
      <c r="F264" s="114" t="s">
        <v>83</v>
      </c>
      <c r="G264" s="113">
        <v>251</v>
      </c>
      <c r="H264" s="113">
        <v>4.4710000000000001</v>
      </c>
      <c r="I264" s="113"/>
      <c r="J264" s="116">
        <v>0.68022423442572721</v>
      </c>
      <c r="K264" s="116">
        <v>25.005018622463869</v>
      </c>
      <c r="L264" s="117">
        <v>36.759964372004653</v>
      </c>
      <c r="M264" s="117">
        <v>3.7495959492913888</v>
      </c>
      <c r="N264" s="117">
        <v>-28.250174946821069</v>
      </c>
      <c r="O264" s="119">
        <v>0.36599999999999999</v>
      </c>
      <c r="P264" s="120">
        <v>3.7495959492913888</v>
      </c>
      <c r="Q264" s="121">
        <v>0.36762190622173646</v>
      </c>
      <c r="R264" s="122">
        <v>1.6219062217364688E-3</v>
      </c>
      <c r="S264" s="122">
        <v>6.8022423442572721</v>
      </c>
      <c r="T264" s="122">
        <v>0.11032599179910133</v>
      </c>
      <c r="U264" s="122">
        <v>16.219062217364687</v>
      </c>
      <c r="V264" s="119">
        <v>1.08</v>
      </c>
      <c r="W264" s="120">
        <v>-28.250174946821069</v>
      </c>
      <c r="X264" s="120">
        <v>1.0801604098021036</v>
      </c>
      <c r="Y264" s="122">
        <v>1.6040980210352274E-4</v>
      </c>
      <c r="Z264" s="122">
        <v>250.05018622463871</v>
      </c>
      <c r="AA264" s="122">
        <v>0.40110500888243306</v>
      </c>
      <c r="AB264" s="122">
        <v>1.6040980210352274</v>
      </c>
    </row>
    <row r="265" spans="1:28" x14ac:dyDescent="0.25">
      <c r="A265" s="113">
        <v>6</v>
      </c>
      <c r="B265" s="113" t="s">
        <v>36</v>
      </c>
      <c r="C265" s="113" t="s">
        <v>26</v>
      </c>
      <c r="D265" s="113" t="s">
        <v>427</v>
      </c>
      <c r="E265" s="113">
        <v>3</v>
      </c>
      <c r="F265" s="114" t="s">
        <v>84</v>
      </c>
      <c r="G265" s="113">
        <v>253</v>
      </c>
      <c r="H265" s="113">
        <v>4.1470000000000002</v>
      </c>
      <c r="I265" s="113"/>
      <c r="J265" s="116">
        <v>0.88154542437712691</v>
      </c>
      <c r="K265" s="116">
        <v>41.535601100779331</v>
      </c>
      <c r="L265" s="117">
        <v>47.116801871131166</v>
      </c>
      <c r="M265" s="117">
        <v>2536.3717472341805</v>
      </c>
      <c r="N265" s="117">
        <v>-17.768748705443169</v>
      </c>
      <c r="O265" s="119">
        <v>0.36599999999999999</v>
      </c>
      <c r="P265" s="120">
        <v>2536.3717472341805</v>
      </c>
      <c r="Q265" s="121">
        <v>1.2832878933923655</v>
      </c>
      <c r="R265" s="122">
        <v>0.91728789339236549</v>
      </c>
      <c r="S265" s="122">
        <v>8.8154542437712688</v>
      </c>
      <c r="T265" s="122">
        <v>80.863094525657345</v>
      </c>
      <c r="U265" s="122">
        <v>9172.8789339236537</v>
      </c>
      <c r="V265" s="119">
        <v>1.08</v>
      </c>
      <c r="W265" s="120">
        <v>-17.768748705443169</v>
      </c>
      <c r="X265" s="120">
        <v>1.0916839779528178</v>
      </c>
      <c r="Y265" s="122">
        <v>1.1683977952817726E-2</v>
      </c>
      <c r="Z265" s="122">
        <v>415.35601100779331</v>
      </c>
      <c r="AA265" s="122">
        <v>48.530104751853735</v>
      </c>
      <c r="AB265" s="122">
        <v>116.83977952817725</v>
      </c>
    </row>
    <row r="266" spans="1:28" x14ac:dyDescent="0.25">
      <c r="A266" s="113">
        <v>6</v>
      </c>
      <c r="B266" s="113" t="s">
        <v>36</v>
      </c>
      <c r="C266" s="113" t="s">
        <v>26</v>
      </c>
      <c r="D266" s="113" t="s">
        <v>428</v>
      </c>
      <c r="E266" s="113">
        <v>3</v>
      </c>
      <c r="F266" s="114" t="s">
        <v>85</v>
      </c>
      <c r="G266" s="113">
        <v>254</v>
      </c>
      <c r="H266" s="113">
        <v>4.1619999999999999</v>
      </c>
      <c r="I266" s="113"/>
      <c r="J266" s="116">
        <v>1.0785185173933458</v>
      </c>
      <c r="K266" s="116">
        <v>41.060709481658691</v>
      </c>
      <c r="L266" s="117">
        <v>38.071399627794676</v>
      </c>
      <c r="M266" s="117">
        <v>401.16166356828614</v>
      </c>
      <c r="N266" s="117">
        <v>-24.321689856716866</v>
      </c>
      <c r="O266" s="119">
        <v>0.36599999999999999</v>
      </c>
      <c r="P266" s="120">
        <v>401.16166356828614</v>
      </c>
      <c r="Q266" s="121">
        <v>0.51242768150036888</v>
      </c>
      <c r="R266" s="122">
        <v>0.14642768150036889</v>
      </c>
      <c r="S266" s="122">
        <v>10.785185173933458</v>
      </c>
      <c r="T266" s="122">
        <v>15.792496595712292</v>
      </c>
      <c r="U266" s="122">
        <v>1464.2768150036889</v>
      </c>
      <c r="V266" s="119">
        <v>1.08</v>
      </c>
      <c r="W266" s="120">
        <v>-24.321689856716866</v>
      </c>
      <c r="X266" s="120">
        <v>1.0844798088951304</v>
      </c>
      <c r="Y266" s="122">
        <v>4.4798088951303328E-3</v>
      </c>
      <c r="Z266" s="122">
        <v>410.60709481658694</v>
      </c>
      <c r="AA266" s="122">
        <v>18.394413157629703</v>
      </c>
      <c r="AB266" s="122">
        <v>44.798088951303328</v>
      </c>
    </row>
    <row r="267" spans="1:28" x14ac:dyDescent="0.25">
      <c r="A267" s="113">
        <v>6</v>
      </c>
      <c r="B267" s="113" t="s">
        <v>36</v>
      </c>
      <c r="C267" s="113" t="s">
        <v>28</v>
      </c>
      <c r="D267" s="113" t="s">
        <v>427</v>
      </c>
      <c r="E267" s="113">
        <v>3</v>
      </c>
      <c r="F267" s="114" t="s">
        <v>86</v>
      </c>
      <c r="G267" s="113">
        <v>255</v>
      </c>
      <c r="H267" s="113">
        <v>4.0129999999999999</v>
      </c>
      <c r="I267" s="113"/>
      <c r="J267" s="116">
        <v>0.93361291423224912</v>
      </c>
      <c r="K267" s="116">
        <v>39.019061447840244</v>
      </c>
      <c r="L267" s="117">
        <v>41.79361794703464</v>
      </c>
      <c r="M267" s="117">
        <v>494.00437841860713</v>
      </c>
      <c r="N267" s="117">
        <v>-24.603403182136265</v>
      </c>
      <c r="O267" s="119">
        <v>0.36599999999999999</v>
      </c>
      <c r="P267" s="120">
        <v>494.00437841860713</v>
      </c>
      <c r="Q267" s="121">
        <v>0.5461963211070876</v>
      </c>
      <c r="R267" s="122">
        <v>0.18019632110708761</v>
      </c>
      <c r="S267" s="122">
        <v>9.3361291423224912</v>
      </c>
      <c r="T267" s="122">
        <v>16.823361248271819</v>
      </c>
      <c r="U267" s="122">
        <v>1801.9632110708762</v>
      </c>
      <c r="V267" s="119">
        <v>1.08</v>
      </c>
      <c r="W267" s="120">
        <v>-24.603403182136265</v>
      </c>
      <c r="X267" s="120">
        <v>1.0841700755168129</v>
      </c>
      <c r="Y267" s="122">
        <v>4.1700755168128101E-3</v>
      </c>
      <c r="Z267" s="122">
        <v>390.19061447840244</v>
      </c>
      <c r="AA267" s="122">
        <v>16.271243283265317</v>
      </c>
      <c r="AB267" s="122">
        <v>41.700755168128097</v>
      </c>
    </row>
    <row r="268" spans="1:28" x14ac:dyDescent="0.25">
      <c r="A268" s="113">
        <v>6</v>
      </c>
      <c r="B268" s="113" t="s">
        <v>36</v>
      </c>
      <c r="C268" s="113" t="s">
        <v>28</v>
      </c>
      <c r="D268" s="113" t="s">
        <v>428</v>
      </c>
      <c r="E268" s="113">
        <v>3</v>
      </c>
      <c r="F268" s="114" t="s">
        <v>429</v>
      </c>
      <c r="G268" s="113">
        <v>256</v>
      </c>
      <c r="H268" s="113">
        <v>4.3410000000000002</v>
      </c>
      <c r="I268" s="113"/>
      <c r="J268" s="116">
        <v>1.0255799161355825</v>
      </c>
      <c r="K268" s="116">
        <v>39.413447462567625</v>
      </c>
      <c r="L268" s="117">
        <v>38.430401027234176</v>
      </c>
      <c r="M268" s="117">
        <v>49.010268402053327</v>
      </c>
      <c r="N268" s="117">
        <v>-26.261349932175229</v>
      </c>
      <c r="O268" s="119">
        <v>0.36599999999999999</v>
      </c>
      <c r="P268" s="120">
        <v>49.010268402053327</v>
      </c>
      <c r="Q268" s="121">
        <v>0.38413488840238535</v>
      </c>
      <c r="R268" s="122">
        <v>1.8134888402385363E-2</v>
      </c>
      <c r="S268" s="122">
        <v>10.255799161355826</v>
      </c>
      <c r="T268" s="122">
        <v>1.859877732684653</v>
      </c>
      <c r="U268" s="122">
        <v>181.3488840238536</v>
      </c>
      <c r="V268" s="119">
        <v>1.08</v>
      </c>
      <c r="W268" s="120">
        <v>-26.261349932175229</v>
      </c>
      <c r="X268" s="120">
        <v>1.0823471851059847</v>
      </c>
      <c r="Y268" s="122">
        <v>2.3471851059846394E-3</v>
      </c>
      <c r="Z268" s="122">
        <v>394.13447462567626</v>
      </c>
      <c r="AA268" s="122">
        <v>9.2510656859646812</v>
      </c>
      <c r="AB268" s="122">
        <v>23.471851059846394</v>
      </c>
    </row>
    <row r="269" spans="1:28" x14ac:dyDescent="0.25">
      <c r="A269" s="113">
        <v>6</v>
      </c>
      <c r="B269" s="113" t="s">
        <v>36</v>
      </c>
      <c r="C269" s="113" t="s">
        <v>30</v>
      </c>
      <c r="D269" s="113" t="s">
        <v>427</v>
      </c>
      <c r="E269" s="113">
        <v>3</v>
      </c>
      <c r="F269" s="114" t="s">
        <v>430</v>
      </c>
      <c r="G269" s="113">
        <v>257</v>
      </c>
      <c r="H269" s="113">
        <v>4.2690000000000001</v>
      </c>
      <c r="I269" s="113"/>
      <c r="J269" s="116">
        <v>1.028738162331148</v>
      </c>
      <c r="K269" s="116">
        <v>39.039927159479205</v>
      </c>
      <c r="L269" s="117">
        <v>37.949333065484502</v>
      </c>
      <c r="M269" s="117">
        <v>1.6099668082655798</v>
      </c>
      <c r="N269" s="117">
        <v>-27.068611100863233</v>
      </c>
      <c r="O269" s="119">
        <v>0.36599999999999999</v>
      </c>
      <c r="P269" s="120">
        <v>1.6099668082655798</v>
      </c>
      <c r="Q269" s="121">
        <v>0.3668411446976122</v>
      </c>
      <c r="R269" s="122">
        <v>8.4114469761220612E-4</v>
      </c>
      <c r="S269" s="122">
        <v>10.287381623311481</v>
      </c>
      <c r="T269" s="122">
        <v>8.6531765047617004E-2</v>
      </c>
      <c r="U269" s="122">
        <v>8.4114469761220612</v>
      </c>
      <c r="V269" s="119">
        <v>1.08</v>
      </c>
      <c r="W269" s="120">
        <v>-27.068611100863233</v>
      </c>
      <c r="X269" s="120">
        <v>1.0814595878615503</v>
      </c>
      <c r="Y269" s="122">
        <v>1.4595878615502045E-3</v>
      </c>
      <c r="Z269" s="122">
        <v>390.39927159479203</v>
      </c>
      <c r="AA269" s="122">
        <v>5.6982203797779993</v>
      </c>
      <c r="AB269" s="122">
        <v>14.595878615502045</v>
      </c>
    </row>
    <row r="270" spans="1:28" x14ac:dyDescent="0.25">
      <c r="A270" s="113">
        <v>6</v>
      </c>
      <c r="B270" s="113" t="s">
        <v>36</v>
      </c>
      <c r="C270" s="113" t="s">
        <v>30</v>
      </c>
      <c r="D270" s="113" t="s">
        <v>428</v>
      </c>
      <c r="E270" s="113">
        <v>3</v>
      </c>
      <c r="F270" s="114" t="s">
        <v>431</v>
      </c>
      <c r="G270" s="113">
        <v>258</v>
      </c>
      <c r="H270" s="113">
        <v>4.742</v>
      </c>
      <c r="I270" s="113"/>
      <c r="J270" s="116">
        <v>0.90111108754419866</v>
      </c>
      <c r="K270" s="116">
        <v>41.153804915455019</v>
      </c>
      <c r="L270" s="117">
        <v>45.670068301580478</v>
      </c>
      <c r="M270" s="117">
        <v>0.73101609237429965</v>
      </c>
      <c r="N270" s="117">
        <v>-26.535772329072024</v>
      </c>
      <c r="O270" s="119">
        <v>0.36599999999999999</v>
      </c>
      <c r="P270" s="120">
        <v>0.73101609237429965</v>
      </c>
      <c r="Q270" s="121">
        <v>0.36652040757810561</v>
      </c>
      <c r="R270" s="122">
        <v>5.2040757810561944E-4</v>
      </c>
      <c r="S270" s="122">
        <v>9.0111108754419877</v>
      </c>
      <c r="T270" s="122">
        <v>4.6894503867299736E-2</v>
      </c>
      <c r="U270" s="122">
        <v>5.2040757810561944</v>
      </c>
      <c r="V270" s="119">
        <v>1.08</v>
      </c>
      <c r="W270" s="120">
        <v>-26.535772329072024</v>
      </c>
      <c r="X270" s="120">
        <v>1.0820454548480356</v>
      </c>
      <c r="Y270" s="122">
        <v>2.0454548480355328E-3</v>
      </c>
      <c r="Z270" s="122">
        <v>411.53804915455015</v>
      </c>
      <c r="AA270" s="122">
        <v>8.4178249779426011</v>
      </c>
      <c r="AB270" s="122">
        <v>20.454548480355328</v>
      </c>
    </row>
    <row r="271" spans="1:28" x14ac:dyDescent="0.25">
      <c r="A271" s="113">
        <v>6</v>
      </c>
      <c r="B271" s="113" t="s">
        <v>40</v>
      </c>
      <c r="C271" s="113" t="s">
        <v>26</v>
      </c>
      <c r="D271" s="113" t="s">
        <v>427</v>
      </c>
      <c r="E271" s="113">
        <v>3</v>
      </c>
      <c r="F271" s="114" t="s">
        <v>87</v>
      </c>
      <c r="G271" s="113">
        <v>259</v>
      </c>
      <c r="H271" s="113">
        <v>1.554</v>
      </c>
      <c r="I271" s="113" t="s">
        <v>444</v>
      </c>
      <c r="J271" s="116">
        <v>0.89126947330793116</v>
      </c>
      <c r="K271" s="116">
        <v>38.358313763199305</v>
      </c>
      <c r="L271" s="117">
        <v>43.037840868523283</v>
      </c>
      <c r="M271" s="117">
        <v>1574.461199119401</v>
      </c>
      <c r="N271" s="117">
        <v>-15.527152530562226</v>
      </c>
      <c r="O271" s="119">
        <v>0.36599999999999999</v>
      </c>
      <c r="P271" s="120">
        <v>1574.461199119401</v>
      </c>
      <c r="Q271" s="121">
        <v>0.93749970270236793</v>
      </c>
      <c r="R271" s="122">
        <v>0.57149970270236794</v>
      </c>
      <c r="S271" s="122">
        <v>8.9126947330793111</v>
      </c>
      <c r="T271" s="122">
        <v>50.936023902317871</v>
      </c>
      <c r="U271" s="122">
        <v>5714.9970270236799</v>
      </c>
      <c r="V271" s="119">
        <v>1.08</v>
      </c>
      <c r="W271" s="120">
        <v>-15.527152530562226</v>
      </c>
      <c r="X271" s="120">
        <v>1.0941481019233197</v>
      </c>
      <c r="Y271" s="122">
        <v>1.4148101923319611E-2</v>
      </c>
      <c r="Z271" s="122">
        <v>383.58313763199305</v>
      </c>
      <c r="AA271" s="122">
        <v>54.269733272841719</v>
      </c>
      <c r="AB271" s="122">
        <v>141.48101923319612</v>
      </c>
    </row>
    <row r="272" spans="1:28" x14ac:dyDescent="0.25">
      <c r="A272" s="113">
        <v>6</v>
      </c>
      <c r="B272" s="113" t="s">
        <v>40</v>
      </c>
      <c r="C272" s="113" t="s">
        <v>26</v>
      </c>
      <c r="D272" s="113" t="s">
        <v>428</v>
      </c>
      <c r="E272" s="113">
        <v>3</v>
      </c>
      <c r="F272" s="114" t="s">
        <v>88</v>
      </c>
      <c r="G272" s="113">
        <v>260</v>
      </c>
      <c r="H272" s="113">
        <v>4.806</v>
      </c>
      <c r="I272" s="113"/>
      <c r="J272" s="116">
        <v>1.9623763504276097</v>
      </c>
      <c r="K272" s="116">
        <v>41.923599946066652</v>
      </c>
      <c r="L272" s="117">
        <v>21.363689965449961</v>
      </c>
      <c r="M272" s="117">
        <v>148.42551901674875</v>
      </c>
      <c r="N272" s="117">
        <v>-25.234071888423077</v>
      </c>
      <c r="O272" s="119">
        <v>0.36599999999999999</v>
      </c>
      <c r="P272" s="120">
        <v>148.42551901674875</v>
      </c>
      <c r="Q272" s="121">
        <v>0.42038651195962923</v>
      </c>
      <c r="R272" s="122">
        <v>5.4386511959629236E-2</v>
      </c>
      <c r="S272" s="122">
        <v>19.623763504276095</v>
      </c>
      <c r="T272" s="122">
        <v>10.672680485182475</v>
      </c>
      <c r="U272" s="122">
        <v>543.8651195962924</v>
      </c>
      <c r="V272" s="119">
        <v>1.08</v>
      </c>
      <c r="W272" s="120">
        <v>-25.234071888423077</v>
      </c>
      <c r="X272" s="120">
        <v>1.0834766715760868</v>
      </c>
      <c r="Y272" s="122">
        <v>3.4766715760867761E-3</v>
      </c>
      <c r="Z272" s="122">
        <v>419.23599946066651</v>
      </c>
      <c r="AA272" s="122">
        <v>14.575458829972304</v>
      </c>
      <c r="AB272" s="122">
        <v>34.766715760867761</v>
      </c>
    </row>
    <row r="273" spans="1:28" x14ac:dyDescent="0.25">
      <c r="A273" s="113">
        <v>6</v>
      </c>
      <c r="B273" s="113" t="s">
        <v>40</v>
      </c>
      <c r="C273" s="113" t="s">
        <v>28</v>
      </c>
      <c r="D273" s="113" t="s">
        <v>427</v>
      </c>
      <c r="E273" s="113">
        <v>3</v>
      </c>
      <c r="F273" s="114" t="s">
        <v>89</v>
      </c>
      <c r="G273" s="113">
        <v>261</v>
      </c>
      <c r="H273" s="113">
        <v>4.1790000000000003</v>
      </c>
      <c r="I273" s="113"/>
      <c r="J273" s="116">
        <v>1.6114788267231928</v>
      </c>
      <c r="K273" s="116">
        <v>40.874130116310454</v>
      </c>
      <c r="L273" s="117">
        <v>25.364360634774567</v>
      </c>
      <c r="M273" s="117">
        <v>568.96491676391986</v>
      </c>
      <c r="N273" s="117">
        <v>-23.167951521390254</v>
      </c>
      <c r="O273" s="119">
        <v>0.36599999999999999</v>
      </c>
      <c r="P273" s="120">
        <v>568.96491676391986</v>
      </c>
      <c r="Q273" s="121">
        <v>0.5734441556137414</v>
      </c>
      <c r="R273" s="122">
        <v>0.20744415561374141</v>
      </c>
      <c r="S273" s="122">
        <v>16.11478826723193</v>
      </c>
      <c r="T273" s="122">
        <v>33.429186449901543</v>
      </c>
      <c r="U273" s="122">
        <v>2074.441556137414</v>
      </c>
      <c r="V273" s="119">
        <v>1.08</v>
      </c>
      <c r="W273" s="120">
        <v>-23.167951521390254</v>
      </c>
      <c r="X273" s="120">
        <v>1.085748281269344</v>
      </c>
      <c r="Y273" s="122">
        <v>5.7482812693439023E-3</v>
      </c>
      <c r="Z273" s="122">
        <v>408.74130116310454</v>
      </c>
      <c r="AA273" s="122">
        <v>23.495599654831288</v>
      </c>
      <c r="AB273" s="122">
        <v>57.482812693439023</v>
      </c>
    </row>
    <row r="274" spans="1:28" x14ac:dyDescent="0.25">
      <c r="A274" s="113"/>
      <c r="B274" s="113"/>
      <c r="C274" s="113"/>
      <c r="D274" s="113"/>
      <c r="E274" s="113"/>
      <c r="F274" s="113"/>
      <c r="G274" s="113"/>
      <c r="H274" s="113"/>
      <c r="I274" s="124" t="s">
        <v>469</v>
      </c>
      <c r="J274" s="116">
        <v>2.235138776730289</v>
      </c>
      <c r="K274" s="116">
        <v>39.125941674079108</v>
      </c>
      <c r="L274" s="117">
        <v>17.504927247208855</v>
      </c>
      <c r="M274" s="117">
        <v>3.0435373877848937</v>
      </c>
      <c r="N274" s="117">
        <v>-26.214205629342494</v>
      </c>
      <c r="O274" s="119">
        <v>0.36599999999999999</v>
      </c>
      <c r="P274" s="120">
        <v>3.0435373877848937</v>
      </c>
      <c r="Q274" s="121">
        <v>0.36736426322480098</v>
      </c>
      <c r="R274" s="122">
        <v>1.3642632248009878E-3</v>
      </c>
      <c r="S274" s="122">
        <v>22.351387767302889</v>
      </c>
      <c r="T274" s="122">
        <v>0.30493176354197987</v>
      </c>
      <c r="U274" s="122">
        <v>13.642632248009878</v>
      </c>
      <c r="V274" s="119">
        <v>1.08</v>
      </c>
      <c r="W274" s="120">
        <v>-26.214205629342494</v>
      </c>
      <c r="X274" s="120">
        <v>1.0823990205682901</v>
      </c>
      <c r="Y274" s="122">
        <v>2.3990205682900001E-3</v>
      </c>
      <c r="Z274" s="122">
        <v>391.25941674079104</v>
      </c>
      <c r="AA274" s="122">
        <v>9.3863938829830644</v>
      </c>
      <c r="AB274" s="122">
        <v>23.990205682900001</v>
      </c>
    </row>
    <row r="275" spans="1:28" x14ac:dyDescent="0.25">
      <c r="A275" s="113">
        <v>6</v>
      </c>
      <c r="B275" s="113" t="s">
        <v>40</v>
      </c>
      <c r="C275" s="113" t="s">
        <v>28</v>
      </c>
      <c r="D275" s="113" t="s">
        <v>428</v>
      </c>
      <c r="E275" s="113">
        <v>3</v>
      </c>
      <c r="F275" s="114" t="s">
        <v>90</v>
      </c>
      <c r="G275" s="113">
        <v>262</v>
      </c>
      <c r="H275" s="113">
        <v>4.2249999999999996</v>
      </c>
      <c r="I275" s="113"/>
      <c r="J275" s="116">
        <v>1.7966548388499073</v>
      </c>
      <c r="K275" s="116">
        <v>44.784228624066813</v>
      </c>
      <c r="L275" s="117">
        <v>24.926450899569858</v>
      </c>
      <c r="M275" s="117">
        <v>597.03342174050522</v>
      </c>
      <c r="N275" s="117">
        <v>-20.584279501098017</v>
      </c>
      <c r="O275" s="119">
        <v>0.36599999999999999</v>
      </c>
      <c r="P275" s="120">
        <v>597.03342174050522</v>
      </c>
      <c r="Q275" s="121">
        <v>0.58364309531306247</v>
      </c>
      <c r="R275" s="122">
        <v>0.21764309531306247</v>
      </c>
      <c r="S275" s="122">
        <v>17.966548388499071</v>
      </c>
      <c r="T275" s="122">
        <v>39.102952033648528</v>
      </c>
      <c r="U275" s="122">
        <v>2176.4309531306249</v>
      </c>
      <c r="V275" s="119">
        <v>1.08</v>
      </c>
      <c r="W275" s="120">
        <v>-20.584279501098017</v>
      </c>
      <c r="X275" s="120">
        <v>1.0885887697417804</v>
      </c>
      <c r="Y275" s="122">
        <v>8.5887697417803555E-3</v>
      </c>
      <c r="Z275" s="122">
        <v>447.84228624066816</v>
      </c>
      <c r="AA275" s="122">
        <v>38.464142771535876</v>
      </c>
      <c r="AB275" s="122">
        <v>85.887697417803551</v>
      </c>
    </row>
    <row r="276" spans="1:28" x14ac:dyDescent="0.25">
      <c r="A276" s="113">
        <v>6</v>
      </c>
      <c r="B276" s="113" t="s">
        <v>40</v>
      </c>
      <c r="C276" s="113" t="s">
        <v>30</v>
      </c>
      <c r="D276" s="113" t="s">
        <v>427</v>
      </c>
      <c r="E276" s="113">
        <v>3</v>
      </c>
      <c r="F276" s="114" t="s">
        <v>91</v>
      </c>
      <c r="G276" s="113">
        <v>263</v>
      </c>
      <c r="H276" s="113">
        <v>4.1959999999999997</v>
      </c>
      <c r="I276" s="113"/>
      <c r="J276" s="116">
        <v>1.0169134547704339</v>
      </c>
      <c r="K276" s="116">
        <v>41.177148836587307</v>
      </c>
      <c r="L276" s="117">
        <v>40.492284415572968</v>
      </c>
      <c r="M276" s="117">
        <v>6.7337488525422167</v>
      </c>
      <c r="N276" s="117">
        <v>-28.36277331498432</v>
      </c>
      <c r="O276" s="119">
        <v>0.36599999999999999</v>
      </c>
      <c r="P276" s="120">
        <v>6.7337488525422167</v>
      </c>
      <c r="Q276" s="121">
        <v>0.36871081831502961</v>
      </c>
      <c r="R276" s="122">
        <v>2.7108183150296172E-3</v>
      </c>
      <c r="S276" s="122">
        <v>10.16913454770434</v>
      </c>
      <c r="T276" s="122">
        <v>0.27566676179917349</v>
      </c>
      <c r="U276" s="122">
        <v>27.108183150296171</v>
      </c>
      <c r="V276" s="119">
        <v>1.08</v>
      </c>
      <c r="W276" s="120">
        <v>-28.36277331498432</v>
      </c>
      <c r="X276" s="120">
        <v>1.0800366014828786</v>
      </c>
      <c r="Y276" s="122">
        <v>3.6601482878539926E-5</v>
      </c>
      <c r="Z276" s="122">
        <v>411.7714883658731</v>
      </c>
      <c r="AA276" s="122">
        <v>0.15071447081294406</v>
      </c>
      <c r="AB276" s="122">
        <v>0.36601482878539926</v>
      </c>
    </row>
    <row r="277" spans="1:28" x14ac:dyDescent="0.25">
      <c r="A277" s="113">
        <v>6</v>
      </c>
      <c r="B277" s="113" t="s">
        <v>40</v>
      </c>
      <c r="C277" s="113" t="s">
        <v>30</v>
      </c>
      <c r="D277" s="113" t="s">
        <v>428</v>
      </c>
      <c r="E277" s="113">
        <v>3</v>
      </c>
      <c r="F277" s="114" t="s">
        <v>92</v>
      </c>
      <c r="G277" s="113">
        <v>264</v>
      </c>
      <c r="H277" s="113">
        <v>3.8</v>
      </c>
      <c r="I277" s="113" t="s">
        <v>444</v>
      </c>
      <c r="J277" s="116">
        <v>1.1909021686875714</v>
      </c>
      <c r="K277" s="116">
        <v>46.640816146370305</v>
      </c>
      <c r="L277" s="117">
        <v>39.164271736754515</v>
      </c>
      <c r="M277" s="117">
        <v>-4.9737884788607207</v>
      </c>
      <c r="N277" s="117">
        <v>-27.468157803496226</v>
      </c>
      <c r="O277" s="119">
        <v>0.36599999999999999</v>
      </c>
      <c r="P277" s="120">
        <v>-4.9737884788607207</v>
      </c>
      <c r="Q277" s="121">
        <v>0.36443862224671314</v>
      </c>
      <c r="R277" s="122">
        <v>-1.5613777532868522E-3</v>
      </c>
      <c r="S277" s="122">
        <v>11.909021686875713</v>
      </c>
      <c r="T277" s="122">
        <v>-0.18594481525298401</v>
      </c>
      <c r="U277" s="122">
        <v>-15.613777532868522</v>
      </c>
      <c r="V277" s="119">
        <v>1.08</v>
      </c>
      <c r="W277" s="120">
        <v>-27.468157803496226</v>
      </c>
      <c r="X277" s="120">
        <v>1.0810202736430075</v>
      </c>
      <c r="Y277" s="122">
        <v>1.0202736430073855E-3</v>
      </c>
      <c r="Z277" s="122">
        <v>466.40816146370304</v>
      </c>
      <c r="AA277" s="122">
        <v>4.7586395402494919</v>
      </c>
      <c r="AB277" s="122">
        <v>10.202736430073855</v>
      </c>
    </row>
    <row r="278" spans="1:28" x14ac:dyDescent="0.25">
      <c r="A278" s="113">
        <v>6</v>
      </c>
      <c r="B278" s="113" t="s">
        <v>44</v>
      </c>
      <c r="C278" s="113" t="s">
        <v>26</v>
      </c>
      <c r="D278" s="113" t="s">
        <v>427</v>
      </c>
      <c r="E278" s="113">
        <v>3</v>
      </c>
      <c r="F278" s="114" t="s">
        <v>93</v>
      </c>
      <c r="G278" s="113">
        <v>265</v>
      </c>
      <c r="H278" s="113">
        <v>4.9450000000000003</v>
      </c>
      <c r="I278" s="113"/>
      <c r="J278" s="116">
        <v>1.4164729074846318</v>
      </c>
      <c r="K278" s="116">
        <v>44.615893591766124</v>
      </c>
      <c r="L278" s="117">
        <v>31.497879949567753</v>
      </c>
      <c r="M278" s="117">
        <v>196.29660455324102</v>
      </c>
      <c r="N278" s="117">
        <v>-27.564800775141141</v>
      </c>
      <c r="O278" s="119">
        <v>0.36599999999999999</v>
      </c>
      <c r="P278" s="120">
        <v>196.29660455324102</v>
      </c>
      <c r="Q278" s="121">
        <v>0.43783322244503342</v>
      </c>
      <c r="R278" s="122">
        <v>7.1833222445033429E-2</v>
      </c>
      <c r="S278" s="122">
        <v>14.164729074846317</v>
      </c>
      <c r="T278" s="122">
        <v>10.174981345070682</v>
      </c>
      <c r="U278" s="122">
        <v>718.33222445033425</v>
      </c>
      <c r="V278" s="119">
        <v>1.08</v>
      </c>
      <c r="W278" s="120">
        <v>-27.564800775141141</v>
      </c>
      <c r="X278" s="120">
        <v>1.0809140110573021</v>
      </c>
      <c r="Y278" s="122">
        <v>9.1401105730204435E-4</v>
      </c>
      <c r="Z278" s="122">
        <v>446.15893591766127</v>
      </c>
      <c r="AA278" s="122">
        <v>4.0779420074285655</v>
      </c>
      <c r="AB278" s="122">
        <v>9.1401105730204435</v>
      </c>
    </row>
    <row r="279" spans="1:28" x14ac:dyDescent="0.25">
      <c r="A279" s="113">
        <v>6</v>
      </c>
      <c r="B279" s="113" t="s">
        <v>44</v>
      </c>
      <c r="C279" s="113" t="s">
        <v>26</v>
      </c>
      <c r="D279" s="113" t="s">
        <v>428</v>
      </c>
      <c r="E279" s="113">
        <v>3</v>
      </c>
      <c r="F279" s="114" t="s">
        <v>94</v>
      </c>
      <c r="G279" s="113">
        <v>266</v>
      </c>
      <c r="H279" s="113">
        <v>4.0999999999999996</v>
      </c>
      <c r="I279" s="113"/>
      <c r="J279" s="116">
        <v>0.9996070089791278</v>
      </c>
      <c r="K279" s="116">
        <v>46.560643085721551</v>
      </c>
      <c r="L279" s="117">
        <v>46.578948194123512</v>
      </c>
      <c r="M279" s="117">
        <v>33.063889357844431</v>
      </c>
      <c r="N279" s="117">
        <v>-29.589951109050201</v>
      </c>
      <c r="O279" s="119">
        <v>0.36599999999999999</v>
      </c>
      <c r="P279" s="120">
        <v>33.063889357844431</v>
      </c>
      <c r="Q279" s="121">
        <v>0.37831760839639489</v>
      </c>
      <c r="R279" s="122">
        <v>1.2317608396394897E-2</v>
      </c>
      <c r="S279" s="122">
        <v>9.996070089791278</v>
      </c>
      <c r="T279" s="122">
        <v>1.2312767686896495</v>
      </c>
      <c r="U279" s="122">
        <v>123.17608396394898</v>
      </c>
      <c r="V279" s="119">
        <v>1.08</v>
      </c>
      <c r="W279" s="120">
        <v>-29.589951109050201</v>
      </c>
      <c r="X279" s="120">
        <v>1.0786872295046941</v>
      </c>
      <c r="Y279" s="122">
        <v>-1.3127704953059816E-3</v>
      </c>
      <c r="Z279" s="122">
        <v>465.60643085721551</v>
      </c>
      <c r="AA279" s="122">
        <v>-6.1123438485407711</v>
      </c>
      <c r="AB279" s="122">
        <v>-13.127704953059816</v>
      </c>
    </row>
    <row r="280" spans="1:28" x14ac:dyDescent="0.25">
      <c r="A280" s="113">
        <v>6</v>
      </c>
      <c r="B280" s="113" t="s">
        <v>44</v>
      </c>
      <c r="C280" s="113" t="s">
        <v>28</v>
      </c>
      <c r="D280" s="113" t="s">
        <v>427</v>
      </c>
      <c r="E280" s="113">
        <v>3</v>
      </c>
      <c r="F280" s="114" t="s">
        <v>95</v>
      </c>
      <c r="G280" s="113">
        <v>267</v>
      </c>
      <c r="H280" s="113">
        <v>4.2590000000000003</v>
      </c>
      <c r="I280" s="113"/>
      <c r="J280" s="116">
        <v>1.4019189484156271</v>
      </c>
      <c r="K280" s="116">
        <v>42.491502296705704</v>
      </c>
      <c r="L280" s="117">
        <v>30.30952848217602</v>
      </c>
      <c r="M280" s="117">
        <v>518.54075263889047</v>
      </c>
      <c r="N280" s="117">
        <v>-22.930093899329336</v>
      </c>
      <c r="O280" s="119">
        <v>0.36599999999999999</v>
      </c>
      <c r="P280" s="120">
        <v>518.54075263889047</v>
      </c>
      <c r="Q280" s="121">
        <v>0.55511683202278295</v>
      </c>
      <c r="R280" s="122">
        <v>0.18911683202278295</v>
      </c>
      <c r="S280" s="122">
        <v>14.019189484156271</v>
      </c>
      <c r="T280" s="122">
        <v>26.51264702770747</v>
      </c>
      <c r="U280" s="122">
        <v>1891.1683202278296</v>
      </c>
      <c r="V280" s="119">
        <v>1.08</v>
      </c>
      <c r="W280" s="120">
        <v>-22.930093899329336</v>
      </c>
      <c r="X280" s="120">
        <v>1.0860097887069846</v>
      </c>
      <c r="Y280" s="122">
        <v>6.0097887069845424E-3</v>
      </c>
      <c r="Z280" s="122">
        <v>424.91502296705704</v>
      </c>
      <c r="AA280" s="122">
        <v>25.53649506455497</v>
      </c>
      <c r="AB280" s="122">
        <v>60.097887069845427</v>
      </c>
    </row>
    <row r="281" spans="1:28" x14ac:dyDescent="0.25">
      <c r="A281" s="113">
        <v>6</v>
      </c>
      <c r="B281" s="113" t="s">
        <v>44</v>
      </c>
      <c r="C281" s="113" t="s">
        <v>28</v>
      </c>
      <c r="D281" s="113" t="s">
        <v>428</v>
      </c>
      <c r="E281" s="113">
        <v>3</v>
      </c>
      <c r="F281" s="114" t="s">
        <v>96</v>
      </c>
      <c r="G281" s="113">
        <v>268</v>
      </c>
      <c r="H281" s="113">
        <v>4.28</v>
      </c>
      <c r="I281" s="113"/>
      <c r="J281" s="116">
        <v>0.99047898943203605</v>
      </c>
      <c r="K281" s="116">
        <v>45.330057488398658</v>
      </c>
      <c r="L281" s="117">
        <v>45.765794097653682</v>
      </c>
      <c r="M281" s="117">
        <v>387.70179959735549</v>
      </c>
      <c r="N281" s="117">
        <v>-26.399313484912895</v>
      </c>
      <c r="O281" s="119">
        <v>0.36599999999999999</v>
      </c>
      <c r="P281" s="120">
        <v>387.70179959735549</v>
      </c>
      <c r="Q281" s="121">
        <v>0.50753017276863266</v>
      </c>
      <c r="R281" s="122">
        <v>0.14153017276863267</v>
      </c>
      <c r="S281" s="122">
        <v>9.9047898943203592</v>
      </c>
      <c r="T281" s="122">
        <v>14.018266249801673</v>
      </c>
      <c r="U281" s="122">
        <v>1415.3017276863266</v>
      </c>
      <c r="V281" s="119">
        <v>1.08</v>
      </c>
      <c r="W281" s="120">
        <v>-26.399313484912895</v>
      </c>
      <c r="X281" s="120">
        <v>1.0821954929857895</v>
      </c>
      <c r="Y281" s="122">
        <v>2.1954929857894712E-3</v>
      </c>
      <c r="Z281" s="122">
        <v>453.30057488398654</v>
      </c>
      <c r="AA281" s="122">
        <v>9.9521823261212745</v>
      </c>
      <c r="AB281" s="122">
        <v>21.954929857894712</v>
      </c>
    </row>
    <row r="282" spans="1:28" x14ac:dyDescent="0.25">
      <c r="A282" s="113">
        <v>6</v>
      </c>
      <c r="B282" s="113" t="s">
        <v>44</v>
      </c>
      <c r="C282" s="113" t="s">
        <v>30</v>
      </c>
      <c r="D282" s="113" t="s">
        <v>427</v>
      </c>
      <c r="E282" s="113">
        <v>3</v>
      </c>
      <c r="F282" s="114" t="s">
        <v>97</v>
      </c>
      <c r="G282" s="113">
        <v>269</v>
      </c>
      <c r="H282" s="113">
        <v>4.3460000000000001</v>
      </c>
      <c r="I282" s="113"/>
      <c r="J282" s="116">
        <v>1.2921532447181567</v>
      </c>
      <c r="K282" s="116">
        <v>41.371795033970493</v>
      </c>
      <c r="L282" s="117">
        <v>32.017715548123299</v>
      </c>
      <c r="M282" s="117">
        <v>0.95326176994517553</v>
      </c>
      <c r="N282" s="117">
        <v>-27.884635730818513</v>
      </c>
      <c r="O282" s="119">
        <v>0.36599999999999999</v>
      </c>
      <c r="P282" s="120">
        <v>0.95326176994517553</v>
      </c>
      <c r="Q282" s="121">
        <v>0.36660150724456747</v>
      </c>
      <c r="R282" s="122">
        <v>6.0150724456747851E-4</v>
      </c>
      <c r="S282" s="122">
        <v>12.921532447181567</v>
      </c>
      <c r="T282" s="122">
        <v>7.7723953778934526E-2</v>
      </c>
      <c r="U282" s="122">
        <v>6.0150724456747851</v>
      </c>
      <c r="V282" s="119">
        <v>1.08</v>
      </c>
      <c r="W282" s="120">
        <v>-27.884635730818513</v>
      </c>
      <c r="X282" s="120">
        <v>1.0805623388544763</v>
      </c>
      <c r="Y282" s="122">
        <v>5.6233885447620757E-4</v>
      </c>
      <c r="Z282" s="122">
        <v>413.71795033970494</v>
      </c>
      <c r="AA282" s="122">
        <v>2.3264967827027419</v>
      </c>
      <c r="AB282" s="122">
        <v>5.6233885447620757</v>
      </c>
    </row>
    <row r="283" spans="1:28" x14ac:dyDescent="0.25">
      <c r="A283" s="113">
        <v>6</v>
      </c>
      <c r="B283" s="113" t="s">
        <v>44</v>
      </c>
      <c r="C283" s="113" t="s">
        <v>30</v>
      </c>
      <c r="D283" s="113" t="s">
        <v>428</v>
      </c>
      <c r="E283" s="113">
        <v>3</v>
      </c>
      <c r="F283" s="114" t="s">
        <v>98</v>
      </c>
      <c r="G283" s="113">
        <v>270</v>
      </c>
      <c r="H283" s="113">
        <v>4.74</v>
      </c>
      <c r="I283" s="113"/>
      <c r="J283" s="116">
        <v>0.89522669561748169</v>
      </c>
      <c r="K283" s="116">
        <v>40.531491789305576</v>
      </c>
      <c r="L283" s="117">
        <v>45.275115216877019</v>
      </c>
      <c r="M283" s="117">
        <v>1.6099981093461575</v>
      </c>
      <c r="N283" s="117">
        <v>-26.66144211753944</v>
      </c>
      <c r="O283" s="119">
        <v>0.36599999999999999</v>
      </c>
      <c r="P283" s="120">
        <v>1.6099981093461575</v>
      </c>
      <c r="Q283" s="121">
        <v>0.36684115611962476</v>
      </c>
      <c r="R283" s="122">
        <v>8.4115611962476411E-4</v>
      </c>
      <c r="S283" s="122">
        <v>8.9522669561748174</v>
      </c>
      <c r="T283" s="122">
        <v>7.5302541347010088E-2</v>
      </c>
      <c r="U283" s="122">
        <v>8.4115611962476411</v>
      </c>
      <c r="V283" s="119">
        <v>1.08</v>
      </c>
      <c r="W283" s="120">
        <v>-26.66144211753944</v>
      </c>
      <c r="X283" s="120">
        <v>1.0819072790039723</v>
      </c>
      <c r="Y283" s="122">
        <v>1.9072790039722509E-3</v>
      </c>
      <c r="Z283" s="122">
        <v>405.31491789305574</v>
      </c>
      <c r="AA283" s="122">
        <v>7.7304863289416197</v>
      </c>
      <c r="AB283" s="122">
        <v>19.072790039722509</v>
      </c>
    </row>
    <row r="284" spans="1:28" x14ac:dyDescent="0.25">
      <c r="A284" s="113">
        <v>6</v>
      </c>
      <c r="B284" s="113" t="s">
        <v>48</v>
      </c>
      <c r="C284" s="113" t="s">
        <v>26</v>
      </c>
      <c r="D284" s="113" t="s">
        <v>427</v>
      </c>
      <c r="E284" s="113">
        <v>3</v>
      </c>
      <c r="F284" s="114" t="s">
        <v>99</v>
      </c>
      <c r="G284" s="113">
        <v>271</v>
      </c>
      <c r="H284" s="113">
        <v>4.1520000000000001</v>
      </c>
      <c r="I284" s="113"/>
      <c r="J284" s="116">
        <v>1.2223044840507804</v>
      </c>
      <c r="K284" s="116">
        <v>45.92420143035271</v>
      </c>
      <c r="L284" s="117">
        <v>37.571817848657084</v>
      </c>
      <c r="M284" s="117">
        <v>306.05874830935619</v>
      </c>
      <c r="N284" s="117">
        <v>-27.516100199267498</v>
      </c>
      <c r="O284" s="119">
        <v>0.36599999999999999</v>
      </c>
      <c r="P284" s="120">
        <v>306.05874830935619</v>
      </c>
      <c r="Q284" s="121">
        <v>0.47781318041648374</v>
      </c>
      <c r="R284" s="122">
        <v>0.11181318041648375</v>
      </c>
      <c r="S284" s="122">
        <v>12.223044840507805</v>
      </c>
      <c r="T284" s="122">
        <v>13.6669751799047</v>
      </c>
      <c r="U284" s="122">
        <v>1118.1318041648374</v>
      </c>
      <c r="V284" s="119">
        <v>1.08</v>
      </c>
      <c r="W284" s="120">
        <v>-27.516100199267498</v>
      </c>
      <c r="X284" s="120">
        <v>1.0809675592024739</v>
      </c>
      <c r="Y284" s="122">
        <v>9.6755920247382221E-4</v>
      </c>
      <c r="Z284" s="122">
        <v>459.24201430352713</v>
      </c>
      <c r="AA284" s="122">
        <v>4.4434383710199228</v>
      </c>
      <c r="AB284" s="122">
        <v>9.6755920247382221</v>
      </c>
    </row>
    <row r="285" spans="1:28" x14ac:dyDescent="0.25">
      <c r="A285" s="113">
        <v>6</v>
      </c>
      <c r="B285" s="113" t="s">
        <v>48</v>
      </c>
      <c r="C285" s="113" t="s">
        <v>26</v>
      </c>
      <c r="D285" s="113" t="s">
        <v>428</v>
      </c>
      <c r="E285" s="113">
        <v>3</v>
      </c>
      <c r="F285" s="114" t="s">
        <v>100</v>
      </c>
      <c r="G285" s="113">
        <v>272</v>
      </c>
      <c r="H285" s="113">
        <v>4.5309999999999997</v>
      </c>
      <c r="I285" s="113"/>
      <c r="J285" s="116">
        <v>0.97134098737055563</v>
      </c>
      <c r="K285" s="116">
        <v>46.112692046492853</v>
      </c>
      <c r="L285" s="117">
        <v>47.473227883980329</v>
      </c>
      <c r="M285" s="117">
        <v>171.74043416050174</v>
      </c>
      <c r="N285" s="117">
        <v>-29.117276315617261</v>
      </c>
      <c r="O285" s="119">
        <v>0.36599999999999999</v>
      </c>
      <c r="P285" s="120">
        <v>171.74043416050174</v>
      </c>
      <c r="Q285" s="121">
        <v>0.42888444199084153</v>
      </c>
      <c r="R285" s="122">
        <v>6.2884441990841533E-2</v>
      </c>
      <c r="S285" s="122">
        <v>9.7134098737055563</v>
      </c>
      <c r="T285" s="122">
        <v>6.108223597363045</v>
      </c>
      <c r="U285" s="122">
        <v>628.84441990841538</v>
      </c>
      <c r="V285" s="119">
        <v>1.08</v>
      </c>
      <c r="W285" s="120">
        <v>-29.117276315617261</v>
      </c>
      <c r="X285" s="120">
        <v>1.0792069744620987</v>
      </c>
      <c r="Y285" s="122">
        <v>-7.9302553790139285E-4</v>
      </c>
      <c r="Z285" s="122">
        <v>461.1269204649285</v>
      </c>
      <c r="AA285" s="122">
        <v>-3.6568542414251271</v>
      </c>
      <c r="AB285" s="122">
        <v>-7.9302553790139285</v>
      </c>
    </row>
    <row r="286" spans="1:28" x14ac:dyDescent="0.25">
      <c r="A286" s="113">
        <v>6</v>
      </c>
      <c r="B286" s="113" t="s">
        <v>48</v>
      </c>
      <c r="C286" s="113" t="s">
        <v>28</v>
      </c>
      <c r="D286" s="113" t="s">
        <v>427</v>
      </c>
      <c r="E286" s="113">
        <v>3</v>
      </c>
      <c r="F286" s="114" t="s">
        <v>101</v>
      </c>
      <c r="G286" s="113">
        <v>273</v>
      </c>
      <c r="H286" s="113">
        <v>4.1360000000000001</v>
      </c>
      <c r="I286" s="113"/>
      <c r="J286" s="116">
        <v>1.326236451547971</v>
      </c>
      <c r="K286" s="116">
        <v>44.985184172365784</v>
      </c>
      <c r="L286" s="117">
        <v>33.919429766735398</v>
      </c>
      <c r="M286" s="117">
        <v>582.52099509039226</v>
      </c>
      <c r="N286" s="117">
        <v>-24.122251892156651</v>
      </c>
      <c r="O286" s="119">
        <v>0.36599999999999999</v>
      </c>
      <c r="P286" s="120">
        <v>582.52099509039226</v>
      </c>
      <c r="Q286" s="121">
        <v>0.5783701379056706</v>
      </c>
      <c r="R286" s="122">
        <v>0.21237013790567061</v>
      </c>
      <c r="S286" s="122">
        <v>13.26236451547971</v>
      </c>
      <c r="T286" s="122">
        <v>28.165301811076983</v>
      </c>
      <c r="U286" s="122">
        <v>2123.7013790567062</v>
      </c>
      <c r="V286" s="119">
        <v>1.08</v>
      </c>
      <c r="W286" s="120">
        <v>-24.122251892156651</v>
      </c>
      <c r="X286" s="120">
        <v>1.0846990823855593</v>
      </c>
      <c r="Y286" s="122">
        <v>4.6990823855592723E-3</v>
      </c>
      <c r="Z286" s="122">
        <v>449.85184172365786</v>
      </c>
      <c r="AA286" s="122">
        <v>21.138908655550384</v>
      </c>
      <c r="AB286" s="122">
        <v>46.990823855592723</v>
      </c>
    </row>
    <row r="287" spans="1:28" x14ac:dyDescent="0.25">
      <c r="A287" s="113"/>
      <c r="B287" s="113"/>
      <c r="C287" s="113"/>
      <c r="D287" s="113"/>
      <c r="E287" s="113"/>
      <c r="F287" s="113"/>
      <c r="G287" s="113"/>
      <c r="H287" s="113"/>
      <c r="I287" s="124" t="s">
        <v>469</v>
      </c>
      <c r="J287" s="116">
        <v>2.8444248112921295</v>
      </c>
      <c r="K287" s="116">
        <v>50.950462677941992</v>
      </c>
      <c r="L287" s="117">
        <v>17.91239567158636</v>
      </c>
      <c r="M287" s="117">
        <v>2.1581424562421003</v>
      </c>
      <c r="N287" s="117">
        <v>-26.22137239381933</v>
      </c>
      <c r="O287" s="119">
        <v>0.36599999999999999</v>
      </c>
      <c r="P287" s="120">
        <v>2.1581424562421003</v>
      </c>
      <c r="Q287" s="121">
        <v>0.36704117793741575</v>
      </c>
      <c r="R287" s="122">
        <v>1.0411779374157604E-3</v>
      </c>
      <c r="S287" s="122">
        <v>28.444248112921297</v>
      </c>
      <c r="T287" s="122">
        <v>0.29615523581553532</v>
      </c>
      <c r="U287" s="122">
        <v>10.411779374157604</v>
      </c>
      <c r="V287" s="119">
        <v>1.08</v>
      </c>
      <c r="W287" s="120">
        <v>-26.22137239381933</v>
      </c>
      <c r="X287" s="120">
        <v>1.0823911406684401</v>
      </c>
      <c r="Y287" s="122">
        <v>2.3911406684400394E-3</v>
      </c>
      <c r="Z287" s="122">
        <v>509.50462677941988</v>
      </c>
      <c r="AA287" s="122">
        <v>12.182972338506348</v>
      </c>
      <c r="AB287" s="122">
        <v>23.911406684400394</v>
      </c>
    </row>
    <row r="288" spans="1:28" x14ac:dyDescent="0.25">
      <c r="A288" s="113">
        <v>6</v>
      </c>
      <c r="B288" s="113" t="s">
        <v>48</v>
      </c>
      <c r="C288" s="113" t="s">
        <v>28</v>
      </c>
      <c r="D288" s="113" t="s">
        <v>428</v>
      </c>
      <c r="E288" s="113">
        <v>3</v>
      </c>
      <c r="F288" s="114" t="s">
        <v>433</v>
      </c>
      <c r="G288" s="113">
        <v>274</v>
      </c>
      <c r="H288" s="113">
        <v>4.25</v>
      </c>
      <c r="I288" s="113"/>
      <c r="J288" s="116">
        <v>1.2917192046514543</v>
      </c>
      <c r="K288" s="116">
        <v>44.207149512280225</v>
      </c>
      <c r="L288" s="117">
        <v>34.223497918968143</v>
      </c>
      <c r="M288" s="117">
        <v>135.74522155412583</v>
      </c>
      <c r="N288" s="117">
        <v>-26.897322251171556</v>
      </c>
      <c r="O288" s="119">
        <v>0.36599999999999999</v>
      </c>
      <c r="P288" s="120">
        <v>135.74522155412583</v>
      </c>
      <c r="Q288" s="121">
        <v>0.41576412844219296</v>
      </c>
      <c r="R288" s="122">
        <v>4.9764128442192967E-2</v>
      </c>
      <c r="S288" s="122">
        <v>12.917192046514543</v>
      </c>
      <c r="T288" s="122">
        <v>6.428128041152231</v>
      </c>
      <c r="U288" s="122">
        <v>497.64128442192964</v>
      </c>
      <c r="V288" s="119">
        <v>1.08</v>
      </c>
      <c r="W288" s="120">
        <v>-26.897322251171556</v>
      </c>
      <c r="X288" s="120">
        <v>1.0816479241666315</v>
      </c>
      <c r="Y288" s="122">
        <v>1.6479241666313982E-3</v>
      </c>
      <c r="Z288" s="122">
        <v>442.07149512280228</v>
      </c>
      <c r="AA288" s="122">
        <v>7.285003001917401</v>
      </c>
      <c r="AB288" s="122">
        <v>16.479241666313982</v>
      </c>
    </row>
    <row r="289" spans="1:28" x14ac:dyDescent="0.25">
      <c r="A289" s="113">
        <v>6</v>
      </c>
      <c r="B289" s="113" t="s">
        <v>48</v>
      </c>
      <c r="C289" s="113" t="s">
        <v>30</v>
      </c>
      <c r="D289" s="113" t="s">
        <v>427</v>
      </c>
      <c r="E289" s="113">
        <v>3</v>
      </c>
      <c r="F289" s="114" t="s">
        <v>434</v>
      </c>
      <c r="G289" s="113">
        <v>275</v>
      </c>
      <c r="H289" s="113">
        <v>4.3380000000000001</v>
      </c>
      <c r="I289" s="113"/>
      <c r="J289" s="116">
        <v>1.1045713237636778</v>
      </c>
      <c r="K289" s="116">
        <v>40.562972445887809</v>
      </c>
      <c r="L289" s="117">
        <v>36.722818683790337</v>
      </c>
      <c r="M289" s="117">
        <v>4.79638854975203</v>
      </c>
      <c r="N289" s="117">
        <v>-28.643545497987251</v>
      </c>
      <c r="O289" s="119">
        <v>0.36599999999999999</v>
      </c>
      <c r="P289" s="120">
        <v>4.79638854975203</v>
      </c>
      <c r="Q289" s="121">
        <v>0.36800388169240172</v>
      </c>
      <c r="R289" s="122">
        <v>2.0038816924017322E-3</v>
      </c>
      <c r="S289" s="122">
        <v>11.045713237636779</v>
      </c>
      <c r="T289" s="122">
        <v>0.22134302536419803</v>
      </c>
      <c r="U289" s="122">
        <v>20.038816924017322</v>
      </c>
      <c r="V289" s="119">
        <v>1.08</v>
      </c>
      <c r="W289" s="120">
        <v>-28.643545497987251</v>
      </c>
      <c r="X289" s="120">
        <v>1.0797278751253909</v>
      </c>
      <c r="Y289" s="122">
        <v>-2.7212487460914758E-4</v>
      </c>
      <c r="Z289" s="122">
        <v>405.62972445887806</v>
      </c>
      <c r="AA289" s="122">
        <v>-1.1038193790611528</v>
      </c>
      <c r="AB289" s="122">
        <v>-2.7212487460914758</v>
      </c>
    </row>
    <row r="290" spans="1:28" x14ac:dyDescent="0.25">
      <c r="A290" s="113">
        <v>6</v>
      </c>
      <c r="B290" s="113" t="s">
        <v>48</v>
      </c>
      <c r="C290" s="113" t="s">
        <v>30</v>
      </c>
      <c r="D290" s="113" t="s">
        <v>428</v>
      </c>
      <c r="E290" s="113">
        <v>3</v>
      </c>
      <c r="F290" s="114" t="s">
        <v>435</v>
      </c>
      <c r="G290" s="113">
        <v>276</v>
      </c>
      <c r="H290" s="113">
        <v>4.6550000000000002</v>
      </c>
      <c r="I290" s="113"/>
      <c r="J290" s="116">
        <v>0.99378724239678518</v>
      </c>
      <c r="K290" s="116">
        <v>40.68780521754131</v>
      </c>
      <c r="L290" s="117">
        <v>40.942168989221202</v>
      </c>
      <c r="M290" s="117">
        <v>2.4090991473655055</v>
      </c>
      <c r="N290" s="117">
        <v>-27.012460299743488</v>
      </c>
      <c r="O290" s="119">
        <v>0.36599999999999999</v>
      </c>
      <c r="P290" s="120">
        <v>2.4090991473655055</v>
      </c>
      <c r="Q290" s="121">
        <v>0.36713275357240699</v>
      </c>
      <c r="R290" s="122">
        <v>1.132753572406997E-3</v>
      </c>
      <c r="S290" s="122">
        <v>9.9378724239678533</v>
      </c>
      <c r="T290" s="122">
        <v>0.1125716049037457</v>
      </c>
      <c r="U290" s="122">
        <v>11.327535724069971</v>
      </c>
      <c r="V290" s="119">
        <v>1.08</v>
      </c>
      <c r="W290" s="120">
        <v>-27.012460299743488</v>
      </c>
      <c r="X290" s="120">
        <v>1.0815213271280795</v>
      </c>
      <c r="Y290" s="122">
        <v>1.5213271280793972E-3</v>
      </c>
      <c r="Z290" s="122">
        <v>406.87805217541313</v>
      </c>
      <c r="AA290" s="122">
        <v>6.1899461859456038</v>
      </c>
      <c r="AB290" s="122">
        <v>15.213271280793972</v>
      </c>
    </row>
    <row r="291" spans="1:28" x14ac:dyDescent="0.25">
      <c r="A291" s="113">
        <v>6</v>
      </c>
      <c r="B291" s="113" t="s">
        <v>52</v>
      </c>
      <c r="C291" s="113" t="s">
        <v>26</v>
      </c>
      <c r="D291" s="113" t="s">
        <v>427</v>
      </c>
      <c r="E291" s="113">
        <v>3</v>
      </c>
      <c r="F291" s="114" t="s">
        <v>102</v>
      </c>
      <c r="G291" s="113">
        <v>277</v>
      </c>
      <c r="H291" s="113">
        <v>4.5750000000000002</v>
      </c>
      <c r="I291" s="113"/>
      <c r="J291" s="116">
        <v>1.1564230723542106</v>
      </c>
      <c r="K291" s="116">
        <v>43.823102104882558</v>
      </c>
      <c r="L291" s="117">
        <v>37.895388938988248</v>
      </c>
      <c r="M291" s="117">
        <v>304.10944482653025</v>
      </c>
      <c r="N291" s="117">
        <v>-27.040953723110121</v>
      </c>
      <c r="O291" s="119">
        <v>0.36599999999999999</v>
      </c>
      <c r="P291" s="120">
        <v>304.10944482653025</v>
      </c>
      <c r="Q291" s="121">
        <v>0.47710344270932459</v>
      </c>
      <c r="R291" s="122">
        <v>0.1111034427093246</v>
      </c>
      <c r="S291" s="122">
        <v>11.564230723542106</v>
      </c>
      <c r="T291" s="122">
        <v>12.848258456704716</v>
      </c>
      <c r="U291" s="122">
        <v>1111.034427093246</v>
      </c>
      <c r="V291" s="119">
        <v>1.08</v>
      </c>
      <c r="W291" s="120">
        <v>-27.040953723110121</v>
      </c>
      <c r="X291" s="120">
        <v>1.0814899978774959</v>
      </c>
      <c r="Y291" s="122">
        <v>1.4899978774958189E-3</v>
      </c>
      <c r="Z291" s="122">
        <v>438.2310210488256</v>
      </c>
      <c r="AA291" s="122">
        <v>6.5296329121557566</v>
      </c>
      <c r="AB291" s="122">
        <v>14.899978774958189</v>
      </c>
    </row>
    <row r="292" spans="1:28" x14ac:dyDescent="0.25">
      <c r="A292" s="113">
        <v>6</v>
      </c>
      <c r="B292" s="113" t="s">
        <v>52</v>
      </c>
      <c r="C292" s="113" t="s">
        <v>26</v>
      </c>
      <c r="D292" s="113" t="s">
        <v>428</v>
      </c>
      <c r="E292" s="113">
        <v>3</v>
      </c>
      <c r="F292" s="114" t="s">
        <v>103</v>
      </c>
      <c r="G292" s="113">
        <v>278</v>
      </c>
      <c r="H292" s="113">
        <v>4.1029999999999998</v>
      </c>
      <c r="I292" s="113"/>
      <c r="J292" s="116">
        <v>1.0557713495763017</v>
      </c>
      <c r="K292" s="116">
        <v>46.053769231675318</v>
      </c>
      <c r="L292" s="117">
        <v>43.620968924907324</v>
      </c>
      <c r="M292" s="117">
        <v>324.72809891451203</v>
      </c>
      <c r="N292" s="117">
        <v>-27.404709619659819</v>
      </c>
      <c r="O292" s="119">
        <v>0.36599999999999999</v>
      </c>
      <c r="P292" s="120">
        <v>324.72809891451203</v>
      </c>
      <c r="Q292" s="121">
        <v>0.48461014290980758</v>
      </c>
      <c r="R292" s="122">
        <v>0.11861014290980759</v>
      </c>
      <c r="S292" s="122">
        <v>10.557713495763018</v>
      </c>
      <c r="T292" s="122">
        <v>12.522519065332558</v>
      </c>
      <c r="U292" s="122">
        <v>1186.1014290980759</v>
      </c>
      <c r="V292" s="119">
        <v>1.08</v>
      </c>
      <c r="W292" s="120">
        <v>-27.404709619659819</v>
      </c>
      <c r="X292" s="120">
        <v>1.0810900371856669</v>
      </c>
      <c r="Y292" s="122">
        <v>1.0900371856668034E-3</v>
      </c>
      <c r="Z292" s="122">
        <v>460.53769231675318</v>
      </c>
      <c r="AA292" s="122">
        <v>5.0200321002643786</v>
      </c>
      <c r="AB292" s="122">
        <v>10.900371856668034</v>
      </c>
    </row>
    <row r="293" spans="1:28" x14ac:dyDescent="0.25">
      <c r="A293" s="113">
        <v>6</v>
      </c>
      <c r="B293" s="113" t="s">
        <v>52</v>
      </c>
      <c r="C293" s="113" t="s">
        <v>28</v>
      </c>
      <c r="D293" s="113" t="s">
        <v>427</v>
      </c>
      <c r="E293" s="113">
        <v>3</v>
      </c>
      <c r="F293" s="114" t="s">
        <v>104</v>
      </c>
      <c r="G293" s="113">
        <v>279</v>
      </c>
      <c r="H293" s="113">
        <v>4.4240000000000004</v>
      </c>
      <c r="I293" s="113"/>
      <c r="J293" s="116">
        <v>1.2742570970758202</v>
      </c>
      <c r="K293" s="116">
        <v>41.291593538685412</v>
      </c>
      <c r="L293" s="117">
        <v>32.404444623806164</v>
      </c>
      <c r="M293" s="117">
        <v>234.32604865550616</v>
      </c>
      <c r="N293" s="117">
        <v>-27.018693835610165</v>
      </c>
      <c r="O293" s="119">
        <v>0.36599999999999999</v>
      </c>
      <c r="P293" s="120">
        <v>234.32604865550616</v>
      </c>
      <c r="Q293" s="121">
        <v>0.45168877073719599</v>
      </c>
      <c r="R293" s="122">
        <v>8.5688770737195996E-2</v>
      </c>
      <c r="S293" s="122">
        <v>12.742570970758203</v>
      </c>
      <c r="T293" s="122">
        <v>10.918952425157487</v>
      </c>
      <c r="U293" s="122">
        <v>856.88770737196</v>
      </c>
      <c r="V293" s="119">
        <v>1.08</v>
      </c>
      <c r="W293" s="120">
        <v>-27.018693835610165</v>
      </c>
      <c r="X293" s="120">
        <v>1.0815144731970388</v>
      </c>
      <c r="Y293" s="122">
        <v>1.5144731970386793E-3</v>
      </c>
      <c r="Z293" s="122">
        <v>412.91593538685413</v>
      </c>
      <c r="AA293" s="122">
        <v>6.2535011677354575</v>
      </c>
      <c r="AB293" s="122">
        <v>15.144731970386793</v>
      </c>
    </row>
    <row r="294" spans="1:28" x14ac:dyDescent="0.25">
      <c r="A294" s="113">
        <v>6</v>
      </c>
      <c r="B294" s="113" t="s">
        <v>52</v>
      </c>
      <c r="C294" s="113" t="s">
        <v>28</v>
      </c>
      <c r="D294" s="113" t="s">
        <v>428</v>
      </c>
      <c r="E294" s="113">
        <v>3</v>
      </c>
      <c r="F294" s="114" t="s">
        <v>105</v>
      </c>
      <c r="G294" s="113">
        <v>280</v>
      </c>
      <c r="H294" s="113">
        <v>4.0739999999999998</v>
      </c>
      <c r="I294" s="113"/>
      <c r="J294" s="116">
        <v>0.95740185794941612</v>
      </c>
      <c r="K294" s="116">
        <v>45.20416113321356</v>
      </c>
      <c r="L294" s="117">
        <v>47.215451649564166</v>
      </c>
      <c r="M294" s="117">
        <v>319.25252307458402</v>
      </c>
      <c r="N294" s="117">
        <v>-27.739125343631752</v>
      </c>
      <c r="O294" s="119">
        <v>0.36599999999999999</v>
      </c>
      <c r="P294" s="120">
        <v>319.25252307458402</v>
      </c>
      <c r="Q294" s="121">
        <v>0.48261674270741822</v>
      </c>
      <c r="R294" s="122">
        <v>0.11661674270741823</v>
      </c>
      <c r="S294" s="122">
        <v>9.5740185794941617</v>
      </c>
      <c r="T294" s="122">
        <v>11.164908613609125</v>
      </c>
      <c r="U294" s="122">
        <v>1166.1674270741821</v>
      </c>
      <c r="V294" s="119">
        <v>1.08</v>
      </c>
      <c r="W294" s="120">
        <v>-27.739125343631752</v>
      </c>
      <c r="X294" s="120">
        <v>1.080722334054014</v>
      </c>
      <c r="Y294" s="122">
        <v>7.2233405401389561E-4</v>
      </c>
      <c r="Z294" s="122">
        <v>452.04161133213563</v>
      </c>
      <c r="AA294" s="122">
        <v>3.2652504969651526</v>
      </c>
      <c r="AB294" s="122">
        <v>7.2233405401389552</v>
      </c>
    </row>
    <row r="295" spans="1:28" x14ac:dyDescent="0.25">
      <c r="A295" s="113">
        <v>6</v>
      </c>
      <c r="B295" s="113" t="s">
        <v>52</v>
      </c>
      <c r="C295" s="113" t="s">
        <v>30</v>
      </c>
      <c r="D295" s="113" t="s">
        <v>427</v>
      </c>
      <c r="E295" s="113">
        <v>3</v>
      </c>
      <c r="F295" s="114" t="s">
        <v>106</v>
      </c>
      <c r="G295" s="113">
        <v>281</v>
      </c>
      <c r="H295" s="113">
        <v>4.532</v>
      </c>
      <c r="I295" s="113"/>
      <c r="J295" s="116">
        <v>1.0713893944489838</v>
      </c>
      <c r="K295" s="116">
        <v>40.219151899661732</v>
      </c>
      <c r="L295" s="117">
        <v>37.539247735737078</v>
      </c>
      <c r="M295" s="117">
        <v>-0.62183916032357978</v>
      </c>
      <c r="N295" s="117">
        <v>-28.602835967854052</v>
      </c>
      <c r="O295" s="119">
        <v>0.36599999999999999</v>
      </c>
      <c r="P295" s="120">
        <v>-0.62183916032357978</v>
      </c>
      <c r="Q295" s="121">
        <v>0.36602673434268856</v>
      </c>
      <c r="R295" s="122">
        <v>2.6734342688572443E-5</v>
      </c>
      <c r="S295" s="122">
        <v>10.71389394448984</v>
      </c>
      <c r="T295" s="122">
        <v>2.8642891224101253E-3</v>
      </c>
      <c r="U295" s="122">
        <v>0.26734342688572443</v>
      </c>
      <c r="V295" s="119">
        <v>1.08</v>
      </c>
      <c r="W295" s="120">
        <v>-28.602835967854052</v>
      </c>
      <c r="X295" s="120">
        <v>1.0797726378876991</v>
      </c>
      <c r="Y295" s="122">
        <v>-2.2736211230101055E-4</v>
      </c>
      <c r="Z295" s="122">
        <v>402.19151899661733</v>
      </c>
      <c r="AA295" s="122">
        <v>-0.91443113308622936</v>
      </c>
      <c r="AB295" s="122">
        <v>-2.2736211230101055</v>
      </c>
    </row>
    <row r="296" spans="1:28" x14ac:dyDescent="0.25">
      <c r="A296" s="113">
        <v>6</v>
      </c>
      <c r="B296" s="113" t="s">
        <v>52</v>
      </c>
      <c r="C296" s="113" t="s">
        <v>30</v>
      </c>
      <c r="D296" s="113" t="s">
        <v>428</v>
      </c>
      <c r="E296" s="113">
        <v>3</v>
      </c>
      <c r="F296" s="114" t="s">
        <v>107</v>
      </c>
      <c r="G296" s="113">
        <v>282</v>
      </c>
      <c r="H296" s="113">
        <v>4.6710000000000003</v>
      </c>
      <c r="I296" s="113"/>
      <c r="J296" s="116">
        <v>0.74697005490758395</v>
      </c>
      <c r="K296" s="116">
        <v>39.925646552941927</v>
      </c>
      <c r="L296" s="117">
        <v>53.450130016097603</v>
      </c>
      <c r="M296" s="117">
        <v>1.8211318392424918</v>
      </c>
      <c r="N296" s="117">
        <v>-26.306420713918261</v>
      </c>
      <c r="O296" s="119">
        <v>0.36599999999999999</v>
      </c>
      <c r="P296" s="120">
        <v>1.8211318392424918</v>
      </c>
      <c r="Q296" s="121">
        <v>0.36691820043252593</v>
      </c>
      <c r="R296" s="122">
        <v>9.1820043252593964E-4</v>
      </c>
      <c r="S296" s="122">
        <v>7.4697005490758395</v>
      </c>
      <c r="T296" s="122">
        <v>6.858682275000684E-2</v>
      </c>
      <c r="U296" s="122">
        <v>9.1820043252593955</v>
      </c>
      <c r="V296" s="119">
        <v>1.08</v>
      </c>
      <c r="W296" s="120">
        <v>-26.306420713918261</v>
      </c>
      <c r="X296" s="120">
        <v>1.0822976294425759</v>
      </c>
      <c r="Y296" s="122">
        <v>2.2976294425758326E-3</v>
      </c>
      <c r="Z296" s="122">
        <v>399.2564655294193</v>
      </c>
      <c r="AA296" s="122">
        <v>9.1734341033915676</v>
      </c>
      <c r="AB296" s="122">
        <v>22.976294425758326</v>
      </c>
    </row>
    <row r="297" spans="1:28" x14ac:dyDescent="0.25">
      <c r="A297" s="113">
        <v>6</v>
      </c>
      <c r="B297" s="113" t="s">
        <v>56</v>
      </c>
      <c r="C297" s="113" t="s">
        <v>26</v>
      </c>
      <c r="D297" s="113" t="s">
        <v>427</v>
      </c>
      <c r="E297" s="113">
        <v>3</v>
      </c>
      <c r="F297" s="114" t="s">
        <v>108</v>
      </c>
      <c r="G297" s="113">
        <v>283</v>
      </c>
      <c r="H297" s="113">
        <v>4.915</v>
      </c>
      <c r="I297" s="113"/>
      <c r="J297" s="116">
        <v>1.3404449398831753</v>
      </c>
      <c r="K297" s="116">
        <v>44.119246411321356</v>
      </c>
      <c r="L297" s="117">
        <v>32.913881875048531</v>
      </c>
      <c r="M297" s="117">
        <v>123.42617227833813</v>
      </c>
      <c r="N297" s="117">
        <v>-26.832548044464282</v>
      </c>
      <c r="O297" s="119">
        <v>0.36599999999999999</v>
      </c>
      <c r="P297" s="120">
        <v>123.42617227833813</v>
      </c>
      <c r="Q297" s="121">
        <v>0.41127302072741012</v>
      </c>
      <c r="R297" s="122">
        <v>4.5273020727410129E-2</v>
      </c>
      <c r="S297" s="122">
        <v>13.404449398831753</v>
      </c>
      <c r="T297" s="122">
        <v>6.068599154728302</v>
      </c>
      <c r="U297" s="122">
        <v>452.7302072741013</v>
      </c>
      <c r="V297" s="119">
        <v>1.08</v>
      </c>
      <c r="W297" s="120">
        <v>-26.832548044464282</v>
      </c>
      <c r="X297" s="120">
        <v>1.0817191448139027</v>
      </c>
      <c r="Y297" s="122">
        <v>1.7191448139026733E-3</v>
      </c>
      <c r="Z297" s="122">
        <v>441.19246411321353</v>
      </c>
      <c r="AA297" s="122">
        <v>7.5847373661317246</v>
      </c>
      <c r="AB297" s="122">
        <v>17.191448139026733</v>
      </c>
    </row>
    <row r="298" spans="1:28" x14ac:dyDescent="0.25">
      <c r="A298" s="113">
        <v>6</v>
      </c>
      <c r="B298" s="113" t="s">
        <v>56</v>
      </c>
      <c r="C298" s="113" t="s">
        <v>26</v>
      </c>
      <c r="D298" s="113" t="s">
        <v>428</v>
      </c>
      <c r="E298" s="113">
        <v>3</v>
      </c>
      <c r="F298" s="114" t="s">
        <v>109</v>
      </c>
      <c r="G298" s="113">
        <v>284</v>
      </c>
      <c r="H298" s="113">
        <v>4.2859999999999996</v>
      </c>
      <c r="I298" s="113"/>
      <c r="J298" s="116">
        <v>1.076783692311915</v>
      </c>
      <c r="K298" s="116">
        <v>45.58876945568565</v>
      </c>
      <c r="L298" s="117">
        <v>42.337908515129911</v>
      </c>
      <c r="M298" s="117">
        <v>37.067764934502584</v>
      </c>
      <c r="N298" s="117">
        <v>-28.509615186392335</v>
      </c>
      <c r="O298" s="119">
        <v>0.36599999999999999</v>
      </c>
      <c r="P298" s="120">
        <v>37.067764934502584</v>
      </c>
      <c r="Q298" s="121">
        <v>0.37977829636259491</v>
      </c>
      <c r="R298" s="122">
        <v>1.3778296362594922E-2</v>
      </c>
      <c r="S298" s="122">
        <v>10.76783692311915</v>
      </c>
      <c r="T298" s="122">
        <v>1.4836244831082788</v>
      </c>
      <c r="U298" s="122">
        <v>137.78296362594921</v>
      </c>
      <c r="V298" s="119">
        <v>1.08</v>
      </c>
      <c r="W298" s="120">
        <v>-28.509615186392335</v>
      </c>
      <c r="X298" s="120">
        <v>1.0798751400157491</v>
      </c>
      <c r="Y298" s="122">
        <v>-1.248599842509357E-4</v>
      </c>
      <c r="Z298" s="122">
        <v>455.8876945568565</v>
      </c>
      <c r="AA298" s="122">
        <v>-0.56922130362564483</v>
      </c>
      <c r="AB298" s="122">
        <v>-1.248599842509357</v>
      </c>
    </row>
    <row r="299" spans="1:28" x14ac:dyDescent="0.25">
      <c r="A299" s="113">
        <v>6</v>
      </c>
      <c r="B299" s="113" t="s">
        <v>56</v>
      </c>
      <c r="C299" s="113" t="s">
        <v>28</v>
      </c>
      <c r="D299" s="113" t="s">
        <v>427</v>
      </c>
      <c r="E299" s="113">
        <v>3</v>
      </c>
      <c r="F299" s="114" t="s">
        <v>110</v>
      </c>
      <c r="G299" s="113">
        <v>285</v>
      </c>
      <c r="H299" s="113">
        <v>4.5019999999999998</v>
      </c>
      <c r="I299" s="113"/>
      <c r="J299" s="116">
        <v>1.4919090432190305</v>
      </c>
      <c r="K299" s="116">
        <v>44.329591469722551</v>
      </c>
      <c r="L299" s="117">
        <v>29.713333846461861</v>
      </c>
      <c r="M299" s="117">
        <v>562.90623526466277</v>
      </c>
      <c r="N299" s="117">
        <v>-22.17038650664016</v>
      </c>
      <c r="O299" s="119">
        <v>0.36599999999999999</v>
      </c>
      <c r="P299" s="120">
        <v>562.90623526466277</v>
      </c>
      <c r="Q299" s="121">
        <v>0.57124240546869443</v>
      </c>
      <c r="R299" s="122">
        <v>0.20524240546869443</v>
      </c>
      <c r="S299" s="122">
        <v>14.919090432190306</v>
      </c>
      <c r="T299" s="122">
        <v>30.620300077077221</v>
      </c>
      <c r="U299" s="122">
        <v>2052.4240546869446</v>
      </c>
      <c r="V299" s="119">
        <v>1.08</v>
      </c>
      <c r="W299" s="120">
        <v>-22.17038650664016</v>
      </c>
      <c r="X299" s="120">
        <v>1.0868450233700251</v>
      </c>
      <c r="Y299" s="122">
        <v>6.8450233700250163E-3</v>
      </c>
      <c r="Z299" s="122">
        <v>443.2959146972255</v>
      </c>
      <c r="AA299" s="122">
        <v>30.343708959391243</v>
      </c>
      <c r="AB299" s="122">
        <v>68.450233700250166</v>
      </c>
    </row>
    <row r="300" spans="1:28" x14ac:dyDescent="0.25">
      <c r="A300" s="113">
        <v>6</v>
      </c>
      <c r="B300" s="113" t="s">
        <v>56</v>
      </c>
      <c r="C300" s="113" t="s">
        <v>28</v>
      </c>
      <c r="D300" s="113" t="s">
        <v>428</v>
      </c>
      <c r="E300" s="113">
        <v>3</v>
      </c>
      <c r="F300" s="114" t="s">
        <v>111</v>
      </c>
      <c r="G300" s="113">
        <v>286</v>
      </c>
      <c r="H300" s="113">
        <v>4.0609999999999999</v>
      </c>
      <c r="I300" s="113"/>
      <c r="J300" s="116">
        <v>1.16485587177992</v>
      </c>
      <c r="K300" s="116">
        <v>45.667841425091716</v>
      </c>
      <c r="L300" s="117">
        <v>39.204714103651689</v>
      </c>
      <c r="M300" s="117">
        <v>218.93147275956238</v>
      </c>
      <c r="N300" s="117">
        <v>-26.027178452886741</v>
      </c>
      <c r="O300" s="119">
        <v>0.36599999999999999</v>
      </c>
      <c r="P300" s="120">
        <v>218.93147275956238</v>
      </c>
      <c r="Q300" s="121">
        <v>0.446080415786133</v>
      </c>
      <c r="R300" s="122">
        <v>8.0080415786133008E-2</v>
      </c>
      <c r="S300" s="122">
        <v>11.648558717799201</v>
      </c>
      <c r="T300" s="122">
        <v>9.3282142543054434</v>
      </c>
      <c r="U300" s="122">
        <v>800.80415786132994</v>
      </c>
      <c r="V300" s="119">
        <v>1.08</v>
      </c>
      <c r="W300" s="120">
        <v>-26.027178452886741</v>
      </c>
      <c r="X300" s="120">
        <v>1.082604657609006</v>
      </c>
      <c r="Y300" s="122">
        <v>2.604657609005967E-3</v>
      </c>
      <c r="Z300" s="122">
        <v>456.67841425091717</v>
      </c>
      <c r="AA300" s="122">
        <v>11.894909065474305</v>
      </c>
      <c r="AB300" s="122">
        <v>26.04657609005967</v>
      </c>
    </row>
    <row r="301" spans="1:28" x14ac:dyDescent="0.25">
      <c r="A301" s="113">
        <v>6</v>
      </c>
      <c r="B301" s="113" t="s">
        <v>56</v>
      </c>
      <c r="C301" s="113" t="s">
        <v>30</v>
      </c>
      <c r="D301" s="113" t="s">
        <v>427</v>
      </c>
      <c r="E301" s="113">
        <v>3</v>
      </c>
      <c r="F301" s="114" t="s">
        <v>112</v>
      </c>
      <c r="G301" s="113">
        <v>287</v>
      </c>
      <c r="H301" s="113">
        <v>4.5190000000000001</v>
      </c>
      <c r="I301" s="113"/>
      <c r="J301" s="116">
        <v>1.2946790710494676</v>
      </c>
      <c r="K301" s="116">
        <v>41.949127099544718</v>
      </c>
      <c r="L301" s="117">
        <v>32.401178050666054</v>
      </c>
      <c r="M301" s="117">
        <v>-1.1773349206816786</v>
      </c>
      <c r="N301" s="117">
        <v>-28.069200323320242</v>
      </c>
      <c r="O301" s="119">
        <v>0.36599999999999999</v>
      </c>
      <c r="P301" s="120">
        <v>-1.1773349206816786</v>
      </c>
      <c r="Q301" s="121">
        <v>0.36582402580793133</v>
      </c>
      <c r="R301" s="122">
        <v>-1.7597419206866194E-4</v>
      </c>
      <c r="S301" s="122">
        <v>12.946790710494675</v>
      </c>
      <c r="T301" s="122">
        <v>-2.2783010351613581E-2</v>
      </c>
      <c r="U301" s="122">
        <v>-1.7597419206866194</v>
      </c>
      <c r="V301" s="119">
        <v>1.08</v>
      </c>
      <c r="W301" s="120">
        <v>-28.069200323320242</v>
      </c>
      <c r="X301" s="120">
        <v>1.0803594010593207</v>
      </c>
      <c r="Y301" s="122">
        <v>3.5940105932064093E-4</v>
      </c>
      <c r="Z301" s="122">
        <v>419.49127099544722</v>
      </c>
      <c r="AA301" s="122">
        <v>1.5076560717152578</v>
      </c>
      <c r="AB301" s="122">
        <v>3.5940105932064093</v>
      </c>
    </row>
    <row r="302" spans="1:28" x14ac:dyDescent="0.25">
      <c r="A302" s="113">
        <v>6</v>
      </c>
      <c r="B302" s="113" t="s">
        <v>56</v>
      </c>
      <c r="C302" s="113" t="s">
        <v>30</v>
      </c>
      <c r="D302" s="113" t="s">
        <v>428</v>
      </c>
      <c r="E302" s="113">
        <v>3</v>
      </c>
      <c r="F302" s="114" t="s">
        <v>113</v>
      </c>
      <c r="G302" s="113">
        <v>288</v>
      </c>
      <c r="H302" s="113">
        <v>4.593</v>
      </c>
      <c r="I302" s="113"/>
      <c r="J302" s="116">
        <v>0.85963378813450408</v>
      </c>
      <c r="K302" s="116">
        <v>41.006674061701354</v>
      </c>
      <c r="L302" s="117">
        <v>47.70249218645786</v>
      </c>
      <c r="M302" s="117">
        <v>-2.3698941705263996</v>
      </c>
      <c r="N302" s="117">
        <v>-27.164826243333881</v>
      </c>
      <c r="O302" s="119">
        <v>0.36599999999999999</v>
      </c>
      <c r="P302" s="120">
        <v>-2.3698941705263996</v>
      </c>
      <c r="Q302" s="121">
        <v>0.3653888406938039</v>
      </c>
      <c r="R302" s="122">
        <v>-6.1115930619609626E-4</v>
      </c>
      <c r="S302" s="122">
        <v>8.5963378813450415</v>
      </c>
      <c r="T302" s="122">
        <v>-5.2537318953900555E-2</v>
      </c>
      <c r="U302" s="122">
        <v>-6.1115930619609626</v>
      </c>
      <c r="V302" s="119">
        <v>1.08</v>
      </c>
      <c r="W302" s="120">
        <v>-27.164826243333881</v>
      </c>
      <c r="X302" s="120">
        <v>1.0813537966303088</v>
      </c>
      <c r="Y302" s="122">
        <v>1.3537966303087678E-3</v>
      </c>
      <c r="Z302" s="122">
        <v>410.06674061701352</v>
      </c>
      <c r="AA302" s="122">
        <v>5.551469716490125</v>
      </c>
      <c r="AB302" s="122">
        <v>13.537966303087678</v>
      </c>
    </row>
    <row r="303" spans="1:28" x14ac:dyDescent="0.25">
      <c r="F303" s="9"/>
    </row>
  </sheetData>
  <pageMargins left="0.7" right="0.7" top="0.75" bottom="0.75" header="0.3" footer="0.3"/>
  <legacyDrawing r:id="rId1"/>
</worksheet>
</file>

<file path=docMetadata/LabelInfo.xml><?xml version="1.0" encoding="utf-8"?>
<clbl:labelList xmlns:clbl="http://schemas.microsoft.com/office/2020/mipLabelMetadata">
  <clbl:label id="{6a2630e2-1ac5-455e-8217-0156b1936a76}" enabled="1" method="Standard" siteId="{a3927f91-cda1-4696-af89-8c9f1ceffa9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vt:lpstr>
      <vt:lpstr>calculationsDELTAtoATM</vt:lpstr>
      <vt:lpstr>FINAL</vt:lpstr>
    </vt:vector>
  </TitlesOfParts>
  <Company>Faculty of Science, University of Copenhagen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 Michelsen</dc:creator>
  <cp:lastModifiedBy>Elise Ida Blum Samuelsen</cp:lastModifiedBy>
  <dcterms:created xsi:type="dcterms:W3CDTF">2018-09-28T09:22:35Z</dcterms:created>
  <dcterms:modified xsi:type="dcterms:W3CDTF">2026-05-15T09:36:46Z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2630e2-1ac5-455e-8217-0156b1936a76_Enabled">
    <vt:lpwstr>true</vt:lpwstr>
  </property>
  <property fmtid="{D5CDD505-2E9C-101B-9397-08002B2CF9AE}" pid="3" name="MSIP_Label_6a2630e2-1ac5-455e-8217-0156b1936a76_SetDate">
    <vt:lpwstr>2023-08-17T13:52:44Z</vt:lpwstr>
  </property>
  <property fmtid="{D5CDD505-2E9C-101B-9397-08002B2CF9AE}" pid="4" name="MSIP_Label_6a2630e2-1ac5-455e-8217-0156b1936a76_Method">
    <vt:lpwstr>Standard</vt:lpwstr>
  </property>
  <property fmtid="{D5CDD505-2E9C-101B-9397-08002B2CF9AE}" pid="5" name="MSIP_Label_6a2630e2-1ac5-455e-8217-0156b1936a76_Name">
    <vt:lpwstr>Notclass</vt:lpwstr>
  </property>
  <property fmtid="{D5CDD505-2E9C-101B-9397-08002B2CF9AE}" pid="6" name="MSIP_Label_6a2630e2-1ac5-455e-8217-0156b1936a76_SiteId">
    <vt:lpwstr>a3927f91-cda1-4696-af89-8c9f1ceffa91</vt:lpwstr>
  </property>
  <property fmtid="{D5CDD505-2E9C-101B-9397-08002B2CF9AE}" pid="7" name="MSIP_Label_6a2630e2-1ac5-455e-8217-0156b1936a76_ActionId">
    <vt:lpwstr>b8cecdca-e096-4483-a979-223b81f68545</vt:lpwstr>
  </property>
  <property fmtid="{D5CDD505-2E9C-101B-9397-08002B2CF9AE}" pid="8" name="MSIP_Label_6a2630e2-1ac5-455e-8217-0156b1936a76_ContentBits">
    <vt:lpwstr>0</vt:lpwstr>
  </property>
</Properties>
</file>