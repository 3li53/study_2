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ackup June 2021\IRMS batch reports\"/>
    </mc:Choice>
  </mc:AlternateContent>
  <xr:revisionPtr revIDLastSave="0" documentId="8_{28F67F8E-E368-4C6E-8DB2-7A8E4850E2A9}" xr6:coauthVersionLast="47" xr6:coauthVersionMax="47" xr10:uidLastSave="{00000000-0000-0000-0000-000000000000}"/>
  <bookViews>
    <workbookView xWindow="1116" yWindow="684" windowWidth="21924" windowHeight="11556" activeTab="1" xr2:uid="{00000000-000D-0000-FFFF-FFFF00000000}"/>
  </bookViews>
  <sheets>
    <sheet name="FINAL" sheetId="6" r:id="rId1"/>
    <sheet name="CLEAN" sheetId="8" r:id="rId2"/>
    <sheet name="Example of Keeling plot" sheetId="11" r:id="rId3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66" i="6" l="1"/>
  <c r="S865" i="6"/>
  <c r="S864" i="6"/>
  <c r="S863" i="6"/>
  <c r="S862" i="6"/>
  <c r="S861" i="6"/>
  <c r="S860" i="6"/>
  <c r="S859" i="6"/>
  <c r="S858" i="6"/>
  <c r="S857" i="6"/>
  <c r="S856" i="6"/>
  <c r="S855" i="6"/>
  <c r="S854" i="6"/>
  <c r="S853" i="6"/>
  <c r="S852" i="6"/>
  <c r="S851" i="6"/>
  <c r="S850" i="6"/>
  <c r="S849" i="6"/>
  <c r="S848" i="6"/>
  <c r="S847" i="6"/>
  <c r="S846" i="6"/>
  <c r="S845" i="6"/>
  <c r="S844" i="6"/>
  <c r="S843" i="6"/>
  <c r="S842" i="6"/>
  <c r="S841" i="6"/>
  <c r="S840" i="6"/>
  <c r="S839" i="6"/>
  <c r="S838" i="6"/>
  <c r="S837" i="6"/>
  <c r="S836" i="6"/>
  <c r="S835" i="6"/>
  <c r="S834" i="6"/>
  <c r="S833" i="6"/>
  <c r="S832" i="6"/>
  <c r="S831" i="6"/>
  <c r="S830" i="6"/>
  <c r="S829" i="6"/>
  <c r="S828" i="6"/>
  <c r="S827" i="6"/>
  <c r="S826" i="6"/>
  <c r="S825" i="6"/>
  <c r="S824" i="6"/>
  <c r="S823" i="6"/>
  <c r="S822" i="6"/>
  <c r="S821" i="6"/>
  <c r="S820" i="6"/>
  <c r="S819" i="6"/>
  <c r="S818" i="6"/>
  <c r="S817" i="6"/>
  <c r="S816" i="6"/>
  <c r="S815" i="6"/>
  <c r="S814" i="6"/>
  <c r="S813" i="6"/>
  <c r="S812" i="6"/>
  <c r="S811" i="6"/>
  <c r="S810" i="6"/>
  <c r="S809" i="6"/>
  <c r="S808" i="6"/>
  <c r="S807" i="6"/>
  <c r="S806" i="6"/>
  <c r="S805" i="6"/>
  <c r="S804" i="6"/>
  <c r="S803" i="6"/>
  <c r="S802" i="6"/>
  <c r="S801" i="6"/>
  <c r="S800" i="6"/>
  <c r="S799" i="6"/>
  <c r="S798" i="6"/>
  <c r="S797" i="6"/>
  <c r="S796" i="6"/>
  <c r="S795" i="6"/>
  <c r="S794" i="6"/>
  <c r="S793" i="6"/>
  <c r="S792" i="6"/>
  <c r="S791" i="6"/>
  <c r="S790" i="6"/>
  <c r="S789" i="6"/>
  <c r="S788" i="6"/>
  <c r="S787" i="6"/>
  <c r="S786" i="6"/>
  <c r="S785" i="6"/>
  <c r="S784" i="6"/>
  <c r="S783" i="6"/>
  <c r="S782" i="6"/>
  <c r="S781" i="6"/>
  <c r="S780" i="6"/>
  <c r="S779" i="6"/>
  <c r="S778" i="6"/>
  <c r="S777" i="6"/>
  <c r="S776" i="6"/>
  <c r="S775" i="6"/>
  <c r="S774" i="6"/>
  <c r="S773" i="6"/>
  <c r="S772" i="6"/>
  <c r="S771" i="6"/>
  <c r="S770" i="6"/>
  <c r="S769" i="6"/>
  <c r="S768" i="6"/>
  <c r="S767" i="6"/>
  <c r="S766" i="6"/>
  <c r="S765" i="6"/>
  <c r="S764" i="6"/>
  <c r="S763" i="6"/>
  <c r="S762" i="6"/>
  <c r="S761" i="6"/>
  <c r="S760" i="6"/>
  <c r="S759" i="6"/>
  <c r="S758" i="6"/>
  <c r="S757" i="6"/>
  <c r="S756" i="6"/>
  <c r="S755" i="6"/>
  <c r="S754" i="6"/>
  <c r="S753" i="6"/>
  <c r="S752" i="6"/>
  <c r="S751" i="6"/>
  <c r="S750" i="6"/>
  <c r="S749" i="6"/>
  <c r="S748" i="6"/>
  <c r="S747" i="6"/>
  <c r="S746" i="6"/>
  <c r="S745" i="6"/>
  <c r="S744" i="6"/>
  <c r="S743" i="6"/>
  <c r="S742" i="6"/>
  <c r="S741" i="6"/>
  <c r="S740" i="6"/>
  <c r="S739" i="6"/>
  <c r="S738" i="6"/>
  <c r="S737" i="6"/>
  <c r="S736" i="6"/>
  <c r="S735" i="6"/>
  <c r="S734" i="6"/>
  <c r="S733" i="6"/>
  <c r="S732" i="6"/>
  <c r="S731" i="6"/>
  <c r="S730" i="6"/>
  <c r="S729" i="6"/>
  <c r="S728" i="6"/>
  <c r="S727" i="6"/>
  <c r="S726" i="6"/>
  <c r="S725" i="6"/>
  <c r="S724" i="6"/>
  <c r="S723" i="6"/>
  <c r="S722" i="6"/>
  <c r="S721" i="6"/>
  <c r="S720" i="6"/>
  <c r="S719" i="6"/>
  <c r="S718" i="6"/>
  <c r="S717" i="6"/>
  <c r="S716" i="6"/>
  <c r="S715" i="6"/>
  <c r="S714" i="6"/>
  <c r="S713" i="6"/>
  <c r="S712" i="6"/>
  <c r="S711" i="6"/>
  <c r="S710" i="6"/>
  <c r="S709" i="6"/>
  <c r="S708" i="6"/>
  <c r="S707" i="6"/>
  <c r="S706" i="6"/>
  <c r="S705" i="6"/>
  <c r="S704" i="6"/>
  <c r="S703" i="6"/>
  <c r="S702" i="6"/>
  <c r="S701" i="6"/>
  <c r="S700" i="6"/>
  <c r="S699" i="6"/>
  <c r="S698" i="6"/>
  <c r="S697" i="6"/>
  <c r="S696" i="6"/>
  <c r="S695" i="6"/>
  <c r="S694" i="6"/>
  <c r="S693" i="6"/>
  <c r="S692" i="6"/>
  <c r="S691" i="6"/>
  <c r="S690" i="6"/>
  <c r="S689" i="6"/>
  <c r="S688" i="6"/>
  <c r="S687" i="6"/>
  <c r="S686" i="6"/>
  <c r="S685" i="6"/>
  <c r="S684" i="6"/>
  <c r="S683" i="6"/>
  <c r="S682" i="6"/>
  <c r="S681" i="6"/>
  <c r="S680" i="6"/>
  <c r="S679" i="6"/>
  <c r="S678" i="6"/>
  <c r="S677" i="6"/>
  <c r="S676" i="6"/>
  <c r="S675" i="6"/>
  <c r="S674" i="6"/>
  <c r="S673" i="6"/>
  <c r="S672" i="6"/>
  <c r="S671" i="6"/>
  <c r="S670" i="6"/>
  <c r="S669" i="6"/>
  <c r="S668" i="6"/>
  <c r="S667" i="6"/>
  <c r="S666" i="6"/>
  <c r="S665" i="6"/>
  <c r="S664" i="6"/>
  <c r="S663" i="6"/>
  <c r="S662" i="6"/>
  <c r="S661" i="6"/>
  <c r="S660" i="6"/>
  <c r="S659" i="6"/>
  <c r="S658" i="6"/>
  <c r="S657" i="6"/>
  <c r="S656" i="6"/>
  <c r="S655" i="6"/>
  <c r="S654" i="6"/>
  <c r="S653" i="6"/>
  <c r="S652" i="6"/>
  <c r="S651" i="6"/>
  <c r="S650" i="6"/>
  <c r="S649" i="6"/>
  <c r="S648" i="6"/>
  <c r="S647" i="6"/>
  <c r="S646" i="6"/>
  <c r="S645" i="6"/>
  <c r="S644" i="6"/>
  <c r="S643" i="6"/>
  <c r="S642" i="6"/>
  <c r="S641" i="6"/>
  <c r="S640" i="6"/>
  <c r="S639" i="6"/>
  <c r="S638" i="6"/>
  <c r="S637" i="6"/>
  <c r="S636" i="6"/>
  <c r="S635" i="6"/>
  <c r="S634" i="6"/>
  <c r="S633" i="6"/>
  <c r="S632" i="6"/>
  <c r="S631" i="6"/>
  <c r="S630" i="6"/>
  <c r="S629" i="6"/>
  <c r="S628" i="6"/>
  <c r="S627" i="6"/>
  <c r="S626" i="6"/>
  <c r="S625" i="6"/>
  <c r="S624" i="6"/>
  <c r="S623" i="6"/>
  <c r="S622" i="6"/>
  <c r="S621" i="6"/>
  <c r="S620" i="6"/>
  <c r="S619" i="6"/>
  <c r="S618" i="6"/>
  <c r="S617" i="6"/>
  <c r="S616" i="6"/>
  <c r="S615" i="6"/>
  <c r="S614" i="6"/>
  <c r="S613" i="6"/>
  <c r="S612" i="6"/>
  <c r="S611" i="6"/>
  <c r="S610" i="6"/>
  <c r="S609" i="6"/>
  <c r="S608" i="6"/>
  <c r="S607" i="6"/>
  <c r="S606" i="6"/>
  <c r="S605" i="6"/>
  <c r="S604" i="6"/>
  <c r="S603" i="6"/>
  <c r="S602" i="6"/>
  <c r="S601" i="6"/>
  <c r="S600" i="6"/>
  <c r="S599" i="6"/>
  <c r="S598" i="6"/>
  <c r="S597" i="6"/>
  <c r="S596" i="6"/>
  <c r="S595" i="6"/>
  <c r="S594" i="6"/>
  <c r="S593" i="6"/>
  <c r="S592" i="6"/>
  <c r="S591" i="6"/>
  <c r="S590" i="6"/>
  <c r="S589" i="6"/>
  <c r="S588" i="6"/>
  <c r="S587" i="6"/>
  <c r="S586" i="6"/>
  <c r="S585" i="6"/>
  <c r="S584" i="6"/>
  <c r="S583" i="6"/>
  <c r="S582" i="6"/>
  <c r="S581" i="6"/>
  <c r="S580" i="6"/>
  <c r="S579" i="6"/>
  <c r="S578" i="6"/>
  <c r="S577" i="6"/>
  <c r="S576" i="6"/>
  <c r="S575" i="6"/>
  <c r="S574" i="6"/>
  <c r="S573" i="6"/>
  <c r="S572" i="6"/>
  <c r="S571" i="6"/>
  <c r="S570" i="6"/>
  <c r="S569" i="6"/>
  <c r="S568" i="6"/>
  <c r="S567" i="6"/>
  <c r="S566" i="6"/>
  <c r="S565" i="6"/>
  <c r="S564" i="6"/>
  <c r="S563" i="6"/>
  <c r="S562" i="6"/>
  <c r="S561" i="6"/>
  <c r="S560" i="6"/>
  <c r="S559" i="6"/>
  <c r="S558" i="6"/>
  <c r="S557" i="6"/>
  <c r="S556" i="6"/>
  <c r="S555" i="6"/>
  <c r="S554" i="6"/>
  <c r="S553" i="6"/>
  <c r="S552" i="6"/>
  <c r="S551" i="6"/>
  <c r="S550" i="6"/>
  <c r="S549" i="6"/>
  <c r="S548" i="6"/>
  <c r="S547" i="6"/>
  <c r="S546" i="6"/>
  <c r="S545" i="6"/>
  <c r="S544" i="6"/>
  <c r="S543" i="6"/>
  <c r="S542" i="6"/>
  <c r="S541" i="6"/>
  <c r="S540" i="6"/>
  <c r="S539" i="6"/>
  <c r="S538" i="6"/>
  <c r="S537" i="6"/>
  <c r="S536" i="6"/>
  <c r="S535" i="6"/>
  <c r="S534" i="6"/>
  <c r="S533" i="6"/>
  <c r="S532" i="6"/>
  <c r="S531" i="6"/>
  <c r="S530" i="6"/>
  <c r="S529" i="6"/>
  <c r="S528" i="6"/>
  <c r="S527" i="6"/>
  <c r="S526" i="6"/>
  <c r="S525" i="6"/>
  <c r="S524" i="6"/>
  <c r="S523" i="6"/>
  <c r="S522" i="6"/>
  <c r="S521" i="6"/>
  <c r="S520" i="6"/>
  <c r="S519" i="6"/>
  <c r="S518" i="6"/>
  <c r="S517" i="6"/>
  <c r="S516" i="6"/>
  <c r="S515" i="6"/>
  <c r="S514" i="6"/>
  <c r="S513" i="6"/>
  <c r="S512" i="6"/>
  <c r="S511" i="6"/>
  <c r="S510" i="6"/>
  <c r="S509" i="6"/>
  <c r="S508" i="6"/>
  <c r="S507" i="6"/>
  <c r="S506" i="6"/>
  <c r="S505" i="6"/>
  <c r="S504" i="6"/>
  <c r="S503" i="6"/>
  <c r="S502" i="6"/>
  <c r="S501" i="6"/>
  <c r="S500" i="6"/>
  <c r="S499" i="6"/>
  <c r="S498" i="6"/>
  <c r="S497" i="6"/>
  <c r="S496" i="6"/>
  <c r="S495" i="6"/>
  <c r="S494" i="6"/>
  <c r="S493" i="6"/>
  <c r="S492" i="6"/>
  <c r="S491" i="6"/>
  <c r="S490" i="6"/>
  <c r="S489" i="6"/>
  <c r="S488" i="6"/>
  <c r="S487" i="6"/>
  <c r="S486" i="6"/>
  <c r="S485" i="6"/>
  <c r="S484" i="6"/>
  <c r="S483" i="6"/>
  <c r="S482" i="6"/>
  <c r="S481" i="6"/>
  <c r="S480" i="6"/>
  <c r="S479" i="6"/>
  <c r="S478" i="6"/>
  <c r="S477" i="6"/>
  <c r="S476" i="6"/>
  <c r="S475" i="6"/>
  <c r="S474" i="6"/>
  <c r="S473" i="6"/>
  <c r="S472" i="6"/>
  <c r="S471" i="6"/>
  <c r="S470" i="6"/>
  <c r="S469" i="6"/>
  <c r="S468" i="6"/>
  <c r="S467" i="6"/>
  <c r="S466" i="6"/>
  <c r="S465" i="6"/>
  <c r="S464" i="6"/>
  <c r="S463" i="6"/>
  <c r="S462" i="6"/>
  <c r="S461" i="6"/>
  <c r="S460" i="6"/>
  <c r="S459" i="6"/>
  <c r="S458" i="6"/>
  <c r="S457" i="6"/>
  <c r="S456" i="6"/>
  <c r="S455" i="6"/>
  <c r="S454" i="6"/>
  <c r="S453" i="6"/>
  <c r="S452" i="6"/>
  <c r="S451" i="6"/>
  <c r="S450" i="6"/>
  <c r="S449" i="6"/>
  <c r="S448" i="6"/>
  <c r="S447" i="6"/>
  <c r="S446" i="6"/>
  <c r="S445" i="6"/>
  <c r="S444" i="6"/>
  <c r="S443" i="6"/>
  <c r="S442" i="6"/>
  <c r="S441" i="6"/>
  <c r="S440" i="6"/>
  <c r="S439" i="6"/>
  <c r="S438" i="6"/>
  <c r="S437" i="6"/>
  <c r="S436" i="6"/>
  <c r="S435" i="6"/>
  <c r="S434" i="6"/>
  <c r="S433" i="6"/>
  <c r="S432" i="6"/>
  <c r="S431" i="6"/>
  <c r="S430" i="6"/>
  <c r="S429" i="6"/>
  <c r="S428" i="6"/>
  <c r="S427" i="6"/>
  <c r="S426" i="6"/>
  <c r="S425" i="6"/>
  <c r="S424" i="6"/>
  <c r="S423" i="6"/>
  <c r="S422" i="6"/>
  <c r="S421" i="6"/>
  <c r="S420" i="6"/>
  <c r="S419" i="6"/>
  <c r="S418" i="6"/>
  <c r="S417" i="6"/>
  <c r="S416" i="6"/>
  <c r="S415" i="6"/>
  <c r="S414" i="6"/>
  <c r="S413" i="6"/>
  <c r="S412" i="6"/>
  <c r="S411" i="6"/>
  <c r="S410" i="6"/>
  <c r="S409" i="6"/>
  <c r="S408" i="6"/>
  <c r="S407" i="6"/>
  <c r="S406" i="6"/>
  <c r="S405" i="6"/>
  <c r="S404" i="6"/>
  <c r="S403" i="6"/>
  <c r="S402" i="6"/>
  <c r="S401" i="6"/>
  <c r="S400" i="6"/>
  <c r="S399" i="6"/>
  <c r="S398" i="6"/>
  <c r="S397" i="6"/>
  <c r="S396" i="6"/>
  <c r="S395" i="6"/>
  <c r="S394" i="6"/>
  <c r="S393" i="6"/>
  <c r="S392" i="6"/>
  <c r="S391" i="6"/>
  <c r="S390" i="6"/>
  <c r="S389" i="6"/>
  <c r="S388" i="6"/>
  <c r="S387" i="6"/>
  <c r="S386" i="6"/>
  <c r="S385" i="6"/>
  <c r="S384" i="6"/>
  <c r="S383" i="6"/>
  <c r="S382" i="6"/>
  <c r="S381" i="6"/>
  <c r="S380" i="6"/>
  <c r="S379" i="6"/>
  <c r="S378" i="6"/>
  <c r="S377" i="6"/>
  <c r="S376" i="6"/>
  <c r="S375" i="6"/>
  <c r="S374" i="6"/>
  <c r="S373" i="6"/>
  <c r="S372" i="6"/>
  <c r="S371" i="6"/>
  <c r="S370" i="6"/>
  <c r="S369" i="6"/>
  <c r="S368" i="6"/>
  <c r="S367" i="6"/>
  <c r="S366" i="6"/>
  <c r="S365" i="6"/>
  <c r="S364" i="6"/>
  <c r="S363" i="6"/>
  <c r="S362" i="6"/>
  <c r="S361" i="6"/>
  <c r="S360" i="6"/>
  <c r="S359" i="6"/>
  <c r="S358" i="6"/>
  <c r="S357" i="6"/>
  <c r="S356" i="6"/>
  <c r="S355" i="6"/>
  <c r="S354" i="6"/>
  <c r="S353" i="6"/>
  <c r="S352" i="6"/>
  <c r="S351" i="6"/>
  <c r="S350" i="6"/>
  <c r="S349" i="6"/>
  <c r="S348" i="6"/>
  <c r="S347" i="6"/>
  <c r="S346" i="6"/>
  <c r="S345" i="6"/>
  <c r="S344" i="6"/>
  <c r="S343" i="6"/>
  <c r="S342" i="6"/>
  <c r="S341" i="6"/>
  <c r="S340" i="6"/>
  <c r="S339" i="6"/>
  <c r="S338" i="6"/>
  <c r="S337" i="6"/>
  <c r="S336" i="6"/>
  <c r="S335" i="6"/>
  <c r="S334" i="6"/>
  <c r="S333" i="6"/>
  <c r="S332" i="6"/>
  <c r="S331" i="6"/>
  <c r="S330" i="6"/>
  <c r="S329" i="6"/>
  <c r="S328" i="6"/>
  <c r="S327" i="6"/>
  <c r="S326" i="6"/>
  <c r="S325" i="6"/>
  <c r="S324" i="6"/>
  <c r="S323" i="6"/>
  <c r="S322" i="6"/>
  <c r="S321" i="6"/>
  <c r="S320" i="6"/>
  <c r="S319" i="6"/>
  <c r="S318" i="6"/>
  <c r="S317" i="6"/>
  <c r="S316" i="6"/>
  <c r="S315" i="6"/>
  <c r="S314" i="6"/>
  <c r="S313" i="6"/>
  <c r="S312" i="6"/>
  <c r="S311" i="6"/>
  <c r="S310" i="6"/>
  <c r="S309" i="6"/>
  <c r="S308" i="6"/>
  <c r="S307" i="6"/>
  <c r="S306" i="6"/>
  <c r="S305" i="6"/>
  <c r="S304" i="6"/>
  <c r="S303" i="6"/>
  <c r="S302" i="6"/>
  <c r="S301" i="6"/>
  <c r="S300" i="6"/>
  <c r="S299" i="6"/>
  <c r="S298" i="6"/>
  <c r="S297" i="6"/>
  <c r="S296" i="6"/>
  <c r="S295" i="6"/>
  <c r="S294" i="6"/>
  <c r="S293" i="6"/>
  <c r="S292" i="6"/>
  <c r="S291" i="6"/>
  <c r="S290" i="6"/>
  <c r="S289" i="6"/>
  <c r="S288" i="6"/>
  <c r="S287" i="6"/>
  <c r="S286" i="6"/>
  <c r="S285" i="6"/>
  <c r="S284" i="6"/>
  <c r="S283" i="6"/>
  <c r="S282" i="6"/>
  <c r="S281" i="6"/>
  <c r="S280" i="6"/>
  <c r="S279" i="6"/>
  <c r="S278" i="6"/>
  <c r="S277" i="6"/>
  <c r="S276" i="6"/>
  <c r="S275" i="6"/>
  <c r="S274" i="6"/>
  <c r="S273" i="6"/>
  <c r="S272" i="6"/>
  <c r="S271" i="6"/>
  <c r="S270" i="6"/>
  <c r="S269" i="6"/>
  <c r="S268" i="6"/>
  <c r="S267" i="6"/>
  <c r="S266" i="6"/>
  <c r="S265" i="6"/>
  <c r="S264" i="6"/>
  <c r="S263" i="6"/>
  <c r="S262" i="6"/>
  <c r="S261" i="6"/>
  <c r="S260" i="6"/>
  <c r="S259" i="6"/>
  <c r="S258" i="6"/>
  <c r="S257" i="6"/>
  <c r="S256" i="6"/>
  <c r="S255" i="6"/>
  <c r="S254" i="6"/>
  <c r="S253" i="6"/>
  <c r="S252" i="6"/>
  <c r="S251" i="6"/>
  <c r="S250" i="6"/>
  <c r="S249" i="6"/>
  <c r="S248" i="6"/>
  <c r="S247" i="6"/>
  <c r="S246" i="6"/>
  <c r="S245" i="6"/>
  <c r="S244" i="6"/>
  <c r="S243" i="6"/>
  <c r="S242" i="6"/>
  <c r="S241" i="6"/>
  <c r="S240" i="6"/>
  <c r="S239" i="6"/>
  <c r="S238" i="6"/>
  <c r="S237" i="6"/>
  <c r="S236" i="6"/>
  <c r="S235" i="6"/>
  <c r="S234" i="6"/>
  <c r="S233" i="6"/>
  <c r="S232" i="6"/>
  <c r="S231" i="6"/>
  <c r="S230" i="6"/>
  <c r="S229" i="6"/>
  <c r="S228" i="6"/>
  <c r="S227" i="6"/>
  <c r="S226" i="6"/>
  <c r="S225" i="6"/>
  <c r="S224" i="6"/>
  <c r="S223" i="6"/>
  <c r="S222" i="6"/>
  <c r="S221" i="6"/>
  <c r="S220" i="6"/>
  <c r="S219" i="6"/>
  <c r="S218" i="6"/>
  <c r="S217" i="6"/>
  <c r="S216" i="6"/>
  <c r="S215" i="6"/>
  <c r="S214" i="6"/>
  <c r="S213" i="6"/>
  <c r="S212" i="6"/>
  <c r="S211" i="6"/>
  <c r="S210" i="6"/>
  <c r="S209" i="6"/>
  <c r="S208" i="6"/>
  <c r="S207" i="6"/>
  <c r="S206" i="6"/>
  <c r="S205" i="6"/>
  <c r="S204" i="6"/>
  <c r="S203" i="6"/>
  <c r="S202" i="6"/>
  <c r="S201" i="6"/>
  <c r="S200" i="6"/>
  <c r="S199" i="6"/>
  <c r="S198" i="6"/>
  <c r="S197" i="6"/>
  <c r="S196" i="6"/>
  <c r="S195" i="6"/>
  <c r="S194" i="6"/>
  <c r="S193" i="6"/>
  <c r="S192" i="6"/>
  <c r="S191" i="6"/>
  <c r="S190" i="6"/>
  <c r="S189" i="6"/>
  <c r="S188" i="6"/>
  <c r="S187" i="6"/>
  <c r="S186" i="6"/>
  <c r="S185" i="6"/>
  <c r="S184" i="6"/>
  <c r="S183" i="6"/>
  <c r="S182" i="6"/>
  <c r="S181" i="6"/>
  <c r="S180" i="6"/>
  <c r="S179" i="6"/>
  <c r="S178" i="6"/>
  <c r="S177" i="6"/>
  <c r="S176" i="6"/>
  <c r="S175" i="6"/>
  <c r="S174" i="6"/>
  <c r="S173" i="6"/>
  <c r="S172" i="6"/>
  <c r="S171" i="6"/>
  <c r="S170" i="6"/>
  <c r="S169" i="6"/>
  <c r="S168" i="6"/>
  <c r="S167" i="6"/>
  <c r="S166" i="6"/>
  <c r="S165" i="6"/>
  <c r="S164" i="6"/>
  <c r="S163" i="6"/>
  <c r="S162" i="6"/>
  <c r="S161" i="6"/>
  <c r="S160" i="6"/>
  <c r="S159" i="6"/>
  <c r="S158" i="6"/>
  <c r="S157" i="6"/>
  <c r="S156" i="6"/>
  <c r="S155" i="6"/>
  <c r="S154" i="6"/>
  <c r="S153" i="6"/>
  <c r="S152" i="6"/>
  <c r="S151" i="6"/>
  <c r="S150" i="6"/>
  <c r="S149" i="6"/>
  <c r="S148" i="6"/>
  <c r="S147" i="6"/>
  <c r="S146" i="6"/>
  <c r="S145" i="6"/>
  <c r="S144" i="6"/>
  <c r="S143" i="6"/>
  <c r="S142" i="6"/>
  <c r="S141" i="6"/>
  <c r="S140" i="6"/>
  <c r="S139" i="6"/>
  <c r="S138" i="6"/>
  <c r="S137" i="6"/>
  <c r="S136" i="6"/>
  <c r="S135" i="6"/>
  <c r="S134" i="6"/>
  <c r="S133" i="6"/>
  <c r="S132" i="6"/>
  <c r="S131" i="6"/>
  <c r="S130" i="6"/>
  <c r="S129" i="6"/>
  <c r="S128" i="6"/>
  <c r="S127" i="6"/>
  <c r="S126" i="6"/>
  <c r="S125" i="6"/>
  <c r="S124" i="6"/>
  <c r="S123" i="6"/>
  <c r="S122" i="6"/>
  <c r="S121" i="6"/>
  <c r="S120" i="6"/>
  <c r="S119" i="6"/>
  <c r="S118" i="6"/>
  <c r="S117" i="6"/>
  <c r="S116" i="6"/>
  <c r="S115" i="6"/>
  <c r="S114" i="6"/>
  <c r="S113" i="6"/>
  <c r="S112" i="6"/>
  <c r="S111" i="6"/>
  <c r="S110" i="6"/>
  <c r="S109" i="6"/>
  <c r="S108" i="6"/>
  <c r="S107" i="6"/>
  <c r="S106" i="6"/>
  <c r="S105" i="6"/>
  <c r="S104" i="6"/>
  <c r="S103" i="6"/>
  <c r="S102" i="6"/>
  <c r="S101" i="6"/>
  <c r="S100" i="6"/>
  <c r="S99" i="6"/>
  <c r="S98" i="6"/>
  <c r="S97" i="6"/>
  <c r="S96" i="6"/>
  <c r="S95" i="6"/>
  <c r="S94" i="6"/>
  <c r="S93" i="6"/>
  <c r="S92" i="6"/>
  <c r="S91" i="6"/>
  <c r="S90" i="6"/>
  <c r="S89" i="6"/>
  <c r="S88" i="6"/>
  <c r="S87" i="6"/>
  <c r="S86" i="6"/>
  <c r="S85" i="6"/>
  <c r="S84" i="6"/>
  <c r="S83" i="6"/>
  <c r="S82" i="6"/>
  <c r="S81" i="6"/>
  <c r="S80" i="6"/>
  <c r="S79" i="6"/>
  <c r="S78" i="6"/>
  <c r="S77" i="6"/>
  <c r="S76" i="6"/>
  <c r="S75" i="6"/>
  <c r="S74" i="6"/>
  <c r="S73" i="6"/>
  <c r="S72" i="6"/>
  <c r="S71" i="6"/>
  <c r="S70" i="6"/>
  <c r="S69" i="6"/>
  <c r="S68" i="6"/>
  <c r="S67" i="6"/>
  <c r="S66" i="6"/>
  <c r="S65" i="6"/>
  <c r="S64" i="6"/>
  <c r="S63" i="6"/>
  <c r="S62" i="6"/>
  <c r="S61" i="6"/>
  <c r="S60" i="6"/>
  <c r="S59" i="6"/>
  <c r="S58" i="6"/>
  <c r="S57" i="6"/>
  <c r="S56" i="6"/>
  <c r="S55" i="6"/>
  <c r="S54" i="6"/>
  <c r="S53" i="6"/>
  <c r="S52" i="6"/>
  <c r="S51" i="6"/>
  <c r="S50" i="6"/>
  <c r="S49" i="6"/>
  <c r="S48" i="6"/>
  <c r="S47" i="6"/>
  <c r="S46" i="6"/>
  <c r="S45" i="6"/>
  <c r="S44" i="6"/>
  <c r="S43" i="6"/>
  <c r="S42" i="6"/>
  <c r="S41" i="6"/>
  <c r="S40" i="6"/>
  <c r="S39" i="6"/>
  <c r="S38" i="6"/>
  <c r="S37" i="6"/>
  <c r="S36" i="6"/>
  <c r="S35" i="6"/>
  <c r="S34" i="6"/>
  <c r="S33" i="6"/>
  <c r="S32" i="6"/>
  <c r="S31" i="6"/>
  <c r="S30" i="6"/>
  <c r="S29" i="6"/>
  <c r="S28" i="6"/>
  <c r="S27" i="6"/>
  <c r="S26" i="6"/>
  <c r="S25" i="6"/>
  <c r="S24" i="6"/>
  <c r="S23" i="6"/>
  <c r="S22" i="6"/>
  <c r="S21" i="6"/>
  <c r="S20" i="6"/>
  <c r="S19" i="6"/>
  <c r="S18" i="6"/>
  <c r="S17" i="6"/>
  <c r="S16" i="6"/>
  <c r="S15" i="6"/>
  <c r="S14" i="6"/>
  <c r="S13" i="6"/>
  <c r="S12" i="6"/>
  <c r="S11" i="6"/>
  <c r="S10" i="6"/>
  <c r="S9" i="6"/>
  <c r="S8" i="6"/>
  <c r="S7" i="6"/>
  <c r="S6" i="6"/>
  <c r="S5" i="6"/>
  <c r="S4" i="6"/>
  <c r="S3" i="6"/>
  <c r="S2" i="6"/>
  <c r="U889" i="6"/>
  <c r="R889" i="6"/>
  <c r="U866" i="6"/>
  <c r="R866" i="6"/>
  <c r="U865" i="6"/>
  <c r="R865" i="6"/>
  <c r="U864" i="6"/>
  <c r="R864" i="6"/>
  <c r="U863" i="6"/>
  <c r="R863" i="6"/>
  <c r="U862" i="6"/>
  <c r="R862" i="6"/>
  <c r="U861" i="6"/>
  <c r="R861" i="6"/>
  <c r="U860" i="6"/>
  <c r="R860" i="6"/>
  <c r="U859" i="6"/>
  <c r="R859" i="6"/>
  <c r="U858" i="6"/>
  <c r="R858" i="6"/>
  <c r="U857" i="6"/>
  <c r="R857" i="6"/>
  <c r="U856" i="6"/>
  <c r="R856" i="6"/>
  <c r="U855" i="6"/>
  <c r="R855" i="6"/>
  <c r="U854" i="6"/>
  <c r="R854" i="6"/>
  <c r="U853" i="6"/>
  <c r="R853" i="6"/>
  <c r="U852" i="6"/>
  <c r="R852" i="6"/>
  <c r="U851" i="6"/>
  <c r="R851" i="6"/>
  <c r="U850" i="6"/>
  <c r="R850" i="6"/>
  <c r="U849" i="6"/>
  <c r="R849" i="6"/>
  <c r="U848" i="6"/>
  <c r="R848" i="6"/>
  <c r="U847" i="6"/>
  <c r="R847" i="6"/>
  <c r="U846" i="6"/>
  <c r="R846" i="6"/>
  <c r="U845" i="6"/>
  <c r="R845" i="6"/>
  <c r="U844" i="6"/>
  <c r="R844" i="6"/>
  <c r="U843" i="6"/>
  <c r="R843" i="6"/>
  <c r="U842" i="6"/>
  <c r="R842" i="6"/>
  <c r="U841" i="6"/>
  <c r="R841" i="6"/>
  <c r="U840" i="6"/>
  <c r="R840" i="6"/>
  <c r="U839" i="6"/>
  <c r="R839" i="6"/>
  <c r="U838" i="6"/>
  <c r="R838" i="6"/>
  <c r="U837" i="6"/>
  <c r="R837" i="6"/>
  <c r="U836" i="6"/>
  <c r="R836" i="6"/>
  <c r="U835" i="6"/>
  <c r="R835" i="6"/>
  <c r="U834" i="6"/>
  <c r="R834" i="6"/>
  <c r="U833" i="6"/>
  <c r="R833" i="6"/>
  <c r="U832" i="6"/>
  <c r="R832" i="6"/>
  <c r="U831" i="6"/>
  <c r="R831" i="6"/>
  <c r="U830" i="6"/>
  <c r="R830" i="6"/>
  <c r="U829" i="6"/>
  <c r="R829" i="6"/>
  <c r="U828" i="6"/>
  <c r="R828" i="6"/>
  <c r="U827" i="6"/>
  <c r="R827" i="6"/>
  <c r="U826" i="6"/>
  <c r="R826" i="6"/>
  <c r="U825" i="6"/>
  <c r="R825" i="6"/>
  <c r="U824" i="6"/>
  <c r="R824" i="6"/>
  <c r="U823" i="6"/>
  <c r="R823" i="6"/>
  <c r="U822" i="6"/>
  <c r="R822" i="6"/>
  <c r="U821" i="6"/>
  <c r="R821" i="6"/>
  <c r="U820" i="6"/>
  <c r="R820" i="6"/>
  <c r="U819" i="6"/>
  <c r="R819" i="6"/>
  <c r="U818" i="6"/>
  <c r="R818" i="6"/>
  <c r="U817" i="6"/>
  <c r="R817" i="6"/>
  <c r="U816" i="6"/>
  <c r="R816" i="6"/>
  <c r="U815" i="6"/>
  <c r="R815" i="6"/>
  <c r="U814" i="6"/>
  <c r="R814" i="6"/>
  <c r="U813" i="6"/>
  <c r="R813" i="6"/>
  <c r="U812" i="6"/>
  <c r="R812" i="6"/>
  <c r="U811" i="6"/>
  <c r="R811" i="6"/>
  <c r="U810" i="6"/>
  <c r="R810" i="6"/>
  <c r="U809" i="6"/>
  <c r="R809" i="6"/>
  <c r="U808" i="6"/>
  <c r="R808" i="6"/>
  <c r="U807" i="6"/>
  <c r="R807" i="6"/>
  <c r="U806" i="6"/>
  <c r="R806" i="6"/>
  <c r="U805" i="6"/>
  <c r="R805" i="6"/>
  <c r="U804" i="6"/>
  <c r="R804" i="6"/>
  <c r="U803" i="6"/>
  <c r="R803" i="6"/>
  <c r="U802" i="6"/>
  <c r="R802" i="6"/>
  <c r="U801" i="6"/>
  <c r="R801" i="6"/>
  <c r="U800" i="6"/>
  <c r="R800" i="6"/>
  <c r="U799" i="6"/>
  <c r="R799" i="6"/>
  <c r="U798" i="6"/>
  <c r="R798" i="6"/>
  <c r="U797" i="6"/>
  <c r="R797" i="6"/>
  <c r="U796" i="6"/>
  <c r="R796" i="6"/>
  <c r="U795" i="6"/>
  <c r="R795" i="6"/>
  <c r="U794" i="6"/>
  <c r="R794" i="6"/>
  <c r="U793" i="6"/>
  <c r="R793" i="6"/>
  <c r="U792" i="6"/>
  <c r="R792" i="6"/>
  <c r="U791" i="6"/>
  <c r="R791" i="6"/>
  <c r="U790" i="6"/>
  <c r="R790" i="6"/>
  <c r="U789" i="6"/>
  <c r="R789" i="6"/>
  <c r="U788" i="6"/>
  <c r="R788" i="6"/>
  <c r="U787" i="6"/>
  <c r="R787" i="6"/>
  <c r="U786" i="6"/>
  <c r="R786" i="6"/>
  <c r="U785" i="6"/>
  <c r="R785" i="6"/>
  <c r="U784" i="6"/>
  <c r="R784" i="6"/>
  <c r="U783" i="6"/>
  <c r="R783" i="6"/>
  <c r="U782" i="6"/>
  <c r="R782" i="6"/>
  <c r="U781" i="6"/>
  <c r="R781" i="6"/>
  <c r="U780" i="6"/>
  <c r="R780" i="6"/>
  <c r="U779" i="6"/>
  <c r="R779" i="6"/>
  <c r="U778" i="6"/>
  <c r="R778" i="6"/>
  <c r="U777" i="6"/>
  <c r="R777" i="6"/>
  <c r="U776" i="6"/>
  <c r="R776" i="6"/>
  <c r="U775" i="6"/>
  <c r="R775" i="6"/>
  <c r="U774" i="6"/>
  <c r="R774" i="6"/>
  <c r="U773" i="6"/>
  <c r="R773" i="6"/>
  <c r="U772" i="6"/>
  <c r="R772" i="6"/>
  <c r="U771" i="6"/>
  <c r="R771" i="6"/>
  <c r="U770" i="6"/>
  <c r="R770" i="6"/>
  <c r="U769" i="6"/>
  <c r="R769" i="6"/>
  <c r="U768" i="6"/>
  <c r="R768" i="6"/>
  <c r="U767" i="6"/>
  <c r="R767" i="6"/>
  <c r="U766" i="6"/>
  <c r="R766" i="6"/>
  <c r="U765" i="6"/>
  <c r="R765" i="6"/>
  <c r="U764" i="6"/>
  <c r="R764" i="6"/>
  <c r="U763" i="6"/>
  <c r="R763" i="6"/>
  <c r="U762" i="6"/>
  <c r="R762" i="6"/>
  <c r="U761" i="6"/>
  <c r="R761" i="6"/>
  <c r="U760" i="6"/>
  <c r="R760" i="6"/>
  <c r="U759" i="6"/>
  <c r="R759" i="6"/>
  <c r="U758" i="6"/>
  <c r="R758" i="6"/>
  <c r="U757" i="6"/>
  <c r="R757" i="6"/>
  <c r="U756" i="6"/>
  <c r="R756" i="6"/>
  <c r="U755" i="6"/>
  <c r="R755" i="6"/>
  <c r="U754" i="6"/>
  <c r="R754" i="6"/>
  <c r="U753" i="6"/>
  <c r="R753" i="6"/>
  <c r="U752" i="6"/>
  <c r="R752" i="6"/>
  <c r="U751" i="6"/>
  <c r="R751" i="6"/>
  <c r="U750" i="6"/>
  <c r="R750" i="6"/>
  <c r="U749" i="6"/>
  <c r="R749" i="6"/>
  <c r="U748" i="6"/>
  <c r="R748" i="6"/>
  <c r="U747" i="6"/>
  <c r="R747" i="6"/>
  <c r="U746" i="6"/>
  <c r="R746" i="6"/>
  <c r="U745" i="6"/>
  <c r="R745" i="6"/>
  <c r="U744" i="6"/>
  <c r="R744" i="6"/>
  <c r="U743" i="6"/>
  <c r="R743" i="6"/>
  <c r="U742" i="6"/>
  <c r="R742" i="6"/>
  <c r="U741" i="6"/>
  <c r="R741" i="6"/>
  <c r="U740" i="6"/>
  <c r="R740" i="6"/>
  <c r="U739" i="6"/>
  <c r="R739" i="6"/>
  <c r="U738" i="6"/>
  <c r="R738" i="6"/>
  <c r="U737" i="6"/>
  <c r="R737" i="6"/>
  <c r="U736" i="6"/>
  <c r="R736" i="6"/>
  <c r="U735" i="6"/>
  <c r="R735" i="6"/>
  <c r="U734" i="6"/>
  <c r="R734" i="6"/>
  <c r="U733" i="6"/>
  <c r="R733" i="6"/>
  <c r="U732" i="6"/>
  <c r="R732" i="6"/>
  <c r="U731" i="6"/>
  <c r="R731" i="6"/>
  <c r="U730" i="6"/>
  <c r="R730" i="6"/>
  <c r="U729" i="6"/>
  <c r="R729" i="6"/>
  <c r="U728" i="6"/>
  <c r="R728" i="6"/>
  <c r="U727" i="6"/>
  <c r="R727" i="6"/>
  <c r="U726" i="6"/>
  <c r="R726" i="6"/>
  <c r="U725" i="6"/>
  <c r="R725" i="6"/>
  <c r="U724" i="6"/>
  <c r="R724" i="6"/>
  <c r="U723" i="6"/>
  <c r="R723" i="6"/>
  <c r="U722" i="6"/>
  <c r="R722" i="6"/>
  <c r="U721" i="6"/>
  <c r="R721" i="6"/>
  <c r="U720" i="6"/>
  <c r="R720" i="6"/>
  <c r="U719" i="6"/>
  <c r="R719" i="6"/>
  <c r="U718" i="6"/>
  <c r="R718" i="6"/>
  <c r="U717" i="6"/>
  <c r="R717" i="6"/>
  <c r="U716" i="6"/>
  <c r="R716" i="6"/>
  <c r="U715" i="6"/>
  <c r="R715" i="6"/>
  <c r="U714" i="6"/>
  <c r="R714" i="6"/>
  <c r="U713" i="6"/>
  <c r="R713" i="6"/>
  <c r="U712" i="6"/>
  <c r="R712" i="6"/>
  <c r="U711" i="6"/>
  <c r="R711" i="6"/>
  <c r="U710" i="6"/>
  <c r="R710" i="6"/>
  <c r="U709" i="6"/>
  <c r="R709" i="6"/>
  <c r="U708" i="6"/>
  <c r="R708" i="6"/>
  <c r="U707" i="6"/>
  <c r="R707" i="6"/>
  <c r="U706" i="6"/>
  <c r="R706" i="6"/>
  <c r="U705" i="6"/>
  <c r="R705" i="6"/>
  <c r="U704" i="6"/>
  <c r="R704" i="6"/>
  <c r="U703" i="6"/>
  <c r="R703" i="6"/>
  <c r="U702" i="6"/>
  <c r="R702" i="6"/>
  <c r="U701" i="6"/>
  <c r="R701" i="6"/>
  <c r="U700" i="6"/>
  <c r="R700" i="6"/>
  <c r="U699" i="6"/>
  <c r="R699" i="6"/>
  <c r="U698" i="6"/>
  <c r="R698" i="6"/>
  <c r="U697" i="6"/>
  <c r="R697" i="6"/>
  <c r="U696" i="6"/>
  <c r="R696" i="6"/>
  <c r="U695" i="6"/>
  <c r="R695" i="6"/>
  <c r="U694" i="6"/>
  <c r="R694" i="6"/>
  <c r="U693" i="6"/>
  <c r="R693" i="6"/>
  <c r="U692" i="6"/>
  <c r="R692" i="6"/>
  <c r="U691" i="6"/>
  <c r="R691" i="6"/>
  <c r="U690" i="6"/>
  <c r="R690" i="6"/>
  <c r="U689" i="6"/>
  <c r="R689" i="6"/>
  <c r="U688" i="6"/>
  <c r="R688" i="6"/>
  <c r="U687" i="6"/>
  <c r="R687" i="6"/>
  <c r="U686" i="6"/>
  <c r="R686" i="6"/>
  <c r="U685" i="6"/>
  <c r="R685" i="6"/>
  <c r="U684" i="6"/>
  <c r="R684" i="6"/>
  <c r="U683" i="6"/>
  <c r="R683" i="6"/>
  <c r="U682" i="6"/>
  <c r="R682" i="6"/>
  <c r="U681" i="6"/>
  <c r="R681" i="6"/>
  <c r="U680" i="6"/>
  <c r="R680" i="6"/>
  <c r="U679" i="6"/>
  <c r="R679" i="6"/>
  <c r="U678" i="6"/>
  <c r="R678" i="6"/>
  <c r="U677" i="6"/>
  <c r="R677" i="6"/>
  <c r="U676" i="6"/>
  <c r="R676" i="6"/>
  <c r="U675" i="6"/>
  <c r="R675" i="6"/>
  <c r="U674" i="6"/>
  <c r="R674" i="6"/>
  <c r="U673" i="6"/>
  <c r="R673" i="6"/>
  <c r="U672" i="6"/>
  <c r="R672" i="6"/>
  <c r="U671" i="6"/>
  <c r="R671" i="6"/>
  <c r="U670" i="6"/>
  <c r="R670" i="6"/>
  <c r="U669" i="6"/>
  <c r="R669" i="6"/>
  <c r="U668" i="6"/>
  <c r="R668" i="6"/>
  <c r="U667" i="6"/>
  <c r="R667" i="6"/>
  <c r="U666" i="6"/>
  <c r="R666" i="6"/>
  <c r="U665" i="6"/>
  <c r="R665" i="6"/>
  <c r="U664" i="6"/>
  <c r="R664" i="6"/>
  <c r="U663" i="6"/>
  <c r="R663" i="6"/>
  <c r="U662" i="6"/>
  <c r="R662" i="6"/>
  <c r="U661" i="6"/>
  <c r="R661" i="6"/>
  <c r="U660" i="6"/>
  <c r="R660" i="6"/>
  <c r="U659" i="6"/>
  <c r="R659" i="6"/>
  <c r="U658" i="6"/>
  <c r="R658" i="6"/>
  <c r="U657" i="6"/>
  <c r="R657" i="6"/>
  <c r="U656" i="6"/>
  <c r="R656" i="6"/>
  <c r="U655" i="6"/>
  <c r="R655" i="6"/>
  <c r="U654" i="6"/>
  <c r="R654" i="6"/>
  <c r="U653" i="6"/>
  <c r="R653" i="6"/>
  <c r="U652" i="6"/>
  <c r="R652" i="6"/>
  <c r="U651" i="6"/>
  <c r="R651" i="6"/>
  <c r="U650" i="6"/>
  <c r="R650" i="6"/>
  <c r="U649" i="6"/>
  <c r="R649" i="6"/>
  <c r="U648" i="6"/>
  <c r="R648" i="6"/>
  <c r="U647" i="6"/>
  <c r="R647" i="6"/>
  <c r="U646" i="6"/>
  <c r="R646" i="6"/>
  <c r="U645" i="6"/>
  <c r="R645" i="6"/>
  <c r="U644" i="6"/>
  <c r="R644" i="6"/>
  <c r="U643" i="6"/>
  <c r="R643" i="6"/>
  <c r="U642" i="6"/>
  <c r="R642" i="6"/>
  <c r="U641" i="6"/>
  <c r="R641" i="6"/>
  <c r="U640" i="6"/>
  <c r="R640" i="6"/>
  <c r="U639" i="6"/>
  <c r="R639" i="6"/>
  <c r="U638" i="6"/>
  <c r="R638" i="6"/>
  <c r="U637" i="6"/>
  <c r="R637" i="6"/>
  <c r="U636" i="6"/>
  <c r="R636" i="6"/>
  <c r="U635" i="6"/>
  <c r="R635" i="6"/>
  <c r="U634" i="6"/>
  <c r="R634" i="6"/>
  <c r="U633" i="6"/>
  <c r="R633" i="6"/>
  <c r="U632" i="6"/>
  <c r="R632" i="6"/>
  <c r="U631" i="6"/>
  <c r="R631" i="6"/>
  <c r="U630" i="6"/>
  <c r="R630" i="6"/>
  <c r="U629" i="6"/>
  <c r="R629" i="6"/>
  <c r="U628" i="6"/>
  <c r="R628" i="6"/>
  <c r="U627" i="6"/>
  <c r="R627" i="6"/>
  <c r="U626" i="6"/>
  <c r="R626" i="6"/>
  <c r="U625" i="6"/>
  <c r="R625" i="6"/>
  <c r="U624" i="6"/>
  <c r="R624" i="6"/>
  <c r="U623" i="6"/>
  <c r="R623" i="6"/>
  <c r="U622" i="6"/>
  <c r="R622" i="6"/>
  <c r="U621" i="6"/>
  <c r="R621" i="6"/>
  <c r="U620" i="6"/>
  <c r="R620" i="6"/>
  <c r="U619" i="6"/>
  <c r="R619" i="6"/>
  <c r="U618" i="6"/>
  <c r="R618" i="6"/>
  <c r="U617" i="6"/>
  <c r="R617" i="6"/>
  <c r="U616" i="6"/>
  <c r="R616" i="6"/>
  <c r="U615" i="6"/>
  <c r="R615" i="6"/>
  <c r="U614" i="6"/>
  <c r="R614" i="6"/>
  <c r="U613" i="6"/>
  <c r="R613" i="6"/>
  <c r="U612" i="6"/>
  <c r="R612" i="6"/>
  <c r="U611" i="6"/>
  <c r="R611" i="6"/>
  <c r="U610" i="6"/>
  <c r="R610" i="6"/>
  <c r="U609" i="6"/>
  <c r="R609" i="6"/>
  <c r="U608" i="6"/>
  <c r="R608" i="6"/>
  <c r="U607" i="6"/>
  <c r="R607" i="6"/>
  <c r="U606" i="6"/>
  <c r="R606" i="6"/>
  <c r="U605" i="6"/>
  <c r="R605" i="6"/>
  <c r="U604" i="6"/>
  <c r="R604" i="6"/>
  <c r="U603" i="6"/>
  <c r="R603" i="6"/>
  <c r="U602" i="6"/>
  <c r="R602" i="6"/>
  <c r="U601" i="6"/>
  <c r="R601" i="6"/>
  <c r="U600" i="6"/>
  <c r="R600" i="6"/>
  <c r="U599" i="6"/>
  <c r="R599" i="6"/>
  <c r="U598" i="6"/>
  <c r="R598" i="6"/>
  <c r="U597" i="6"/>
  <c r="R597" i="6"/>
  <c r="U596" i="6"/>
  <c r="R596" i="6"/>
  <c r="U595" i="6"/>
  <c r="R595" i="6"/>
  <c r="U594" i="6"/>
  <c r="R594" i="6"/>
  <c r="U593" i="6"/>
  <c r="R593" i="6"/>
  <c r="U592" i="6"/>
  <c r="R592" i="6"/>
  <c r="U591" i="6"/>
  <c r="R591" i="6"/>
  <c r="U590" i="6"/>
  <c r="R590" i="6"/>
  <c r="U589" i="6"/>
  <c r="R589" i="6"/>
  <c r="U588" i="6"/>
  <c r="R588" i="6"/>
  <c r="U587" i="6"/>
  <c r="R587" i="6"/>
  <c r="U586" i="6"/>
  <c r="R586" i="6"/>
  <c r="U585" i="6"/>
  <c r="R585" i="6"/>
  <c r="U584" i="6"/>
  <c r="R584" i="6"/>
  <c r="U583" i="6"/>
  <c r="R583" i="6"/>
  <c r="U582" i="6"/>
  <c r="R582" i="6"/>
  <c r="U581" i="6"/>
  <c r="R581" i="6"/>
  <c r="U580" i="6"/>
  <c r="R580" i="6"/>
  <c r="U579" i="6"/>
  <c r="R579" i="6"/>
  <c r="U578" i="6"/>
  <c r="R578" i="6"/>
  <c r="U577" i="6"/>
  <c r="R577" i="6"/>
  <c r="U576" i="6"/>
  <c r="R576" i="6"/>
  <c r="U575" i="6"/>
  <c r="R575" i="6"/>
  <c r="U574" i="6"/>
  <c r="R574" i="6"/>
  <c r="U573" i="6"/>
  <c r="R573" i="6"/>
  <c r="U572" i="6"/>
  <c r="R572" i="6"/>
  <c r="U571" i="6"/>
  <c r="R571" i="6"/>
  <c r="U570" i="6"/>
  <c r="R570" i="6"/>
  <c r="U569" i="6"/>
  <c r="R569" i="6"/>
  <c r="U568" i="6"/>
  <c r="R568" i="6"/>
  <c r="U567" i="6"/>
  <c r="R567" i="6"/>
  <c r="U566" i="6"/>
  <c r="R566" i="6"/>
  <c r="U565" i="6"/>
  <c r="R565" i="6"/>
  <c r="U564" i="6"/>
  <c r="R564" i="6"/>
  <c r="U563" i="6"/>
  <c r="R563" i="6"/>
  <c r="U562" i="6"/>
  <c r="R562" i="6"/>
  <c r="U561" i="6"/>
  <c r="R561" i="6"/>
  <c r="U560" i="6"/>
  <c r="R560" i="6"/>
  <c r="U559" i="6"/>
  <c r="R559" i="6"/>
  <c r="U558" i="6"/>
  <c r="R558" i="6"/>
  <c r="U557" i="6"/>
  <c r="R557" i="6"/>
  <c r="U556" i="6"/>
  <c r="R556" i="6"/>
  <c r="U555" i="6"/>
  <c r="R555" i="6"/>
  <c r="U554" i="6"/>
  <c r="R554" i="6"/>
  <c r="U553" i="6"/>
  <c r="R553" i="6"/>
  <c r="U552" i="6"/>
  <c r="R552" i="6"/>
  <c r="U551" i="6"/>
  <c r="R551" i="6"/>
  <c r="U550" i="6"/>
  <c r="R550" i="6"/>
  <c r="U549" i="6"/>
  <c r="R549" i="6"/>
  <c r="U548" i="6"/>
  <c r="R548" i="6"/>
  <c r="U547" i="6"/>
  <c r="R547" i="6"/>
  <c r="U546" i="6"/>
  <c r="R546" i="6"/>
  <c r="U545" i="6"/>
  <c r="R545" i="6"/>
  <c r="U544" i="6"/>
  <c r="R544" i="6"/>
  <c r="U543" i="6"/>
  <c r="R543" i="6"/>
  <c r="U542" i="6"/>
  <c r="R542" i="6"/>
  <c r="U541" i="6"/>
  <c r="R541" i="6"/>
  <c r="U540" i="6"/>
  <c r="R540" i="6"/>
  <c r="U539" i="6"/>
  <c r="R539" i="6"/>
  <c r="U538" i="6"/>
  <c r="R538" i="6"/>
  <c r="U537" i="6"/>
  <c r="R537" i="6"/>
  <c r="U536" i="6"/>
  <c r="R536" i="6"/>
  <c r="U535" i="6"/>
  <c r="R535" i="6"/>
  <c r="U534" i="6"/>
  <c r="R534" i="6"/>
  <c r="U533" i="6"/>
  <c r="R533" i="6"/>
  <c r="U532" i="6"/>
  <c r="R532" i="6"/>
  <c r="U531" i="6"/>
  <c r="R531" i="6"/>
  <c r="U530" i="6"/>
  <c r="R530" i="6"/>
  <c r="U529" i="6"/>
  <c r="R529" i="6"/>
  <c r="U528" i="6"/>
  <c r="R528" i="6"/>
  <c r="U527" i="6"/>
  <c r="R527" i="6"/>
  <c r="U526" i="6"/>
  <c r="R526" i="6"/>
  <c r="U525" i="6"/>
  <c r="R525" i="6"/>
  <c r="U524" i="6"/>
  <c r="R524" i="6"/>
  <c r="U523" i="6"/>
  <c r="R523" i="6"/>
  <c r="U522" i="6"/>
  <c r="R522" i="6"/>
  <c r="U521" i="6"/>
  <c r="R521" i="6"/>
  <c r="U520" i="6"/>
  <c r="R520" i="6"/>
  <c r="U519" i="6"/>
  <c r="R519" i="6"/>
  <c r="U518" i="6"/>
  <c r="R518" i="6"/>
  <c r="U517" i="6"/>
  <c r="R517" i="6"/>
  <c r="U516" i="6"/>
  <c r="R516" i="6"/>
  <c r="U515" i="6"/>
  <c r="R515" i="6"/>
  <c r="U514" i="6"/>
  <c r="R514" i="6"/>
  <c r="U513" i="6"/>
  <c r="R513" i="6"/>
  <c r="U512" i="6"/>
  <c r="R512" i="6"/>
  <c r="U511" i="6"/>
  <c r="R511" i="6"/>
  <c r="U510" i="6"/>
  <c r="R510" i="6"/>
  <c r="U509" i="6"/>
  <c r="R509" i="6"/>
  <c r="U508" i="6"/>
  <c r="R508" i="6"/>
  <c r="U507" i="6"/>
  <c r="R507" i="6"/>
  <c r="U506" i="6"/>
  <c r="R506" i="6"/>
  <c r="U505" i="6"/>
  <c r="R505" i="6"/>
  <c r="U504" i="6"/>
  <c r="R504" i="6"/>
  <c r="U503" i="6"/>
  <c r="R503" i="6"/>
  <c r="U502" i="6"/>
  <c r="R502" i="6"/>
  <c r="U501" i="6"/>
  <c r="R501" i="6"/>
  <c r="U500" i="6"/>
  <c r="R500" i="6"/>
  <c r="U499" i="6"/>
  <c r="R499" i="6"/>
  <c r="U498" i="6"/>
  <c r="R498" i="6"/>
  <c r="U497" i="6"/>
  <c r="R497" i="6"/>
  <c r="U496" i="6"/>
  <c r="R496" i="6"/>
  <c r="U495" i="6"/>
  <c r="R495" i="6"/>
  <c r="U494" i="6"/>
  <c r="R494" i="6"/>
  <c r="U493" i="6"/>
  <c r="R493" i="6"/>
  <c r="U492" i="6"/>
  <c r="R492" i="6"/>
  <c r="U491" i="6"/>
  <c r="R491" i="6"/>
  <c r="U490" i="6"/>
  <c r="R490" i="6"/>
  <c r="U489" i="6"/>
  <c r="R489" i="6"/>
  <c r="U488" i="6"/>
  <c r="R488" i="6"/>
  <c r="U487" i="6"/>
  <c r="R487" i="6"/>
  <c r="U486" i="6"/>
  <c r="R486" i="6"/>
  <c r="U485" i="6"/>
  <c r="R485" i="6"/>
  <c r="U484" i="6"/>
  <c r="R484" i="6"/>
  <c r="U483" i="6"/>
  <c r="R483" i="6"/>
  <c r="U482" i="6"/>
  <c r="R482" i="6"/>
  <c r="U481" i="6"/>
  <c r="R481" i="6"/>
  <c r="U480" i="6"/>
  <c r="R480" i="6"/>
  <c r="U479" i="6"/>
  <c r="R479" i="6"/>
  <c r="U478" i="6"/>
  <c r="R478" i="6"/>
  <c r="U477" i="6"/>
  <c r="R477" i="6"/>
  <c r="U476" i="6"/>
  <c r="R476" i="6"/>
  <c r="U475" i="6"/>
  <c r="R475" i="6"/>
  <c r="U474" i="6"/>
  <c r="R474" i="6"/>
  <c r="U473" i="6"/>
  <c r="R473" i="6"/>
  <c r="U472" i="6"/>
  <c r="R472" i="6"/>
  <c r="U471" i="6"/>
  <c r="R471" i="6"/>
  <c r="U470" i="6"/>
  <c r="R470" i="6"/>
  <c r="U469" i="6"/>
  <c r="R469" i="6"/>
  <c r="U468" i="6"/>
  <c r="R468" i="6"/>
  <c r="U467" i="6"/>
  <c r="R467" i="6"/>
  <c r="U466" i="6"/>
  <c r="R466" i="6"/>
  <c r="U465" i="6"/>
  <c r="R465" i="6"/>
  <c r="U464" i="6"/>
  <c r="R464" i="6"/>
  <c r="U463" i="6"/>
  <c r="R463" i="6"/>
  <c r="U462" i="6"/>
  <c r="R462" i="6"/>
  <c r="U461" i="6"/>
  <c r="R461" i="6"/>
  <c r="U460" i="6"/>
  <c r="R460" i="6"/>
  <c r="U459" i="6"/>
  <c r="R459" i="6"/>
  <c r="U458" i="6"/>
  <c r="R458" i="6"/>
  <c r="U457" i="6"/>
  <c r="R457" i="6"/>
  <c r="U456" i="6"/>
  <c r="R456" i="6"/>
  <c r="U455" i="6"/>
  <c r="R455" i="6"/>
  <c r="U454" i="6"/>
  <c r="R454" i="6"/>
  <c r="U453" i="6"/>
  <c r="R453" i="6"/>
  <c r="U452" i="6"/>
  <c r="R452" i="6"/>
  <c r="U451" i="6"/>
  <c r="R451" i="6"/>
  <c r="G5" i="11"/>
  <c r="G4" i="11"/>
  <c r="G3" i="11"/>
  <c r="G2" i="11"/>
  <c r="R2" i="6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U888" i="6"/>
  <c r="R888" i="6"/>
  <c r="U887" i="6"/>
  <c r="R887" i="6"/>
  <c r="U886" i="6"/>
  <c r="R886" i="6"/>
  <c r="U885" i="6"/>
  <c r="R885" i="6"/>
  <c r="U884" i="6"/>
  <c r="R884" i="6"/>
  <c r="S884" i="6" s="1"/>
  <c r="U883" i="6"/>
  <c r="R883" i="6"/>
  <c r="U882" i="6"/>
  <c r="R882" i="6"/>
  <c r="U881" i="6"/>
  <c r="R881" i="6"/>
  <c r="U880" i="6"/>
  <c r="R880" i="6"/>
  <c r="U879" i="6"/>
  <c r="R879" i="6"/>
  <c r="S889" i="6" l="1"/>
  <c r="V889" i="6" s="1"/>
  <c r="S879" i="6"/>
  <c r="V884" i="6"/>
  <c r="S888" i="6"/>
  <c r="V888" i="6" s="1"/>
  <c r="S887" i="6"/>
  <c r="V887" i="6" s="1"/>
  <c r="S886" i="6"/>
  <c r="V886" i="6" s="1"/>
  <c r="S885" i="6"/>
  <c r="V885" i="6" s="1"/>
  <c r="S883" i="6"/>
  <c r="V883" i="6" s="1"/>
  <c r="S882" i="6"/>
  <c r="V882" i="6" s="1"/>
  <c r="S881" i="6"/>
  <c r="V881" i="6" s="1"/>
  <c r="S880" i="6"/>
  <c r="V879" i="6" l="1"/>
  <c r="S890" i="6"/>
  <c r="V880" i="6"/>
  <c r="U450" i="6"/>
  <c r="R450" i="6"/>
  <c r="U449" i="6"/>
  <c r="R449" i="6"/>
  <c r="U448" i="6"/>
  <c r="R448" i="6"/>
  <c r="U447" i="6"/>
  <c r="R447" i="6"/>
  <c r="U446" i="6"/>
  <c r="R446" i="6"/>
  <c r="U445" i="6"/>
  <c r="R445" i="6"/>
  <c r="U444" i="6"/>
  <c r="R444" i="6"/>
  <c r="U443" i="6"/>
  <c r="R443" i="6"/>
  <c r="U442" i="6"/>
  <c r="R442" i="6"/>
  <c r="U441" i="6"/>
  <c r="R441" i="6"/>
  <c r="U440" i="6"/>
  <c r="R440" i="6"/>
  <c r="U439" i="6"/>
  <c r="R439" i="6"/>
  <c r="U438" i="6"/>
  <c r="R438" i="6"/>
  <c r="U437" i="6"/>
  <c r="R437" i="6"/>
  <c r="U436" i="6"/>
  <c r="R436" i="6"/>
  <c r="U435" i="6"/>
  <c r="R435" i="6"/>
  <c r="U434" i="6"/>
  <c r="R434" i="6"/>
  <c r="U433" i="6"/>
  <c r="R433" i="6"/>
  <c r="U432" i="6"/>
  <c r="R432" i="6"/>
  <c r="U431" i="6"/>
  <c r="R431" i="6"/>
  <c r="U430" i="6"/>
  <c r="R430" i="6"/>
  <c r="U429" i="6"/>
  <c r="R429" i="6"/>
  <c r="U428" i="6"/>
  <c r="R428" i="6"/>
  <c r="U427" i="6"/>
  <c r="R427" i="6"/>
  <c r="U426" i="6"/>
  <c r="R426" i="6"/>
  <c r="U425" i="6"/>
  <c r="R425" i="6"/>
  <c r="U424" i="6"/>
  <c r="R424" i="6"/>
  <c r="U423" i="6"/>
  <c r="R423" i="6"/>
  <c r="U422" i="6"/>
  <c r="R422" i="6"/>
  <c r="U421" i="6"/>
  <c r="R421" i="6"/>
  <c r="U420" i="6"/>
  <c r="R420" i="6"/>
  <c r="U419" i="6"/>
  <c r="R419" i="6"/>
  <c r="U418" i="6"/>
  <c r="R418" i="6"/>
  <c r="U417" i="6"/>
  <c r="R417" i="6"/>
  <c r="U416" i="6"/>
  <c r="R416" i="6"/>
  <c r="U415" i="6"/>
  <c r="R415" i="6"/>
  <c r="U414" i="6"/>
  <c r="R414" i="6"/>
  <c r="U413" i="6"/>
  <c r="R413" i="6"/>
  <c r="U412" i="6"/>
  <c r="R412" i="6"/>
  <c r="U411" i="6"/>
  <c r="R411" i="6"/>
  <c r="U410" i="6"/>
  <c r="R410" i="6"/>
  <c r="U409" i="6"/>
  <c r="R409" i="6"/>
  <c r="U408" i="6"/>
  <c r="R408" i="6"/>
  <c r="U407" i="6"/>
  <c r="R407" i="6"/>
  <c r="U406" i="6"/>
  <c r="R406" i="6"/>
  <c r="U405" i="6"/>
  <c r="R405" i="6"/>
  <c r="U404" i="6"/>
  <c r="R404" i="6"/>
  <c r="U403" i="6"/>
  <c r="R403" i="6"/>
  <c r="U402" i="6"/>
  <c r="R402" i="6"/>
  <c r="U401" i="6"/>
  <c r="R401" i="6"/>
  <c r="U400" i="6"/>
  <c r="R400" i="6"/>
  <c r="U399" i="6"/>
  <c r="R399" i="6"/>
  <c r="U398" i="6"/>
  <c r="R398" i="6"/>
  <c r="U397" i="6"/>
  <c r="R397" i="6"/>
  <c r="U396" i="6"/>
  <c r="R396" i="6"/>
  <c r="U395" i="6"/>
  <c r="R395" i="6"/>
  <c r="U394" i="6"/>
  <c r="R394" i="6"/>
  <c r="U393" i="6"/>
  <c r="R393" i="6"/>
  <c r="U392" i="6"/>
  <c r="R392" i="6"/>
  <c r="U391" i="6"/>
  <c r="R391" i="6"/>
  <c r="U390" i="6"/>
  <c r="R390" i="6"/>
  <c r="U389" i="6"/>
  <c r="R389" i="6"/>
  <c r="U388" i="6"/>
  <c r="R388" i="6"/>
  <c r="U387" i="6"/>
  <c r="R387" i="6"/>
  <c r="U386" i="6"/>
  <c r="R386" i="6"/>
  <c r="U385" i="6"/>
  <c r="R385" i="6"/>
  <c r="U384" i="6"/>
  <c r="R384" i="6"/>
  <c r="U383" i="6"/>
  <c r="R383" i="6"/>
  <c r="U382" i="6"/>
  <c r="R382" i="6"/>
  <c r="U381" i="6"/>
  <c r="R381" i="6"/>
  <c r="U380" i="6"/>
  <c r="R380" i="6"/>
  <c r="U379" i="6"/>
  <c r="R379" i="6"/>
  <c r="U378" i="6"/>
  <c r="R378" i="6"/>
  <c r="U377" i="6"/>
  <c r="R377" i="6"/>
  <c r="U376" i="6"/>
  <c r="R376" i="6"/>
  <c r="U375" i="6"/>
  <c r="R375" i="6"/>
  <c r="U374" i="6"/>
  <c r="R374" i="6"/>
  <c r="U373" i="6"/>
  <c r="R373" i="6"/>
  <c r="U372" i="6"/>
  <c r="R372" i="6"/>
  <c r="U371" i="6"/>
  <c r="R371" i="6"/>
  <c r="U370" i="6"/>
  <c r="R370" i="6"/>
  <c r="U369" i="6"/>
  <c r="R369" i="6"/>
  <c r="U368" i="6"/>
  <c r="R368" i="6"/>
  <c r="U367" i="6"/>
  <c r="R367" i="6"/>
  <c r="U366" i="6"/>
  <c r="R366" i="6"/>
  <c r="U365" i="6"/>
  <c r="R365" i="6"/>
  <c r="U364" i="6"/>
  <c r="R364" i="6"/>
  <c r="U363" i="6"/>
  <c r="R363" i="6"/>
  <c r="U362" i="6"/>
  <c r="R362" i="6"/>
  <c r="U361" i="6"/>
  <c r="R361" i="6"/>
  <c r="U360" i="6"/>
  <c r="R360" i="6"/>
  <c r="U359" i="6"/>
  <c r="R359" i="6"/>
  <c r="U358" i="6"/>
  <c r="R358" i="6"/>
  <c r="U357" i="6"/>
  <c r="R357" i="6"/>
  <c r="U356" i="6"/>
  <c r="R356" i="6"/>
  <c r="U355" i="6"/>
  <c r="R355" i="6"/>
  <c r="U354" i="6"/>
  <c r="R354" i="6"/>
  <c r="U353" i="6"/>
  <c r="R353" i="6"/>
  <c r="U352" i="6"/>
  <c r="R352" i="6"/>
  <c r="U351" i="6"/>
  <c r="R351" i="6"/>
  <c r="U350" i="6"/>
  <c r="R350" i="6"/>
  <c r="U349" i="6"/>
  <c r="R349" i="6"/>
  <c r="U348" i="6"/>
  <c r="R348" i="6"/>
  <c r="U347" i="6"/>
  <c r="R347" i="6"/>
  <c r="U346" i="6"/>
  <c r="R346" i="6"/>
  <c r="U345" i="6"/>
  <c r="R345" i="6"/>
  <c r="U344" i="6"/>
  <c r="R344" i="6"/>
  <c r="U343" i="6"/>
  <c r="R343" i="6"/>
  <c r="U342" i="6"/>
  <c r="R342" i="6"/>
  <c r="U341" i="6"/>
  <c r="R341" i="6"/>
  <c r="U340" i="6"/>
  <c r="R340" i="6"/>
  <c r="U339" i="6"/>
  <c r="R339" i="6"/>
  <c r="U338" i="6"/>
  <c r="R338" i="6"/>
  <c r="U337" i="6"/>
  <c r="R337" i="6"/>
  <c r="U336" i="6"/>
  <c r="R336" i="6"/>
  <c r="U335" i="6"/>
  <c r="R335" i="6"/>
  <c r="U334" i="6"/>
  <c r="R334" i="6"/>
  <c r="U333" i="6"/>
  <c r="R333" i="6"/>
  <c r="U332" i="6"/>
  <c r="R332" i="6"/>
  <c r="U331" i="6"/>
  <c r="R331" i="6"/>
  <c r="U330" i="6"/>
  <c r="R330" i="6"/>
  <c r="U329" i="6"/>
  <c r="R329" i="6"/>
  <c r="U328" i="6"/>
  <c r="R328" i="6"/>
  <c r="U327" i="6"/>
  <c r="R327" i="6"/>
  <c r="U326" i="6"/>
  <c r="R326" i="6"/>
  <c r="U325" i="6"/>
  <c r="R325" i="6"/>
  <c r="U324" i="6"/>
  <c r="R324" i="6"/>
  <c r="U323" i="6"/>
  <c r="R323" i="6"/>
  <c r="U322" i="6"/>
  <c r="R322" i="6"/>
  <c r="U321" i="6"/>
  <c r="R321" i="6"/>
  <c r="U320" i="6"/>
  <c r="R320" i="6"/>
  <c r="U319" i="6"/>
  <c r="R319" i="6"/>
  <c r="U318" i="6"/>
  <c r="R318" i="6"/>
  <c r="U317" i="6"/>
  <c r="R317" i="6"/>
  <c r="U316" i="6"/>
  <c r="R316" i="6"/>
  <c r="U315" i="6"/>
  <c r="R315" i="6"/>
  <c r="U314" i="6"/>
  <c r="R314" i="6"/>
  <c r="U313" i="6"/>
  <c r="R313" i="6"/>
  <c r="U312" i="6"/>
  <c r="R312" i="6"/>
  <c r="U311" i="6"/>
  <c r="R311" i="6"/>
  <c r="U310" i="6"/>
  <c r="R310" i="6"/>
  <c r="U309" i="6"/>
  <c r="R309" i="6"/>
  <c r="U308" i="6"/>
  <c r="R308" i="6"/>
  <c r="U307" i="6"/>
  <c r="R307" i="6"/>
  <c r="U306" i="6"/>
  <c r="R306" i="6"/>
  <c r="U305" i="6"/>
  <c r="R305" i="6"/>
  <c r="U304" i="6"/>
  <c r="R304" i="6"/>
  <c r="U303" i="6"/>
  <c r="R303" i="6"/>
  <c r="U302" i="6"/>
  <c r="R302" i="6"/>
  <c r="U301" i="6"/>
  <c r="R301" i="6"/>
  <c r="U300" i="6"/>
  <c r="R300" i="6"/>
  <c r="U299" i="6"/>
  <c r="R299" i="6"/>
  <c r="U298" i="6"/>
  <c r="R298" i="6"/>
  <c r="U297" i="6"/>
  <c r="R297" i="6"/>
  <c r="U296" i="6"/>
  <c r="R296" i="6"/>
  <c r="U295" i="6"/>
  <c r="R295" i="6"/>
  <c r="U294" i="6"/>
  <c r="R294" i="6"/>
  <c r="U293" i="6"/>
  <c r="R293" i="6"/>
  <c r="U292" i="6"/>
  <c r="R292" i="6"/>
  <c r="U291" i="6"/>
  <c r="R291" i="6"/>
  <c r="U290" i="6"/>
  <c r="R290" i="6"/>
  <c r="U289" i="6"/>
  <c r="R289" i="6"/>
  <c r="U288" i="6"/>
  <c r="R288" i="6"/>
  <c r="U287" i="6"/>
  <c r="R287" i="6"/>
  <c r="U286" i="6"/>
  <c r="R286" i="6"/>
  <c r="U285" i="6"/>
  <c r="R285" i="6"/>
  <c r="U284" i="6"/>
  <c r="R284" i="6"/>
  <c r="U283" i="6"/>
  <c r="R283" i="6"/>
  <c r="U282" i="6"/>
  <c r="R282" i="6"/>
  <c r="U281" i="6"/>
  <c r="R281" i="6"/>
  <c r="U280" i="6"/>
  <c r="R280" i="6"/>
  <c r="U279" i="6"/>
  <c r="R279" i="6"/>
  <c r="U278" i="6"/>
  <c r="R278" i="6"/>
  <c r="U277" i="6"/>
  <c r="R277" i="6"/>
  <c r="U276" i="6"/>
  <c r="R276" i="6"/>
  <c r="U275" i="6"/>
  <c r="R275" i="6"/>
  <c r="U274" i="6"/>
  <c r="R274" i="6"/>
  <c r="U273" i="6"/>
  <c r="R273" i="6"/>
  <c r="U272" i="6"/>
  <c r="R272" i="6"/>
  <c r="U271" i="6"/>
  <c r="R271" i="6"/>
  <c r="U270" i="6"/>
  <c r="R270" i="6"/>
  <c r="U269" i="6"/>
  <c r="R269" i="6"/>
  <c r="U268" i="6"/>
  <c r="R268" i="6"/>
  <c r="U267" i="6"/>
  <c r="R267" i="6"/>
  <c r="U266" i="6"/>
  <c r="R266" i="6"/>
  <c r="U265" i="6"/>
  <c r="R265" i="6"/>
  <c r="U264" i="6"/>
  <c r="R264" i="6"/>
  <c r="U263" i="6"/>
  <c r="R263" i="6"/>
  <c r="U262" i="6"/>
  <c r="R262" i="6"/>
  <c r="U261" i="6"/>
  <c r="R261" i="6"/>
  <c r="U260" i="6"/>
  <c r="R260" i="6"/>
  <c r="U259" i="6"/>
  <c r="R259" i="6"/>
  <c r="U258" i="6"/>
  <c r="R258" i="6"/>
  <c r="U257" i="6"/>
  <c r="R257" i="6"/>
  <c r="U256" i="6"/>
  <c r="R256" i="6"/>
  <c r="U255" i="6"/>
  <c r="R255" i="6"/>
  <c r="U254" i="6"/>
  <c r="R254" i="6"/>
  <c r="U253" i="6"/>
  <c r="R253" i="6"/>
  <c r="U252" i="6"/>
  <c r="R252" i="6"/>
  <c r="U251" i="6"/>
  <c r="R251" i="6"/>
  <c r="U250" i="6"/>
  <c r="R250" i="6"/>
  <c r="U249" i="6"/>
  <c r="R249" i="6"/>
  <c r="U248" i="6"/>
  <c r="R248" i="6"/>
  <c r="U247" i="6"/>
  <c r="R247" i="6"/>
  <c r="U246" i="6"/>
  <c r="R246" i="6"/>
  <c r="U245" i="6"/>
  <c r="R245" i="6"/>
  <c r="U244" i="6"/>
  <c r="R244" i="6"/>
  <c r="U243" i="6"/>
  <c r="R243" i="6"/>
  <c r="U242" i="6"/>
  <c r="R242" i="6"/>
  <c r="U241" i="6"/>
  <c r="R241" i="6"/>
  <c r="U240" i="6"/>
  <c r="R240" i="6"/>
  <c r="U239" i="6"/>
  <c r="R239" i="6"/>
  <c r="U238" i="6"/>
  <c r="R238" i="6"/>
  <c r="U237" i="6"/>
  <c r="R237" i="6"/>
  <c r="U236" i="6"/>
  <c r="R236" i="6"/>
  <c r="U235" i="6"/>
  <c r="R235" i="6"/>
  <c r="U234" i="6"/>
  <c r="R234" i="6"/>
  <c r="U233" i="6"/>
  <c r="R233" i="6"/>
  <c r="U232" i="6"/>
  <c r="R232" i="6"/>
  <c r="U231" i="6"/>
  <c r="R231" i="6"/>
  <c r="U230" i="6"/>
  <c r="R230" i="6"/>
  <c r="U229" i="6"/>
  <c r="R229" i="6"/>
  <c r="U228" i="6"/>
  <c r="R228" i="6"/>
  <c r="U227" i="6"/>
  <c r="R227" i="6"/>
  <c r="U226" i="6"/>
  <c r="R226" i="6"/>
  <c r="U225" i="6"/>
  <c r="R225" i="6"/>
  <c r="U224" i="6"/>
  <c r="R224" i="6"/>
  <c r="U223" i="6"/>
  <c r="R223" i="6"/>
  <c r="U222" i="6"/>
  <c r="R222" i="6"/>
  <c r="U221" i="6"/>
  <c r="R221" i="6"/>
  <c r="U220" i="6"/>
  <c r="R220" i="6"/>
  <c r="U219" i="6"/>
  <c r="R219" i="6"/>
  <c r="U218" i="6"/>
  <c r="R218" i="6"/>
  <c r="U217" i="6"/>
  <c r="R217" i="6"/>
  <c r="U216" i="6"/>
  <c r="R216" i="6"/>
  <c r="U215" i="6"/>
  <c r="R215" i="6"/>
  <c r="U214" i="6"/>
  <c r="R214" i="6"/>
  <c r="U213" i="6"/>
  <c r="R213" i="6"/>
  <c r="U212" i="6"/>
  <c r="R212" i="6"/>
  <c r="U211" i="6"/>
  <c r="R211" i="6"/>
  <c r="U210" i="6"/>
  <c r="R210" i="6"/>
  <c r="U209" i="6"/>
  <c r="R209" i="6"/>
  <c r="U208" i="6"/>
  <c r="R208" i="6"/>
  <c r="U207" i="6"/>
  <c r="R207" i="6"/>
  <c r="U206" i="6"/>
  <c r="R206" i="6"/>
  <c r="U205" i="6"/>
  <c r="R205" i="6"/>
  <c r="U204" i="6"/>
  <c r="R204" i="6"/>
  <c r="U203" i="6"/>
  <c r="R203" i="6"/>
  <c r="U202" i="6"/>
  <c r="R202" i="6"/>
  <c r="U201" i="6"/>
  <c r="R201" i="6"/>
  <c r="U200" i="6"/>
  <c r="R200" i="6"/>
  <c r="U199" i="6"/>
  <c r="R199" i="6"/>
  <c r="U198" i="6"/>
  <c r="R198" i="6"/>
  <c r="U197" i="6"/>
  <c r="R197" i="6"/>
  <c r="U196" i="6"/>
  <c r="R196" i="6"/>
  <c r="U195" i="6"/>
  <c r="R195" i="6"/>
  <c r="U194" i="6"/>
  <c r="R194" i="6"/>
  <c r="U193" i="6"/>
  <c r="R193" i="6"/>
  <c r="U192" i="6"/>
  <c r="R192" i="6"/>
  <c r="U191" i="6"/>
  <c r="R191" i="6"/>
  <c r="U190" i="6"/>
  <c r="R190" i="6"/>
  <c r="U189" i="6"/>
  <c r="R189" i="6"/>
  <c r="U188" i="6"/>
  <c r="R188" i="6"/>
  <c r="U187" i="6"/>
  <c r="R187" i="6"/>
  <c r="U186" i="6"/>
  <c r="R186" i="6"/>
  <c r="U185" i="6"/>
  <c r="R185" i="6"/>
  <c r="U184" i="6"/>
  <c r="R184" i="6"/>
  <c r="U183" i="6"/>
  <c r="R183" i="6"/>
  <c r="U182" i="6"/>
  <c r="R182" i="6"/>
  <c r="U181" i="6"/>
  <c r="R181" i="6"/>
  <c r="U180" i="6"/>
  <c r="R180" i="6"/>
  <c r="U179" i="6"/>
  <c r="R179" i="6"/>
  <c r="U178" i="6"/>
  <c r="R178" i="6"/>
  <c r="U177" i="6"/>
  <c r="R177" i="6"/>
  <c r="U176" i="6"/>
  <c r="R176" i="6"/>
  <c r="U175" i="6"/>
  <c r="R175" i="6"/>
  <c r="U174" i="6"/>
  <c r="R174" i="6"/>
  <c r="U173" i="6"/>
  <c r="R173" i="6"/>
  <c r="U172" i="6"/>
  <c r="R172" i="6"/>
  <c r="U171" i="6"/>
  <c r="R171" i="6"/>
  <c r="U170" i="6"/>
  <c r="R170" i="6"/>
  <c r="U169" i="6"/>
  <c r="R169" i="6"/>
  <c r="U168" i="6"/>
  <c r="R168" i="6"/>
  <c r="U167" i="6"/>
  <c r="R167" i="6"/>
  <c r="U166" i="6"/>
  <c r="R166" i="6"/>
  <c r="U165" i="6"/>
  <c r="R165" i="6"/>
  <c r="U164" i="6"/>
  <c r="R164" i="6"/>
  <c r="U163" i="6"/>
  <c r="R163" i="6"/>
  <c r="U162" i="6"/>
  <c r="R162" i="6"/>
  <c r="U161" i="6"/>
  <c r="R161" i="6"/>
  <c r="U160" i="6"/>
  <c r="R160" i="6"/>
  <c r="U159" i="6"/>
  <c r="R159" i="6"/>
  <c r="U158" i="6"/>
  <c r="R158" i="6"/>
  <c r="U157" i="6"/>
  <c r="R157" i="6"/>
  <c r="U156" i="6"/>
  <c r="R156" i="6"/>
  <c r="U155" i="6"/>
  <c r="R155" i="6"/>
  <c r="U154" i="6"/>
  <c r="R154" i="6"/>
  <c r="U153" i="6"/>
  <c r="R153" i="6"/>
  <c r="U152" i="6"/>
  <c r="R152" i="6"/>
  <c r="U151" i="6"/>
  <c r="R151" i="6"/>
  <c r="U150" i="6"/>
  <c r="R150" i="6"/>
  <c r="U149" i="6"/>
  <c r="R149" i="6"/>
  <c r="U148" i="6"/>
  <c r="R148" i="6"/>
  <c r="U147" i="6"/>
  <c r="R147" i="6"/>
  <c r="U146" i="6"/>
  <c r="R146" i="6"/>
  <c r="U145" i="6"/>
  <c r="R145" i="6"/>
  <c r="U144" i="6"/>
  <c r="R144" i="6"/>
  <c r="U143" i="6"/>
  <c r="R143" i="6"/>
  <c r="U142" i="6"/>
  <c r="R142" i="6"/>
  <c r="U141" i="6"/>
  <c r="R141" i="6"/>
  <c r="U140" i="6"/>
  <c r="R140" i="6"/>
  <c r="U139" i="6"/>
  <c r="R139" i="6"/>
  <c r="U138" i="6"/>
  <c r="R138" i="6"/>
  <c r="U137" i="6"/>
  <c r="R137" i="6"/>
  <c r="U136" i="6"/>
  <c r="R136" i="6"/>
  <c r="U135" i="6"/>
  <c r="R135" i="6"/>
  <c r="U134" i="6"/>
  <c r="R134" i="6"/>
  <c r="U133" i="6"/>
  <c r="R133" i="6"/>
  <c r="U132" i="6"/>
  <c r="R132" i="6"/>
  <c r="U131" i="6"/>
  <c r="R131" i="6"/>
  <c r="U130" i="6"/>
  <c r="R130" i="6"/>
  <c r="U129" i="6"/>
  <c r="R129" i="6"/>
  <c r="U128" i="6"/>
  <c r="R128" i="6"/>
  <c r="U127" i="6"/>
  <c r="R127" i="6"/>
  <c r="U126" i="6"/>
  <c r="R126" i="6"/>
  <c r="U125" i="6"/>
  <c r="R125" i="6"/>
  <c r="U124" i="6"/>
  <c r="R124" i="6"/>
  <c r="U123" i="6"/>
  <c r="R123" i="6"/>
  <c r="U122" i="6"/>
  <c r="R122" i="6"/>
  <c r="U121" i="6"/>
  <c r="R121" i="6"/>
  <c r="U120" i="6"/>
  <c r="R120" i="6"/>
  <c r="U119" i="6"/>
  <c r="R119" i="6"/>
  <c r="U118" i="6"/>
  <c r="R118" i="6"/>
  <c r="U117" i="6"/>
  <c r="R117" i="6"/>
  <c r="U116" i="6"/>
  <c r="R116" i="6"/>
  <c r="U115" i="6"/>
  <c r="R115" i="6"/>
  <c r="U114" i="6"/>
  <c r="R114" i="6"/>
  <c r="U113" i="6"/>
  <c r="R113" i="6"/>
  <c r="U112" i="6"/>
  <c r="R112" i="6"/>
  <c r="U111" i="6"/>
  <c r="R111" i="6"/>
  <c r="U110" i="6"/>
  <c r="R110" i="6"/>
  <c r="U109" i="6"/>
  <c r="R109" i="6"/>
  <c r="U108" i="6"/>
  <c r="R108" i="6"/>
  <c r="U107" i="6"/>
  <c r="R107" i="6"/>
  <c r="U106" i="6"/>
  <c r="R106" i="6"/>
  <c r="U105" i="6"/>
  <c r="R105" i="6"/>
  <c r="U104" i="6"/>
  <c r="R104" i="6"/>
  <c r="U103" i="6"/>
  <c r="R103" i="6"/>
  <c r="U102" i="6"/>
  <c r="R102" i="6"/>
  <c r="U101" i="6"/>
  <c r="R101" i="6"/>
  <c r="U100" i="6"/>
  <c r="R100" i="6"/>
  <c r="U99" i="6"/>
  <c r="R99" i="6"/>
  <c r="U98" i="6"/>
  <c r="R98" i="6"/>
  <c r="U97" i="6"/>
  <c r="R97" i="6"/>
  <c r="U96" i="6"/>
  <c r="R96" i="6"/>
  <c r="U95" i="6"/>
  <c r="R95" i="6"/>
  <c r="U94" i="6"/>
  <c r="R94" i="6"/>
  <c r="U93" i="6"/>
  <c r="R93" i="6"/>
  <c r="U92" i="6"/>
  <c r="R92" i="6"/>
  <c r="U91" i="6"/>
  <c r="R91" i="6"/>
  <c r="U90" i="6"/>
  <c r="R90" i="6"/>
  <c r="U89" i="6"/>
  <c r="R89" i="6"/>
  <c r="U88" i="6"/>
  <c r="R88" i="6"/>
  <c r="U87" i="6"/>
  <c r="R87" i="6"/>
  <c r="U86" i="6"/>
  <c r="R86" i="6"/>
  <c r="U85" i="6"/>
  <c r="R85" i="6"/>
  <c r="U84" i="6"/>
  <c r="R84" i="6"/>
  <c r="U83" i="6"/>
  <c r="R83" i="6"/>
  <c r="U82" i="6"/>
  <c r="R82" i="6"/>
  <c r="U81" i="6"/>
  <c r="R81" i="6"/>
  <c r="U80" i="6"/>
  <c r="R80" i="6"/>
  <c r="U79" i="6"/>
  <c r="R79" i="6"/>
  <c r="U78" i="6"/>
  <c r="R78" i="6"/>
  <c r="U77" i="6"/>
  <c r="R77" i="6"/>
  <c r="U76" i="6"/>
  <c r="R76" i="6"/>
  <c r="U75" i="6"/>
  <c r="R75" i="6"/>
  <c r="U74" i="6"/>
  <c r="R74" i="6"/>
  <c r="U73" i="6"/>
  <c r="R73" i="6"/>
  <c r="U72" i="6"/>
  <c r="R72" i="6"/>
  <c r="U71" i="6"/>
  <c r="R71" i="6"/>
  <c r="U70" i="6"/>
  <c r="R70" i="6"/>
  <c r="U69" i="6"/>
  <c r="R69" i="6"/>
  <c r="U68" i="6"/>
  <c r="R68" i="6"/>
  <c r="U67" i="6"/>
  <c r="R67" i="6"/>
  <c r="U66" i="6"/>
  <c r="R66" i="6"/>
  <c r="U65" i="6"/>
  <c r="R65" i="6"/>
  <c r="U64" i="6"/>
  <c r="R64" i="6"/>
  <c r="U63" i="6"/>
  <c r="R63" i="6"/>
  <c r="U62" i="6"/>
  <c r="R62" i="6"/>
  <c r="U61" i="6"/>
  <c r="R61" i="6"/>
  <c r="U60" i="6"/>
  <c r="R60" i="6"/>
  <c r="U59" i="6"/>
  <c r="R59" i="6"/>
  <c r="U58" i="6"/>
  <c r="R58" i="6"/>
  <c r="U57" i="6"/>
  <c r="R57" i="6"/>
  <c r="U56" i="6"/>
  <c r="R56" i="6"/>
  <c r="U55" i="6"/>
  <c r="R55" i="6"/>
  <c r="U54" i="6"/>
  <c r="R54" i="6"/>
  <c r="U53" i="6"/>
  <c r="R53" i="6"/>
  <c r="U52" i="6"/>
  <c r="R52" i="6"/>
  <c r="U51" i="6"/>
  <c r="R51" i="6"/>
  <c r="U50" i="6"/>
  <c r="R50" i="6"/>
  <c r="U49" i="6"/>
  <c r="R49" i="6"/>
  <c r="U48" i="6"/>
  <c r="R48" i="6"/>
  <c r="U47" i="6"/>
  <c r="R47" i="6"/>
  <c r="U46" i="6"/>
  <c r="R46" i="6"/>
  <c r="U45" i="6"/>
  <c r="R45" i="6"/>
  <c r="U44" i="6"/>
  <c r="R44" i="6"/>
  <c r="U43" i="6"/>
  <c r="R43" i="6"/>
  <c r="U42" i="6"/>
  <c r="R42" i="6"/>
  <c r="U41" i="6"/>
  <c r="R41" i="6"/>
  <c r="U40" i="6"/>
  <c r="R40" i="6"/>
  <c r="U39" i="6"/>
  <c r="R39" i="6"/>
  <c r="U38" i="6"/>
  <c r="R38" i="6"/>
  <c r="U37" i="6"/>
  <c r="R37" i="6"/>
  <c r="U36" i="6"/>
  <c r="R36" i="6"/>
  <c r="U35" i="6"/>
  <c r="R35" i="6"/>
  <c r="U34" i="6"/>
  <c r="R34" i="6"/>
  <c r="U33" i="6"/>
  <c r="R33" i="6"/>
  <c r="U32" i="6"/>
  <c r="R32" i="6"/>
  <c r="U31" i="6"/>
  <c r="R31" i="6"/>
  <c r="U30" i="6"/>
  <c r="R30" i="6"/>
  <c r="U29" i="6"/>
  <c r="R29" i="6"/>
  <c r="U28" i="6"/>
  <c r="U27" i="6"/>
  <c r="U26" i="6"/>
  <c r="U25" i="6"/>
  <c r="U24" i="6"/>
  <c r="U23" i="6"/>
  <c r="U22" i="6"/>
  <c r="U21" i="6"/>
  <c r="U20" i="6"/>
  <c r="U19" i="6"/>
  <c r="U18" i="6"/>
  <c r="U17" i="6"/>
  <c r="U16" i="6"/>
  <c r="U15" i="6"/>
  <c r="U14" i="6"/>
  <c r="U13" i="6"/>
  <c r="U12" i="6"/>
  <c r="U11" i="6"/>
  <c r="U10" i="6"/>
  <c r="U9" i="6"/>
  <c r="U8" i="6"/>
  <c r="U7" i="6"/>
  <c r="U6" i="6"/>
  <c r="U5" i="6"/>
  <c r="U4" i="6"/>
  <c r="U3" i="6"/>
  <c r="U2" i="6"/>
  <c r="V491" i="6" l="1"/>
  <c r="V505" i="6"/>
  <c r="V460" i="6"/>
  <c r="V529" i="6"/>
  <c r="V468" i="6"/>
  <c r="V539" i="6"/>
  <c r="V451" i="6"/>
  <c r="V482" i="6"/>
  <c r="V549" i="6"/>
  <c r="V459" i="6"/>
  <c r="V492" i="6"/>
  <c r="V561" i="6"/>
  <c r="V473" i="6"/>
  <c r="V500" i="6"/>
  <c r="V571" i="6"/>
  <c r="V483" i="6"/>
  <c r="V538" i="6"/>
  <c r="V581" i="6"/>
  <c r="V548" i="6"/>
  <c r="V558" i="6"/>
  <c r="V475" i="6"/>
  <c r="V452" i="6"/>
  <c r="V484" i="6"/>
  <c r="V545" i="6"/>
  <c r="V577" i="6"/>
  <c r="V554" i="6"/>
  <c r="V477" i="6"/>
  <c r="V454" i="6"/>
  <c r="V486" i="6"/>
  <c r="V547" i="6"/>
  <c r="V579" i="6"/>
  <c r="V556" i="6"/>
  <c r="V457" i="6"/>
  <c r="V489" i="6"/>
  <c r="V466" i="6"/>
  <c r="V498" i="6"/>
  <c r="V555" i="6"/>
  <c r="V532" i="6"/>
  <c r="V564" i="6"/>
  <c r="V570" i="6"/>
  <c r="V461" i="6"/>
  <c r="V493" i="6"/>
  <c r="V470" i="6"/>
  <c r="V502" i="6"/>
  <c r="V531" i="6"/>
  <c r="V563" i="6"/>
  <c r="V540" i="6"/>
  <c r="V572" i="6"/>
  <c r="V467" i="6"/>
  <c r="V499" i="6"/>
  <c r="V476" i="6"/>
  <c r="V533" i="6"/>
  <c r="V565" i="6"/>
  <c r="V542" i="6"/>
  <c r="V574" i="6"/>
  <c r="V463" i="6"/>
  <c r="V479" i="6"/>
  <c r="V495" i="6"/>
  <c r="V456" i="6"/>
  <c r="V472" i="6"/>
  <c r="V488" i="6"/>
  <c r="V504" i="6"/>
  <c r="V535" i="6"/>
  <c r="V551" i="6"/>
  <c r="V567" i="6"/>
  <c r="V528" i="6"/>
  <c r="V544" i="6"/>
  <c r="V560" i="6"/>
  <c r="V576" i="6"/>
  <c r="V465" i="6"/>
  <c r="V481" i="6"/>
  <c r="V497" i="6"/>
  <c r="V458" i="6"/>
  <c r="V474" i="6"/>
  <c r="V490" i="6"/>
  <c r="V506" i="6"/>
  <c r="V537" i="6"/>
  <c r="V553" i="6"/>
  <c r="V569" i="6"/>
  <c r="V530" i="6"/>
  <c r="V546" i="6"/>
  <c r="V562" i="6"/>
  <c r="V578" i="6"/>
  <c r="V580" i="6"/>
  <c r="V453" i="6"/>
  <c r="V469" i="6"/>
  <c r="V485" i="6"/>
  <c r="V501" i="6"/>
  <c r="V462" i="6"/>
  <c r="V478" i="6"/>
  <c r="V494" i="6"/>
  <c r="V541" i="6"/>
  <c r="V557" i="6"/>
  <c r="V573" i="6"/>
  <c r="V534" i="6"/>
  <c r="V550" i="6"/>
  <c r="V566" i="6"/>
  <c r="V582" i="6"/>
  <c r="V455" i="6"/>
  <c r="V471" i="6"/>
  <c r="V487" i="6"/>
  <c r="V503" i="6"/>
  <c r="V464" i="6"/>
  <c r="V480" i="6"/>
  <c r="V496" i="6"/>
  <c r="V527" i="6"/>
  <c r="V543" i="6"/>
  <c r="V559" i="6"/>
  <c r="V575" i="6"/>
  <c r="V536" i="6"/>
  <c r="V552" i="6"/>
  <c r="V568" i="6"/>
  <c r="V863" i="6"/>
  <c r="V855" i="6"/>
  <c r="V847" i="6"/>
  <c r="V839" i="6"/>
  <c r="V831" i="6"/>
  <c r="V861" i="6"/>
  <c r="V866" i="6"/>
  <c r="V860" i="6"/>
  <c r="V852" i="6"/>
  <c r="V844" i="6"/>
  <c r="V836" i="6"/>
  <c r="V850" i="6"/>
  <c r="V865" i="6"/>
  <c r="V857" i="6"/>
  <c r="V849" i="6"/>
  <c r="V841" i="6"/>
  <c r="V833" i="6"/>
  <c r="V862" i="6"/>
  <c r="V854" i="6"/>
  <c r="V846" i="6"/>
  <c r="V838" i="6"/>
  <c r="V858" i="6"/>
  <c r="V842" i="6"/>
  <c r="V834" i="6"/>
  <c r="V859" i="6"/>
  <c r="V851" i="6"/>
  <c r="V843" i="6"/>
  <c r="V835" i="6"/>
  <c r="V853" i="6"/>
  <c r="V845" i="6"/>
  <c r="V864" i="6"/>
  <c r="V856" i="6"/>
  <c r="V848" i="6"/>
  <c r="V840" i="6"/>
  <c r="V832" i="6"/>
  <c r="V837" i="6"/>
  <c r="V830" i="6"/>
  <c r="V828" i="6"/>
  <c r="V826" i="6"/>
  <c r="V824" i="6"/>
  <c r="V822" i="6"/>
  <c r="V820" i="6"/>
  <c r="V818" i="6"/>
  <c r="V816" i="6"/>
  <c r="V814" i="6"/>
  <c r="V812" i="6"/>
  <c r="V754" i="6"/>
  <c r="V752" i="6"/>
  <c r="V750" i="6"/>
  <c r="V748" i="6"/>
  <c r="V746" i="6"/>
  <c r="V744" i="6"/>
  <c r="V742" i="6"/>
  <c r="V740" i="6"/>
  <c r="V738" i="6"/>
  <c r="V736" i="6"/>
  <c r="V678" i="6"/>
  <c r="V676" i="6"/>
  <c r="V674" i="6"/>
  <c r="V672" i="6"/>
  <c r="V670" i="6"/>
  <c r="V668" i="6"/>
  <c r="V666" i="6"/>
  <c r="V664" i="6"/>
  <c r="V662" i="6"/>
  <c r="V827" i="6"/>
  <c r="V811" i="6"/>
  <c r="V747" i="6"/>
  <c r="V665" i="6"/>
  <c r="V673" i="6"/>
  <c r="V817" i="6"/>
  <c r="V753" i="6"/>
  <c r="V737" i="6"/>
  <c r="V667" i="6"/>
  <c r="V819" i="6"/>
  <c r="V823" i="6"/>
  <c r="V743" i="6"/>
  <c r="V669" i="6"/>
  <c r="V660" i="6"/>
  <c r="V739" i="6"/>
  <c r="V829" i="6"/>
  <c r="V813" i="6"/>
  <c r="V749" i="6"/>
  <c r="V671" i="6"/>
  <c r="V815" i="6"/>
  <c r="V751" i="6"/>
  <c r="V735" i="6"/>
  <c r="V677" i="6"/>
  <c r="V661" i="6"/>
  <c r="V659" i="6"/>
  <c r="V821" i="6"/>
  <c r="V741" i="6"/>
  <c r="V745" i="6"/>
  <c r="V825" i="6"/>
  <c r="V663" i="6"/>
  <c r="V675" i="6"/>
  <c r="V810" i="6"/>
  <c r="V808" i="6"/>
  <c r="V806" i="6"/>
  <c r="V804" i="6"/>
  <c r="V802" i="6"/>
  <c r="V800" i="6"/>
  <c r="V798" i="6"/>
  <c r="V796" i="6"/>
  <c r="V794" i="6"/>
  <c r="V792" i="6"/>
  <c r="V790" i="6"/>
  <c r="V788" i="6"/>
  <c r="V786" i="6"/>
  <c r="V784" i="6"/>
  <c r="V782" i="6"/>
  <c r="V780" i="6"/>
  <c r="V778" i="6"/>
  <c r="V776" i="6"/>
  <c r="V774" i="6"/>
  <c r="V772" i="6"/>
  <c r="V770" i="6"/>
  <c r="V768" i="6"/>
  <c r="V766" i="6"/>
  <c r="V764" i="6"/>
  <c r="V762" i="6"/>
  <c r="V760" i="6"/>
  <c r="V758" i="6"/>
  <c r="V756" i="6"/>
  <c r="V734" i="6"/>
  <c r="V732" i="6"/>
  <c r="V730" i="6"/>
  <c r="V728" i="6"/>
  <c r="V726" i="6"/>
  <c r="V724" i="6"/>
  <c r="V722" i="6"/>
  <c r="V720" i="6"/>
  <c r="V718" i="6"/>
  <c r="V716" i="6"/>
  <c r="V714" i="6"/>
  <c r="V712" i="6"/>
  <c r="V710" i="6"/>
  <c r="V708" i="6"/>
  <c r="V706" i="6"/>
  <c r="V704" i="6"/>
  <c r="V702" i="6"/>
  <c r="V700" i="6"/>
  <c r="V698" i="6"/>
  <c r="V696" i="6"/>
  <c r="V694" i="6"/>
  <c r="V692" i="6"/>
  <c r="V690" i="6"/>
  <c r="V688" i="6"/>
  <c r="V686" i="6"/>
  <c r="V684" i="6"/>
  <c r="V682" i="6"/>
  <c r="V680" i="6"/>
  <c r="V795" i="6"/>
  <c r="V779" i="6"/>
  <c r="V763" i="6"/>
  <c r="V731" i="6"/>
  <c r="V715" i="6"/>
  <c r="V703" i="6"/>
  <c r="V695" i="6"/>
  <c r="V681" i="6"/>
  <c r="V755" i="6"/>
  <c r="V689" i="6"/>
  <c r="V801" i="6"/>
  <c r="V785" i="6"/>
  <c r="V769" i="6"/>
  <c r="V721" i="6"/>
  <c r="V683" i="6"/>
  <c r="V803" i="6"/>
  <c r="V807" i="6"/>
  <c r="V791" i="6"/>
  <c r="V775" i="6"/>
  <c r="V759" i="6"/>
  <c r="V727" i="6"/>
  <c r="V711" i="6"/>
  <c r="V705" i="6"/>
  <c r="V697" i="6"/>
  <c r="V685" i="6"/>
  <c r="V658" i="6"/>
  <c r="V656" i="6"/>
  <c r="V654" i="6"/>
  <c r="V652" i="6"/>
  <c r="V650" i="6"/>
  <c r="V648" i="6"/>
  <c r="V646" i="6"/>
  <c r="V644" i="6"/>
  <c r="V642" i="6"/>
  <c r="V640" i="6"/>
  <c r="V638" i="6"/>
  <c r="V636" i="6"/>
  <c r="V634" i="6"/>
  <c r="V632" i="6"/>
  <c r="V630" i="6"/>
  <c r="V628" i="6"/>
  <c r="V626" i="6"/>
  <c r="V624" i="6"/>
  <c r="V622" i="6"/>
  <c r="V620" i="6"/>
  <c r="V618" i="6"/>
  <c r="V616" i="6"/>
  <c r="V614" i="6"/>
  <c r="V612" i="6"/>
  <c r="V610" i="6"/>
  <c r="V608" i="6"/>
  <c r="V606" i="6"/>
  <c r="V604" i="6"/>
  <c r="V787" i="6"/>
  <c r="V771" i="6"/>
  <c r="V723" i="6"/>
  <c r="V707" i="6"/>
  <c r="V699" i="6"/>
  <c r="V797" i="6"/>
  <c r="V781" i="6"/>
  <c r="V765" i="6"/>
  <c r="V733" i="6"/>
  <c r="V717" i="6"/>
  <c r="V687" i="6"/>
  <c r="V799" i="6"/>
  <c r="V783" i="6"/>
  <c r="V767" i="6"/>
  <c r="V719" i="6"/>
  <c r="V701" i="6"/>
  <c r="V693" i="6"/>
  <c r="V657" i="6"/>
  <c r="V655" i="6"/>
  <c r="V653" i="6"/>
  <c r="V651" i="6"/>
  <c r="V649" i="6"/>
  <c r="V647" i="6"/>
  <c r="V645" i="6"/>
  <c r="V643" i="6"/>
  <c r="V641" i="6"/>
  <c r="V639" i="6"/>
  <c r="V637" i="6"/>
  <c r="V635" i="6"/>
  <c r="V633" i="6"/>
  <c r="V631" i="6"/>
  <c r="V629" i="6"/>
  <c r="V627" i="6"/>
  <c r="V625" i="6"/>
  <c r="V623" i="6"/>
  <c r="V621" i="6"/>
  <c r="V619" i="6"/>
  <c r="V617" i="6"/>
  <c r="V615" i="6"/>
  <c r="V613" i="6"/>
  <c r="V611" i="6"/>
  <c r="V609" i="6"/>
  <c r="V607" i="6"/>
  <c r="V605" i="6"/>
  <c r="V603" i="6"/>
  <c r="V805" i="6"/>
  <c r="V789" i="6"/>
  <c r="V773" i="6"/>
  <c r="V757" i="6"/>
  <c r="V725" i="6"/>
  <c r="V709" i="6"/>
  <c r="V729" i="6"/>
  <c r="V691" i="6"/>
  <c r="V713" i="6"/>
  <c r="V777" i="6"/>
  <c r="V761" i="6"/>
  <c r="V809" i="6"/>
  <c r="V679" i="6"/>
  <c r="V793" i="6"/>
  <c r="V602" i="6"/>
  <c r="V600" i="6"/>
  <c r="V598" i="6"/>
  <c r="V596" i="6"/>
  <c r="V594" i="6"/>
  <c r="V592" i="6"/>
  <c r="V590" i="6"/>
  <c r="V588" i="6"/>
  <c r="V586" i="6"/>
  <c r="V584" i="6"/>
  <c r="V601" i="6"/>
  <c r="V599" i="6"/>
  <c r="V597" i="6"/>
  <c r="V595" i="6"/>
  <c r="V593" i="6"/>
  <c r="V591" i="6"/>
  <c r="V589" i="6"/>
  <c r="V587" i="6"/>
  <c r="V585" i="6"/>
  <c r="V583" i="6"/>
  <c r="V526" i="6"/>
  <c r="V524" i="6"/>
  <c r="V522" i="6"/>
  <c r="V520" i="6"/>
  <c r="V518" i="6"/>
  <c r="V516" i="6"/>
  <c r="V514" i="6"/>
  <c r="V512" i="6"/>
  <c r="V510" i="6"/>
  <c r="V508" i="6"/>
  <c r="V525" i="6"/>
  <c r="V523" i="6"/>
  <c r="V521" i="6"/>
  <c r="V519" i="6"/>
  <c r="V517" i="6"/>
  <c r="V515" i="6"/>
  <c r="V513" i="6"/>
  <c r="V511" i="6"/>
  <c r="V509" i="6"/>
  <c r="V507" i="6"/>
  <c r="Q875" i="6"/>
  <c r="T874" i="6"/>
  <c r="U874" i="6" s="1"/>
  <c r="R874" i="6"/>
  <c r="V874" i="6" s="1"/>
  <c r="V312" i="6" l="1"/>
  <c r="V288" i="6"/>
  <c r="V304" i="6"/>
  <c r="V320" i="6"/>
  <c r="V328" i="6"/>
  <c r="V352" i="6"/>
  <c r="V296" i="6"/>
  <c r="V336" i="6"/>
  <c r="V344" i="6"/>
  <c r="V280" i="6"/>
  <c r="V272" i="6"/>
  <c r="V351" i="6"/>
  <c r="V343" i="6"/>
  <c r="V335" i="6"/>
  <c r="V327" i="6"/>
  <c r="V319" i="6"/>
  <c r="V311" i="6"/>
  <c r="V303" i="6"/>
  <c r="V295" i="6"/>
  <c r="V287" i="6"/>
  <c r="V279" i="6"/>
  <c r="V271" i="6"/>
  <c r="V350" i="6"/>
  <c r="V342" i="6"/>
  <c r="V334" i="6"/>
  <c r="V326" i="6"/>
  <c r="V318" i="6"/>
  <c r="V310" i="6"/>
  <c r="V302" i="6"/>
  <c r="V294" i="6"/>
  <c r="V286" i="6"/>
  <c r="V278" i="6"/>
  <c r="V270" i="6"/>
  <c r="V349" i="6"/>
  <c r="V333" i="6"/>
  <c r="V325" i="6"/>
  <c r="V317" i="6"/>
  <c r="V309" i="6"/>
  <c r="V301" i="6"/>
  <c r="V293" i="6"/>
  <c r="V285" i="6"/>
  <c r="V277" i="6"/>
  <c r="V340" i="6"/>
  <c r="V332" i="6"/>
  <c r="V321" i="6"/>
  <c r="V314" i="6"/>
  <c r="V345" i="6"/>
  <c r="V337" i="6"/>
  <c r="V341" i="6"/>
  <c r="V348" i="6"/>
  <c r="V324" i="6"/>
  <c r="V289" i="6"/>
  <c r="V346" i="6"/>
  <c r="V313" i="6"/>
  <c r="V273" i="6"/>
  <c r="V305" i="6"/>
  <c r="V306" i="6"/>
  <c r="V316" i="6"/>
  <c r="V308" i="6"/>
  <c r="V300" i="6"/>
  <c r="V292" i="6"/>
  <c r="V284" i="6"/>
  <c r="V276" i="6"/>
  <c r="V347" i="6"/>
  <c r="V339" i="6"/>
  <c r="V331" i="6"/>
  <c r="V323" i="6"/>
  <c r="V315" i="6"/>
  <c r="V307" i="6"/>
  <c r="V299" i="6"/>
  <c r="V291" i="6"/>
  <c r="V283" i="6"/>
  <c r="V275" i="6"/>
  <c r="V330" i="6"/>
  <c r="V298" i="6"/>
  <c r="V329" i="6"/>
  <c r="V297" i="6"/>
  <c r="V354" i="6"/>
  <c r="V322" i="6"/>
  <c r="V290" i="6"/>
  <c r="V353" i="6"/>
  <c r="V282" i="6"/>
  <c r="V281" i="6"/>
  <c r="V338" i="6"/>
  <c r="V274" i="6"/>
  <c r="V93" i="6"/>
  <c r="V91" i="6"/>
  <c r="V89" i="6"/>
  <c r="V87" i="6"/>
  <c r="V85" i="6"/>
  <c r="V83" i="6"/>
  <c r="V81" i="6"/>
  <c r="V79" i="6"/>
  <c r="V77" i="6"/>
  <c r="V75" i="6"/>
  <c r="V73" i="6"/>
  <c r="V71" i="6"/>
  <c r="V69" i="6"/>
  <c r="V67" i="6"/>
  <c r="V65" i="6"/>
  <c r="V63" i="6"/>
  <c r="V61" i="6"/>
  <c r="V59" i="6"/>
  <c r="V57" i="6"/>
  <c r="V55" i="6"/>
  <c r="V53" i="6"/>
  <c r="V51" i="6"/>
  <c r="V49" i="6"/>
  <c r="V47" i="6"/>
  <c r="V45" i="6"/>
  <c r="V43" i="6"/>
  <c r="V41" i="6"/>
  <c r="V39" i="6"/>
  <c r="V37" i="6"/>
  <c r="V35" i="6"/>
  <c r="V33" i="6"/>
  <c r="V31" i="6"/>
  <c r="V29" i="6"/>
  <c r="V27" i="6"/>
  <c r="V25" i="6"/>
  <c r="V23" i="6"/>
  <c r="V21" i="6"/>
  <c r="V19" i="6"/>
  <c r="V17" i="6"/>
  <c r="V15" i="6"/>
  <c r="V13" i="6"/>
  <c r="V11" i="6"/>
  <c r="V9" i="6"/>
  <c r="V7" i="6"/>
  <c r="V5" i="6"/>
  <c r="V3" i="6"/>
  <c r="V80" i="6"/>
  <c r="V64" i="6"/>
  <c r="V48" i="6"/>
  <c r="V32" i="6"/>
  <c r="V42" i="6"/>
  <c r="V86" i="6"/>
  <c r="V70" i="6"/>
  <c r="V54" i="6"/>
  <c r="V38" i="6"/>
  <c r="V22" i="6"/>
  <c r="V14" i="6"/>
  <c r="V6" i="6"/>
  <c r="V92" i="6"/>
  <c r="V76" i="6"/>
  <c r="V60" i="6"/>
  <c r="V44" i="6"/>
  <c r="V28" i="6"/>
  <c r="V52" i="6"/>
  <c r="V82" i="6"/>
  <c r="V66" i="6"/>
  <c r="V50" i="6"/>
  <c r="V34" i="6"/>
  <c r="V16" i="6"/>
  <c r="V8" i="6"/>
  <c r="V68" i="6"/>
  <c r="V58" i="6"/>
  <c r="V20" i="6"/>
  <c r="V4" i="6"/>
  <c r="V88" i="6"/>
  <c r="V72" i="6"/>
  <c r="V56" i="6"/>
  <c r="V40" i="6"/>
  <c r="V24" i="6"/>
  <c r="V36" i="6"/>
  <c r="V12" i="6"/>
  <c r="V94" i="6"/>
  <c r="V78" i="6"/>
  <c r="V62" i="6"/>
  <c r="V46" i="6"/>
  <c r="V30" i="6"/>
  <c r="V18" i="6"/>
  <c r="V10" i="6"/>
  <c r="V2" i="6"/>
  <c r="V84" i="6"/>
  <c r="V90" i="6"/>
  <c r="V74" i="6"/>
  <c r="V26" i="6"/>
  <c r="V264" i="6"/>
  <c r="V256" i="6"/>
  <c r="V248" i="6"/>
  <c r="V240" i="6"/>
  <c r="V232" i="6"/>
  <c r="V224" i="6"/>
  <c r="V216" i="6"/>
  <c r="V208" i="6"/>
  <c r="V200" i="6"/>
  <c r="V192" i="6"/>
  <c r="V184" i="6"/>
  <c r="V263" i="6"/>
  <c r="V255" i="6"/>
  <c r="V247" i="6"/>
  <c r="V239" i="6"/>
  <c r="V231" i="6"/>
  <c r="V223" i="6"/>
  <c r="V215" i="6"/>
  <c r="V207" i="6"/>
  <c r="V199" i="6"/>
  <c r="V191" i="6"/>
  <c r="V183" i="6"/>
  <c r="V262" i="6"/>
  <c r="V254" i="6"/>
  <c r="V246" i="6"/>
  <c r="V238" i="6"/>
  <c r="V230" i="6"/>
  <c r="V222" i="6"/>
  <c r="V214" i="6"/>
  <c r="V206" i="6"/>
  <c r="V198" i="6"/>
  <c r="V190" i="6"/>
  <c r="V182" i="6"/>
  <c r="V269" i="6"/>
  <c r="V261" i="6"/>
  <c r="V253" i="6"/>
  <c r="V245" i="6"/>
  <c r="V237" i="6"/>
  <c r="V229" i="6"/>
  <c r="V221" i="6"/>
  <c r="V213" i="6"/>
  <c r="V205" i="6"/>
  <c r="V197" i="6"/>
  <c r="V189" i="6"/>
  <c r="V181" i="6"/>
  <c r="V268" i="6"/>
  <c r="V260" i="6"/>
  <c r="V252" i="6"/>
  <c r="V244" i="6"/>
  <c r="V236" i="6"/>
  <c r="V228" i="6"/>
  <c r="V220" i="6"/>
  <c r="V212" i="6"/>
  <c r="V204" i="6"/>
  <c r="V196" i="6"/>
  <c r="V188" i="6"/>
  <c r="V180" i="6"/>
  <c r="V267" i="6"/>
  <c r="V259" i="6"/>
  <c r="V251" i="6"/>
  <c r="V243" i="6"/>
  <c r="V235" i="6"/>
  <c r="V227" i="6"/>
  <c r="V219" i="6"/>
  <c r="V211" i="6"/>
  <c r="V203" i="6"/>
  <c r="V195" i="6"/>
  <c r="V187" i="6"/>
  <c r="V266" i="6"/>
  <c r="V234" i="6"/>
  <c r="V202" i="6"/>
  <c r="V265" i="6"/>
  <c r="V233" i="6"/>
  <c r="V201" i="6"/>
  <c r="V258" i="6"/>
  <c r="V226" i="6"/>
  <c r="V194" i="6"/>
  <c r="V257" i="6"/>
  <c r="V225" i="6"/>
  <c r="V193" i="6"/>
  <c r="V250" i="6"/>
  <c r="V218" i="6"/>
  <c r="V186" i="6"/>
  <c r="V249" i="6"/>
  <c r="V217" i="6"/>
  <c r="V185" i="6"/>
  <c r="V242" i="6"/>
  <c r="V241" i="6"/>
  <c r="V210" i="6"/>
  <c r="V209" i="6"/>
  <c r="V432" i="6"/>
  <c r="V424" i="6"/>
  <c r="V416" i="6"/>
  <c r="V408" i="6"/>
  <c r="V400" i="6"/>
  <c r="V392" i="6"/>
  <c r="V384" i="6"/>
  <c r="V376" i="6"/>
  <c r="V368" i="6"/>
  <c r="V360" i="6"/>
  <c r="V439" i="6"/>
  <c r="V431" i="6"/>
  <c r="V423" i="6"/>
  <c r="V415" i="6"/>
  <c r="V407" i="6"/>
  <c r="V399" i="6"/>
  <c r="V391" i="6"/>
  <c r="V383" i="6"/>
  <c r="V375" i="6"/>
  <c r="V367" i="6"/>
  <c r="V359" i="6"/>
  <c r="V438" i="6"/>
  <c r="V430" i="6"/>
  <c r="V422" i="6"/>
  <c r="V414" i="6"/>
  <c r="V406" i="6"/>
  <c r="V398" i="6"/>
  <c r="V390" i="6"/>
  <c r="V382" i="6"/>
  <c r="V374" i="6"/>
  <c r="V366" i="6"/>
  <c r="V358" i="6"/>
  <c r="V437" i="6"/>
  <c r="V429" i="6"/>
  <c r="V421" i="6"/>
  <c r="V413" i="6"/>
  <c r="V405" i="6"/>
  <c r="V397" i="6"/>
  <c r="V389" i="6"/>
  <c r="V381" i="6"/>
  <c r="V373" i="6"/>
  <c r="V365" i="6"/>
  <c r="V357" i="6"/>
  <c r="V436" i="6"/>
  <c r="V428" i="6"/>
  <c r="V420" i="6"/>
  <c r="V412" i="6"/>
  <c r="V404" i="6"/>
  <c r="V396" i="6"/>
  <c r="V388" i="6"/>
  <c r="V380" i="6"/>
  <c r="V372" i="6"/>
  <c r="V364" i="6"/>
  <c r="V356" i="6"/>
  <c r="V435" i="6"/>
  <c r="V427" i="6"/>
  <c r="V419" i="6"/>
  <c r="V411" i="6"/>
  <c r="V403" i="6"/>
  <c r="V395" i="6"/>
  <c r="V387" i="6"/>
  <c r="V379" i="6"/>
  <c r="V371" i="6"/>
  <c r="V363" i="6"/>
  <c r="V355" i="6"/>
  <c r="V426" i="6"/>
  <c r="V394" i="6"/>
  <c r="V362" i="6"/>
  <c r="V425" i="6"/>
  <c r="V393" i="6"/>
  <c r="V361" i="6"/>
  <c r="V418" i="6"/>
  <c r="V386" i="6"/>
  <c r="V417" i="6"/>
  <c r="V385" i="6"/>
  <c r="V410" i="6"/>
  <c r="V378" i="6"/>
  <c r="V409" i="6"/>
  <c r="V377" i="6"/>
  <c r="V401" i="6"/>
  <c r="V433" i="6"/>
  <c r="V402" i="6"/>
  <c r="V370" i="6"/>
  <c r="V369" i="6"/>
  <c r="V434" i="6"/>
  <c r="V450" i="6"/>
  <c r="V442" i="6"/>
  <c r="V449" i="6"/>
  <c r="V441" i="6"/>
  <c r="V448" i="6"/>
  <c r="V440" i="6"/>
  <c r="V447" i="6"/>
  <c r="V446" i="6"/>
  <c r="V445" i="6"/>
  <c r="V444" i="6"/>
  <c r="V443" i="6"/>
  <c r="V176" i="6" l="1"/>
  <c r="V168" i="6"/>
  <c r="V160" i="6"/>
  <c r="V152" i="6"/>
  <c r="V144" i="6"/>
  <c r="V136" i="6"/>
  <c r="V128" i="6"/>
  <c r="V120" i="6"/>
  <c r="V112" i="6"/>
  <c r="V104" i="6"/>
  <c r="V96" i="6"/>
  <c r="V175" i="6"/>
  <c r="V167" i="6"/>
  <c r="V159" i="6"/>
  <c r="V151" i="6"/>
  <c r="V143" i="6"/>
  <c r="V135" i="6"/>
  <c r="V127" i="6"/>
  <c r="V119" i="6"/>
  <c r="V111" i="6"/>
  <c r="V103" i="6"/>
  <c r="V95" i="6"/>
  <c r="V174" i="6"/>
  <c r="V166" i="6"/>
  <c r="V158" i="6"/>
  <c r="V150" i="6"/>
  <c r="V142" i="6"/>
  <c r="V134" i="6"/>
  <c r="V126" i="6"/>
  <c r="V118" i="6"/>
  <c r="V110" i="6"/>
  <c r="V102" i="6"/>
  <c r="V173" i="6"/>
  <c r="V165" i="6"/>
  <c r="V157" i="6"/>
  <c r="V149" i="6"/>
  <c r="V141" i="6"/>
  <c r="V133" i="6"/>
  <c r="V125" i="6"/>
  <c r="V117" i="6"/>
  <c r="V109" i="6"/>
  <c r="V101" i="6"/>
  <c r="V172" i="6"/>
  <c r="V164" i="6"/>
  <c r="V156" i="6"/>
  <c r="V148" i="6"/>
  <c r="V140" i="6"/>
  <c r="V132" i="6"/>
  <c r="V124" i="6"/>
  <c r="V116" i="6"/>
  <c r="V108" i="6"/>
  <c r="V100" i="6"/>
  <c r="V179" i="6"/>
  <c r="V171" i="6"/>
  <c r="V163" i="6"/>
  <c r="V155" i="6"/>
  <c r="V147" i="6"/>
  <c r="V139" i="6"/>
  <c r="V131" i="6"/>
  <c r="V123" i="6"/>
  <c r="V115" i="6"/>
  <c r="V107" i="6"/>
  <c r="V99" i="6"/>
  <c r="V170" i="6"/>
  <c r="V138" i="6"/>
  <c r="V106" i="6"/>
  <c r="V169" i="6"/>
  <c r="V137" i="6"/>
  <c r="V105" i="6"/>
  <c r="V162" i="6"/>
  <c r="V130" i="6"/>
  <c r="V98" i="6"/>
  <c r="V161" i="6"/>
  <c r="V129" i="6"/>
  <c r="V97" i="6"/>
  <c r="V154" i="6"/>
  <c r="V122" i="6"/>
  <c r="V153" i="6"/>
  <c r="V121" i="6"/>
  <c r="V145" i="6"/>
  <c r="V114" i="6"/>
  <c r="V177" i="6"/>
  <c r="V146" i="6"/>
  <c r="V113" i="6"/>
  <c r="V178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Micromass UK Ltd</author>
  </authors>
  <commentList>
    <comment ref="M1" authorId="0" shapeId="0" xr:uid="{00000000-0006-0000-0000-000001000000}">
      <text>
        <r>
          <rPr>
            <sz val="8"/>
            <color indexed="81"/>
            <rFont val="Tahoma"/>
            <family val="2"/>
          </rPr>
          <t>This is the batch report table. 
Unhide the row below to display the table columns.
Double click to set the columns data source.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Micromass UK Ltd</author>
  </authors>
  <commentList>
    <comment ref="M1" authorId="0" shapeId="0" xr:uid="{AC1CCE27-0619-49EC-8CC6-7170044F68AA}">
      <text>
        <r>
          <rPr>
            <sz val="8"/>
            <color indexed="81"/>
            <rFont val="Tahoma"/>
            <family val="2"/>
          </rPr>
          <t>This is the batch report table. 
Unhide the row below to display the table columns.
Double click to set the columns data source.</t>
        </r>
      </text>
    </comment>
  </commentList>
</comments>
</file>

<file path=xl/sharedStrings.xml><?xml version="1.0" encoding="utf-8"?>
<sst xmlns="http://schemas.openxmlformats.org/spreadsheetml/2006/main" count="8524" uniqueCount="1699">
  <si>
    <t>Sample Number</t>
  </si>
  <si>
    <t>Name</t>
  </si>
  <si>
    <t>Acquisition date</t>
  </si>
  <si>
    <t>Height (nA)</t>
  </si>
  <si>
    <t>13C</t>
  </si>
  <si>
    <t>deltacorr</t>
  </si>
  <si>
    <t>ppm CO2</t>
  </si>
  <si>
    <t xml:space="preserve">AVERAGE ISOTOPE STANDARD </t>
  </si>
  <si>
    <t>CORRECTION</t>
  </si>
  <si>
    <t>do not use CONC values of ISO standards;  and do not use ISO values of CONC standards</t>
  </si>
  <si>
    <t>ppm/nA</t>
  </si>
  <si>
    <t>ok conc standard</t>
  </si>
  <si>
    <r>
      <rPr>
        <b/>
        <sz val="9"/>
        <rFont val="Calibri"/>
        <family val="2"/>
      </rPr>
      <t>δ</t>
    </r>
    <r>
      <rPr>
        <b/>
        <sz val="9"/>
        <rFont val="Arial"/>
        <family val="2"/>
      </rPr>
      <t>13Ccorrect</t>
    </r>
  </si>
  <si>
    <t>if corr then -22.71-(O397) i O397.</t>
  </si>
  <si>
    <t>BLANK AVERAGE nA</t>
  </si>
  <si>
    <t>B</t>
  </si>
  <si>
    <t>nA- blank</t>
  </si>
  <si>
    <t>nA</t>
  </si>
  <si>
    <t>No blank subtraction</t>
  </si>
  <si>
    <t>conversion nA to ppm</t>
  </si>
  <si>
    <t>date</t>
  </si>
  <si>
    <t>vial_nr</t>
  </si>
  <si>
    <t>time</t>
  </si>
  <si>
    <t>comment</t>
  </si>
  <si>
    <t>T_10</t>
  </si>
  <si>
    <t>T_15</t>
  </si>
  <si>
    <t>00:06.66</t>
  </si>
  <si>
    <t>05:51.09</t>
  </si>
  <si>
    <t>15:34.62</t>
  </si>
  <si>
    <t>x</t>
  </si>
  <si>
    <t>y</t>
  </si>
  <si>
    <t>1/x</t>
  </si>
  <si>
    <t>Keeling plot</t>
  </si>
  <si>
    <t>Stand2025_4000_22.raw</t>
  </si>
  <si>
    <t>Stand2025_1600_22.raw</t>
  </si>
  <si>
    <t>Stand2025_600_22.raw</t>
  </si>
  <si>
    <t>Stand2025_400_22.raw</t>
  </si>
  <si>
    <t>Stand2025_x0_22.raw</t>
  </si>
  <si>
    <t>Stand2026_3789_22.raw</t>
  </si>
  <si>
    <t>Stand2026_2097_22.raw</t>
  </si>
  <si>
    <t>Stand2026_1080_22.raw</t>
  </si>
  <si>
    <t>Stand2026_740_22.raw</t>
  </si>
  <si>
    <t>Stand2026_y0_22.raw</t>
  </si>
  <si>
    <t>Svalbard_Lab_Box1_1.raw</t>
  </si>
  <si>
    <t>Svalbard_Lab_Box1_2.raw</t>
  </si>
  <si>
    <t>Svalbard_Lab_Box1_3.raw</t>
  </si>
  <si>
    <t>Svalbard_Lab_Box1_4.raw</t>
  </si>
  <si>
    <t>Svalbard_Lab_Box1_5.raw</t>
  </si>
  <si>
    <t>Svalbard_Lab_Box1_6.raw</t>
  </si>
  <si>
    <t>Svalbard_Lab_Box1_7.raw</t>
  </si>
  <si>
    <t>Svalbard_Lab_Box1_8.raw</t>
  </si>
  <si>
    <t>Svalbard_Lab_Box1_9.raw</t>
  </si>
  <si>
    <t>Svalbard_Lab_Box1_10.raw</t>
  </si>
  <si>
    <t>Svalbard_Lab_Box1_11.raw</t>
  </si>
  <si>
    <t>Svalbard_Lab_Box1_12.raw</t>
  </si>
  <si>
    <t>Svalbard_Lab_Box1_13.raw</t>
  </si>
  <si>
    <t>Svalbard_Lab_Box1_14.raw</t>
  </si>
  <si>
    <t>Svalbard_Lab_Box1_15.raw</t>
  </si>
  <si>
    <t>Svalbard_Lab_Box1_16.raw</t>
  </si>
  <si>
    <t>Svalbard_Lab_Box1_17.raw</t>
  </si>
  <si>
    <t>Svalbard_Lab_Box1_18.raw</t>
  </si>
  <si>
    <t>Svalbard_Lab_Box1_19.raw</t>
  </si>
  <si>
    <t>Svalbard_Lab_Box1_20.raw</t>
  </si>
  <si>
    <t>Svalbard_Lab_Box1_21.raw</t>
  </si>
  <si>
    <t>Svalbard_Lab_Box1_22.raw</t>
  </si>
  <si>
    <t>Svalbard_Lab_Box1_23.raw</t>
  </si>
  <si>
    <t>Svalbard_Lab_Box1_24.raw</t>
  </si>
  <si>
    <t>Svalbard_Lab_Box1_25.raw</t>
  </si>
  <si>
    <t>Svalbard_Lab_Box1_26.raw</t>
  </si>
  <si>
    <t>Svalbard_Lab_Box1_27.raw</t>
  </si>
  <si>
    <t>Svalbard_Lab_Box1_28.raw</t>
  </si>
  <si>
    <t>Svalbard_Lab_Box1_29.raw</t>
  </si>
  <si>
    <t>Svalbard_Lab_Box1_30.raw</t>
  </si>
  <si>
    <t>Svalbard_Lab_Box1_31.raw</t>
  </si>
  <si>
    <t>Svalbard_Lab_Box1_32.raw</t>
  </si>
  <si>
    <t>Svalbard_Lab_Box1_33.raw</t>
  </si>
  <si>
    <t>Svalbard_Lab_Box1_34.raw</t>
  </si>
  <si>
    <t>Svalbard_Lab_Box1_35.raw</t>
  </si>
  <si>
    <t>Svalbard_Lab_Box1_36.raw</t>
  </si>
  <si>
    <t>Svalbard_Lab_Box1_37.raw</t>
  </si>
  <si>
    <t>Svalbard_Lab_Box1_38.raw</t>
  </si>
  <si>
    <t>Svalbard_Lab_Box1_39.raw</t>
  </si>
  <si>
    <t>Svalbard_Lab_Box1_40.raw</t>
  </si>
  <si>
    <t>Svalbard_Lab_Box1_41.raw</t>
  </si>
  <si>
    <t>Svalbard_Lab_Box1_42.raw</t>
  </si>
  <si>
    <t>Svalbard_Lab_Box1_43.raw</t>
  </si>
  <si>
    <t>Svalbard_Lab_Box1_44.raw</t>
  </si>
  <si>
    <t>Svalbard_Lab_Box1_45.raw</t>
  </si>
  <si>
    <t>Svalbard_Lab_Box1_46.raw</t>
  </si>
  <si>
    <t>Svalbard_Lab_Box1_47.raw</t>
  </si>
  <si>
    <t>Svalbard_Lab_Box1_48.raw</t>
  </si>
  <si>
    <t>Svalbard_Lab_Box1_49.raw</t>
  </si>
  <si>
    <t>Svalbard_Lab_Box1_50.raw</t>
  </si>
  <si>
    <t>Svalbard_Lab_Box1_51.raw</t>
  </si>
  <si>
    <t>Svalbard_Lab_Box1_52.raw</t>
  </si>
  <si>
    <t>Svalbard_Lab_Box1_53.raw</t>
  </si>
  <si>
    <t>Svalbard_Lab_Box1_54.raw</t>
  </si>
  <si>
    <t>Svalbard_Lab_Box1_55.raw</t>
  </si>
  <si>
    <t>Svalbard_Lab_Box1_56.raw</t>
  </si>
  <si>
    <t>Svalbard_Lab_Box1_57.raw</t>
  </si>
  <si>
    <t>Svalbard_Lab_Box1_58.raw</t>
  </si>
  <si>
    <t>Svalbard_Lab_Box1_59.raw</t>
  </si>
  <si>
    <t>Svalbard_Lab_Box1_60.raw</t>
  </si>
  <si>
    <t>Svalbard_Lab_Box1_61.raw</t>
  </si>
  <si>
    <t>Svalbard_Lab_Box1_62.raw</t>
  </si>
  <si>
    <t>Svalbard_Lab_Box1_63.raw</t>
  </si>
  <si>
    <t>Svalbard_Lab_Box1_64.raw</t>
  </si>
  <si>
    <t>Stand2025_400_22z.raw</t>
  </si>
  <si>
    <t>Stand2025_y0_22z.raw</t>
  </si>
  <si>
    <t>Svalbard_Lab_Box1_65.raw</t>
  </si>
  <si>
    <t>Svalbard_Lab_Box1_66.raw</t>
  </si>
  <si>
    <t>Svalbard_Lab_Box1_67.raw</t>
  </si>
  <si>
    <t>Svalbard_Lab_Box1_68.raw</t>
  </si>
  <si>
    <t>Svalbard_Lab_Box1_69.raw</t>
  </si>
  <si>
    <t>Svalbard_Lab_Box1_70.raw</t>
  </si>
  <si>
    <t>Svalbard_Lab_Box1_71.raw</t>
  </si>
  <si>
    <t>Svalbard_Lab_Box1_72.raw</t>
  </si>
  <si>
    <t>Svalbard_Lab_Box1_73.raw</t>
  </si>
  <si>
    <t>Svalbard_Lab_Box1_74.raw</t>
  </si>
  <si>
    <t>Svalbard_Lab_Box1_75.raw</t>
  </si>
  <si>
    <t>Svalbard_Lab_Box1_76.raw</t>
  </si>
  <si>
    <t>Svalbard_Lab_Box1_77.raw</t>
  </si>
  <si>
    <t>Svalbard_Lab_Box1_78.raw</t>
  </si>
  <si>
    <t>Svalbard_Lab_Box1_79.raw</t>
  </si>
  <si>
    <t>Svalbard_Lab_Box1_80.raw</t>
  </si>
  <si>
    <t>Svalbard_Lab_Box1_81.raw</t>
  </si>
  <si>
    <t>Svalbard_Lab_Box1_82.raw</t>
  </si>
  <si>
    <t>Svalbard_Lab_Box1_83.raw</t>
  </si>
  <si>
    <t>Svalbard_Lab_Box1_84.raw</t>
  </si>
  <si>
    <t>Svalbard_Lab_Box1_85.raw</t>
  </si>
  <si>
    <t>Svalbard_Lab_Box1_86.raw</t>
  </si>
  <si>
    <t>Svalbard_Lab_Box1_87.raw</t>
  </si>
  <si>
    <t>Svalbard_Lab_Box1_88.raw</t>
  </si>
  <si>
    <t>Svalbard_Lab_Box1_89.raw</t>
  </si>
  <si>
    <t>Svalbard_Lab_Box1_90.raw</t>
  </si>
  <si>
    <t>Svalbard_Lab_Box1_91.raw</t>
  </si>
  <si>
    <t>Svalbard_Lab_Box1_92.raw</t>
  </si>
  <si>
    <t>Svalbard_Lab_Box1_93.raw</t>
  </si>
  <si>
    <t>Svalbard_Lab_Box1_94.raw</t>
  </si>
  <si>
    <t>Svalbard_Lab_Box1_95.raw</t>
  </si>
  <si>
    <t>Svalbard_Lab_Box1_96.raw</t>
  </si>
  <si>
    <t>Svalbard_Lab_Box1_97.raw</t>
  </si>
  <si>
    <t>Svalbard_Lab_Box1_98.raw</t>
  </si>
  <si>
    <t>Svalbard_Lab_Box1_99.raw</t>
  </si>
  <si>
    <t>Svalbard_Lab_Box1_100.raw</t>
  </si>
  <si>
    <t>Svalbard_Lab_Box1_101.raw</t>
  </si>
  <si>
    <t>Svalbard_Lab_Box1_102.raw</t>
  </si>
  <si>
    <t>Svalbard_Lab_Box1_103.raw</t>
  </si>
  <si>
    <t>Svalbard_Lab_Box1_104.raw</t>
  </si>
  <si>
    <t>Svalbard_Lab_Box1_105.raw</t>
  </si>
  <si>
    <t>Svalbard_Lab_Box1_106.raw</t>
  </si>
  <si>
    <t>Svalbard_Lab_Box1_107.raw</t>
  </si>
  <si>
    <t>Svalbard_Lab_Box1_108.raw</t>
  </si>
  <si>
    <t>Svalbard_Lab_Box1_109.raw</t>
  </si>
  <si>
    <t>Svalbard_Lab_Box1_110.raw</t>
  </si>
  <si>
    <t>Svalbard_Lab_Box1_111.raw</t>
  </si>
  <si>
    <t>Svalbard_Lab_Box1_112.raw</t>
  </si>
  <si>
    <t>Svalbard_Lab_Box1_113.raw</t>
  </si>
  <si>
    <t>Svalbard_Lab_Box1_114.raw</t>
  </si>
  <si>
    <t>Svalbard_Lab_Box1_115.raw</t>
  </si>
  <si>
    <t>Svalbard_Lab_Box1_116.raw</t>
  </si>
  <si>
    <t>Svalbard_Lab_Box1_117.raw</t>
  </si>
  <si>
    <t>Svalbard_Lab_Box1_118.raw</t>
  </si>
  <si>
    <t>Svalbard_Lab_Box1_119.raw</t>
  </si>
  <si>
    <t>Svalbard_Lab_Box1_120.raw</t>
  </si>
  <si>
    <t>Svalbard_Lab_Box1_121.raw</t>
  </si>
  <si>
    <t>Svalbard_Lab_Box1_122.raw</t>
  </si>
  <si>
    <t>Svalbard_Lab_Box1_123.raw</t>
  </si>
  <si>
    <t>Svalbard_Lab_Box1_124.raw</t>
  </si>
  <si>
    <t>Svalbard_Lab_Box1_125.raw</t>
  </si>
  <si>
    <t>Svalbard_Lab_Box1_126.raw</t>
  </si>
  <si>
    <t>Svalbard_Lab_Box1_127.raw</t>
  </si>
  <si>
    <t>Svalbard_Lab_Box1_128.raw</t>
  </si>
  <si>
    <t>Stand2025_4000_23.raw</t>
  </si>
  <si>
    <t>Stand2025_1600_23.raw</t>
  </si>
  <si>
    <t>Stand2025_600_23.raw</t>
  </si>
  <si>
    <t>Stand2025_400_23.raw</t>
  </si>
  <si>
    <t>Stand2025_x0_23.raw</t>
  </si>
  <si>
    <t>Stand2026_3789_23.raw</t>
  </si>
  <si>
    <t>Stand2026_2097_23.raw</t>
  </si>
  <si>
    <t>Stand2026_1080_23.raw</t>
  </si>
  <si>
    <t>Stand2026_740_23.raw</t>
  </si>
  <si>
    <t>Stand2026_y0_23.raw</t>
  </si>
  <si>
    <t>Svalbard_Lab_Box1_129.raw</t>
  </si>
  <si>
    <t>Svalbard_Lab_Box1_130.raw</t>
  </si>
  <si>
    <t>Svalbard_Lab_Box1_131.raw</t>
  </si>
  <si>
    <t>Svalbard_Lab_Box1_132.raw</t>
  </si>
  <si>
    <t>Svalbard_Lab_Box1_133.raw</t>
  </si>
  <si>
    <t>Svalbard_Lab_Box1_134.raw</t>
  </si>
  <si>
    <t>Svalbard_Lab_Box1_135.raw</t>
  </si>
  <si>
    <t>Svalbard_Lab_Box1_136.raw</t>
  </si>
  <si>
    <t>Svalbard_Lab_Box1_137.raw</t>
  </si>
  <si>
    <t>Svalbard_Lab_Box1_138.raw</t>
  </si>
  <si>
    <t>Svalbard_Lab_Box1_139.raw</t>
  </si>
  <si>
    <t>Svalbard_Lab_Box1_140.raw</t>
  </si>
  <si>
    <t>Svalbard_Lab_Box1_141.raw</t>
  </si>
  <si>
    <t>Svalbard_Lab_Box1_142.raw</t>
  </si>
  <si>
    <t>Svalbard_Lab_Box1_143.raw</t>
  </si>
  <si>
    <t>Svalbard_Lab_Box1_144.raw</t>
  </si>
  <si>
    <t>Svalbard_Lab_Rack0_1.raw</t>
  </si>
  <si>
    <t>Svalbard_Lab_Rack0_2.raw</t>
  </si>
  <si>
    <t>Svalbard_Lab_Rack0_3.raw</t>
  </si>
  <si>
    <t>Svalbard_Lab_Rack0_4.raw</t>
  </si>
  <si>
    <t>Svalbard_Lab_Rack0_5.raw</t>
  </si>
  <si>
    <t>Svalbard_Lab_Rack0_6.raw</t>
  </si>
  <si>
    <t>Svalbard_Lab_Rack0_7.raw</t>
  </si>
  <si>
    <t>Svalbard_Lab_Rack0_8.raw</t>
  </si>
  <si>
    <t>Svalbard_Lab_Rack0_9.raw</t>
  </si>
  <si>
    <t>Svalbard_Lab_Rack0_10.raw</t>
  </si>
  <si>
    <t>Svalbard_Lab_Rack0_11.raw</t>
  </si>
  <si>
    <t>Svalbard_Lab_Rack0_12.raw</t>
  </si>
  <si>
    <t>Svalbard_Lab_Rack0_13.raw</t>
  </si>
  <si>
    <t>Svalbard_Lab_Rack0_14.raw</t>
  </si>
  <si>
    <t>Svalbard_Lab_Rack0_15.raw</t>
  </si>
  <si>
    <t>Svalbard_Lab_Rack0_16.raw</t>
  </si>
  <si>
    <t>Svalbard_Lab_Rack0_17.raw</t>
  </si>
  <si>
    <t>Svalbard_Lab_Rack0_18.raw</t>
  </si>
  <si>
    <t>Svalbard_Lab_Rack0_19.raw</t>
  </si>
  <si>
    <t>Svalbard_Lab_Rack0_20.raw</t>
  </si>
  <si>
    <t>Svalbard_Lab_Rack0_21.raw</t>
  </si>
  <si>
    <t>Svalbard_Lab_Rack0_22.raw</t>
  </si>
  <si>
    <t>Svalbard_Lab_Rack0_23.raw</t>
  </si>
  <si>
    <t>Svalbard_Lab_Rack0_24.raw</t>
  </si>
  <si>
    <t>Svalbard_Lab_Rack0_25.raw</t>
  </si>
  <si>
    <t>Svalbard_Lab_Rack0_26.raw</t>
  </si>
  <si>
    <t>Svalbard_Lab_Rack0_27.raw</t>
  </si>
  <si>
    <t>Svalbard_Lab_Rack0_28.raw</t>
  </si>
  <si>
    <t>Svalbard_Lab_Rack0_29.raw</t>
  </si>
  <si>
    <t>Svalbard_Lab_Rack0_30.raw</t>
  </si>
  <si>
    <t>Svalbard_Lab_Rack0_31.raw</t>
  </si>
  <si>
    <t>Svalbard_Lab_Rack0_32.raw</t>
  </si>
  <si>
    <t>Svalbard_Lab_Rack0_33.raw</t>
  </si>
  <si>
    <t>Svalbard_Lab_Rack0_34.raw</t>
  </si>
  <si>
    <t>Svalbard_Lab_Rack0_35.raw</t>
  </si>
  <si>
    <t>Svalbard_Lab_Rack0_36.raw</t>
  </si>
  <si>
    <t>Svalbard_Lab_Rack0_37.raw</t>
  </si>
  <si>
    <t>Svalbard_Lab_Rack0_38.raw</t>
  </si>
  <si>
    <t>Svalbard_Lab_Rack0_39.raw</t>
  </si>
  <si>
    <t>Svalbard_Lab_Rack0_40.raw</t>
  </si>
  <si>
    <t>Svalbard_Lab_Rack0_41.raw</t>
  </si>
  <si>
    <t>Svalbard_Lab_Rack0_42.raw</t>
  </si>
  <si>
    <t>Svalbard_Lab_Rack0_43.raw</t>
  </si>
  <si>
    <t>Svalbard_Lab_Rack0_44.raw</t>
  </si>
  <si>
    <t>Svalbard_Lab_Rack0_45.raw</t>
  </si>
  <si>
    <t>Svalbard_Lab_Rack0_46.raw</t>
  </si>
  <si>
    <t>Svalbard_Lab_Rack0_47.raw</t>
  </si>
  <si>
    <t>Svalbard_Lab_Rack0_48.raw</t>
  </si>
  <si>
    <t>Svalbard_Lab_Rack0_49.raw</t>
  </si>
  <si>
    <t>Svalbard_Lab_Rack0_50.raw</t>
  </si>
  <si>
    <t>Svalbard_Lab_Rack1_1.raw</t>
  </si>
  <si>
    <t>Svalbard_Lab_Rack1_2.raw</t>
  </si>
  <si>
    <t>Svalbard_Lab_Rack1_3.raw</t>
  </si>
  <si>
    <t>Svalbard_Lab_Rack1_4.raw</t>
  </si>
  <si>
    <t>Svalbard_Lab_Rack1_5.raw</t>
  </si>
  <si>
    <t>Svalbard_Lab_Rack1_6.raw</t>
  </si>
  <si>
    <t>Svalbard_Lab_Rack1_7.raw</t>
  </si>
  <si>
    <t>Svalbard_Lab_Rack1_8.raw</t>
  </si>
  <si>
    <t>Svalbard_Lab_Rack1_9.raw</t>
  </si>
  <si>
    <t>Svalbard_Lab_Rack1_10.raw</t>
  </si>
  <si>
    <t>Svalbard_Lab_Rack1_11.raw</t>
  </si>
  <si>
    <t>Svalbard_Lab_Rack1_12.raw</t>
  </si>
  <si>
    <t>Svalbard_Lab_Rack1_13.raw</t>
  </si>
  <si>
    <t>Svalbard_Lab_Rack1_14.raw</t>
  </si>
  <si>
    <t>Svalbard_Lab_Rack1_15.raw</t>
  </si>
  <si>
    <t>Svalbard_Lab_Rack1_16.raw</t>
  </si>
  <si>
    <t>Svalbard_Lab_Rack1_17.raw</t>
  </si>
  <si>
    <t>Svalbard_Lab_Rack1_18.raw</t>
  </si>
  <si>
    <t>Svalbard_Lab_Rack1_19.raw</t>
  </si>
  <si>
    <t>Svalbard_Lab_Rack1_20.raw</t>
  </si>
  <si>
    <t>Svalbard_Lab_Rack1_21.raw</t>
  </si>
  <si>
    <t>Svalbard_Lab_Rack1_22.raw</t>
  </si>
  <si>
    <t>Svalbard_Lab_Rack1_23.raw</t>
  </si>
  <si>
    <t>Svalbard_Lab_Rack1_24.raw</t>
  </si>
  <si>
    <t>Svalbard_Lab_Rack1_25.raw</t>
  </si>
  <si>
    <t>Svalbard_Lab_Rack1_26.raw</t>
  </si>
  <si>
    <t>Svalbard_Lab_Rack1_27.raw</t>
  </si>
  <si>
    <t>Svalbard_Lab_Rack1_28.raw</t>
  </si>
  <si>
    <t>Svalbard_Lab_Rack1_29.raw</t>
  </si>
  <si>
    <t>Svalbard_Lab_Rack1_30.raw</t>
  </si>
  <si>
    <t>Stand2025_400_23z.raw</t>
  </si>
  <si>
    <t>Stand2025_y0_23z.raw</t>
  </si>
  <si>
    <t>Svalbard_Lab_Rack1_31.raw</t>
  </si>
  <si>
    <t>Svalbard_Lab_Rack1_32.raw</t>
  </si>
  <si>
    <t>Svalbard_Lab_Rack1_33.raw</t>
  </si>
  <si>
    <t>Svalbard_Lab_Rack1_34.raw</t>
  </si>
  <si>
    <t>Svalbard_Lab_Rack1_35.raw</t>
  </si>
  <si>
    <t>Svalbard_Lab_Rack1_36.raw</t>
  </si>
  <si>
    <t>Svalbard_Lab_Rack1_37.raw</t>
  </si>
  <si>
    <t>Svalbard_Lab_Rack1_38.raw</t>
  </si>
  <si>
    <t>Svalbard_Lab_Rack1_39.raw</t>
  </si>
  <si>
    <t>Svalbard_Lab_Rack1_40.raw</t>
  </si>
  <si>
    <t>Svalbard_Lab_Rack1_41.raw</t>
  </si>
  <si>
    <t>Svalbard_Lab_Rack1_42.raw</t>
  </si>
  <si>
    <t>Svalbard_Lab_Rack1_43.raw</t>
  </si>
  <si>
    <t>Svalbard_Lab_Rack1_44.raw</t>
  </si>
  <si>
    <t>Svalbard_Lab_Rack1_45.raw</t>
  </si>
  <si>
    <t>Svalbard_Lab_Rack1_46.raw</t>
  </si>
  <si>
    <t>Svalbard_Lab_Rack1_47.raw</t>
  </si>
  <si>
    <t>Svalbard_Lab_Rack1_48.raw</t>
  </si>
  <si>
    <t>Svalbard_Lab_Rack1_49.raw</t>
  </si>
  <si>
    <t>Svalbard_Lab_Rack1_50.raw</t>
  </si>
  <si>
    <t>Svalbard_Lab_Rack2_1.raw</t>
  </si>
  <si>
    <t>Svalbard_Lab_Rack2_2.raw</t>
  </si>
  <si>
    <t>Svalbard_Lab_Rack2_3.raw</t>
  </si>
  <si>
    <t>Svalbard_Lab_Rack2_4.raw</t>
  </si>
  <si>
    <t>Svalbard_Lab_Rack2_5.raw</t>
  </si>
  <si>
    <t>Svalbard_Lab_Rack2_6.raw</t>
  </si>
  <si>
    <t>Svalbard_Lab_Rack2_7.raw</t>
  </si>
  <si>
    <t>Svalbard_Lab_Rack2_8.raw</t>
  </si>
  <si>
    <t>Svalbard_Lab_Rack2_9.raw</t>
  </si>
  <si>
    <t>Svalbard_Lab_Rack2_10.raw</t>
  </si>
  <si>
    <t>Svalbard_Lab_Rack2_11.raw</t>
  </si>
  <si>
    <t>Svalbard_Lab_Rack2_12.raw</t>
  </si>
  <si>
    <t>Stand2025_4000_24.raw</t>
  </si>
  <si>
    <t>Stand2025_1600_24.raw</t>
  </si>
  <si>
    <t>Stand2025_600_24.raw</t>
  </si>
  <si>
    <t>Stand2025_400_24.raw</t>
  </si>
  <si>
    <t>Stand2025_yy0_24.raw</t>
  </si>
  <si>
    <t>Stand2026_3789_24.raw</t>
  </si>
  <si>
    <t>Stand2026_2097_24.raw</t>
  </si>
  <si>
    <t>Stand2026_1080_24.raw</t>
  </si>
  <si>
    <t>Stand2026_740_24.raw</t>
  </si>
  <si>
    <t>Stand2026_y0_24.raw</t>
  </si>
  <si>
    <t>Svalbard_Lab_Rack2_13.raw</t>
  </si>
  <si>
    <t>Svalbard_Lab_Rack2_14.raw</t>
  </si>
  <si>
    <t>Svalbard_Lab_Rack2_15.raw</t>
  </si>
  <si>
    <t>Svalbard_Lab_Rack2_16.raw</t>
  </si>
  <si>
    <t>Svalbard_Lab_Rack2_17.raw</t>
  </si>
  <si>
    <t>Svalbard_Lab_Rack2_18.raw</t>
  </si>
  <si>
    <t>Svalbard_Lab_Rack2_19.raw</t>
  </si>
  <si>
    <t>Svalbard_Lab_Rack2_20.raw</t>
  </si>
  <si>
    <t>Svalbard_Lab_Rack2_21.raw</t>
  </si>
  <si>
    <t>Svalbard_Lab_Rack2_22.raw</t>
  </si>
  <si>
    <t>Svalbard_Lab_Rack2_23.raw</t>
  </si>
  <si>
    <t>Svalbard_Lab_Rack2_24.raw</t>
  </si>
  <si>
    <t>Svalbard_Lab_Rack2_25.raw</t>
  </si>
  <si>
    <t>Svalbard_Lab_Rack2_26.raw</t>
  </si>
  <si>
    <t>Svalbard_Lab_Rack2_27.raw</t>
  </si>
  <si>
    <t>Svalbard_Lab_Rack2_28.raw</t>
  </si>
  <si>
    <t>Svalbard_Lab_Rack2_29.raw</t>
  </si>
  <si>
    <t>Svalbard_Lab_Rack2_30.raw</t>
  </si>
  <si>
    <t>Svalbard_Lab_Rack2_31.raw</t>
  </si>
  <si>
    <t>Svalbard_Lab_Rack2_32.raw</t>
  </si>
  <si>
    <t>Svalbard_Lab_Rack2_33.raw</t>
  </si>
  <si>
    <t>Svalbard_Lab_Rack2_34.raw</t>
  </si>
  <si>
    <t>Svalbard_Lab_Rack2_35.raw</t>
  </si>
  <si>
    <t>Svalbard_Lab_Rack2_36.raw</t>
  </si>
  <si>
    <t>Svalbard_Lab_Rack2_37.raw</t>
  </si>
  <si>
    <t>Svalbard_Lab_Rack2_38.raw</t>
  </si>
  <si>
    <t>Svalbard_Lab_Rack2_39.raw</t>
  </si>
  <si>
    <t>Svalbard_Lab_Rack2_40.raw</t>
  </si>
  <si>
    <t>Svalbard_Lab_Rack2_41.raw</t>
  </si>
  <si>
    <t>Svalbard_Lab_Rack2_42.raw</t>
  </si>
  <si>
    <t>Svalbard_Lab_Rack2_43.raw</t>
  </si>
  <si>
    <t>Svalbard_Lab_Rack2_44.raw</t>
  </si>
  <si>
    <t>Svalbard_Lab_Rack2_45.raw</t>
  </si>
  <si>
    <t>Svalbard_Lab_Rack2_46.raw</t>
  </si>
  <si>
    <t>Svalbard_Lab_Rack2_47.raw</t>
  </si>
  <si>
    <t>Svalbard_Lab_Rack2_48.raw</t>
  </si>
  <si>
    <t>Svalbard_Lab_Rack2_49.raw</t>
  </si>
  <si>
    <t>Svalbard_Lab_Rack2_50.raw</t>
  </si>
  <si>
    <t>Svalbard_Lab_Rack3_1.raw</t>
  </si>
  <si>
    <t>Svalbard_Lab_Rack3_2.raw</t>
  </si>
  <si>
    <t>Svalbard_Lab_Rack3_3.raw</t>
  </si>
  <si>
    <t>Svalbard_Lab_Rack3_4.raw</t>
  </si>
  <si>
    <t>Svalbard_Lab_Rack3_5.raw</t>
  </si>
  <si>
    <t>Svalbard_Lab_Rack3_6.raw</t>
  </si>
  <si>
    <t>Svalbard_Lab_Rack3_7.raw</t>
  </si>
  <si>
    <t>Svalbard_Lab_Rack3_8.raw</t>
  </si>
  <si>
    <t>Svalbard_Lab_Rack3_9.raw</t>
  </si>
  <si>
    <t>Svalbard_Lab_Rack3_10.raw</t>
  </si>
  <si>
    <t>Svalbard_Lab_Rack3_11.raw</t>
  </si>
  <si>
    <t>Svalbard_Lab_Rack3_12.raw</t>
  </si>
  <si>
    <t>Svalbard_Lab_Rack3_13.raw</t>
  </si>
  <si>
    <t>Svalbard_Lab_Rack3_14.raw</t>
  </si>
  <si>
    <t>Svalbard_Lab_Rack3_15.raw</t>
  </si>
  <si>
    <t>Svalbard_Lab_Rack3_16.raw</t>
  </si>
  <si>
    <t>Svalbard_Lab_Rack3_17.raw</t>
  </si>
  <si>
    <t>Svalbard_Lab_Rack3_18.raw</t>
  </si>
  <si>
    <t>Svalbard_Lab_Rack3_19.raw</t>
  </si>
  <si>
    <t>Svalbard_Lab_Rack3_20.raw</t>
  </si>
  <si>
    <t>Svalbard_Lab_Rack3_21.raw</t>
  </si>
  <si>
    <t>Svalbard_Lab_Rack3_22.raw</t>
  </si>
  <si>
    <t>Svalbard_Lab_Rack3_23.raw</t>
  </si>
  <si>
    <t>Svalbard_Lab_Rack3_24.raw</t>
  </si>
  <si>
    <t>Svalbard_Lab_Rack3_25.raw</t>
  </si>
  <si>
    <t>Svalbard_Lab_Rack3_26.raw</t>
  </si>
  <si>
    <t>Stand2025_400_24z.raw</t>
  </si>
  <si>
    <t>Stand2025_y0_24z.raw</t>
  </si>
  <si>
    <t>Svalbard_Lab_Rack3_27.raw</t>
  </si>
  <si>
    <t>Svalbard_Lab_Rack3_28.raw</t>
  </si>
  <si>
    <t>Svalbard_Lab_Rack3_29.raw</t>
  </si>
  <si>
    <t>Svalbard_Lab_Rack3_30.raw</t>
  </si>
  <si>
    <t>Svalbard_Lab_Rack3_31.raw</t>
  </si>
  <si>
    <t>Svalbard_Lab_Rack3_32.raw</t>
  </si>
  <si>
    <t>Svalbard_Lab_Rack3_33.raw</t>
  </si>
  <si>
    <t>Svalbard_Lab_Rack3_34.raw</t>
  </si>
  <si>
    <t>Svalbard_Lab_Rack3_35.raw</t>
  </si>
  <si>
    <t>Svalbard_Lab_Rack3_36.raw</t>
  </si>
  <si>
    <t>Svalbard_Lab_Rack3_37.raw</t>
  </si>
  <si>
    <t>Svalbard_Lab_Rack3_38.raw</t>
  </si>
  <si>
    <t>Svalbard_Lab_Rack3_39.raw</t>
  </si>
  <si>
    <t>Svalbard_Lab_Rack3_40.raw</t>
  </si>
  <si>
    <t>Svalbard_Lab_Rack3_41.raw</t>
  </si>
  <si>
    <t>Svalbard_Lab_Rack3_42.raw</t>
  </si>
  <si>
    <t>Svalbard_Lab_Rack3_43.raw</t>
  </si>
  <si>
    <t>Svalbard_Lab_Rack3_44.raw</t>
  </si>
  <si>
    <t>Svalbard_Lab_Rack3_45.raw</t>
  </si>
  <si>
    <t>Svalbard_Lab_Rack3_46.raw</t>
  </si>
  <si>
    <t>Svalbard_Lab_Rack3_47.raw</t>
  </si>
  <si>
    <t>Svalbard_Lab_Rack3_48.raw</t>
  </si>
  <si>
    <t>Svalbard_Lab_Rack3_49.raw</t>
  </si>
  <si>
    <t>Svalbard_Lab_Rack3_50.raw</t>
  </si>
  <si>
    <t>Svalbard_Lab_Rack4_1.raw</t>
  </si>
  <si>
    <t>Svalbard_Lab_Rack4_2.raw</t>
  </si>
  <si>
    <t>Svalbard_Lab_Rack4_3.raw</t>
  </si>
  <si>
    <t>Svalbard_Lab_Rack4_4.raw</t>
  </si>
  <si>
    <t>Svalbard_Lab_Rack4_5.raw</t>
  </si>
  <si>
    <t>Svalbard_Lab_Rack4_6.raw</t>
  </si>
  <si>
    <t>Svalbard_Lab_Rack4_7.raw</t>
  </si>
  <si>
    <t>Svalbard_Lab_Rack4_8.raw</t>
  </si>
  <si>
    <t>Stand2025_4000_25.raw</t>
  </si>
  <si>
    <t>Stand2025_1600_25.raw</t>
  </si>
  <si>
    <t>Stand2025_600_25.raw</t>
  </si>
  <si>
    <t>Stand2025_400_25.raw</t>
  </si>
  <si>
    <t>Stand2025_yy0_25.raw</t>
  </si>
  <si>
    <t>Stand2026_3789_25.raw</t>
  </si>
  <si>
    <t>Stand2026_2097_25.raw</t>
  </si>
  <si>
    <t>Stand2026_1080_25.raw</t>
  </si>
  <si>
    <t>Stand2026_740_25.raw</t>
  </si>
  <si>
    <t>Stand2026_y0_25.raw</t>
  </si>
  <si>
    <t>Svalbard_Lab_Rack4_9.raw</t>
  </si>
  <si>
    <t>Svalbard_Lab_Rack4_10.raw</t>
  </si>
  <si>
    <t>Svalbard_Lab_Rack4_11.raw</t>
  </si>
  <si>
    <t>Svalbard_Lab_Rack4_12.raw</t>
  </si>
  <si>
    <t>Svalbard_Lab_Rack4_13.raw</t>
  </si>
  <si>
    <t>Svalbard_Lab_Rack4_14.raw</t>
  </si>
  <si>
    <t>Svalbard_Lab_Rack4_15.raw</t>
  </si>
  <si>
    <t>Svalbard_Lab_Rack4_16.raw</t>
  </si>
  <si>
    <t>Svalbard_Lab_Rack4_17.raw</t>
  </si>
  <si>
    <t>Svalbard_Lab_Rack4_18.raw</t>
  </si>
  <si>
    <t>Svalbard_Lab_Rack4_19.raw</t>
  </si>
  <si>
    <t>Svalbard_Lab_Rack4_20.raw</t>
  </si>
  <si>
    <t>Svalbard_Lab_Rack4_21.raw</t>
  </si>
  <si>
    <t>Svalbard_Lab_Rack4_22.raw</t>
  </si>
  <si>
    <t>Svalbard_Lab_Rack4_23.raw</t>
  </si>
  <si>
    <t>Svalbard_Lab_Rack4_24.raw</t>
  </si>
  <si>
    <t>Svalbard_Lab_Rack4_25.raw</t>
  </si>
  <si>
    <t>Svalbard_Lab_Rack4_26.raw</t>
  </si>
  <si>
    <t>Svalbard_Lab_Rack4_27.raw</t>
  </si>
  <si>
    <t>Svalbard_Lab_Rack4_28.raw</t>
  </si>
  <si>
    <t>Svalbard_Lab_Rack4_29.raw</t>
  </si>
  <si>
    <t>Svalbard_Lab_Rack4_30.raw</t>
  </si>
  <si>
    <t>Svalbard_Lab_Rack4_31.raw</t>
  </si>
  <si>
    <t>Svalbard_Lab_Rack4_32.raw</t>
  </si>
  <si>
    <t>Svalbard_Lab_Rack4_33.raw</t>
  </si>
  <si>
    <t>Svalbard_Lab_Rack4_34.raw</t>
  </si>
  <si>
    <t>Svalbard_Lab_Rack4_35.raw</t>
  </si>
  <si>
    <t>Svalbard_Lab_Rack4_36.raw</t>
  </si>
  <si>
    <t>Svalbard_Lab_Rack4_37.raw</t>
  </si>
  <si>
    <t>Svalbard_Lab_Rack4_38.raw</t>
  </si>
  <si>
    <t>Svalbard_Lab_Rack4_39.raw</t>
  </si>
  <si>
    <t>Svalbard_Lab_Rack4_40.raw</t>
  </si>
  <si>
    <t>Svalbard_Lab_Rack4_41.raw</t>
  </si>
  <si>
    <t>Svalbard_Lab_Rack4_42.raw</t>
  </si>
  <si>
    <t>Svalbard_Lab_Rack4_43.raw</t>
  </si>
  <si>
    <t>Svalbard_Lab_Rack4_44.raw</t>
  </si>
  <si>
    <t>Svalbard_Lab_Rack4_45.raw</t>
  </si>
  <si>
    <t>Svalbard_Lab_Rack4_46.raw</t>
  </si>
  <si>
    <t>Svalbard_Lab_Rack4_47.raw</t>
  </si>
  <si>
    <t>Svalbard_Lab_Rack4_48.raw</t>
  </si>
  <si>
    <t>Svalbard_Lab_Rack4_49.raw</t>
  </si>
  <si>
    <t>Svalbard_Lab_Rack4_50.raw</t>
  </si>
  <si>
    <t>Svalbard_Lab_Rack5_1.raw</t>
  </si>
  <si>
    <t>Svalbard_Lab_Rack5_2.raw</t>
  </si>
  <si>
    <t>Svalbard_Lab_Rack5_3.raw</t>
  </si>
  <si>
    <t>Svalbard_Lab_Rack5_4.raw</t>
  </si>
  <si>
    <t>Svalbard_Lab_Rack5_5.raw</t>
  </si>
  <si>
    <t>Svalbard_Lab_Rack5_6.raw</t>
  </si>
  <si>
    <t>Svalbard_Lab_Rack5_7.raw</t>
  </si>
  <si>
    <t>Svalbard_Lab_Rack5_8.raw</t>
  </si>
  <si>
    <t>Svalbard_Lab_Rack5_9.raw</t>
  </si>
  <si>
    <t>Svalbard_Lab_Rack5_10.raw</t>
  </si>
  <si>
    <t>Svalbard_Lab_Rack5_11.raw</t>
  </si>
  <si>
    <t>Svalbard_Lab_Rack5_12.raw</t>
  </si>
  <si>
    <t>Svalbard_Lab_Rack5_13.raw</t>
  </si>
  <si>
    <t>Svalbard_Lab_Rack5_14.raw</t>
  </si>
  <si>
    <t>Svalbard_Lab_Rack5_15.raw</t>
  </si>
  <si>
    <t>Svalbard_Lab_Rack5_16.raw</t>
  </si>
  <si>
    <t>Svalbard_Lab_Rack5_17.raw</t>
  </si>
  <si>
    <t>Svalbard_Lab_Rack5_18.raw</t>
  </si>
  <si>
    <t>Svalbard_Lab_Rack5_19.raw</t>
  </si>
  <si>
    <t>Svalbard_Lab_Rack5_20.raw</t>
  </si>
  <si>
    <t>Svalbard_Lab_Rack5_21.raw</t>
  </si>
  <si>
    <t>Svalbard_Lab_Rack5_22.raw</t>
  </si>
  <si>
    <t>Stand2025_400_25z.raw</t>
  </si>
  <si>
    <t>Stand2025_y0_25z.raw</t>
  </si>
  <si>
    <t>Svalbard_Lab_Rack5_23.raw</t>
  </si>
  <si>
    <t>Svalbard_Lab_Rack5_24.raw</t>
  </si>
  <si>
    <t>Svalbard_Lab_Rack5_25.raw</t>
  </si>
  <si>
    <t>Svalbard_Lab_Rack5_26.raw</t>
  </si>
  <si>
    <t>Svalbard_Lab_Rack5_27.raw</t>
  </si>
  <si>
    <t>Svalbard_Lab_Rack5_28.raw</t>
  </si>
  <si>
    <t>Svalbard_Lab_Rack5_29.raw</t>
  </si>
  <si>
    <t>Svalbard_Lab_Rack5_30.raw</t>
  </si>
  <si>
    <t>Svalbard_Lab_Rack5_31.raw</t>
  </si>
  <si>
    <t>Svalbard_Lab_Rack5_32.raw</t>
  </si>
  <si>
    <t>Svalbard_Lab_Rack5_33.raw</t>
  </si>
  <si>
    <t>Svalbard_Lab_Rack5_34.raw</t>
  </si>
  <si>
    <t>Svalbard_Lab_Rack5_35.raw</t>
  </si>
  <si>
    <t>Svalbard_Lab_Rack5_36.raw</t>
  </si>
  <si>
    <t>Svalbard_Lab_Rack5_37.raw</t>
  </si>
  <si>
    <t>Svalbard_Lab_Rack5_38.raw</t>
  </si>
  <si>
    <t>Svalbard_Lab_Rack5_39.raw</t>
  </si>
  <si>
    <t>Svalbard_Lab_Rack5_40.raw</t>
  </si>
  <si>
    <t>Svalbard_Lab_Rack5_41.raw</t>
  </si>
  <si>
    <t>Svalbard_Lab_Rack5_42.raw</t>
  </si>
  <si>
    <t>Svalbard_Lab_Rack5_43.raw</t>
  </si>
  <si>
    <t>Svalbard_Lab_Rack5_44.raw</t>
  </si>
  <si>
    <t>Svalbard_Lab_Rack5_45.raw</t>
  </si>
  <si>
    <t>Svalbard_Lab_Rack5_46.raw</t>
  </si>
  <si>
    <t>Svalbard_Lab_Rack5_47.raw</t>
  </si>
  <si>
    <t>Svalbard_Lab_Rack5_48.raw</t>
  </si>
  <si>
    <t>Svalbard_Lab_Rack5_49.raw</t>
  </si>
  <si>
    <t>Svalbard_Lab_Rack5_50.raw</t>
  </si>
  <si>
    <t>Stand2025_4000_26.raw</t>
  </si>
  <si>
    <t>Stand2025_1600_26.raw</t>
  </si>
  <si>
    <t>Stand2025_600_26.raw</t>
  </si>
  <si>
    <t>Stand2025_400_26.raw</t>
  </si>
  <si>
    <t>Stand2025_yy0_26.raw</t>
  </si>
  <si>
    <t>Stand2026_3789_26.raw</t>
  </si>
  <si>
    <t>Stand2026_2097_26.raw</t>
  </si>
  <si>
    <t>Stand2026_1080_26.raw</t>
  </si>
  <si>
    <t>Stand2026_740_26.raw</t>
  </si>
  <si>
    <t>Stand2026_y0_26.raw</t>
  </si>
  <si>
    <t>Svalbard_Lab_Rack6_1.raw</t>
  </si>
  <si>
    <t>Svalbard_Lab_Rack6_2.raw</t>
  </si>
  <si>
    <t>Svalbard_Lab_Rack6_3.raw</t>
  </si>
  <si>
    <t>Svalbard_Lab_Rack6_4.raw</t>
  </si>
  <si>
    <t>Svalbard_Lab_Rack6_5.raw</t>
  </si>
  <si>
    <t>Svalbard_Lab_Rack6_6.raw</t>
  </si>
  <si>
    <t>Svalbard_Lab_Rack6_7.raw</t>
  </si>
  <si>
    <t>Svalbard_Lab_Rack6_8.raw</t>
  </si>
  <si>
    <t>Svalbard_Lab_Rack6_9.raw</t>
  </si>
  <si>
    <t>Svalbard_Lab_Rack6_10.raw</t>
  </si>
  <si>
    <t>Svalbard_Lab_Rack6_11.raw</t>
  </si>
  <si>
    <t>Svalbard_Lab_Rack6_12.raw</t>
  </si>
  <si>
    <t>Svalbard_Lab_Rack6_13.raw</t>
  </si>
  <si>
    <t>Svalbard_Lab_Rack6_14.raw</t>
  </si>
  <si>
    <t>Svalbard_Lab_Rack6_15.raw</t>
  </si>
  <si>
    <t>Svalbard_Lab_Rack6_16.raw</t>
  </si>
  <si>
    <t>Svalbard_Lab_Rack6_17.raw</t>
  </si>
  <si>
    <t>Svalbard_Lab_Rack6_18.raw</t>
  </si>
  <si>
    <t>Svalbard_Lab_Rack6_19.raw</t>
  </si>
  <si>
    <t>Svalbard_Lab_Rack6_20.raw</t>
  </si>
  <si>
    <t>Svalbard_Lab_Rack6_21.raw</t>
  </si>
  <si>
    <t>Svalbard_Lab_Rack6_22.raw</t>
  </si>
  <si>
    <t>Svalbard_Lab_Rack6_23.raw</t>
  </si>
  <si>
    <t>Svalbard_Lab_Rack6_24.raw</t>
  </si>
  <si>
    <t>Svalbard_Lab_Rack6_25.raw</t>
  </si>
  <si>
    <t>Svalbard_Lab_Rack6_26.raw</t>
  </si>
  <si>
    <t>Svalbard_Lab_Rack6_27.raw</t>
  </si>
  <si>
    <t>Svalbard_Lab_Rack6_28.raw</t>
  </si>
  <si>
    <t>Svalbard_Lab_Rack6_29.raw</t>
  </si>
  <si>
    <t>Svalbard_Lab_Rack6_30.raw</t>
  </si>
  <si>
    <t>Svalbard_Lab_Rack6_31.raw</t>
  </si>
  <si>
    <t>Svalbard_Lab_Rack6_32.raw</t>
  </si>
  <si>
    <t>Svalbard_Lab_Rack6_33.raw</t>
  </si>
  <si>
    <t>Svalbard_Lab_Rack6_34.raw</t>
  </si>
  <si>
    <t>Svalbard_Lab_Rack6_35.raw</t>
  </si>
  <si>
    <t>Svalbard_Lab_Rack6_36.raw</t>
  </si>
  <si>
    <t>Svalbard_Lab_Rack6_37.raw</t>
  </si>
  <si>
    <t>Svalbard_Lab_Rack6_38.raw</t>
  </si>
  <si>
    <t>Svalbard_Lab_Rack6_39.raw</t>
  </si>
  <si>
    <t>Svalbard_Lab_Rack6_40.raw</t>
  </si>
  <si>
    <t>Svalbard_Lab_Rack6_41.raw</t>
  </si>
  <si>
    <t>Svalbard_Lab_Rack6_42.raw</t>
  </si>
  <si>
    <t>Svalbard_Lab_Rack6_43.raw</t>
  </si>
  <si>
    <t>Svalbard_Lab_Rack6_44.raw</t>
  </si>
  <si>
    <t>Svalbard_Lab_Rack6_45.raw</t>
  </si>
  <si>
    <t>Svalbard_Lab_Rack6_46.raw</t>
  </si>
  <si>
    <t>Svalbard_Lab_Rack6_47.raw</t>
  </si>
  <si>
    <t>Svalbard_Lab_Rack6_48.raw</t>
  </si>
  <si>
    <t>Svalbard_Lab_Rack6_49.raw</t>
  </si>
  <si>
    <t>Svalbard_Lab_Rack6_50.raw</t>
  </si>
  <si>
    <t>Svalbard_Lab_Rack7_1.raw</t>
  </si>
  <si>
    <t>Svalbard_Lab_Rack7_2.raw</t>
  </si>
  <si>
    <t>Svalbard_Lab_Rack7_3.raw</t>
  </si>
  <si>
    <t>Svalbard_Lab_Rack7_4.raw</t>
  </si>
  <si>
    <t>Svalbard_Lab_Rack7_5.raw</t>
  </si>
  <si>
    <t>Svalbard_Lab_Rack7_6.raw</t>
  </si>
  <si>
    <t>Svalbard_Lab_Rack7_7.raw</t>
  </si>
  <si>
    <t>Svalbard_Lab_Rack7_8.raw</t>
  </si>
  <si>
    <t>Svalbard_Lab_Rack7_9.raw</t>
  </si>
  <si>
    <t>Svalbard_Lab_Rack7_10.raw</t>
  </si>
  <si>
    <t>Svalbard_Lab_Rack7_11.raw</t>
  </si>
  <si>
    <t>Svalbard_Lab_Rack7_12.raw</t>
  </si>
  <si>
    <t>Svalbard_Lab_Rack7_13.raw</t>
  </si>
  <si>
    <t>Svalbard_Lab_Rack7_14.raw</t>
  </si>
  <si>
    <t>Svalbard_Lab_Rack7_15.raw</t>
  </si>
  <si>
    <t>Svalbard_Lab_Rack7_16.raw</t>
  </si>
  <si>
    <t>Svalbard_Lab_Rack7_17.raw</t>
  </si>
  <si>
    <t>Svalbard_Lab_Rack7_18.raw</t>
  </si>
  <si>
    <t>Svalbard_Lab_Rack7_19.raw</t>
  </si>
  <si>
    <t>Svalbard_Lab_Rack7_20.raw</t>
  </si>
  <si>
    <t>Svalbard_Lab_Rack7_21.raw</t>
  </si>
  <si>
    <t>Svalbard_Lab_Rack7_22.raw</t>
  </si>
  <si>
    <t>Svalbard_Lab_Rack7_23.raw</t>
  </si>
  <si>
    <t>Svalbard_Lab_Rack7_24.raw</t>
  </si>
  <si>
    <t>Svalbard_Lab_Rack7_25.raw</t>
  </si>
  <si>
    <t>Svalbard_Lab_Rack7_26.raw</t>
  </si>
  <si>
    <t>Svalbard_Lab_Rack7_27.raw</t>
  </si>
  <si>
    <t>Svalbard_Lab_Rack7_28.raw</t>
  </si>
  <si>
    <t>Svalbard_Lab_Rack7_29.raw</t>
  </si>
  <si>
    <t>Svalbard_Lab_Rack7_30.raw</t>
  </si>
  <si>
    <t>Svalbard_Lab_Rack7_31.raw</t>
  </si>
  <si>
    <t>Svalbard_Lab_Rack7_32.raw</t>
  </si>
  <si>
    <t>Svalbard_Lab_Rack7_33.raw</t>
  </si>
  <si>
    <t>Svalbard_Lab_Rack7_34.raw</t>
  </si>
  <si>
    <t>Svalbard_Lab_Rack7_35.raw</t>
  </si>
  <si>
    <t>Svalbard_Lab_Rack7_36.raw</t>
  </si>
  <si>
    <t>Svalbard_Lab_Rack7_37.raw</t>
  </si>
  <si>
    <t>Svalbard_Lab_Rack7_38.raw</t>
  </si>
  <si>
    <t>Svalbard_Lab_Rack7_39.raw</t>
  </si>
  <si>
    <t>Svalbard_Lab_Rack7_40.raw</t>
  </si>
  <si>
    <t>Svalbard_Lab_Rack7_41.raw</t>
  </si>
  <si>
    <t>Svalbard_Lab_Rack7_42.raw</t>
  </si>
  <si>
    <t>Svalbard_Lab_Rack7_43.raw</t>
  </si>
  <si>
    <t>Svalbard_Lab_Rack7_44.raw</t>
  </si>
  <si>
    <t>Svalbard_Lab_Rack7_45.raw</t>
  </si>
  <si>
    <t>Svalbard_Lab_Rack7_46.raw</t>
  </si>
  <si>
    <t>Svalbard_Lab_Rack7_47.raw</t>
  </si>
  <si>
    <t>Svalbard_Lab_Rack7_48.raw</t>
  </si>
  <si>
    <t>Svalbard_Lab_Rack7_49.raw</t>
  </si>
  <si>
    <t>Svalbard_Lab_Rack7_50.raw</t>
  </si>
  <si>
    <t>Stand2025_4000_27.raw</t>
  </si>
  <si>
    <t>Stand2025_1600_27.raw</t>
  </si>
  <si>
    <t>Stand2025_600_27.raw</t>
  </si>
  <si>
    <t>Stand2025_400_27.raw</t>
  </si>
  <si>
    <t>Stand2025_yy0_27.raw</t>
  </si>
  <si>
    <t>Stand2025_4000_28.raw</t>
  </si>
  <si>
    <t>Stand2025_1600_28.raw</t>
  </si>
  <si>
    <t>Stand2025_600_28.raw</t>
  </si>
  <si>
    <t>Stand2025_400_28.raw</t>
  </si>
  <si>
    <t>Stand2025_yy0_28.raw</t>
  </si>
  <si>
    <t>Air2026_1.raw</t>
  </si>
  <si>
    <t>Air2026_2.raw</t>
  </si>
  <si>
    <t>Svalbard_Lab_Rack8_1.raw</t>
  </si>
  <si>
    <t>Svalbard_Lab_Rack8_2.raw</t>
  </si>
  <si>
    <t>Svalbard_Lab_Rack8_3.raw</t>
  </si>
  <si>
    <t>Svalbard_Lab_Rack8_4.raw</t>
  </si>
  <si>
    <t>Svalbard_Lab_Rack8_5.raw</t>
  </si>
  <si>
    <t>Svalbard_Lab_Rack8_6.raw</t>
  </si>
  <si>
    <t>Svalbard_Lab_Rack8_7.raw</t>
  </si>
  <si>
    <t>Svalbard_Lab_Rack8_8.raw</t>
  </si>
  <si>
    <t>Svalbard_Lab_Rack8_9.raw</t>
  </si>
  <si>
    <t>Svalbard_Lab_Rack8_10.raw</t>
  </si>
  <si>
    <t>Svalbard_Lab_Rack8_11.raw</t>
  </si>
  <si>
    <t>Svalbard_Lab_Rack8_12.raw</t>
  </si>
  <si>
    <t>Svalbard_Lab_Rack8_13.raw</t>
  </si>
  <si>
    <t>Svalbard_Lab_Rack8_14.raw</t>
  </si>
  <si>
    <t>Svalbard_Lab_Rack8_15.raw</t>
  </si>
  <si>
    <t>Svalbard_Lab_Rack8_16.raw</t>
  </si>
  <si>
    <t>Svalbard_Lab_Rack8_17.raw</t>
  </si>
  <si>
    <t>Svalbard_Lab_Rack8_18.raw</t>
  </si>
  <si>
    <t>Svalbard_Lab_Rack8_19.raw</t>
  </si>
  <si>
    <t>Svalbard_Lab_Rack8_20.raw</t>
  </si>
  <si>
    <t>Svalbard_Lab_Rack8_21.raw</t>
  </si>
  <si>
    <t>Svalbard_Lab_Rack8_22.raw</t>
  </si>
  <si>
    <t>Svalbard_Lab_Rack8_23.raw</t>
  </si>
  <si>
    <t>Svalbard_Lab_Rack8_24.raw</t>
  </si>
  <si>
    <t>Svalbard_Lab_Rack8_25.raw</t>
  </si>
  <si>
    <t>Svalbard_Lab_Rack8_26.raw</t>
  </si>
  <si>
    <t>Svalbard_Lab_Rack8_27.raw</t>
  </si>
  <si>
    <t>Svalbard_Lab_Rack8_28.raw</t>
  </si>
  <si>
    <t>Svalbard_Lab_Rack8_29.raw</t>
  </si>
  <si>
    <t>Svalbard_Lab_Rack8_30.raw</t>
  </si>
  <si>
    <t>Svalbard_Lab_Rack8_31.raw</t>
  </si>
  <si>
    <t>Svalbard_Lab_Rack8_32.raw</t>
  </si>
  <si>
    <t>Svalbard_Lab_Rack8_33.raw</t>
  </si>
  <si>
    <t>Svalbard_Lab_Rack8_34.raw</t>
  </si>
  <si>
    <t>Svalbard_Lab_Rack8_35.raw</t>
  </si>
  <si>
    <t>Svalbard_Lab_Rack8_36.raw</t>
  </si>
  <si>
    <t>Svalbard_Lab_Rack8_37.raw</t>
  </si>
  <si>
    <t>Svalbard_Lab_Rack8_38.raw</t>
  </si>
  <si>
    <t>Svalbard_Lab_Rack8_39.raw</t>
  </si>
  <si>
    <t>Svalbard_Lab_Rack8_40.raw</t>
  </si>
  <si>
    <t>Svalbard_Lab_Rack8_41.raw</t>
  </si>
  <si>
    <t>Svalbard_Lab_Rack8_42.raw</t>
  </si>
  <si>
    <t>Svalbard_Lab_Rack8_43.raw</t>
  </si>
  <si>
    <t>Svalbard_Lab_Rack8_44.raw</t>
  </si>
  <si>
    <t>Svalbard_Lab_Rack8_45.raw</t>
  </si>
  <si>
    <t>Svalbard_Lab_Rack8_46.raw</t>
  </si>
  <si>
    <t>Svalbard_Lab_Rack8_47.raw</t>
  </si>
  <si>
    <t>Svalbard_Lab_Rack8_48.raw</t>
  </si>
  <si>
    <t>Svalbard_Lab_Rack8_49.raw</t>
  </si>
  <si>
    <t>Svalbard_Lab_Rack8_50.raw</t>
  </si>
  <si>
    <t>Svalbard_Lab_Rack9_1.raw</t>
  </si>
  <si>
    <t>Svalbard_Lab_Rack9_2.raw</t>
  </si>
  <si>
    <t>Svalbard_Lab_Rack9_3.raw</t>
  </si>
  <si>
    <t>Svalbard_Lab_Rack9_4.raw</t>
  </si>
  <si>
    <t>Svalbard_Lab_Rack9_5.raw</t>
  </si>
  <si>
    <t>Svalbard_Lab_Rack9_6.raw</t>
  </si>
  <si>
    <t>Svalbard_Lab_Rack9_7.raw</t>
  </si>
  <si>
    <t>Svalbard_Lab_Rack9_8.raw</t>
  </si>
  <si>
    <t>Svalbard_Lab_Rack9_9.raw</t>
  </si>
  <si>
    <t>Svalbard_Lab_Rack9_10.raw</t>
  </si>
  <si>
    <t>Svalbard_Lab_Rack9_11.raw</t>
  </si>
  <si>
    <t>Svalbard_Lab_Rack9_12.raw</t>
  </si>
  <si>
    <t>Svalbard_Lab_Rack9_13.raw</t>
  </si>
  <si>
    <t>Svalbard_Lab_Rack9_14.raw</t>
  </si>
  <si>
    <t>Air2026_3.raw</t>
  </si>
  <si>
    <t>Air2026_4.raw</t>
  </si>
  <si>
    <t>Stand2025_400_27z.raw</t>
  </si>
  <si>
    <t>Stand2025_yy0_27z.raw</t>
  </si>
  <si>
    <t>Svalbard_Lab_Rack9_15.raw</t>
  </si>
  <si>
    <t>Svalbard_Lab_Rack9_16.raw</t>
  </si>
  <si>
    <t>Svalbard_Lab_Rack9_17.raw</t>
  </si>
  <si>
    <t>Svalbard_Lab_Rack9_18.raw</t>
  </si>
  <si>
    <t>Svalbard_Lab_Rack9_19.raw</t>
  </si>
  <si>
    <t>Svalbard_Lab_Rack9_20.raw</t>
  </si>
  <si>
    <t>Svalbard_Lab_Rack9_21.raw</t>
  </si>
  <si>
    <t>Svalbard_Lab_Rack9_22.raw</t>
  </si>
  <si>
    <t>Svalbard_Lab_Rack9_23.raw</t>
  </si>
  <si>
    <t>Svalbard_Lab_Rack9_24.raw</t>
  </si>
  <si>
    <t>Svalbard_Lab_Rack9_25.raw</t>
  </si>
  <si>
    <t>Svalbard_Lab_Rack9_26.raw</t>
  </si>
  <si>
    <t>Svalbard_Lab_Rack9_27.raw</t>
  </si>
  <si>
    <t>Svalbard_Lab_Rack9_28.raw</t>
  </si>
  <si>
    <t>Svalbard_Lab_Rack9_29.raw</t>
  </si>
  <si>
    <t>Svalbard_Lab_Rack9_30.raw</t>
  </si>
  <si>
    <t>Svalbard_Lab_Rack9_31.raw</t>
  </si>
  <si>
    <t>Svalbard_Lab_Rack9_32.raw</t>
  </si>
  <si>
    <t>Svalbard_Lab_Rack9_33.raw</t>
  </si>
  <si>
    <t>Svalbard_Lab_Rack9_34.raw</t>
  </si>
  <si>
    <t>Svalbard_Lab_Rack9_35.raw</t>
  </si>
  <si>
    <t>Svalbard_Lab_Rack9_36.raw</t>
  </si>
  <si>
    <t>Svalbard_Lab_Rack9_37.raw</t>
  </si>
  <si>
    <t>Svalbard_Lab_Rack9_38.raw</t>
  </si>
  <si>
    <t>Svalbard_Lab_Rack9_39.raw</t>
  </si>
  <si>
    <t>Svalbard_Lab_Rack9_40.raw</t>
  </si>
  <si>
    <t>Svalbard_Lab_Rack9_41.raw</t>
  </si>
  <si>
    <t>Svalbard_Lab_Rack9_42.raw</t>
  </si>
  <si>
    <t>Svalbard_Lab_Rack9_43.raw</t>
  </si>
  <si>
    <t>Svalbard_Lab_Rack9_44.raw</t>
  </si>
  <si>
    <t>Svalbard_Lab_Rack9_45.raw</t>
  </si>
  <si>
    <t>Svalbard_Lab_Rack9_46.raw</t>
  </si>
  <si>
    <t>Svalbard_Lab_Rack9_47.raw</t>
  </si>
  <si>
    <t>Svalbard_Lab_Rack9_48.raw</t>
  </si>
  <si>
    <t>Svalbard_Lab_Rack9_49.raw</t>
  </si>
  <si>
    <t>Svalbard_Lab_Rack9_50.raw</t>
  </si>
  <si>
    <t>Svalbard_Lab_Rack10_1.raw</t>
  </si>
  <si>
    <t>Svalbard_Lab_Rack10_2.raw</t>
  </si>
  <si>
    <t>Svalbard_Lab_Rack10_3.raw</t>
  </si>
  <si>
    <t>Svalbard_Lab_Rack10_4.raw</t>
  </si>
  <si>
    <t>Svalbard_Lab_Rack10_5.raw</t>
  </si>
  <si>
    <t>Svalbard_Lab_Rack10_6.raw</t>
  </si>
  <si>
    <t>Svalbard_Lab_Rack10_7.raw</t>
  </si>
  <si>
    <t>Svalbard_Lab_Rack10_8.raw</t>
  </si>
  <si>
    <t>Svalbard_Lab_Rack10_9.raw</t>
  </si>
  <si>
    <t>Svalbard_Lab_Rack10_10.raw</t>
  </si>
  <si>
    <t>Svalbard_Lab_Rack10_11.raw</t>
  </si>
  <si>
    <t>Svalbard_Lab_Rack10_12.raw</t>
  </si>
  <si>
    <t>Svalbard_Lab_Rack10_13.raw</t>
  </si>
  <si>
    <t>Svalbard_Lab_Rack10_14.raw</t>
  </si>
  <si>
    <t>Svalbard_Lab_Rack10_15.raw</t>
  </si>
  <si>
    <t>Svalbard_Lab_Rack10_16.raw</t>
  </si>
  <si>
    <t>Svalbard_Lab_Rack10_17.raw</t>
  </si>
  <si>
    <t>Svalbard_Lab_Rack10_18.raw</t>
  </si>
  <si>
    <t>Svalbard_Lab_Rack10_19.raw</t>
  </si>
  <si>
    <t>Svalbard_Lab_Rack10_20.raw</t>
  </si>
  <si>
    <t>Svalbard_Lab_Rack10_21.raw</t>
  </si>
  <si>
    <t>Svalbard_Lab_Rack10_22.raw</t>
  </si>
  <si>
    <t>Svalbard_Lab_Rack10_23.raw</t>
  </si>
  <si>
    <t>Svalbard_Lab_Rack10_24.raw</t>
  </si>
  <si>
    <t>Svalbard_Lab_Rack10_25.raw</t>
  </si>
  <si>
    <t>Svalbard_Lab_Rack10_26.raw</t>
  </si>
  <si>
    <t>Svalbard_Lab_Rack10_27.raw</t>
  </si>
  <si>
    <t>Svalbard_Lab_Rack10_28.raw</t>
  </si>
  <si>
    <t>Stand2025_4000_29.raw</t>
  </si>
  <si>
    <t>Stand2025_1600_29.raw</t>
  </si>
  <si>
    <t>Stand2025_600_29.raw</t>
  </si>
  <si>
    <t>Stand2025_400_29.raw</t>
  </si>
  <si>
    <t>Stand2025_yy0_29.raw</t>
  </si>
  <si>
    <t>Stand2026_3789_29.raw</t>
  </si>
  <si>
    <t>Stand2026_2097_29.raw</t>
  </si>
  <si>
    <t>Stand2026_1080_29.raw</t>
  </si>
  <si>
    <t>Stand2026_740_29.raw</t>
  </si>
  <si>
    <t>Stand2026_y0_29.raw</t>
  </si>
  <si>
    <t>Air2026_5.raw</t>
  </si>
  <si>
    <t>Stand2025_4000_30.raw</t>
  </si>
  <si>
    <t>Stand2025_1600_30.raw</t>
  </si>
  <si>
    <t>Stand2025_600_30.raw</t>
  </si>
  <si>
    <t>Stand2025_400_30.raw</t>
  </si>
  <si>
    <t>Stand2025_yy0_30.raw</t>
  </si>
  <si>
    <t>Svalbard_Lab_Rack10mere_29.raw</t>
  </si>
  <si>
    <t>Svalbard_Lab_Rack10mere_30.raw</t>
  </si>
  <si>
    <t>Svalbard_Lab_Rack10mere_31.raw</t>
  </si>
  <si>
    <t>Svalbard_Lab_Rack10mere_32.raw</t>
  </si>
  <si>
    <t>Svalbard_Lab_Rack10mere_33.raw</t>
  </si>
  <si>
    <t>Svalbard_Lab_Rack10mere_34.raw</t>
  </si>
  <si>
    <t>Svalbard_Lab_Rack10mere_35.raw</t>
  </si>
  <si>
    <t>Svalbard_Lab_Rack10mere_36.raw</t>
  </si>
  <si>
    <t>Svalbard_Lab_Rack10mere_37.raw</t>
  </si>
  <si>
    <t>Svalbard_Lab_Rack10mere_38.raw</t>
  </si>
  <si>
    <t>Svalbard_Lab_Rack10mere_39.raw</t>
  </si>
  <si>
    <t>Svalbard_Lab_Rack10mere_40.raw</t>
  </si>
  <si>
    <t>Svalbard_Lab_Rack10mere_41.raw</t>
  </si>
  <si>
    <t>Svalbard_Lab_Rack10mere_42.raw</t>
  </si>
  <si>
    <t>Svalbard_Lab_Rack10mere_43.raw</t>
  </si>
  <si>
    <t>Svalbard_Lab_Rack10mere_44.raw</t>
  </si>
  <si>
    <t>Svalbard_Lab_Rack10mere_45.raw</t>
  </si>
  <si>
    <t>Svalbard_Lab_Rack10mere_46.raw</t>
  </si>
  <si>
    <t>Svalbard_Lab_Rack10mere_47.raw</t>
  </si>
  <si>
    <t>Svalbard_Lab_Rack10mere_48.raw</t>
  </si>
  <si>
    <t>Svalbard_Lab_Rack10mere_49.raw</t>
  </si>
  <si>
    <t>Svalbard_Lab_Rack10mere_50.raw</t>
  </si>
  <si>
    <t>Svalbard_Lab_BigBox2_1.raw</t>
  </si>
  <si>
    <t>Svalbard_Lab_BigBox2_2.raw</t>
  </si>
  <si>
    <t>Svalbard_Lab_BigBox2_3.raw</t>
  </si>
  <si>
    <t>Svalbard_Lab_BigBox2_4.raw</t>
  </si>
  <si>
    <t>Svalbard_Lab_BigBox2_5.raw</t>
  </si>
  <si>
    <t>Svalbard_Lab_BigBox2_6.raw</t>
  </si>
  <si>
    <t>Svalbard_Lab_BigBox2_7.raw</t>
  </si>
  <si>
    <t>Svalbard_Lab_BigBox2_8.raw</t>
  </si>
  <si>
    <t>Svalbard_Lab_BigBox2_9.raw</t>
  </si>
  <si>
    <t>Svalbard_Lab_BigBox2_10.raw</t>
  </si>
  <si>
    <t>Svalbard_Lab_BigBox2_11.raw</t>
  </si>
  <si>
    <t>Svalbard_Lab_BigBox2_12.raw</t>
  </si>
  <si>
    <t>Svalbard_Lab_BigBox2_13.raw</t>
  </si>
  <si>
    <t>Svalbard_Lab_BigBox2_14.raw</t>
  </si>
  <si>
    <t>Svalbard_Lab_BigBox2_15.raw</t>
  </si>
  <si>
    <t>Svalbard_Lab_BigBox2_16.raw</t>
  </si>
  <si>
    <t>Svalbard_Lab_BigBox2_17.raw</t>
  </si>
  <si>
    <t>Svalbard_Lab_BigBox2_18.raw</t>
  </si>
  <si>
    <t>Svalbard_Lab_BigBox2_19.raw</t>
  </si>
  <si>
    <t>Svalbard_Lab_BigBox2_20.raw</t>
  </si>
  <si>
    <t>Svalbard_Lab_BigBox2_21.raw</t>
  </si>
  <si>
    <t>Svalbard_Lab_BigBox2_22.raw</t>
  </si>
  <si>
    <t>Svalbard_Lab_BigBox2_23.raw</t>
  </si>
  <si>
    <t>Svalbard_Lab_BigBox2_24.raw</t>
  </si>
  <si>
    <t>Svalbard_Lab_BigBox2_25.raw</t>
  </si>
  <si>
    <t>Svalbard_Lab_BigBox2_26.raw</t>
  </si>
  <si>
    <t>Svalbard_Lab_BigBox2_27.raw</t>
  </si>
  <si>
    <t>Svalbard_Lab_BigBox2_28.raw</t>
  </si>
  <si>
    <t>Svalbard_Lab_BigBox2_29.raw</t>
  </si>
  <si>
    <t>Svalbard_Lab_BigBox2_30.raw</t>
  </si>
  <si>
    <t>Svalbard_Lab_BigBox2_31.raw</t>
  </si>
  <si>
    <t>Svalbard_Lab_BigBox2_32.raw</t>
  </si>
  <si>
    <t>Svalbard_Lab_BigBox2_33.raw</t>
  </si>
  <si>
    <t>Svalbard_Lab_BigBox2_34.raw</t>
  </si>
  <si>
    <t>Svalbard_Lab_BigBox2_35.raw</t>
  </si>
  <si>
    <t>Svalbard_Lab_BigBox2_36.raw</t>
  </si>
  <si>
    <t>Svalbard_Lab_BigBox2_37.raw</t>
  </si>
  <si>
    <t>Svalbard_Lab_BigBox2_38.raw</t>
  </si>
  <si>
    <t>Svalbard_Lab_BigBox2_39.raw</t>
  </si>
  <si>
    <t>Svalbard_Lab_BigBox2_40.raw</t>
  </si>
  <si>
    <t>Svalbard_Lab_BigBox2_41.raw</t>
  </si>
  <si>
    <t>Svalbard_Lab_BigBox2_42.raw</t>
  </si>
  <si>
    <t>Stand2025_400_30z.raw</t>
  </si>
  <si>
    <t>Stand2025_yy0_30z.raw</t>
  </si>
  <si>
    <t>Svalbard_Lab_BigBox2_43.raw</t>
  </si>
  <si>
    <t>Svalbard_Lab_BigBox2_44.raw</t>
  </si>
  <si>
    <t>Svalbard_Lab_BigBox2_45.raw</t>
  </si>
  <si>
    <t>Svalbard_Lab_BigBox2_46.raw</t>
  </si>
  <si>
    <t>Svalbard_Lab_BigBox2_47.raw</t>
  </si>
  <si>
    <t>Svalbard_Lab_BigBox2_48.raw</t>
  </si>
  <si>
    <t>Svalbard_Lab_BigBox2_49.raw</t>
  </si>
  <si>
    <t>Svalbard_Lab_BigBox2_50.raw</t>
  </si>
  <si>
    <t>Svalbard_Lab_BigBox2_51.raw</t>
  </si>
  <si>
    <t>Svalbard_Lab_BigBox2_52.raw</t>
  </si>
  <si>
    <t>Svalbard_Lab_BigBox2_53.raw</t>
  </si>
  <si>
    <t>Svalbard_Lab_BigBox2_54.raw</t>
  </si>
  <si>
    <t>Svalbard_Lab_BigBox2_55.raw</t>
  </si>
  <si>
    <t>Svalbard_Lab_BigBox2_56.raw</t>
  </si>
  <si>
    <t>Svalbard_Lab_BigBox2_57.raw</t>
  </si>
  <si>
    <t>Svalbard_Lab_BigBox2_58.raw</t>
  </si>
  <si>
    <t>Svalbard_Lab_BigBox2_59.raw</t>
  </si>
  <si>
    <t>Svalbard_Lab_BigBox2_60.raw</t>
  </si>
  <si>
    <t>Svalbard_Lab_BigBox2_61.raw</t>
  </si>
  <si>
    <t>Svalbard_Lab_BigBox2_62.raw</t>
  </si>
  <si>
    <t>Svalbard_Lab_BigBox2_63.raw</t>
  </si>
  <si>
    <t>Svalbard_Lab_BigBox2_64.raw</t>
  </si>
  <si>
    <t>Svalbard_Lab_BigBox2_65.raw</t>
  </si>
  <si>
    <t>Svalbard_Lab_BigBox2_66.raw</t>
  </si>
  <si>
    <t>Svalbard_Lab_BigBox2_67.raw</t>
  </si>
  <si>
    <t>Svalbard_Lab_BigBox2_68.raw</t>
  </si>
  <si>
    <t>Svalbard_Lab_BigBox2_69.raw</t>
  </si>
  <si>
    <t>Svalbard_Lab_BigBox2_70.raw</t>
  </si>
  <si>
    <t>Svalbard_Lab_BigBox2_71.raw</t>
  </si>
  <si>
    <t>Svalbard_Lab_BigBox2_72.raw</t>
  </si>
  <si>
    <t>Svalbard_Lab_BigBox2_73.raw</t>
  </si>
  <si>
    <t>Svalbard_Lab_BigBox2_74.raw</t>
  </si>
  <si>
    <t>Stand2025_4000_31.raw</t>
  </si>
  <si>
    <t>Stand2025_1600_31.raw</t>
  </si>
  <si>
    <t>Stand2025_600_31.raw</t>
  </si>
  <si>
    <t>Stand2025_400_31.raw</t>
  </si>
  <si>
    <t>Stand2025_yy0_31.raw</t>
  </si>
  <si>
    <t>rack</t>
  </si>
  <si>
    <t>run</t>
  </si>
  <si>
    <t>pipe_nr</t>
  </si>
  <si>
    <t>treatment</t>
  </si>
  <si>
    <t>tinytag</t>
  </si>
  <si>
    <t>hrs_after_incubation</t>
  </si>
  <si>
    <t>stopwatch</t>
  </si>
  <si>
    <t>big box 1</t>
  </si>
  <si>
    <t>SCW</t>
  </si>
  <si>
    <t>A</t>
  </si>
  <si>
    <t>T_00</t>
  </si>
  <si>
    <t>00:07.00</t>
  </si>
  <si>
    <t>BUW</t>
  </si>
  <si>
    <t>06:15.37</t>
  </si>
  <si>
    <t>lid was difficult to put on!</t>
  </si>
  <si>
    <t>BCW</t>
  </si>
  <si>
    <t>C</t>
  </si>
  <si>
    <t>07:06.08</t>
  </si>
  <si>
    <t>vial swapped with SUW - relabelled</t>
  </si>
  <si>
    <t>BCD</t>
  </si>
  <si>
    <t>D</t>
  </si>
  <si>
    <t>08:41.44</t>
  </si>
  <si>
    <t>vial swapped with SCD - relabelled</t>
  </si>
  <si>
    <t>SUW</t>
  </si>
  <si>
    <t>E</t>
  </si>
  <si>
    <t>00:07.11</t>
  </si>
  <si>
    <t>vial swapped with BCW - relabelled</t>
  </si>
  <si>
    <t>SCD</t>
  </si>
  <si>
    <t>F</t>
  </si>
  <si>
    <t>00:48.72</t>
  </si>
  <si>
    <t>vial swapped with BCD - relabelled</t>
  </si>
  <si>
    <t>SUD</t>
  </si>
  <si>
    <t>G</t>
  </si>
  <si>
    <t>01:40.17</t>
  </si>
  <si>
    <t>BUD</t>
  </si>
  <si>
    <t>H</t>
  </si>
  <si>
    <t>02:19.15</t>
  </si>
  <si>
    <t>T_05</t>
  </si>
  <si>
    <t>05:28.35</t>
  </si>
  <si>
    <t>11:07.14</t>
  </si>
  <si>
    <t>12:02.14</t>
  </si>
  <si>
    <t>13:23.50</t>
  </si>
  <si>
    <t>05:04.55</t>
  </si>
  <si>
    <t>05:26.61</t>
  </si>
  <si>
    <t>05:49.71</t>
  </si>
  <si>
    <t>06:14.96</t>
  </si>
  <si>
    <t>10:07.69</t>
  </si>
  <si>
    <t>16:12.36</t>
  </si>
  <si>
    <t>17:01.97</t>
  </si>
  <si>
    <t>17:51.71</t>
  </si>
  <si>
    <t>10:05.08</t>
  </si>
  <si>
    <t>10:30.99</t>
  </si>
  <si>
    <t>10:53.36</t>
  </si>
  <si>
    <t>11:17.31</t>
  </si>
  <si>
    <t>15:08.73</t>
  </si>
  <si>
    <t>21:10.09</t>
  </si>
  <si>
    <t>22:07.82</t>
  </si>
  <si>
    <t>23:20.97</t>
  </si>
  <si>
    <t>15:10.82</t>
  </si>
  <si>
    <t>15:32.63</t>
  </si>
  <si>
    <t>15:55.02</t>
  </si>
  <si>
    <t>16:17.10</t>
  </si>
  <si>
    <t>00:06.81</t>
  </si>
  <si>
    <t>02:03.88</t>
  </si>
  <si>
    <t>03:02.76</t>
  </si>
  <si>
    <t>03:43.16</t>
  </si>
  <si>
    <t>00:12.50</t>
  </si>
  <si>
    <t>02:07.53</t>
  </si>
  <si>
    <t>02:53.23</t>
  </si>
  <si>
    <t>03:45.25</t>
  </si>
  <si>
    <t>05:08.49</t>
  </si>
  <si>
    <t>07:06.65</t>
  </si>
  <si>
    <t>08:06.71</t>
  </si>
  <si>
    <t>08:45.17</t>
  </si>
  <si>
    <t>05:05.85</t>
  </si>
  <si>
    <t>07:03.14</t>
  </si>
  <si>
    <t>07:51.95</t>
  </si>
  <si>
    <t>08:45.69</t>
  </si>
  <si>
    <t>10:03.80</t>
  </si>
  <si>
    <t>12:05.99</t>
  </si>
  <si>
    <t>13:03.22</t>
  </si>
  <si>
    <t>13:42.34</t>
  </si>
  <si>
    <t>10:09.09</t>
  </si>
  <si>
    <t>12:04.10</t>
  </si>
  <si>
    <t>12:51.82</t>
  </si>
  <si>
    <t>13:45.67</t>
  </si>
  <si>
    <t>15:03.78</t>
  </si>
  <si>
    <t>17:02.50</t>
  </si>
  <si>
    <t>18:02.77</t>
  </si>
  <si>
    <t>18:45.77</t>
  </si>
  <si>
    <t>15:03.84</t>
  </si>
  <si>
    <t>17:04.58</t>
  </si>
  <si>
    <t>17:51.69</t>
  </si>
  <si>
    <t>vial probably swapped with 32 - label corrected</t>
  </si>
  <si>
    <t>18:45.15</t>
  </si>
  <si>
    <t>vial probably swapped with 31 - label corrected</t>
  </si>
  <si>
    <t>00:12.22</t>
  </si>
  <si>
    <t>01:00.07</t>
  </si>
  <si>
    <t>01:35.72</t>
  </si>
  <si>
    <t>02:21.28</t>
  </si>
  <si>
    <t>02:47.55</t>
  </si>
  <si>
    <t>03:21.47</t>
  </si>
  <si>
    <t>00:10.89</t>
  </si>
  <si>
    <t>00:59.90</t>
  </si>
  <si>
    <t>05:24.79</t>
  </si>
  <si>
    <t>06:00.67</t>
  </si>
  <si>
    <t>06:35.89</t>
  </si>
  <si>
    <t>07:22.08</t>
  </si>
  <si>
    <t>07:55.71</t>
  </si>
  <si>
    <t>08:27.68</t>
  </si>
  <si>
    <t>05:10.39</t>
  </si>
  <si>
    <t>06:00.78</t>
  </si>
  <si>
    <t>10:12.91</t>
  </si>
  <si>
    <t>11:00.98</t>
  </si>
  <si>
    <t>11:35.14</t>
  </si>
  <si>
    <t>12:22.38</t>
  </si>
  <si>
    <t>12:55.06</t>
  </si>
  <si>
    <t>13:28.20</t>
  </si>
  <si>
    <t>10:10.79</t>
  </si>
  <si>
    <t>11:00.33</t>
  </si>
  <si>
    <t>15:25.91</t>
  </si>
  <si>
    <t>16:00.25</t>
  </si>
  <si>
    <t>16:35.19</t>
  </si>
  <si>
    <t>17:22.56</t>
  </si>
  <si>
    <t>17:53.58</t>
  </si>
  <si>
    <t>18:27.79</t>
  </si>
  <si>
    <t>15:16.62</t>
  </si>
  <si>
    <t>15:59.97</t>
  </si>
  <si>
    <t>00:05.15</t>
  </si>
  <si>
    <t>00:40.44</t>
  </si>
  <si>
    <t>01:20.13</t>
  </si>
  <si>
    <t>01:57.62</t>
  </si>
  <si>
    <t>02:37.38</t>
  </si>
  <si>
    <t>03:18.54</t>
  </si>
  <si>
    <t>04:00.12</t>
  </si>
  <si>
    <t>04:47.55</t>
  </si>
  <si>
    <t>05:15.72</t>
  </si>
  <si>
    <t>05:40.60</t>
  </si>
  <si>
    <t>06:20.21</t>
  </si>
  <si>
    <t>06:56.45</t>
  </si>
  <si>
    <t>07:36.53</t>
  </si>
  <si>
    <t>08:18.66</t>
  </si>
  <si>
    <t>09:08.41</t>
  </si>
  <si>
    <t>09:57.31</t>
  </si>
  <si>
    <t>10:22.65</t>
  </si>
  <si>
    <t>10:46.53</t>
  </si>
  <si>
    <t>11:19.98</t>
  </si>
  <si>
    <t>11:56.95</t>
  </si>
  <si>
    <t>12:36.37</t>
  </si>
  <si>
    <t>13:18.97</t>
  </si>
  <si>
    <t>14:08.37</t>
  </si>
  <si>
    <t>14:53.95</t>
  </si>
  <si>
    <t>15:17.21</t>
  </si>
  <si>
    <t>15:47.60</t>
  </si>
  <si>
    <t>16:20.61</t>
  </si>
  <si>
    <t>16:56.46</t>
  </si>
  <si>
    <t>17:36.57</t>
  </si>
  <si>
    <t>18:18.87</t>
  </si>
  <si>
    <t>19:07.94</t>
  </si>
  <si>
    <t>19:53.15</t>
  </si>
  <si>
    <t>bog box 1</t>
  </si>
  <si>
    <t>00:08.53</t>
  </si>
  <si>
    <t>01:08.79</t>
  </si>
  <si>
    <t>02:04.83</t>
  </si>
  <si>
    <t>03:10.36</t>
  </si>
  <si>
    <t>04:22.60</t>
  </si>
  <si>
    <t>00:07.83</t>
  </si>
  <si>
    <t>00:56.40</t>
  </si>
  <si>
    <t>01:50.04</t>
  </si>
  <si>
    <t>06:10.06</t>
  </si>
  <si>
    <t>07:04.19</t>
  </si>
  <si>
    <t>08:10.32</t>
  </si>
  <si>
    <t>09:22.81</t>
  </si>
  <si>
    <t>05:07.45</t>
  </si>
  <si>
    <t>05:56.48</t>
  </si>
  <si>
    <t>06:50.58</t>
  </si>
  <si>
    <t>rack 0</t>
  </si>
  <si>
    <t>10:08.96</t>
  </si>
  <si>
    <t>11:08.37</t>
  </si>
  <si>
    <t>12:04.49</t>
  </si>
  <si>
    <t>13:11.51</t>
  </si>
  <si>
    <t>14:23.29</t>
  </si>
  <si>
    <t>10:07.85</t>
  </si>
  <si>
    <t>10:56.61</t>
  </si>
  <si>
    <t>11:49.79</t>
  </si>
  <si>
    <t>15:09.70</t>
  </si>
  <si>
    <t>16:09.03</t>
  </si>
  <si>
    <t>17:05.13</t>
  </si>
  <si>
    <t>18:10.72</t>
  </si>
  <si>
    <t>19:23.44</t>
  </si>
  <si>
    <t>15:08.99</t>
  </si>
  <si>
    <t>15:57.21</t>
  </si>
  <si>
    <t>16:55.32</t>
  </si>
  <si>
    <t>00:05.78</t>
  </si>
  <si>
    <t>00:36.93</t>
  </si>
  <si>
    <t>01:08.73</t>
  </si>
  <si>
    <t>01:50.66</t>
  </si>
  <si>
    <t>02:23.24</t>
  </si>
  <si>
    <t>03:08.79</t>
  </si>
  <si>
    <t>03:44.90</t>
  </si>
  <si>
    <t>04:34.73</t>
  </si>
  <si>
    <t>05:05.09</t>
  </si>
  <si>
    <t>05:36.12</t>
  </si>
  <si>
    <t>06:08.24</t>
  </si>
  <si>
    <t>06:50.05</t>
  </si>
  <si>
    <t>07:23.29</t>
  </si>
  <si>
    <t>08:08.37</t>
  </si>
  <si>
    <t>08:44.84</t>
  </si>
  <si>
    <t>09:34.38</t>
  </si>
  <si>
    <t>10:04.86</t>
  </si>
  <si>
    <t>10:36.05</t>
  </si>
  <si>
    <t>11:08.49</t>
  </si>
  <si>
    <t>11:50.36</t>
  </si>
  <si>
    <t>12:23.97</t>
  </si>
  <si>
    <t>13:08.10</t>
  </si>
  <si>
    <t>13:44.56</t>
  </si>
  <si>
    <t>14:34.31</t>
  </si>
  <si>
    <t>15:05.67</t>
  </si>
  <si>
    <t>15:36.26</t>
  </si>
  <si>
    <t>16:08.50</t>
  </si>
  <si>
    <t>16:50.51</t>
  </si>
  <si>
    <t>17:23.99</t>
  </si>
  <si>
    <t>18:08.02</t>
  </si>
  <si>
    <t>18:44.31</t>
  </si>
  <si>
    <t>19:34.18</t>
  </si>
  <si>
    <t>00:08.72</t>
  </si>
  <si>
    <t>01:20.36</t>
  </si>
  <si>
    <t>rack 1</t>
  </si>
  <si>
    <t>02:12.72</t>
  </si>
  <si>
    <t>02:44.18</t>
  </si>
  <si>
    <t>04:12.92</t>
  </si>
  <si>
    <t>00:09.15</t>
  </si>
  <si>
    <t>00:40.52</t>
  </si>
  <si>
    <t>01:19.79</t>
  </si>
  <si>
    <t>05:11.29</t>
  </si>
  <si>
    <t>06:20.72</t>
  </si>
  <si>
    <t>07:12.23</t>
  </si>
  <si>
    <t>07:44.35</t>
  </si>
  <si>
    <t>09:11.91</t>
  </si>
  <si>
    <t>05:11.28</t>
  </si>
  <si>
    <t>05:41.03</t>
  </si>
  <si>
    <t>06:19.76</t>
  </si>
  <si>
    <t>10:07.81</t>
  </si>
  <si>
    <t>11:20.44</t>
  </si>
  <si>
    <t>12:12.13</t>
  </si>
  <si>
    <t>12:49.85</t>
  </si>
  <si>
    <t>14:14.95</t>
  </si>
  <si>
    <t>10:10.07</t>
  </si>
  <si>
    <t>10:43.80</t>
  </si>
  <si>
    <t>11:20.00</t>
  </si>
  <si>
    <t>15:07.14</t>
  </si>
  <si>
    <t>16:19.97</t>
  </si>
  <si>
    <t>17:12.53</t>
  </si>
  <si>
    <t>17:44.89</t>
  </si>
  <si>
    <t>19:12.45</t>
  </si>
  <si>
    <t>15:12.16</t>
  </si>
  <si>
    <t>15:40.88</t>
  </si>
  <si>
    <t>16:20.11</t>
  </si>
  <si>
    <t>00:04.76</t>
  </si>
  <si>
    <t>00:41.53</t>
  </si>
  <si>
    <t>01:27.05</t>
  </si>
  <si>
    <t>02:02.83</t>
  </si>
  <si>
    <t>02:47.27</t>
  </si>
  <si>
    <t>03:14.46</t>
  </si>
  <si>
    <t>03:42.13</t>
  </si>
  <si>
    <t>04:22.00</t>
  </si>
  <si>
    <t>05:08.32</t>
  </si>
  <si>
    <t>05:41.70</t>
  </si>
  <si>
    <t>06:06.37</t>
  </si>
  <si>
    <t>07:01.63</t>
  </si>
  <si>
    <t>07:48.17</t>
  </si>
  <si>
    <t>08:15.24</t>
  </si>
  <si>
    <t>08:45.32</t>
  </si>
  <si>
    <t>09:25.82</t>
  </si>
  <si>
    <t>10:08.86</t>
  </si>
  <si>
    <t>10:41.80</t>
  </si>
  <si>
    <t>11:27.98</t>
  </si>
  <si>
    <t>12:01.63</t>
  </si>
  <si>
    <t>rack 2</t>
  </si>
  <si>
    <t>12:49.22</t>
  </si>
  <si>
    <t>13:16.20</t>
  </si>
  <si>
    <t>13:46.10</t>
  </si>
  <si>
    <t>14:16.20</t>
  </si>
  <si>
    <t>15:09.46</t>
  </si>
  <si>
    <t>15:41.97</t>
  </si>
  <si>
    <t>16:28.09</t>
  </si>
  <si>
    <t>17:02.00</t>
  </si>
  <si>
    <t>17:50.03</t>
  </si>
  <si>
    <t>18:17.02</t>
  </si>
  <si>
    <t>18:47.08</t>
  </si>
  <si>
    <t>19:20.57</t>
  </si>
  <si>
    <t>00:20.47</t>
  </si>
  <si>
    <t>02:01.16</t>
  </si>
  <si>
    <t>02:44.07</t>
  </si>
  <si>
    <t>03:23.14</t>
  </si>
  <si>
    <t>05:00.97</t>
  </si>
  <si>
    <t>00:08.54</t>
  </si>
  <si>
    <t>00:58.33</t>
  </si>
  <si>
    <t>01:42.10</t>
  </si>
  <si>
    <t>05:25.89</t>
  </si>
  <si>
    <t>07:01.35</t>
  </si>
  <si>
    <t>07:45.59</t>
  </si>
  <si>
    <t>08:22.80</t>
  </si>
  <si>
    <t>10:01.20</t>
  </si>
  <si>
    <t>05:08.61</t>
  </si>
  <si>
    <t>05:58.50</t>
  </si>
  <si>
    <t>06:42.96</t>
  </si>
  <si>
    <t>10:26.63</t>
  </si>
  <si>
    <t>12:01.53</t>
  </si>
  <si>
    <t>12:44.75</t>
  </si>
  <si>
    <t>13:23.12</t>
  </si>
  <si>
    <t>15:00.94</t>
  </si>
  <si>
    <t>10:11.87</t>
  </si>
  <si>
    <t>10:58.13</t>
  </si>
  <si>
    <t>11:41.80</t>
  </si>
  <si>
    <t>15:24.35</t>
  </si>
  <si>
    <t>17:01.51</t>
  </si>
  <si>
    <t>17:46.37</t>
  </si>
  <si>
    <t>18:23.58</t>
  </si>
  <si>
    <t>20:00.58</t>
  </si>
  <si>
    <t>15:10.18</t>
  </si>
  <si>
    <t>15:58.78</t>
  </si>
  <si>
    <t>16:42.19</t>
  </si>
  <si>
    <t>00:48.24</t>
  </si>
  <si>
    <t>01:29.55</t>
  </si>
  <si>
    <t>02:06.96</t>
  </si>
  <si>
    <t>02:51.60</t>
  </si>
  <si>
    <t>03:26.30</t>
  </si>
  <si>
    <t>04:00.17</t>
  </si>
  <si>
    <t>04:35.96</t>
  </si>
  <si>
    <t>05:06.05</t>
  </si>
  <si>
    <t>05:48.34</t>
  </si>
  <si>
    <t>06:29.48</t>
  </si>
  <si>
    <t>07:06.33</t>
  </si>
  <si>
    <t>07:51.38</t>
  </si>
  <si>
    <t>08:26.46</t>
  </si>
  <si>
    <t>09:01.32</t>
  </si>
  <si>
    <t>09:35.42</t>
  </si>
  <si>
    <t>10:06.07</t>
  </si>
  <si>
    <t>10:48.35</t>
  </si>
  <si>
    <t>11:30.16</t>
  </si>
  <si>
    <t>12:06.34</t>
  </si>
  <si>
    <t>12:51.56</t>
  </si>
  <si>
    <t>13:26.03</t>
  </si>
  <si>
    <t>14:01.60</t>
  </si>
  <si>
    <t>14:35.68</t>
  </si>
  <si>
    <t>15:06.47</t>
  </si>
  <si>
    <t>15:48.36</t>
  </si>
  <si>
    <t>16:30.30</t>
  </si>
  <si>
    <t>17:07.26</t>
  </si>
  <si>
    <t>17:51.58</t>
  </si>
  <si>
    <t>18:26.89</t>
  </si>
  <si>
    <t>19:00.60</t>
  </si>
  <si>
    <t>19:35.60</t>
  </si>
  <si>
    <t>00:07.31</t>
  </si>
  <si>
    <t>00:55.22</t>
  </si>
  <si>
    <t>01:24.47</t>
  </si>
  <si>
    <t>02:10.22</t>
  </si>
  <si>
    <t>02:58.43</t>
  </si>
  <si>
    <t>03:26.12</t>
  </si>
  <si>
    <t>03:53.79</t>
  </si>
  <si>
    <t>04:41.83</t>
  </si>
  <si>
    <t>05:07.51</t>
  </si>
  <si>
    <t>05:55.18</t>
  </si>
  <si>
    <t>06:24.32</t>
  </si>
  <si>
    <t>07:10.33</t>
  </si>
  <si>
    <t>07:58.43</t>
  </si>
  <si>
    <t>08:26.18</t>
  </si>
  <si>
    <t>08:53.22</t>
  </si>
  <si>
    <t>09:41.53</t>
  </si>
  <si>
    <t>10:07.36</t>
  </si>
  <si>
    <t>10:55.29</t>
  </si>
  <si>
    <t>11:24.41</t>
  </si>
  <si>
    <t>12:10.39</t>
  </si>
  <si>
    <t>12:58.32</t>
  </si>
  <si>
    <t>13:25.94</t>
  </si>
  <si>
    <t>13:53.22</t>
  </si>
  <si>
    <t>14:41.48</t>
  </si>
  <si>
    <t>15:07.46</t>
  </si>
  <si>
    <t>15:55.42</t>
  </si>
  <si>
    <t>16:24.45</t>
  </si>
  <si>
    <t>17:10.55</t>
  </si>
  <si>
    <t>17:58.15</t>
  </si>
  <si>
    <t>18:26.50</t>
  </si>
  <si>
    <t>18:53.25</t>
  </si>
  <si>
    <t>19.41.42</t>
  </si>
  <si>
    <t>00:07.02</t>
  </si>
  <si>
    <t>00:43.41</t>
  </si>
  <si>
    <t>01:18.12</t>
  </si>
  <si>
    <t>01:50.87</t>
  </si>
  <si>
    <t>02:41.09</t>
  </si>
  <si>
    <t>03:16.30</t>
  </si>
  <si>
    <t>03:52.58</t>
  </si>
  <si>
    <t>04:28.99</t>
  </si>
  <si>
    <t>05:07.20</t>
  </si>
  <si>
    <t>05:43.13</t>
  </si>
  <si>
    <t>06:18.00</t>
  </si>
  <si>
    <t>06:58.87</t>
  </si>
  <si>
    <t>07:41.14</t>
  </si>
  <si>
    <t>08:16.07</t>
  </si>
  <si>
    <t>08:51.94</t>
  </si>
  <si>
    <t>09:28.11</t>
  </si>
  <si>
    <t>10:07.50</t>
  </si>
  <si>
    <t>10:43.61</t>
  </si>
  <si>
    <t>11:18.06</t>
  </si>
  <si>
    <t>11:58.83</t>
  </si>
  <si>
    <t>12:41.04</t>
  </si>
  <si>
    <t>13:16.17</t>
  </si>
  <si>
    <t>13:52.14</t>
  </si>
  <si>
    <t>14:28.23</t>
  </si>
  <si>
    <t>15:07.36</t>
  </si>
  <si>
    <t>15:43.01</t>
  </si>
  <si>
    <t>16:18.17</t>
  </si>
  <si>
    <t>16:58.17</t>
  </si>
  <si>
    <t>17:41.01</t>
  </si>
  <si>
    <t>18:16.51</t>
  </si>
  <si>
    <t>18:52.18</t>
  </si>
  <si>
    <t>19:28.29</t>
  </si>
  <si>
    <t>00:08.26</t>
  </si>
  <si>
    <t>00:40.04</t>
  </si>
  <si>
    <t>01:23.55</t>
  </si>
  <si>
    <t>01:56.86</t>
  </si>
  <si>
    <t>02:27.38</t>
  </si>
  <si>
    <t>02:58.14</t>
  </si>
  <si>
    <t>03:29.56</t>
  </si>
  <si>
    <t>04:03.67</t>
  </si>
  <si>
    <t>05:08.27</t>
  </si>
  <si>
    <t>05:40.37</t>
  </si>
  <si>
    <t>06:23.33</t>
  </si>
  <si>
    <t>06:58.82</t>
  </si>
  <si>
    <t>07:27.62</t>
  </si>
  <si>
    <t>07:58.45</t>
  </si>
  <si>
    <t>08:29.56</t>
  </si>
  <si>
    <t>09:02.98</t>
  </si>
  <si>
    <t>10:08.40</t>
  </si>
  <si>
    <t>10:40.37</t>
  </si>
  <si>
    <t>11:23.29</t>
  </si>
  <si>
    <t>11:57.48</t>
  </si>
  <si>
    <t>12:27.37</t>
  </si>
  <si>
    <t>12:58.38</t>
  </si>
  <si>
    <t>13:29.96</t>
  </si>
  <si>
    <t>14:03.26</t>
  </si>
  <si>
    <t>15:08.20</t>
  </si>
  <si>
    <t>15:40.32</t>
  </si>
  <si>
    <t>16:23.01</t>
  </si>
  <si>
    <t>16:57.25</t>
  </si>
  <si>
    <t>17:27.38</t>
  </si>
  <si>
    <t>17:58.30</t>
  </si>
  <si>
    <t>18:29.55</t>
  </si>
  <si>
    <t>19:03.31</t>
  </si>
  <si>
    <t>00:05.96</t>
  </si>
  <si>
    <t>00:35.33</t>
  </si>
  <si>
    <t>01:04.72</t>
  </si>
  <si>
    <t>01:34.95</t>
  </si>
  <si>
    <t>02:07.08</t>
  </si>
  <si>
    <t>02:35.29</t>
  </si>
  <si>
    <t>03:05.90</t>
  </si>
  <si>
    <t>03:31.98</t>
  </si>
  <si>
    <t>05:09.30</t>
  </si>
  <si>
    <t>05:35.26</t>
  </si>
  <si>
    <t>06:04.30</t>
  </si>
  <si>
    <t>06:34.29</t>
  </si>
  <si>
    <t>07:07.24</t>
  </si>
  <si>
    <t>07:35.28</t>
  </si>
  <si>
    <t>08:05.55</t>
  </si>
  <si>
    <t>08:31.29</t>
  </si>
  <si>
    <t>10:09.15</t>
  </si>
  <si>
    <t>10:35.39</t>
  </si>
  <si>
    <t>11:04.23</t>
  </si>
  <si>
    <t>11:34.15</t>
  </si>
  <si>
    <t>12:07.15</t>
  </si>
  <si>
    <t>12:35.25</t>
  </si>
  <si>
    <t>13:05.33</t>
  </si>
  <si>
    <t>13:31.50</t>
  </si>
  <si>
    <t>15:09.21</t>
  </si>
  <si>
    <t>15:34.93</t>
  </si>
  <si>
    <t>16:04.26</t>
  </si>
  <si>
    <t>16:34.38</t>
  </si>
  <si>
    <t>17:07.22</t>
  </si>
  <si>
    <t>17:35.27</t>
  </si>
  <si>
    <t>18:05.62</t>
  </si>
  <si>
    <t>18:31.96</t>
  </si>
  <si>
    <t>00:06.93</t>
  </si>
  <si>
    <t>00:40.38</t>
  </si>
  <si>
    <t>01:11.36</t>
  </si>
  <si>
    <t>01:41.76</t>
  </si>
  <si>
    <t>02:14.04</t>
  </si>
  <si>
    <t>02:45.25</t>
  </si>
  <si>
    <t>03:15.75</t>
  </si>
  <si>
    <t>03:56.87</t>
  </si>
  <si>
    <t>05:06.36</t>
  </si>
  <si>
    <t>05:40.54</t>
  </si>
  <si>
    <t>06:11.53</t>
  </si>
  <si>
    <t>06:41.63</t>
  </si>
  <si>
    <t>07:14.68</t>
  </si>
  <si>
    <t>07:45.65</t>
  </si>
  <si>
    <t>08:15.81</t>
  </si>
  <si>
    <t>08:56.70</t>
  </si>
  <si>
    <t>10:06.61</t>
  </si>
  <si>
    <t>10:40.99</t>
  </si>
  <si>
    <t>11:11.80</t>
  </si>
  <si>
    <t>11:41.83</t>
  </si>
  <si>
    <t>12:14.83</t>
  </si>
  <si>
    <t>12:50.24</t>
  </si>
  <si>
    <t>13:15.88</t>
  </si>
  <si>
    <t>13:56.65</t>
  </si>
  <si>
    <t>15:06.63</t>
  </si>
  <si>
    <t>15.40.83</t>
  </si>
  <si>
    <t>16:12.07</t>
  </si>
  <si>
    <t>16:41.51</t>
  </si>
  <si>
    <t>17:14.59</t>
  </si>
  <si>
    <t>17:52.87</t>
  </si>
  <si>
    <t>18:16.07</t>
  </si>
  <si>
    <t>18:56.86</t>
  </si>
  <si>
    <t>00:06.28</t>
  </si>
  <si>
    <t>00:37.07</t>
  </si>
  <si>
    <t>01:08.54</t>
  </si>
  <si>
    <t>01:39.98</t>
  </si>
  <si>
    <t>02:13.16</t>
  </si>
  <si>
    <t>02:53.59</t>
  </si>
  <si>
    <t>03:26.21</t>
  </si>
  <si>
    <t>03:58.58</t>
  </si>
  <si>
    <t>05:07.64</t>
  </si>
  <si>
    <t>05:37.44</t>
  </si>
  <si>
    <t>06:09.98</t>
  </si>
  <si>
    <t>06:39.11</t>
  </si>
  <si>
    <t>07:13.19</t>
  </si>
  <si>
    <t>07:53.17</t>
  </si>
  <si>
    <t>08:26.11</t>
  </si>
  <si>
    <t>08:58.32</t>
  </si>
  <si>
    <t>10:07.99</t>
  </si>
  <si>
    <t>10:37.11</t>
  </si>
  <si>
    <t>11:09.23</t>
  </si>
  <si>
    <t>11:39.77</t>
  </si>
  <si>
    <t>12:12.95</t>
  </si>
  <si>
    <t>12:53.28</t>
  </si>
  <si>
    <t>13:26.72</t>
  </si>
  <si>
    <t>13:58.07</t>
  </si>
  <si>
    <t>15:08.06</t>
  </si>
  <si>
    <t>15:39.44</t>
  </si>
  <si>
    <t>16:09.92</t>
  </si>
  <si>
    <t>16:39.86</t>
  </si>
  <si>
    <t>17:13.23</t>
  </si>
  <si>
    <t>17:53.26</t>
  </si>
  <si>
    <t>18:26.29</t>
  </si>
  <si>
    <t>18:57.58</t>
  </si>
  <si>
    <t>00:06.41</t>
  </si>
  <si>
    <t>00:43.12</t>
  </si>
  <si>
    <t>01:18.69</t>
  </si>
  <si>
    <t>02:00.59</t>
  </si>
  <si>
    <t>03:03.56</t>
  </si>
  <si>
    <t>03:34.75</t>
  </si>
  <si>
    <t>04:04.21</t>
  </si>
  <si>
    <t>04:26.22</t>
  </si>
  <si>
    <t>05:06.16</t>
  </si>
  <si>
    <t>05:43.03</t>
  </si>
  <si>
    <t>06:18.27</t>
  </si>
  <si>
    <t>07:00.18</t>
  </si>
  <si>
    <t>08:03.21</t>
  </si>
  <si>
    <t>08:34.70</t>
  </si>
  <si>
    <t>09:05.10</t>
  </si>
  <si>
    <t>09:32.03</t>
  </si>
  <si>
    <t>10:06.03</t>
  </si>
  <si>
    <t>10:43.44</t>
  </si>
  <si>
    <t>11:18.26</t>
  </si>
  <si>
    <t>12:00.29</t>
  </si>
  <si>
    <t>13:34.39</t>
  </si>
  <si>
    <t>14:04.89</t>
  </si>
  <si>
    <t>14:32.91</t>
  </si>
  <si>
    <t>15:06.21</t>
  </si>
  <si>
    <t>15:43.34</t>
  </si>
  <si>
    <t>17:00.19</t>
  </si>
  <si>
    <t>18:03.16</t>
  </si>
  <si>
    <t>18:34.22</t>
  </si>
  <si>
    <t>19:04.07</t>
  </si>
  <si>
    <t>19:32.70</t>
  </si>
  <si>
    <t>00:05.77</t>
  </si>
  <si>
    <t>00:37.31</t>
  </si>
  <si>
    <t>01:06.00</t>
  </si>
  <si>
    <t>02:14.41</t>
  </si>
  <si>
    <t>02:46.83</t>
  </si>
  <si>
    <t>03:21.64</t>
  </si>
  <si>
    <t>03:48.63</t>
  </si>
  <si>
    <t>04:22.47</t>
  </si>
  <si>
    <t>05:05.16</t>
  </si>
  <si>
    <t>05:37.20</t>
  </si>
  <si>
    <t>06:06.06</t>
  </si>
  <si>
    <t>07:14.44</t>
  </si>
  <si>
    <t>07:46.33</t>
  </si>
  <si>
    <t>08:21.24</t>
  </si>
  <si>
    <t>08:48.09</t>
  </si>
  <si>
    <t>09:22.37</t>
  </si>
  <si>
    <t>10:05.03</t>
  </si>
  <si>
    <t>10:36.99</t>
  </si>
  <si>
    <t>11:06.41</t>
  </si>
  <si>
    <t>12:14.24</t>
  </si>
  <si>
    <t>12:46.01</t>
  </si>
  <si>
    <t>13:21.43</t>
  </si>
  <si>
    <t>13:48.32</t>
  </si>
  <si>
    <t>14:22.36</t>
  </si>
  <si>
    <t>15:05.27</t>
  </si>
  <si>
    <t>15:37.18</t>
  </si>
  <si>
    <t>16:06.53</t>
  </si>
  <si>
    <t>17:14.43</t>
  </si>
  <si>
    <t>17:46.06</t>
  </si>
  <si>
    <t>18:21.43</t>
  </si>
  <si>
    <t>18:48.30</t>
  </si>
  <si>
    <t>19:22.52</t>
  </si>
  <si>
    <t>00:05.61</t>
  </si>
  <si>
    <t>00:35.07</t>
  </si>
  <si>
    <t>01:08.96</t>
  </si>
  <si>
    <t>01:45.84</t>
  </si>
  <si>
    <t>02:19.71</t>
  </si>
  <si>
    <t>02:51.19</t>
  </si>
  <si>
    <t>03:22.55</t>
  </si>
  <si>
    <t>04:00.57</t>
  </si>
  <si>
    <t>05:05.06</t>
  </si>
  <si>
    <t>05:34.88</t>
  </si>
  <si>
    <t>06:08.36</t>
  </si>
  <si>
    <t>06:44.94</t>
  </si>
  <si>
    <t>07:19.36</t>
  </si>
  <si>
    <t>07:51.71</t>
  </si>
  <si>
    <t>08:22.46</t>
  </si>
  <si>
    <t>09:00.23</t>
  </si>
  <si>
    <t>10:05.05</t>
  </si>
  <si>
    <t>10:34.20</t>
  </si>
  <si>
    <t>11:08.53</t>
  </si>
  <si>
    <t>11:44.32</t>
  </si>
  <si>
    <t>12:19.14</t>
  </si>
  <si>
    <t>12:51.54</t>
  </si>
  <si>
    <t>13:22.40</t>
  </si>
  <si>
    <t>14:00.61</t>
  </si>
  <si>
    <t>15:05.71</t>
  </si>
  <si>
    <t>16:08.40</t>
  </si>
  <si>
    <t>16:44.14</t>
  </si>
  <si>
    <t>17:19.36</t>
  </si>
  <si>
    <t>17:51.47</t>
  </si>
  <si>
    <t>18:22.22</t>
  </si>
  <si>
    <t>19:00.38</t>
  </si>
  <si>
    <t>00:06.62</t>
  </si>
  <si>
    <t>00:38.35</t>
  </si>
  <si>
    <t>01:10.40</t>
  </si>
  <si>
    <t>01:41.69</t>
  </si>
  <si>
    <t>02:11.77</t>
  </si>
  <si>
    <t>02:40.36</t>
  </si>
  <si>
    <t>03:10.73</t>
  </si>
  <si>
    <t>03:43.75</t>
  </si>
  <si>
    <t>05:06.27</t>
  </si>
  <si>
    <t>05:38.08</t>
  </si>
  <si>
    <t>06:10.14</t>
  </si>
  <si>
    <t>06:41.03</t>
  </si>
  <si>
    <t>07:11.09</t>
  </si>
  <si>
    <t>07:39.86</t>
  </si>
  <si>
    <t>08:10.35</t>
  </si>
  <si>
    <t>08:43.05</t>
  </si>
  <si>
    <t>10:06.40</t>
  </si>
  <si>
    <t>10:38.12</t>
  </si>
  <si>
    <t>11:10.28</t>
  </si>
  <si>
    <t>11:41.25</t>
  </si>
  <si>
    <t>12:11.20</t>
  </si>
  <si>
    <t>12:40.04</t>
  </si>
  <si>
    <t>13:10.08</t>
  </si>
  <si>
    <t>13:43.10</t>
  </si>
  <si>
    <t>15:06.88</t>
  </si>
  <si>
    <t>15:38.05</t>
  </si>
  <si>
    <t>16:10.07</t>
  </si>
  <si>
    <t>16:41.24</t>
  </si>
  <si>
    <t>17:11.08</t>
  </si>
  <si>
    <t>17:40.77</t>
  </si>
  <si>
    <t>18:10.09</t>
  </si>
  <si>
    <t>18:43.18</t>
  </si>
  <si>
    <t>00:05.58</t>
  </si>
  <si>
    <t>00:43.40</t>
  </si>
  <si>
    <t>01:24.64</t>
  </si>
  <si>
    <t>02:09.66</t>
  </si>
  <si>
    <t>02:58.16</t>
  </si>
  <si>
    <t>03:33.28</t>
  </si>
  <si>
    <t>04:26.81</t>
  </si>
  <si>
    <t>04:53.99</t>
  </si>
  <si>
    <t>05:11.35</t>
  </si>
  <si>
    <t>05:43.72</t>
  </si>
  <si>
    <t>06:24.31</t>
  </si>
  <si>
    <t>07:09.14</t>
  </si>
  <si>
    <t>07:58.15</t>
  </si>
  <si>
    <t>08:33.21</t>
  </si>
  <si>
    <t>09:26.39</t>
  </si>
  <si>
    <t>09:54.49</t>
  </si>
  <si>
    <t>10:19.83</t>
  </si>
  <si>
    <t>10:43.69</t>
  </si>
  <si>
    <t>11:24.23</t>
  </si>
  <si>
    <t>12:09.13</t>
  </si>
  <si>
    <t>12:58.19</t>
  </si>
  <si>
    <t>13:33.35</t>
  </si>
  <si>
    <t>14:26.01</t>
  </si>
  <si>
    <t>14:53.51</t>
  </si>
  <si>
    <t>15:13.30</t>
  </si>
  <si>
    <t>15:43.32</t>
  </si>
  <si>
    <t>16:24.56</t>
  </si>
  <si>
    <t>17:09.74</t>
  </si>
  <si>
    <t>17:58.23</t>
  </si>
  <si>
    <t>18:33.36</t>
  </si>
  <si>
    <t>19:26.30</t>
  </si>
  <si>
    <t>19:53.89</t>
  </si>
  <si>
    <t>00:08.85</t>
  </si>
  <si>
    <t>00:51.90</t>
  </si>
  <si>
    <t>01:37.17</t>
  </si>
  <si>
    <t>02:16.42</t>
  </si>
  <si>
    <t>03:26.62</t>
  </si>
  <si>
    <t>03:59.10</t>
  </si>
  <si>
    <t>04:35.01</t>
  </si>
  <si>
    <t>05:08.18</t>
  </si>
  <si>
    <t>05:27.93</t>
  </si>
  <si>
    <t>06:37.20</t>
  </si>
  <si>
    <t>07:16.43</t>
  </si>
  <si>
    <t>08:26.28</t>
  </si>
  <si>
    <t>08:59.28</t>
  </si>
  <si>
    <t>09:35.44</t>
  </si>
  <si>
    <t>10:28.55</t>
  </si>
  <si>
    <t>10:51.38</t>
  </si>
  <si>
    <t>11:37.36</t>
  </si>
  <si>
    <t>12:16.22</t>
  </si>
  <si>
    <t>13:26.42</t>
  </si>
  <si>
    <t>13:59.61</t>
  </si>
  <si>
    <t>14:35.40</t>
  </si>
  <si>
    <t>15:08.28</t>
  </si>
  <si>
    <t>15:25.40</t>
  </si>
  <si>
    <t>15:51.49</t>
  </si>
  <si>
    <t>16:37.31</t>
  </si>
  <si>
    <t>17:16.11</t>
  </si>
  <si>
    <t>18:26.27</t>
  </si>
  <si>
    <t>18:59.56</t>
  </si>
  <si>
    <t>19:35.49</t>
  </si>
  <si>
    <t>20:07.83</t>
  </si>
  <si>
    <t>big box 2</t>
  </si>
  <si>
    <t>00:03.98</t>
  </si>
  <si>
    <t>00:55.09</t>
  </si>
  <si>
    <t>01:22.23</t>
  </si>
  <si>
    <t>01:51.40</t>
  </si>
  <si>
    <t>02:37.58</t>
  </si>
  <si>
    <t>03:16.85</t>
  </si>
  <si>
    <t>04:01.88</t>
  </si>
  <si>
    <t>04:37.91</t>
  </si>
  <si>
    <t>05:03.43</t>
  </si>
  <si>
    <t>05:55.11</t>
  </si>
  <si>
    <t>06:23.03</t>
  </si>
  <si>
    <t>06:50.87</t>
  </si>
  <si>
    <t>07:36.88</t>
  </si>
  <si>
    <t>08:16.35</t>
  </si>
  <si>
    <t>09:01.45</t>
  </si>
  <si>
    <t>09:37.18</t>
  </si>
  <si>
    <t>10:04.20</t>
  </si>
  <si>
    <t>10:55.04</t>
  </si>
  <si>
    <t>11:23.08</t>
  </si>
  <si>
    <t>11:50.58</t>
  </si>
  <si>
    <t>12:36.49</t>
  </si>
  <si>
    <t>13:16.23</t>
  </si>
  <si>
    <t>14:01.41</t>
  </si>
  <si>
    <t>14:37.28</t>
  </si>
  <si>
    <t>15:04.31</t>
  </si>
  <si>
    <t>15:55.27</t>
  </si>
  <si>
    <t>16:23.24</t>
  </si>
  <si>
    <t>16:50.44</t>
  </si>
  <si>
    <t>17:35.95</t>
  </si>
  <si>
    <t>18:16.23</t>
  </si>
  <si>
    <t>19:01.43</t>
  </si>
  <si>
    <t>19:37.37</t>
  </si>
  <si>
    <t>00:03.51</t>
  </si>
  <si>
    <t>00:44.03</t>
  </si>
  <si>
    <t>01:16.49</t>
  </si>
  <si>
    <t>01:47.05</t>
  </si>
  <si>
    <t>02:28.94</t>
  </si>
  <si>
    <t>03:08.43</t>
  </si>
  <si>
    <t>03:45.66</t>
  </si>
  <si>
    <t>04:28.02</t>
  </si>
  <si>
    <t>05:02.94</t>
  </si>
  <si>
    <t>05:44.49</t>
  </si>
  <si>
    <t>06:16.00</t>
  </si>
  <si>
    <t>06:47.05</t>
  </si>
  <si>
    <t>07:28.07</t>
  </si>
  <si>
    <t>08:08.09</t>
  </si>
  <si>
    <t>09:28.45</t>
  </si>
  <si>
    <t>10:03.40</t>
  </si>
  <si>
    <t>10:44.01</t>
  </si>
  <si>
    <t>11:16.13</t>
  </si>
  <si>
    <t>11:47.22</t>
  </si>
  <si>
    <t>12:28.63</t>
  </si>
  <si>
    <t>13:08.27</t>
  </si>
  <si>
    <t>13:45.09</t>
  </si>
  <si>
    <t>14:28.42</t>
  </si>
  <si>
    <t>15:03.26</t>
  </si>
  <si>
    <t>15:44.18</t>
  </si>
  <si>
    <t>16:16.55</t>
  </si>
  <si>
    <t>16:47.19</t>
  </si>
  <si>
    <t>17:28.38</t>
  </si>
  <si>
    <t>18:08.24</t>
  </si>
  <si>
    <t>18:45.46</t>
  </si>
  <si>
    <t>19:28.35</t>
  </si>
  <si>
    <t>vial date</t>
  </si>
  <si>
    <t>600 + 740 ppm used</t>
  </si>
  <si>
    <t>ALL</t>
  </si>
  <si>
    <t>δ13Ccorrect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</si>
</sst>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\ h:mm"/>
    <numFmt numFmtId="165" formatCode="0.0"/>
  </numFmts>
  <fonts count="3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Arial"/>
      <family val="2"/>
    </font>
    <font>
      <b/>
      <sz val="11"/>
      <color theme="0" tint="-0.34998626667073579"/>
      <name val="Calibri"/>
      <family val="2"/>
      <scheme val="minor"/>
    </font>
    <font>
      <b/>
      <sz val="9"/>
      <name val="Arial"/>
      <family val="2"/>
    </font>
    <font>
      <b/>
      <sz val="9"/>
      <name val="Calibri"/>
      <family val="2"/>
    </font>
    <font>
      <sz val="8"/>
      <color theme="0" tint="-0.499984740745262"/>
      <name val="Arial"/>
      <family val="2"/>
    </font>
    <font>
      <sz val="8"/>
      <color theme="0" tint="-0.499984740745262"/>
      <name val="Calibri"/>
      <family val="2"/>
      <scheme val="minor"/>
    </font>
    <font>
      <sz val="8"/>
      <color theme="0" tint="-0.34998626667073579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6"/>
      <color theme="0" tint="-0.499984740745262"/>
      <name val="Calibri"/>
      <family val="2"/>
      <scheme val="minor"/>
    </font>
    <font>
      <sz val="6"/>
      <color theme="0" tint="-0.499984740745262"/>
      <name val="Calibri"/>
      <family val="2"/>
      <scheme val="minor"/>
    </font>
    <font>
      <b/>
      <sz val="8"/>
      <color theme="0" tint="-0.499984740745262"/>
      <name val="Calibri"/>
      <family val="2"/>
      <scheme val="minor"/>
    </font>
    <font>
      <sz val="8"/>
      <color indexed="81"/>
      <name val="Tahoma"/>
      <family val="2"/>
    </font>
    <font>
      <sz val="8"/>
      <color theme="0" tint="-0.34998626667073579"/>
      <name val="Arial"/>
      <family val="2"/>
    </font>
    <font>
      <b/>
      <sz val="6"/>
      <color theme="0" tint="-0.34998626667073579"/>
      <name val="Calibri"/>
      <family val="2"/>
      <scheme val="minor"/>
    </font>
    <font>
      <b/>
      <sz val="8"/>
      <color theme="0" tint="-0.34998626667073579"/>
      <name val="Calibri"/>
      <family val="2"/>
      <scheme val="minor"/>
    </font>
    <font>
      <sz val="6"/>
      <color theme="0" tint="-0.34998626667073579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8"/>
      <name val="Calibri"/>
      <family val="2"/>
      <scheme val="minor"/>
    </font>
    <font>
      <sz val="6"/>
      <name val="Calibri"/>
      <family val="2"/>
      <scheme val="minor"/>
    </font>
    <font>
      <sz val="8"/>
      <color theme="0" tint="-0.249977111117893"/>
      <name val="Calibri"/>
      <family val="2"/>
      <scheme val="minor"/>
    </font>
    <font>
      <b/>
      <sz val="1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darkHorizontal">
        <fgColor rgb="FFFF0000"/>
      </patternFill>
    </fill>
    <fill>
      <patternFill patternType="darkHorizontal">
        <fgColor rgb="FF0070C0"/>
      </patternFill>
    </fill>
    <fill>
      <patternFill patternType="darkHorizontal">
        <fgColor theme="9"/>
        <bgColor theme="0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4" fillId="0" borderId="0"/>
    <xf numFmtId="0" fontId="16" fillId="0" borderId="0"/>
    <xf numFmtId="0" fontId="2" fillId="3" borderId="0" applyNumberFormat="0" applyBorder="0" applyAlignment="0" applyProtection="0"/>
  </cellStyleXfs>
  <cellXfs count="94">
    <xf numFmtId="0" fontId="0" fillId="0" borderId="0" xfId="0"/>
    <xf numFmtId="0" fontId="5" fillId="0" borderId="1" xfId="3" applyFont="1" applyBorder="1" applyAlignment="1">
      <alignment horizontal="center" vertical="top"/>
    </xf>
    <xf numFmtId="164" fontId="5" fillId="0" borderId="1" xfId="3" applyNumberFormat="1" applyFont="1" applyBorder="1" applyAlignment="1">
      <alignment horizontal="center" vertical="top"/>
    </xf>
    <xf numFmtId="2" fontId="5" fillId="0" borderId="1" xfId="3" applyNumberFormat="1" applyFont="1" applyBorder="1" applyAlignment="1">
      <alignment horizontal="center" vertical="top"/>
    </xf>
    <xf numFmtId="0" fontId="5" fillId="4" borderId="1" xfId="3" applyFont="1" applyFill="1" applyBorder="1" applyAlignment="1">
      <alignment horizontal="center" vertical="top"/>
    </xf>
    <xf numFmtId="2" fontId="5" fillId="4" borderId="1" xfId="3" applyNumberFormat="1" applyFont="1" applyFill="1" applyBorder="1" applyAlignment="1">
      <alignment horizontal="center" vertical="top"/>
    </xf>
    <xf numFmtId="2" fontId="6" fillId="0" borderId="0" xfId="0" applyNumberFormat="1" applyFont="1"/>
    <xf numFmtId="1" fontId="6" fillId="0" borderId="0" xfId="0" applyNumberFormat="1" applyFont="1"/>
    <xf numFmtId="0" fontId="7" fillId="5" borderId="3" xfId="3" applyFont="1" applyFill="1" applyBorder="1" applyAlignment="1">
      <alignment horizontal="center" wrapText="1"/>
    </xf>
    <xf numFmtId="2" fontId="11" fillId="0" borderId="0" xfId="0" applyNumberFormat="1" applyFont="1"/>
    <xf numFmtId="0" fontId="12" fillId="0" borderId="0" xfId="0" applyFont="1"/>
    <xf numFmtId="0" fontId="13" fillId="0" borderId="0" xfId="0" applyFont="1"/>
    <xf numFmtId="164" fontId="5" fillId="4" borderId="1" xfId="3" applyNumberFormat="1" applyFont="1" applyFill="1" applyBorder="1" applyAlignment="1">
      <alignment horizontal="center" vertical="top"/>
    </xf>
    <xf numFmtId="2" fontId="10" fillId="0" borderId="0" xfId="0" applyNumberFormat="1" applyFont="1"/>
    <xf numFmtId="2" fontId="15" fillId="0" borderId="0" xfId="0" applyNumberFormat="1" applyFont="1"/>
    <xf numFmtId="1" fontId="15" fillId="0" borderId="0" xfId="0" applyNumberFormat="1" applyFont="1"/>
    <xf numFmtId="0" fontId="9" fillId="4" borderId="1" xfId="3" applyFont="1" applyFill="1" applyBorder="1" applyAlignment="1">
      <alignment horizontal="center" vertical="top"/>
    </xf>
    <xf numFmtId="2" fontId="17" fillId="11" borderId="0" xfId="0" applyNumberFormat="1" applyFont="1" applyFill="1"/>
    <xf numFmtId="0" fontId="18" fillId="8" borderId="0" xfId="0" applyFont="1" applyFill="1"/>
    <xf numFmtId="0" fontId="10" fillId="8" borderId="0" xfId="0" applyFont="1" applyFill="1"/>
    <xf numFmtId="0" fontId="19" fillId="8" borderId="0" xfId="0" applyFont="1" applyFill="1"/>
    <xf numFmtId="0" fontId="20" fillId="8" borderId="0" xfId="0" applyFont="1" applyFill="1"/>
    <xf numFmtId="0" fontId="18" fillId="0" borderId="0" xfId="0" applyFont="1"/>
    <xf numFmtId="0" fontId="18" fillId="6" borderId="0" xfId="0" applyFont="1" applyFill="1"/>
    <xf numFmtId="0" fontId="19" fillId="5" borderId="0" xfId="0" applyFont="1" applyFill="1"/>
    <xf numFmtId="0" fontId="20" fillId="0" borderId="0" xfId="0" applyFont="1"/>
    <xf numFmtId="0" fontId="10" fillId="0" borderId="0" xfId="0" applyFont="1"/>
    <xf numFmtId="2" fontId="21" fillId="5" borderId="0" xfId="0" applyNumberFormat="1" applyFont="1" applyFill="1"/>
    <xf numFmtId="0" fontId="9" fillId="9" borderId="1" xfId="3" applyFont="1" applyFill="1" applyBorder="1" applyAlignment="1">
      <alignment horizontal="center" vertical="top"/>
    </xf>
    <xf numFmtId="0" fontId="19" fillId="9" borderId="0" xfId="0" applyFont="1" applyFill="1"/>
    <xf numFmtId="0" fontId="20" fillId="9" borderId="0" xfId="0" applyFont="1" applyFill="1"/>
    <xf numFmtId="0" fontId="10" fillId="9" borderId="0" xfId="0" applyFont="1" applyFill="1"/>
    <xf numFmtId="0" fontId="10" fillId="3" borderId="0" xfId="2" applyFont="1"/>
    <xf numFmtId="0" fontId="18" fillId="3" borderId="0" xfId="2" applyFont="1"/>
    <xf numFmtId="0" fontId="19" fillId="0" borderId="0" xfId="0" applyFont="1"/>
    <xf numFmtId="0" fontId="10" fillId="5" borderId="0" xfId="0" applyFont="1" applyFill="1"/>
    <xf numFmtId="1" fontId="18" fillId="0" borderId="0" xfId="0" applyNumberFormat="1" applyFont="1"/>
    <xf numFmtId="0" fontId="18" fillId="5" borderId="0" xfId="0" applyFont="1" applyFill="1"/>
    <xf numFmtId="0" fontId="18" fillId="7" borderId="0" xfId="0" applyFont="1" applyFill="1"/>
    <xf numFmtId="0" fontId="10" fillId="7" borderId="0" xfId="0" applyFont="1" applyFill="1"/>
    <xf numFmtId="0" fontId="20" fillId="7" borderId="0" xfId="0" applyFont="1" applyFill="1"/>
    <xf numFmtId="2" fontId="11" fillId="10" borderId="0" xfId="0" applyNumberFormat="1" applyFont="1" applyFill="1"/>
    <xf numFmtId="2" fontId="10" fillId="10" borderId="0" xfId="0" applyNumberFormat="1" applyFont="1" applyFill="1"/>
    <xf numFmtId="0" fontId="12" fillId="10" borderId="0" xfId="0" applyFont="1" applyFill="1"/>
    <xf numFmtId="0" fontId="10" fillId="10" borderId="0" xfId="0" applyFont="1" applyFill="1"/>
    <xf numFmtId="0" fontId="10" fillId="10" borderId="0" xfId="2" applyFont="1" applyFill="1"/>
    <xf numFmtId="1" fontId="10" fillId="10" borderId="0" xfId="0" applyNumberFormat="1" applyFont="1" applyFill="1"/>
    <xf numFmtId="0" fontId="23" fillId="0" borderId="1" xfId="3" applyFont="1" applyBorder="1" applyAlignment="1">
      <alignment horizontal="center" vertical="top"/>
    </xf>
    <xf numFmtId="164" fontId="23" fillId="0" borderId="1" xfId="3" applyNumberFormat="1" applyFont="1" applyBorder="1" applyAlignment="1">
      <alignment horizontal="center" vertical="top"/>
    </xf>
    <xf numFmtId="2" fontId="23" fillId="0" borderId="1" xfId="3" applyNumberFormat="1" applyFont="1" applyBorder="1" applyAlignment="1">
      <alignment horizontal="center" vertical="top"/>
    </xf>
    <xf numFmtId="0" fontId="24" fillId="5" borderId="0" xfId="0" applyFont="1" applyFill="1"/>
    <xf numFmtId="2" fontId="25" fillId="5" borderId="0" xfId="0" applyNumberFormat="1" applyFont="1" applyFill="1"/>
    <xf numFmtId="0" fontId="11" fillId="0" borderId="0" xfId="0" applyFont="1"/>
    <xf numFmtId="0" fontId="26" fillId="0" borderId="0" xfId="0" applyFont="1"/>
    <xf numFmtId="0" fontId="11" fillId="10" borderId="0" xfId="0" applyFont="1" applyFill="1"/>
    <xf numFmtId="0" fontId="27" fillId="0" borderId="0" xfId="0" applyFont="1"/>
    <xf numFmtId="0" fontId="14" fillId="5" borderId="0" xfId="0" applyFont="1" applyFill="1"/>
    <xf numFmtId="0" fontId="28" fillId="5" borderId="0" xfId="0" applyFont="1" applyFill="1"/>
    <xf numFmtId="0" fontId="14" fillId="11" borderId="0" xfId="0" applyFont="1" applyFill="1"/>
    <xf numFmtId="0" fontId="28" fillId="11" borderId="0" xfId="0" applyFont="1" applyFill="1"/>
    <xf numFmtId="0" fontId="29" fillId="11" borderId="0" xfId="0" applyFont="1" applyFill="1"/>
    <xf numFmtId="0" fontId="28" fillId="0" borderId="0" xfId="0" applyFont="1"/>
    <xf numFmtId="0" fontId="28" fillId="10" borderId="0" xfId="0" applyFont="1" applyFill="1"/>
    <xf numFmtId="0" fontId="5" fillId="4" borderId="2" xfId="3" applyFont="1" applyFill="1" applyBorder="1" applyAlignment="1">
      <alignment horizontal="center" vertical="top"/>
    </xf>
    <xf numFmtId="164" fontId="5" fillId="4" borderId="2" xfId="3" applyNumberFormat="1" applyFont="1" applyFill="1" applyBorder="1" applyAlignment="1">
      <alignment horizontal="center" vertical="top"/>
    </xf>
    <xf numFmtId="2" fontId="5" fillId="4" borderId="2" xfId="3" applyNumberFormat="1" applyFont="1" applyFill="1" applyBorder="1" applyAlignment="1">
      <alignment horizontal="center" vertical="top"/>
    </xf>
    <xf numFmtId="0" fontId="5" fillId="5" borderId="1" xfId="3" applyFont="1" applyFill="1" applyBorder="1" applyAlignment="1">
      <alignment horizontal="center" vertical="top"/>
    </xf>
    <xf numFmtId="2" fontId="30" fillId="0" borderId="0" xfId="0" applyNumberFormat="1" applyFont="1"/>
    <xf numFmtId="0" fontId="5" fillId="0" borderId="2" xfId="3" applyFont="1" applyBorder="1" applyAlignment="1">
      <alignment horizontal="center" vertical="top"/>
    </xf>
    <xf numFmtId="164" fontId="5" fillId="0" borderId="2" xfId="3" applyNumberFormat="1" applyFont="1" applyBorder="1" applyAlignment="1">
      <alignment horizontal="center" vertical="top"/>
    </xf>
    <xf numFmtId="2" fontId="5" fillId="0" borderId="2" xfId="3" applyNumberFormat="1" applyFont="1" applyBorder="1" applyAlignment="1">
      <alignment horizontal="center" vertical="top"/>
    </xf>
    <xf numFmtId="0" fontId="4" fillId="12" borderId="5" xfId="3" applyFill="1" applyBorder="1" applyAlignment="1">
      <alignment horizontal="center" wrapText="1"/>
    </xf>
    <xf numFmtId="0" fontId="4" fillId="12" borderId="4" xfId="3" applyFill="1" applyBorder="1" applyAlignment="1">
      <alignment horizontal="center" wrapText="1"/>
    </xf>
    <xf numFmtId="0" fontId="4" fillId="12" borderId="6" xfId="3" applyFill="1" applyBorder="1" applyAlignment="1">
      <alignment horizontal="center" wrapText="1"/>
    </xf>
    <xf numFmtId="0" fontId="10" fillId="12" borderId="3" xfId="1" applyFont="1" applyFill="1" applyBorder="1"/>
    <xf numFmtId="0" fontId="9" fillId="12" borderId="3" xfId="3" applyFont="1" applyFill="1" applyBorder="1" applyAlignment="1">
      <alignment horizontal="center" wrapText="1"/>
    </xf>
    <xf numFmtId="2" fontId="0" fillId="0" borderId="0" xfId="0" applyNumberFormat="1"/>
    <xf numFmtId="47" fontId="0" fillId="0" borderId="0" xfId="0" applyNumberFormat="1"/>
    <xf numFmtId="14" fontId="0" fillId="0" borderId="0" xfId="0" applyNumberFormat="1"/>
    <xf numFmtId="0" fontId="0" fillId="6" borderId="0" xfId="0" applyFill="1"/>
    <xf numFmtId="20" fontId="0" fillId="0" borderId="0" xfId="0" applyNumberFormat="1"/>
    <xf numFmtId="165" fontId="0" fillId="13" borderId="0" xfId="0" applyNumberFormat="1" applyFill="1"/>
    <xf numFmtId="21" fontId="0" fillId="0" borderId="0" xfId="0" applyNumberFormat="1"/>
    <xf numFmtId="165" fontId="0" fillId="14" borderId="0" xfId="0" applyNumberFormat="1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31" fillId="5" borderId="0" xfId="0" applyFont="1" applyFill="1"/>
    <xf numFmtId="2" fontId="31" fillId="5" borderId="0" xfId="0" applyNumberFormat="1" applyFont="1" applyFill="1"/>
    <xf numFmtId="2" fontId="31" fillId="10" borderId="0" xfId="0" applyNumberFormat="1" applyFont="1" applyFill="1"/>
    <xf numFmtId="0" fontId="0" fillId="18" borderId="0" xfId="0" applyFill="1"/>
    <xf numFmtId="0" fontId="4" fillId="0" borderId="0" xfId="3"/>
    <xf numFmtId="2" fontId="3" fillId="0" borderId="0" xfId="0" applyNumberFormat="1" applyFont="1"/>
    <xf numFmtId="1" fontId="3" fillId="0" borderId="0" xfId="0" applyNumberFormat="1" applyFont="1"/>
  </cellXfs>
  <cellStyles count="6">
    <cellStyle name="Bad" xfId="2" builtinId="27"/>
    <cellStyle name="Bad 2" xfId="5" xr:uid="{00000000-0005-0000-0000-000001000000}"/>
    <cellStyle name="Good" xfId="1" builtinId="26"/>
    <cellStyle name="Normal" xfId="0" builtinId="0"/>
    <cellStyle name="Normal 2" xfId="3" xr:uid="{00000000-0005-0000-0000-000004000000}"/>
    <cellStyle name="Normal 2 2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'Example of Keeling plot'!$H$1</c:f>
              <c:strCache>
                <c:ptCount val="1"/>
                <c:pt idx="0">
                  <c:v>Keeling plot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'Example of Keeling plot'!$G$2:$G$5</c:f>
              <c:numCache>
                <c:formatCode>General</c:formatCode>
                <c:ptCount val="4"/>
                <c:pt idx="0">
                  <c:v>2.4008884870141073E-3</c:v>
                </c:pt>
                <c:pt idx="1">
                  <c:v>2.1624496880923499E-3</c:v>
                </c:pt>
                <c:pt idx="2">
                  <c:v>1.90353647299974E-3</c:v>
                </c:pt>
                <c:pt idx="3">
                  <c:v>1.6697753434024975E-3</c:v>
                </c:pt>
              </c:numCache>
            </c:numRef>
          </c:xVal>
          <c:yVal>
            <c:numRef>
              <c:f>'Example of Keeling plot'!$H$2:$H$5</c:f>
              <c:numCache>
                <c:formatCode>0.00</c:formatCode>
                <c:ptCount val="4"/>
                <c:pt idx="0">
                  <c:v>-11.634215144619045</c:v>
                </c:pt>
                <c:pt idx="1">
                  <c:v>-13.041880352741167</c:v>
                </c:pt>
                <c:pt idx="2">
                  <c:v>-14.824174989357985</c:v>
                </c:pt>
                <c:pt idx="3">
                  <c:v>-16.742912699062085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98-4227-8C1B-8BE0C2ADC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439039"/>
        <c:axId val="218551119"/>
      </c:scatterChart>
      <c:valAx>
        <c:axId val="299439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218551119"/>
        <c:crosses val="autoZero"/>
        <c:crossBetween val="midCat"/>
      </c:valAx>
      <c:valAx>
        <c:axId val="218551119"/>
        <c:scaling>
          <c:orientation val="minMax"/>
          <c:max val="0"/>
          <c:min val="-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299439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88900</xdr:colOff>
      <xdr:row>5</xdr:row>
      <xdr:rowOff>161925</xdr:rowOff>
    </xdr:from>
    <xdr:to>
      <xdr:col>10</xdr:col>
      <xdr:colOff>393700</xdr:colOff>
      <xdr:row>20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7A0ECA6-C45F-A847-A1C9-8EA63937C7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91"/>
  <sheetViews>
    <sheetView topLeftCell="A824" zoomScale="60" zoomScaleNormal="60" workbookViewId="0">
      <selection sqref="A1:V861"/>
    </sheetView>
  </sheetViews>
  <sheetFormatPr defaultRowHeight="14.4" x14ac:dyDescent="0.3"/>
  <cols>
    <col min="2" max="2" width="6.88671875" customWidth="1"/>
    <col min="3" max="3" width="6.77734375" customWidth="1"/>
    <col min="4" max="4" width="6.21875" customWidth="1"/>
    <col min="5" max="5" width="8.5546875" customWidth="1"/>
    <col min="6" max="6" width="7.88671875" customWidth="1"/>
    <col min="7" max="7" width="6.44140625" customWidth="1"/>
    <col min="8" max="8" width="7.6640625" customWidth="1"/>
    <col min="9" max="9" width="8.6640625" customWidth="1"/>
    <col min="10" max="10" width="10.88671875" customWidth="1"/>
    <col min="11" max="11" width="11" customWidth="1"/>
    <col min="12" max="12" width="6.5546875" customWidth="1"/>
    <col min="13" max="13" width="9.88671875" style="10" customWidth="1"/>
    <col min="14" max="14" width="23.77734375" style="11" customWidth="1"/>
    <col min="15" max="15" width="13" style="11" customWidth="1"/>
    <col min="16" max="16" width="8.21875" style="10" customWidth="1"/>
    <col min="17" max="17" width="9.21875" style="10"/>
    <col min="18" max="18" width="8" style="10" customWidth="1"/>
    <col min="19" max="19" width="8.21875" style="43" customWidth="1"/>
    <col min="20" max="20" width="7.77734375" style="10" customWidth="1"/>
    <col min="21" max="21" width="11.5546875" customWidth="1"/>
    <col min="22" max="22" width="10.5546875" bestFit="1" customWidth="1"/>
  </cols>
  <sheetData>
    <row r="1" spans="1:22" ht="27" x14ac:dyDescent="0.3">
      <c r="A1" s="90" t="s">
        <v>898</v>
      </c>
      <c r="B1" s="90" t="s">
        <v>899</v>
      </c>
      <c r="C1" s="90" t="s">
        <v>1695</v>
      </c>
      <c r="D1" s="90" t="s">
        <v>20</v>
      </c>
      <c r="E1" s="90" t="s">
        <v>900</v>
      </c>
      <c r="F1" s="90" t="s">
        <v>901</v>
      </c>
      <c r="G1" s="90" t="s">
        <v>902</v>
      </c>
      <c r="H1" s="90" t="s">
        <v>903</v>
      </c>
      <c r="I1" s="90" t="s">
        <v>21</v>
      </c>
      <c r="J1" s="90" t="s">
        <v>22</v>
      </c>
      <c r="K1" s="90" t="s">
        <v>904</v>
      </c>
      <c r="L1" s="90" t="s">
        <v>23</v>
      </c>
      <c r="M1" s="71" t="s">
        <v>0</v>
      </c>
      <c r="N1" s="72" t="s">
        <v>1</v>
      </c>
      <c r="O1" s="71" t="s">
        <v>2</v>
      </c>
      <c r="P1" s="71" t="s">
        <v>3</v>
      </c>
      <c r="Q1" s="73" t="s">
        <v>4</v>
      </c>
      <c r="R1" s="74" t="s">
        <v>17</v>
      </c>
      <c r="S1" s="74" t="s">
        <v>10</v>
      </c>
      <c r="T1" s="75" t="s">
        <v>5</v>
      </c>
      <c r="U1" s="8" t="s">
        <v>12</v>
      </c>
      <c r="V1" s="8" t="s">
        <v>6</v>
      </c>
    </row>
    <row r="2" spans="1:22" x14ac:dyDescent="0.3">
      <c r="C2" s="91"/>
      <c r="D2" s="78"/>
      <c r="M2" s="1">
        <v>16</v>
      </c>
      <c r="N2" s="1" t="s">
        <v>33</v>
      </c>
      <c r="O2" s="2">
        <v>46029.480821759258</v>
      </c>
      <c r="P2" s="3">
        <v>21.131678000000001</v>
      </c>
      <c r="Q2" s="3">
        <v>-6.8438908654911526</v>
      </c>
      <c r="R2" s="13">
        <f t="shared" ref="R2:R65" si="0">P2</f>
        <v>21.131678000000001</v>
      </c>
      <c r="S2" s="42">
        <f>$S$890</f>
        <v>94.751102817962661</v>
      </c>
      <c r="T2" s="13">
        <v>0</v>
      </c>
      <c r="U2" s="14">
        <f t="shared" ref="U2:U65" si="1">Q2+T2</f>
        <v>-6.8438908654911526</v>
      </c>
      <c r="V2" s="15">
        <f t="shared" ref="V2:V65" si="2">R2*S2</f>
        <v>2002.2497948940797</v>
      </c>
    </row>
    <row r="3" spans="1:22" x14ac:dyDescent="0.3">
      <c r="C3" s="91"/>
      <c r="D3" s="78"/>
      <c r="M3" s="4">
        <v>17</v>
      </c>
      <c r="N3" s="4" t="s">
        <v>34</v>
      </c>
      <c r="O3" s="12">
        <v>46029.484537037039</v>
      </c>
      <c r="P3" s="5">
        <v>8.7691859999999995</v>
      </c>
      <c r="Q3" s="5">
        <v>-7.254266329170088</v>
      </c>
      <c r="R3" s="13">
        <f t="shared" si="0"/>
        <v>8.7691859999999995</v>
      </c>
      <c r="S3" s="42">
        <f t="shared" ref="S3:S66" si="3">$S$890</f>
        <v>94.751102817962661</v>
      </c>
      <c r="T3" s="13">
        <v>0</v>
      </c>
      <c r="U3" s="14">
        <f t="shared" si="1"/>
        <v>-7.254266329170088</v>
      </c>
      <c r="V3" s="15">
        <f t="shared" si="2"/>
        <v>830.89004431583862</v>
      </c>
    </row>
    <row r="4" spans="1:22" x14ac:dyDescent="0.3">
      <c r="C4" s="91"/>
      <c r="D4" s="78"/>
      <c r="M4" s="1">
        <v>18</v>
      </c>
      <c r="N4" s="1" t="s">
        <v>35</v>
      </c>
      <c r="O4" s="2">
        <v>46029.488263888888</v>
      </c>
      <c r="P4" s="3">
        <v>5.6861154999999997</v>
      </c>
      <c r="Q4" s="3">
        <v>-9.7498646865726961</v>
      </c>
      <c r="R4" s="13">
        <f t="shared" si="0"/>
        <v>5.6861154999999997</v>
      </c>
      <c r="S4" s="42">
        <f t="shared" si="3"/>
        <v>94.751102817962661</v>
      </c>
      <c r="T4" s="13">
        <v>0</v>
      </c>
      <c r="U4" s="14">
        <f t="shared" si="1"/>
        <v>-9.7498646865726961</v>
      </c>
      <c r="V4" s="15">
        <f t="shared" si="2"/>
        <v>538.76571437531118</v>
      </c>
    </row>
    <row r="5" spans="1:22" x14ac:dyDescent="0.3">
      <c r="C5" s="91"/>
      <c r="D5" s="78"/>
      <c r="M5" s="4">
        <v>19</v>
      </c>
      <c r="N5" s="4" t="s">
        <v>36</v>
      </c>
      <c r="O5" s="12">
        <v>46029.491990740738</v>
      </c>
      <c r="P5" s="5">
        <v>3.10714325</v>
      </c>
      <c r="Q5" s="5">
        <v>-11.635988667808085</v>
      </c>
      <c r="R5" s="13">
        <f t="shared" si="0"/>
        <v>3.10714325</v>
      </c>
      <c r="S5" s="42">
        <f t="shared" si="3"/>
        <v>94.751102817962661</v>
      </c>
      <c r="T5" s="13">
        <v>0</v>
      </c>
      <c r="U5" s="14">
        <f t="shared" si="1"/>
        <v>-11.635988667808085</v>
      </c>
      <c r="V5" s="15">
        <f t="shared" si="2"/>
        <v>294.40524955088864</v>
      </c>
    </row>
    <row r="6" spans="1:22" x14ac:dyDescent="0.3">
      <c r="C6" s="91"/>
      <c r="D6" s="78"/>
      <c r="M6" s="1">
        <v>20</v>
      </c>
      <c r="N6" s="1" t="s">
        <v>37</v>
      </c>
      <c r="O6" s="2">
        <v>46029.495717592596</v>
      </c>
      <c r="P6" s="3">
        <v>5.3648559999999996</v>
      </c>
      <c r="Q6" s="3">
        <v>-13.137899564527137</v>
      </c>
      <c r="R6" s="13">
        <f t="shared" si="0"/>
        <v>5.3648559999999996</v>
      </c>
      <c r="S6" s="42">
        <f t="shared" si="3"/>
        <v>94.751102817962661</v>
      </c>
      <c r="T6" s="13">
        <v>0</v>
      </c>
      <c r="U6" s="14">
        <f t="shared" si="1"/>
        <v>-13.137899564527137</v>
      </c>
      <c r="V6" s="15">
        <f t="shared" si="2"/>
        <v>508.32602245956383</v>
      </c>
    </row>
    <row r="7" spans="1:22" x14ac:dyDescent="0.3">
      <c r="C7" s="91"/>
      <c r="D7" s="78"/>
      <c r="M7" s="4">
        <v>21</v>
      </c>
      <c r="N7" s="4" t="s">
        <v>38</v>
      </c>
      <c r="O7" s="12">
        <v>46029.499444444446</v>
      </c>
      <c r="P7" s="5">
        <v>21.360578</v>
      </c>
      <c r="Q7" s="5">
        <v>-7.6031451104667918</v>
      </c>
      <c r="R7" s="13">
        <f t="shared" si="0"/>
        <v>21.360578</v>
      </c>
      <c r="S7" s="42">
        <f t="shared" si="3"/>
        <v>94.751102817962661</v>
      </c>
      <c r="T7" s="13">
        <v>0</v>
      </c>
      <c r="U7" s="14">
        <f t="shared" si="1"/>
        <v>-7.6031451104667918</v>
      </c>
      <c r="V7" s="15">
        <f t="shared" si="2"/>
        <v>2023.9383223291113</v>
      </c>
    </row>
    <row r="8" spans="1:22" x14ac:dyDescent="0.3">
      <c r="C8" s="91"/>
      <c r="D8" s="78"/>
      <c r="M8" s="1">
        <v>22</v>
      </c>
      <c r="N8" s="1" t="s">
        <v>39</v>
      </c>
      <c r="O8" s="2">
        <v>46029.503171296295</v>
      </c>
      <c r="P8" s="3">
        <v>15.084549000000001</v>
      </c>
      <c r="Q8" s="3">
        <v>-8.4860422736786187</v>
      </c>
      <c r="R8" s="13">
        <f t="shared" si="0"/>
        <v>15.084549000000001</v>
      </c>
      <c r="S8" s="42">
        <f t="shared" si="3"/>
        <v>94.751102817962661</v>
      </c>
      <c r="T8" s="13">
        <v>0</v>
      </c>
      <c r="U8" s="14">
        <f t="shared" si="1"/>
        <v>-8.4860422736786187</v>
      </c>
      <c r="V8" s="15">
        <f t="shared" si="2"/>
        <v>1429.277653261596</v>
      </c>
    </row>
    <row r="9" spans="1:22" x14ac:dyDescent="0.3">
      <c r="C9" s="91"/>
      <c r="D9" s="78"/>
      <c r="M9" s="4">
        <v>23</v>
      </c>
      <c r="N9" s="4" t="s">
        <v>40</v>
      </c>
      <c r="O9" s="12">
        <v>46029.506909722222</v>
      </c>
      <c r="P9" s="5">
        <v>8.2657880000000006</v>
      </c>
      <c r="Q9" s="5">
        <v>-10.219478566506071</v>
      </c>
      <c r="R9" s="13">
        <f t="shared" si="0"/>
        <v>8.2657880000000006</v>
      </c>
      <c r="S9" s="42">
        <f t="shared" si="3"/>
        <v>94.751102817962661</v>
      </c>
      <c r="T9" s="13">
        <v>0</v>
      </c>
      <c r="U9" s="14">
        <f t="shared" si="1"/>
        <v>-10.219478566506071</v>
      </c>
      <c r="V9" s="15">
        <f t="shared" si="2"/>
        <v>783.19252865948204</v>
      </c>
    </row>
    <row r="10" spans="1:22" x14ac:dyDescent="0.3">
      <c r="C10" s="91"/>
      <c r="D10" s="78"/>
      <c r="M10" s="1">
        <v>24</v>
      </c>
      <c r="N10" s="1" t="s">
        <v>41</v>
      </c>
      <c r="O10" s="2">
        <v>46029.510625000003</v>
      </c>
      <c r="P10" s="3">
        <v>6.4717494999999996</v>
      </c>
      <c r="Q10" s="3">
        <v>-11.062261054668157</v>
      </c>
      <c r="R10" s="13">
        <f t="shared" si="0"/>
        <v>6.4717494999999996</v>
      </c>
      <c r="S10" s="42">
        <f t="shared" si="3"/>
        <v>94.751102817962661</v>
      </c>
      <c r="T10" s="13">
        <v>0</v>
      </c>
      <c r="U10" s="14">
        <f t="shared" si="1"/>
        <v>-11.062261054668157</v>
      </c>
      <c r="V10" s="15">
        <f t="shared" si="2"/>
        <v>613.20540228659843</v>
      </c>
    </row>
    <row r="11" spans="1:22" x14ac:dyDescent="0.3">
      <c r="M11" s="4">
        <v>25</v>
      </c>
      <c r="N11" s="4" t="s">
        <v>42</v>
      </c>
      <c r="O11" s="12">
        <v>46029.514351851853</v>
      </c>
      <c r="P11" s="5">
        <v>2.6394090000000001</v>
      </c>
      <c r="Q11" s="5">
        <v>-14.28395171079822</v>
      </c>
      <c r="R11" s="13">
        <f t="shared" si="0"/>
        <v>2.6394090000000001</v>
      </c>
      <c r="S11" s="42">
        <f t="shared" si="3"/>
        <v>94.751102817962661</v>
      </c>
      <c r="T11" s="13">
        <v>0</v>
      </c>
      <c r="U11" s="14">
        <f t="shared" si="1"/>
        <v>-14.28395171079822</v>
      </c>
      <c r="V11" s="15">
        <f t="shared" si="2"/>
        <v>250.08691353765602</v>
      </c>
    </row>
    <row r="12" spans="1:22" x14ac:dyDescent="0.3">
      <c r="B12" t="s">
        <v>905</v>
      </c>
      <c r="C12" s="79">
        <v>1.1000000000000001</v>
      </c>
      <c r="D12" s="78">
        <v>45943</v>
      </c>
      <c r="E12">
        <v>14</v>
      </c>
      <c r="F12" t="s">
        <v>906</v>
      </c>
      <c r="G12" t="s">
        <v>907</v>
      </c>
      <c r="H12">
        <v>7</v>
      </c>
      <c r="I12">
        <v>1</v>
      </c>
      <c r="J12" t="s">
        <v>908</v>
      </c>
      <c r="K12" t="s">
        <v>909</v>
      </c>
      <c r="M12" s="1">
        <v>26</v>
      </c>
      <c r="N12" s="1" t="s">
        <v>43</v>
      </c>
      <c r="O12" s="2">
        <v>46029.518090277779</v>
      </c>
      <c r="P12" s="3">
        <v>5.5487029999999997</v>
      </c>
      <c r="Q12" s="3">
        <v>-15.321798562638723</v>
      </c>
      <c r="R12" s="13">
        <f t="shared" si="0"/>
        <v>5.5487029999999997</v>
      </c>
      <c r="S12" s="42">
        <f t="shared" si="3"/>
        <v>94.751102817962661</v>
      </c>
      <c r="T12" s="13">
        <v>0</v>
      </c>
      <c r="U12" s="14">
        <f t="shared" si="1"/>
        <v>-15.321798562638723</v>
      </c>
      <c r="V12" s="15">
        <f t="shared" si="2"/>
        <v>525.7457284593379</v>
      </c>
    </row>
    <row r="13" spans="1:22" x14ac:dyDescent="0.3">
      <c r="B13" t="s">
        <v>905</v>
      </c>
      <c r="C13" s="79">
        <v>1.1000000000000001</v>
      </c>
      <c r="D13" s="78">
        <v>45943</v>
      </c>
      <c r="E13">
        <v>9</v>
      </c>
      <c r="F13" t="s">
        <v>910</v>
      </c>
      <c r="G13" t="s">
        <v>15</v>
      </c>
      <c r="H13">
        <v>7</v>
      </c>
      <c r="I13">
        <v>2</v>
      </c>
      <c r="J13" t="s">
        <v>908</v>
      </c>
      <c r="K13" t="s">
        <v>911</v>
      </c>
      <c r="L13" t="s">
        <v>912</v>
      </c>
      <c r="M13" s="4">
        <v>27</v>
      </c>
      <c r="N13" s="4" t="s">
        <v>44</v>
      </c>
      <c r="O13" s="12">
        <v>46029.521840277775</v>
      </c>
      <c r="P13" s="5">
        <v>6.4372594999999997</v>
      </c>
      <c r="Q13" s="5">
        <v>-17.169769983781691</v>
      </c>
      <c r="R13" s="13">
        <f t="shared" si="0"/>
        <v>6.4372594999999997</v>
      </c>
      <c r="S13" s="42">
        <f t="shared" si="3"/>
        <v>94.751102817962661</v>
      </c>
      <c r="T13" s="13">
        <v>0</v>
      </c>
      <c r="U13" s="14">
        <f t="shared" si="1"/>
        <v>-17.169769983781691</v>
      </c>
      <c r="V13" s="15">
        <f t="shared" si="2"/>
        <v>609.93743675040685</v>
      </c>
    </row>
    <row r="14" spans="1:22" x14ac:dyDescent="0.3">
      <c r="B14" t="s">
        <v>905</v>
      </c>
      <c r="C14" s="79">
        <v>1.1000000000000001</v>
      </c>
      <c r="D14" s="78">
        <v>45943</v>
      </c>
      <c r="E14">
        <v>10</v>
      </c>
      <c r="F14" t="s">
        <v>913</v>
      </c>
      <c r="G14" t="s">
        <v>914</v>
      </c>
      <c r="H14">
        <v>7</v>
      </c>
      <c r="I14">
        <v>3</v>
      </c>
      <c r="J14" t="s">
        <v>908</v>
      </c>
      <c r="K14" t="s">
        <v>915</v>
      </c>
      <c r="L14" t="s">
        <v>916</v>
      </c>
      <c r="M14" s="1">
        <v>28</v>
      </c>
      <c r="N14" s="1" t="s">
        <v>45</v>
      </c>
      <c r="O14" s="2">
        <v>46029.525578703702</v>
      </c>
      <c r="P14" s="3">
        <v>7.3473955000000002</v>
      </c>
      <c r="Q14" s="3">
        <v>-18.706144284424131</v>
      </c>
      <c r="R14" s="13">
        <f t="shared" si="0"/>
        <v>7.3473955000000002</v>
      </c>
      <c r="S14" s="42">
        <f t="shared" si="3"/>
        <v>94.751102817962661</v>
      </c>
      <c r="T14" s="13">
        <v>0</v>
      </c>
      <c r="U14" s="14">
        <f t="shared" si="1"/>
        <v>-18.706144284424131</v>
      </c>
      <c r="V14" s="15">
        <f t="shared" si="2"/>
        <v>696.17382646473618</v>
      </c>
    </row>
    <row r="15" spans="1:22" x14ac:dyDescent="0.3">
      <c r="B15" t="s">
        <v>905</v>
      </c>
      <c r="C15" s="79">
        <v>1.1000000000000001</v>
      </c>
      <c r="D15" s="78">
        <v>45943</v>
      </c>
      <c r="E15">
        <v>12</v>
      </c>
      <c r="F15" t="s">
        <v>917</v>
      </c>
      <c r="G15" t="s">
        <v>918</v>
      </c>
      <c r="H15">
        <v>7</v>
      </c>
      <c r="I15">
        <v>4</v>
      </c>
      <c r="J15" t="s">
        <v>908</v>
      </c>
      <c r="K15" t="s">
        <v>919</v>
      </c>
      <c r="L15" t="s">
        <v>920</v>
      </c>
      <c r="M15" s="4">
        <v>29</v>
      </c>
      <c r="N15" s="4" t="s">
        <v>46</v>
      </c>
      <c r="O15" s="12">
        <v>46029.529305555552</v>
      </c>
      <c r="P15" s="5">
        <v>7.429036</v>
      </c>
      <c r="Q15" s="5">
        <v>-19.011878148523092</v>
      </c>
      <c r="R15" s="13">
        <f t="shared" si="0"/>
        <v>7.429036</v>
      </c>
      <c r="S15" s="42">
        <f t="shared" si="3"/>
        <v>94.751102817962661</v>
      </c>
      <c r="T15" s="13">
        <v>0</v>
      </c>
      <c r="U15" s="14">
        <f t="shared" si="1"/>
        <v>-19.011878148523092</v>
      </c>
      <c r="V15" s="15">
        <f t="shared" si="2"/>
        <v>703.90935387434604</v>
      </c>
    </row>
    <row r="16" spans="1:22" x14ac:dyDescent="0.3">
      <c r="B16" t="s">
        <v>905</v>
      </c>
      <c r="C16" s="79">
        <v>1.1000000000000001</v>
      </c>
      <c r="D16" s="78">
        <v>45943</v>
      </c>
      <c r="E16">
        <v>13</v>
      </c>
      <c r="F16" t="s">
        <v>921</v>
      </c>
      <c r="G16" t="s">
        <v>922</v>
      </c>
      <c r="H16">
        <v>7</v>
      </c>
      <c r="I16">
        <v>5</v>
      </c>
      <c r="J16" t="s">
        <v>908</v>
      </c>
      <c r="K16" t="s">
        <v>923</v>
      </c>
      <c r="L16" t="s">
        <v>924</v>
      </c>
      <c r="M16" s="1">
        <v>30</v>
      </c>
      <c r="N16" s="1" t="s">
        <v>47</v>
      </c>
      <c r="O16" s="2">
        <v>46029.533043981479</v>
      </c>
      <c r="P16" s="3">
        <v>6.76335</v>
      </c>
      <c r="Q16" s="3">
        <v>-17.607013603100263</v>
      </c>
      <c r="R16" s="13">
        <f t="shared" si="0"/>
        <v>6.76335</v>
      </c>
      <c r="S16" s="42">
        <f t="shared" si="3"/>
        <v>94.751102817962661</v>
      </c>
      <c r="T16" s="13">
        <v>0</v>
      </c>
      <c r="U16" s="14">
        <f t="shared" si="1"/>
        <v>-17.607013603100263</v>
      </c>
      <c r="V16" s="15">
        <f t="shared" si="2"/>
        <v>640.83487124386772</v>
      </c>
    </row>
    <row r="17" spans="2:22" x14ac:dyDescent="0.3">
      <c r="B17" t="s">
        <v>905</v>
      </c>
      <c r="C17" s="79">
        <v>1.1000000000000001</v>
      </c>
      <c r="D17" s="78">
        <v>45943</v>
      </c>
      <c r="E17">
        <v>16</v>
      </c>
      <c r="F17" t="s">
        <v>925</v>
      </c>
      <c r="G17" t="s">
        <v>926</v>
      </c>
      <c r="H17">
        <v>7</v>
      </c>
      <c r="I17">
        <v>6</v>
      </c>
      <c r="J17" t="s">
        <v>908</v>
      </c>
      <c r="K17" t="s">
        <v>927</v>
      </c>
      <c r="L17" t="s">
        <v>928</v>
      </c>
      <c r="M17" s="4">
        <v>31</v>
      </c>
      <c r="N17" s="4" t="s">
        <v>48</v>
      </c>
      <c r="O17" s="12">
        <v>46029.536770833336</v>
      </c>
      <c r="P17" s="5">
        <v>7.1776970000000002</v>
      </c>
      <c r="Q17" s="5">
        <v>-18.32105652644238</v>
      </c>
      <c r="R17" s="13">
        <f t="shared" si="0"/>
        <v>7.1776970000000002</v>
      </c>
      <c r="S17" s="42">
        <f t="shared" si="3"/>
        <v>94.751102817962661</v>
      </c>
      <c r="T17" s="13">
        <v>0</v>
      </c>
      <c r="U17" s="14">
        <f t="shared" si="1"/>
        <v>-18.32105652644238</v>
      </c>
      <c r="V17" s="15">
        <f t="shared" si="2"/>
        <v>680.09470644318219</v>
      </c>
    </row>
    <row r="18" spans="2:22" x14ac:dyDescent="0.3">
      <c r="B18" t="s">
        <v>905</v>
      </c>
      <c r="C18" s="79">
        <v>1.1000000000000001</v>
      </c>
      <c r="D18" s="78">
        <v>45943</v>
      </c>
      <c r="E18">
        <v>15</v>
      </c>
      <c r="F18" t="s">
        <v>929</v>
      </c>
      <c r="G18" t="s">
        <v>930</v>
      </c>
      <c r="H18">
        <v>7</v>
      </c>
      <c r="I18">
        <v>7</v>
      </c>
      <c r="J18" t="s">
        <v>908</v>
      </c>
      <c r="K18" t="s">
        <v>931</v>
      </c>
      <c r="M18" s="1">
        <v>32</v>
      </c>
      <c r="N18" s="1" t="s">
        <v>49</v>
      </c>
      <c r="O18" s="2">
        <v>46029.540509259263</v>
      </c>
      <c r="P18" s="3">
        <v>7.6610015000000002</v>
      </c>
      <c r="Q18" s="3">
        <v>-19.27915475401673</v>
      </c>
      <c r="R18" s="13">
        <f t="shared" si="0"/>
        <v>7.6610015000000002</v>
      </c>
      <c r="S18" s="42">
        <f t="shared" si="3"/>
        <v>94.751102817962661</v>
      </c>
      <c r="T18" s="13">
        <v>0</v>
      </c>
      <c r="U18" s="14">
        <f t="shared" si="1"/>
        <v>-19.27915475401673</v>
      </c>
      <c r="V18" s="15">
        <f t="shared" si="2"/>
        <v>725.88834081506616</v>
      </c>
    </row>
    <row r="19" spans="2:22" x14ac:dyDescent="0.3">
      <c r="B19" t="s">
        <v>905</v>
      </c>
      <c r="C19" s="79">
        <v>1.1000000000000001</v>
      </c>
      <c r="D19" s="78">
        <v>45943</v>
      </c>
      <c r="E19">
        <v>11</v>
      </c>
      <c r="F19" t="s">
        <v>932</v>
      </c>
      <c r="G19" t="s">
        <v>933</v>
      </c>
      <c r="H19">
        <v>7</v>
      </c>
      <c r="I19">
        <v>8</v>
      </c>
      <c r="J19" t="s">
        <v>908</v>
      </c>
      <c r="K19" t="s">
        <v>934</v>
      </c>
      <c r="M19" s="4">
        <v>33</v>
      </c>
      <c r="N19" s="4" t="s">
        <v>50</v>
      </c>
      <c r="O19" s="12">
        <v>46029.544236111113</v>
      </c>
      <c r="P19" s="5">
        <v>7.3631704999999998</v>
      </c>
      <c r="Q19" s="5">
        <v>-18.812640774075803</v>
      </c>
      <c r="R19" s="13">
        <f t="shared" si="0"/>
        <v>7.3631704999999998</v>
      </c>
      <c r="S19" s="42">
        <f t="shared" si="3"/>
        <v>94.751102817962661</v>
      </c>
      <c r="T19" s="13">
        <v>0</v>
      </c>
      <c r="U19" s="14">
        <f t="shared" si="1"/>
        <v>-18.812640774075803</v>
      </c>
      <c r="V19" s="15">
        <f t="shared" si="2"/>
        <v>697.66852511168952</v>
      </c>
    </row>
    <row r="20" spans="2:22" x14ac:dyDescent="0.3">
      <c r="B20" t="s">
        <v>905</v>
      </c>
      <c r="C20" s="79">
        <v>1.1000000000000001</v>
      </c>
      <c r="D20" s="78">
        <v>45943</v>
      </c>
      <c r="E20">
        <v>14</v>
      </c>
      <c r="F20" t="s">
        <v>906</v>
      </c>
      <c r="G20" t="s">
        <v>907</v>
      </c>
      <c r="H20">
        <v>7</v>
      </c>
      <c r="I20">
        <v>9</v>
      </c>
      <c r="J20" t="s">
        <v>935</v>
      </c>
      <c r="K20" t="s">
        <v>936</v>
      </c>
      <c r="M20" s="1">
        <v>34</v>
      </c>
      <c r="N20" s="1" t="s">
        <v>51</v>
      </c>
      <c r="O20" s="2">
        <v>46029.547962962963</v>
      </c>
      <c r="P20" s="3">
        <v>5.7290710000000002</v>
      </c>
      <c r="Q20" s="3">
        <v>-15.977336181659197</v>
      </c>
      <c r="R20" s="13">
        <f t="shared" si="0"/>
        <v>5.7290710000000002</v>
      </c>
      <c r="S20" s="42">
        <f t="shared" si="3"/>
        <v>94.751102817962661</v>
      </c>
      <c r="T20" s="13">
        <v>0</v>
      </c>
      <c r="U20" s="14">
        <f t="shared" si="1"/>
        <v>-15.977336181659197</v>
      </c>
      <c r="V20" s="15">
        <f t="shared" si="2"/>
        <v>542.83579537240814</v>
      </c>
    </row>
    <row r="21" spans="2:22" x14ac:dyDescent="0.3">
      <c r="B21" t="s">
        <v>905</v>
      </c>
      <c r="C21" s="79">
        <v>1.1000000000000001</v>
      </c>
      <c r="D21" s="78">
        <v>45943</v>
      </c>
      <c r="E21">
        <v>9</v>
      </c>
      <c r="F21" t="s">
        <v>910</v>
      </c>
      <c r="G21" t="s">
        <v>15</v>
      </c>
      <c r="H21">
        <v>7</v>
      </c>
      <c r="I21">
        <v>10</v>
      </c>
      <c r="J21" t="s">
        <v>935</v>
      </c>
      <c r="K21" t="s">
        <v>937</v>
      </c>
      <c r="M21" s="4">
        <v>35</v>
      </c>
      <c r="N21" s="4" t="s">
        <v>52</v>
      </c>
      <c r="O21" s="12">
        <v>46029.551701388889</v>
      </c>
      <c r="P21" s="5">
        <v>6.9673780000000001</v>
      </c>
      <c r="Q21" s="5">
        <v>-18.080319995199385</v>
      </c>
      <c r="R21" s="13">
        <f t="shared" si="0"/>
        <v>6.9673780000000001</v>
      </c>
      <c r="S21" s="42">
        <f t="shared" si="3"/>
        <v>94.751102817962661</v>
      </c>
      <c r="T21" s="13">
        <v>0</v>
      </c>
      <c r="U21" s="14">
        <f t="shared" si="1"/>
        <v>-18.080319995199385</v>
      </c>
      <c r="V21" s="15">
        <f t="shared" si="2"/>
        <v>660.16674924961103</v>
      </c>
    </row>
    <row r="22" spans="2:22" x14ac:dyDescent="0.3">
      <c r="B22" t="s">
        <v>905</v>
      </c>
      <c r="C22" s="79">
        <v>1.1000000000000001</v>
      </c>
      <c r="D22" s="78">
        <v>45943</v>
      </c>
      <c r="E22">
        <v>10</v>
      </c>
      <c r="F22" t="s">
        <v>913</v>
      </c>
      <c r="G22" t="s">
        <v>914</v>
      </c>
      <c r="H22">
        <v>7</v>
      </c>
      <c r="I22">
        <v>11</v>
      </c>
      <c r="J22" t="s">
        <v>935</v>
      </c>
      <c r="K22" t="s">
        <v>938</v>
      </c>
      <c r="L22" t="s">
        <v>916</v>
      </c>
      <c r="M22" s="1">
        <v>36</v>
      </c>
      <c r="N22" s="1" t="s">
        <v>53</v>
      </c>
      <c r="O22" s="2">
        <v>46029.555451388886</v>
      </c>
      <c r="P22" s="3">
        <v>7.7336105000000002</v>
      </c>
      <c r="Q22" s="3">
        <v>-19.080545500560216</v>
      </c>
      <c r="R22" s="13">
        <f t="shared" si="0"/>
        <v>7.7336105000000002</v>
      </c>
      <c r="S22" s="42">
        <f t="shared" si="3"/>
        <v>94.751102817962661</v>
      </c>
      <c r="T22" s="13">
        <v>0</v>
      </c>
      <c r="U22" s="14">
        <f t="shared" si="1"/>
        <v>-19.080545500560216</v>
      </c>
      <c r="V22" s="15">
        <f t="shared" si="2"/>
        <v>732.76812363957561</v>
      </c>
    </row>
    <row r="23" spans="2:22" x14ac:dyDescent="0.3">
      <c r="B23" t="s">
        <v>905</v>
      </c>
      <c r="C23" s="79">
        <v>1.1000000000000001</v>
      </c>
      <c r="D23" s="78">
        <v>45943</v>
      </c>
      <c r="E23">
        <v>12</v>
      </c>
      <c r="F23" t="s">
        <v>917</v>
      </c>
      <c r="G23" t="s">
        <v>918</v>
      </c>
      <c r="H23">
        <v>7</v>
      </c>
      <c r="I23">
        <v>12</v>
      </c>
      <c r="J23" t="s">
        <v>935</v>
      </c>
      <c r="K23" t="s">
        <v>939</v>
      </c>
      <c r="L23" t="s">
        <v>920</v>
      </c>
      <c r="M23" s="4">
        <v>37</v>
      </c>
      <c r="N23" s="4" t="s">
        <v>54</v>
      </c>
      <c r="O23" s="12">
        <v>46029.559293981481</v>
      </c>
      <c r="P23" s="5">
        <v>7.6407055000000001</v>
      </c>
      <c r="Q23" s="5">
        <v>-19.058248152248687</v>
      </c>
      <c r="R23" s="13">
        <f t="shared" si="0"/>
        <v>7.6407055000000001</v>
      </c>
      <c r="S23" s="42">
        <f t="shared" si="3"/>
        <v>94.751102817962661</v>
      </c>
      <c r="T23" s="13">
        <v>0</v>
      </c>
      <c r="U23" s="14">
        <f t="shared" si="1"/>
        <v>-19.058248152248687</v>
      </c>
      <c r="V23" s="15">
        <f t="shared" si="2"/>
        <v>723.96527243227285</v>
      </c>
    </row>
    <row r="24" spans="2:22" x14ac:dyDescent="0.3">
      <c r="B24" t="s">
        <v>905</v>
      </c>
      <c r="C24" s="79">
        <v>1.1000000000000001</v>
      </c>
      <c r="D24" s="78">
        <v>45943</v>
      </c>
      <c r="E24">
        <v>13</v>
      </c>
      <c r="F24" t="s">
        <v>921</v>
      </c>
      <c r="G24" t="s">
        <v>922</v>
      </c>
      <c r="H24">
        <v>7</v>
      </c>
      <c r="I24">
        <v>13</v>
      </c>
      <c r="J24" t="s">
        <v>935</v>
      </c>
      <c r="K24" t="s">
        <v>940</v>
      </c>
      <c r="L24" t="s">
        <v>924</v>
      </c>
      <c r="M24" s="1">
        <v>38</v>
      </c>
      <c r="N24" s="1" t="s">
        <v>55</v>
      </c>
      <c r="O24" s="2">
        <v>46029.563020833331</v>
      </c>
      <c r="P24" s="3">
        <v>6.7787360000000003</v>
      </c>
      <c r="Q24" s="3">
        <v>-18.084867739324753</v>
      </c>
      <c r="R24" s="13">
        <f t="shared" si="0"/>
        <v>6.7787360000000003</v>
      </c>
      <c r="S24" s="42">
        <f t="shared" si="3"/>
        <v>94.751102817962661</v>
      </c>
      <c r="T24" s="13">
        <v>0</v>
      </c>
      <c r="U24" s="14">
        <f t="shared" si="1"/>
        <v>-18.084867739324753</v>
      </c>
      <c r="V24" s="15">
        <f t="shared" si="2"/>
        <v>642.29271171182495</v>
      </c>
    </row>
    <row r="25" spans="2:22" x14ac:dyDescent="0.3">
      <c r="B25" t="s">
        <v>905</v>
      </c>
      <c r="C25" s="79">
        <v>1.1000000000000001</v>
      </c>
      <c r="D25" s="78">
        <v>45943</v>
      </c>
      <c r="E25">
        <v>16</v>
      </c>
      <c r="F25" t="s">
        <v>925</v>
      </c>
      <c r="G25" t="s">
        <v>926</v>
      </c>
      <c r="H25">
        <v>7</v>
      </c>
      <c r="I25">
        <v>14</v>
      </c>
      <c r="J25" t="s">
        <v>935</v>
      </c>
      <c r="K25" t="s">
        <v>941</v>
      </c>
      <c r="L25" t="s">
        <v>928</v>
      </c>
      <c r="M25" s="4">
        <v>39</v>
      </c>
      <c r="N25" s="4" t="s">
        <v>56</v>
      </c>
      <c r="O25" s="12">
        <v>46029.566747685189</v>
      </c>
      <c r="P25" s="5">
        <v>7.1918015000000004</v>
      </c>
      <c r="Q25" s="5">
        <v>-18.21749435186047</v>
      </c>
      <c r="R25" s="13">
        <f t="shared" si="0"/>
        <v>7.1918015000000004</v>
      </c>
      <c r="S25" s="42">
        <f t="shared" si="3"/>
        <v>94.751102817962661</v>
      </c>
      <c r="T25" s="13">
        <v>0</v>
      </c>
      <c r="U25" s="14">
        <f t="shared" si="1"/>
        <v>-18.21749435186047</v>
      </c>
      <c r="V25" s="15">
        <f t="shared" si="2"/>
        <v>681.43112337287812</v>
      </c>
    </row>
    <row r="26" spans="2:22" x14ac:dyDescent="0.3">
      <c r="B26" t="s">
        <v>905</v>
      </c>
      <c r="C26" s="79">
        <v>1.1000000000000001</v>
      </c>
      <c r="D26" s="78">
        <v>45943</v>
      </c>
      <c r="E26">
        <v>15</v>
      </c>
      <c r="F26" t="s">
        <v>929</v>
      </c>
      <c r="G26" t="s">
        <v>930</v>
      </c>
      <c r="H26">
        <v>7</v>
      </c>
      <c r="I26">
        <v>15</v>
      </c>
      <c r="J26" t="s">
        <v>935</v>
      </c>
      <c r="K26" t="s">
        <v>942</v>
      </c>
      <c r="M26" s="1">
        <v>40</v>
      </c>
      <c r="N26" s="1" t="s">
        <v>57</v>
      </c>
      <c r="O26" s="2">
        <v>46029.570486111108</v>
      </c>
      <c r="P26" s="3">
        <v>7.9133944999999999</v>
      </c>
      <c r="Q26" s="3">
        <v>-19.698872371697362</v>
      </c>
      <c r="R26" s="13">
        <f t="shared" si="0"/>
        <v>7.9133944999999999</v>
      </c>
      <c r="S26" s="42">
        <f t="shared" si="3"/>
        <v>94.751102817962661</v>
      </c>
      <c r="T26" s="13">
        <v>0</v>
      </c>
      <c r="U26" s="14">
        <f t="shared" si="1"/>
        <v>-19.698872371697362</v>
      </c>
      <c r="V26" s="15">
        <f t="shared" si="2"/>
        <v>749.80285590860024</v>
      </c>
    </row>
    <row r="27" spans="2:22" x14ac:dyDescent="0.3">
      <c r="B27" t="s">
        <v>905</v>
      </c>
      <c r="C27" s="79">
        <v>1.1000000000000001</v>
      </c>
      <c r="D27" s="78">
        <v>45943</v>
      </c>
      <c r="E27">
        <v>11</v>
      </c>
      <c r="F27" t="s">
        <v>932</v>
      </c>
      <c r="G27" t="s">
        <v>933</v>
      </c>
      <c r="H27">
        <v>7</v>
      </c>
      <c r="I27">
        <v>16</v>
      </c>
      <c r="J27" t="s">
        <v>935</v>
      </c>
      <c r="K27" t="s">
        <v>943</v>
      </c>
      <c r="M27" s="4">
        <v>41</v>
      </c>
      <c r="N27" s="4" t="s">
        <v>58</v>
      </c>
      <c r="O27" s="12">
        <v>46029.574236111112</v>
      </c>
      <c r="P27" s="5">
        <v>7.4141089999999998</v>
      </c>
      <c r="Q27" s="5">
        <v>-18.999872704130865</v>
      </c>
      <c r="R27" s="13">
        <f t="shared" si="0"/>
        <v>7.4141089999999998</v>
      </c>
      <c r="S27" s="42">
        <f t="shared" si="3"/>
        <v>94.751102817962661</v>
      </c>
      <c r="T27" s="13">
        <v>0</v>
      </c>
      <c r="U27" s="14">
        <f t="shared" si="1"/>
        <v>-18.999872704130865</v>
      </c>
      <c r="V27" s="15">
        <f t="shared" si="2"/>
        <v>702.49500416258229</v>
      </c>
    </row>
    <row r="28" spans="2:22" x14ac:dyDescent="0.3">
      <c r="B28" t="s">
        <v>905</v>
      </c>
      <c r="C28" s="79">
        <v>1.1000000000000001</v>
      </c>
      <c r="D28" s="78">
        <v>45943</v>
      </c>
      <c r="E28">
        <v>14</v>
      </c>
      <c r="F28" t="s">
        <v>906</v>
      </c>
      <c r="G28" t="s">
        <v>907</v>
      </c>
      <c r="H28">
        <v>7</v>
      </c>
      <c r="I28">
        <v>17</v>
      </c>
      <c r="J28" t="s">
        <v>24</v>
      </c>
      <c r="K28" t="s">
        <v>944</v>
      </c>
      <c r="M28" s="1">
        <v>42</v>
      </c>
      <c r="N28" s="1" t="s">
        <v>59</v>
      </c>
      <c r="O28" s="2">
        <v>46029.578032407408</v>
      </c>
      <c r="P28" s="3">
        <v>5.808217</v>
      </c>
      <c r="Q28" s="3">
        <v>-16.305256259150219</v>
      </c>
      <c r="R28" s="13">
        <f t="shared" si="0"/>
        <v>5.808217</v>
      </c>
      <c r="S28" s="42">
        <f t="shared" si="3"/>
        <v>94.751102817962661</v>
      </c>
      <c r="T28" s="13">
        <v>0</v>
      </c>
      <c r="U28" s="14">
        <f t="shared" si="1"/>
        <v>-16.305256259150219</v>
      </c>
      <c r="V28" s="15">
        <f t="shared" si="2"/>
        <v>550.3349661560386</v>
      </c>
    </row>
    <row r="29" spans="2:22" x14ac:dyDescent="0.3">
      <c r="B29" t="s">
        <v>905</v>
      </c>
      <c r="C29" s="79">
        <v>1.1000000000000001</v>
      </c>
      <c r="D29" s="78">
        <v>45943</v>
      </c>
      <c r="E29">
        <v>9</v>
      </c>
      <c r="F29" t="s">
        <v>910</v>
      </c>
      <c r="G29" t="s">
        <v>15</v>
      </c>
      <c r="H29">
        <v>7</v>
      </c>
      <c r="I29">
        <v>18</v>
      </c>
      <c r="J29" t="s">
        <v>24</v>
      </c>
      <c r="K29" t="s">
        <v>945</v>
      </c>
      <c r="M29" s="4">
        <v>43</v>
      </c>
      <c r="N29" s="4" t="s">
        <v>60</v>
      </c>
      <c r="O29" s="12">
        <v>46029.581770833334</v>
      </c>
      <c r="P29" s="5">
        <v>6.9208730000000003</v>
      </c>
      <c r="Q29" s="5">
        <v>-17.9787622440871</v>
      </c>
      <c r="R29" s="13">
        <f t="shared" si="0"/>
        <v>6.9208730000000003</v>
      </c>
      <c r="S29" s="42">
        <f t="shared" si="3"/>
        <v>94.751102817962661</v>
      </c>
      <c r="T29" s="13">
        <v>0</v>
      </c>
      <c r="U29" s="14">
        <f t="shared" si="1"/>
        <v>-17.9787622440871</v>
      </c>
      <c r="V29" s="15">
        <f t="shared" si="2"/>
        <v>655.76034921306177</v>
      </c>
    </row>
    <row r="30" spans="2:22" x14ac:dyDescent="0.3">
      <c r="B30" t="s">
        <v>905</v>
      </c>
      <c r="C30" s="79">
        <v>1.1000000000000001</v>
      </c>
      <c r="D30" s="78">
        <v>45943</v>
      </c>
      <c r="E30">
        <v>10</v>
      </c>
      <c r="F30" t="s">
        <v>913</v>
      </c>
      <c r="G30" t="s">
        <v>914</v>
      </c>
      <c r="H30">
        <v>7</v>
      </c>
      <c r="I30">
        <v>19</v>
      </c>
      <c r="J30" t="s">
        <v>24</v>
      </c>
      <c r="K30" t="s">
        <v>946</v>
      </c>
      <c r="L30" t="s">
        <v>916</v>
      </c>
      <c r="M30" s="1">
        <v>44</v>
      </c>
      <c r="N30" s="1" t="s">
        <v>61</v>
      </c>
      <c r="O30" s="2">
        <v>46029.585532407407</v>
      </c>
      <c r="P30" s="3">
        <v>7.3574409999999997</v>
      </c>
      <c r="Q30" s="3">
        <v>-18.941961943549966</v>
      </c>
      <c r="R30" s="13">
        <f t="shared" si="0"/>
        <v>7.3574409999999997</v>
      </c>
      <c r="S30" s="42">
        <f t="shared" si="3"/>
        <v>94.751102817962661</v>
      </c>
      <c r="T30" s="13">
        <v>0</v>
      </c>
      <c r="U30" s="14">
        <f t="shared" si="1"/>
        <v>-18.941961943549966</v>
      </c>
      <c r="V30" s="15">
        <f t="shared" si="2"/>
        <v>697.12564866809396</v>
      </c>
    </row>
    <row r="31" spans="2:22" x14ac:dyDescent="0.3">
      <c r="B31" t="s">
        <v>905</v>
      </c>
      <c r="C31" s="79">
        <v>1.1000000000000001</v>
      </c>
      <c r="D31" s="78">
        <v>45943</v>
      </c>
      <c r="E31">
        <v>12</v>
      </c>
      <c r="F31" t="s">
        <v>917</v>
      </c>
      <c r="G31" t="s">
        <v>918</v>
      </c>
      <c r="H31">
        <v>7</v>
      </c>
      <c r="I31">
        <v>20</v>
      </c>
      <c r="J31" t="s">
        <v>24</v>
      </c>
      <c r="K31" t="s">
        <v>947</v>
      </c>
      <c r="L31" t="s">
        <v>920</v>
      </c>
      <c r="M31" s="4">
        <v>45</v>
      </c>
      <c r="N31" s="4" t="s">
        <v>62</v>
      </c>
      <c r="O31" s="12">
        <v>46029.589259259257</v>
      </c>
      <c r="P31" s="5">
        <v>7.6329095000000002</v>
      </c>
      <c r="Q31" s="5">
        <v>-18.745306576982649</v>
      </c>
      <c r="R31" s="13">
        <f t="shared" si="0"/>
        <v>7.6329095000000002</v>
      </c>
      <c r="S31" s="42">
        <f t="shared" si="3"/>
        <v>94.751102817962661</v>
      </c>
      <c r="T31" s="13">
        <v>0</v>
      </c>
      <c r="U31" s="14">
        <f t="shared" si="1"/>
        <v>-18.745306576982649</v>
      </c>
      <c r="V31" s="15">
        <f t="shared" si="2"/>
        <v>723.22659283470398</v>
      </c>
    </row>
    <row r="32" spans="2:22" x14ac:dyDescent="0.3">
      <c r="B32" t="s">
        <v>905</v>
      </c>
      <c r="C32" s="79">
        <v>1.1000000000000001</v>
      </c>
      <c r="D32" s="78">
        <v>45943</v>
      </c>
      <c r="E32">
        <v>13</v>
      </c>
      <c r="F32" t="s">
        <v>921</v>
      </c>
      <c r="G32" t="s">
        <v>922</v>
      </c>
      <c r="H32">
        <v>7</v>
      </c>
      <c r="I32">
        <v>21</v>
      </c>
      <c r="J32" t="s">
        <v>24</v>
      </c>
      <c r="K32" t="s">
        <v>948</v>
      </c>
      <c r="L32" t="s">
        <v>924</v>
      </c>
      <c r="M32" s="1">
        <v>46</v>
      </c>
      <c r="N32" s="1" t="s">
        <v>63</v>
      </c>
      <c r="O32" s="2">
        <v>46029.593009259261</v>
      </c>
      <c r="P32" s="3">
        <v>7.4043979999999996</v>
      </c>
      <c r="Q32" s="3">
        <v>-19.084066621286347</v>
      </c>
      <c r="R32" s="13">
        <f t="shared" si="0"/>
        <v>7.4043979999999996</v>
      </c>
      <c r="S32" s="42">
        <f t="shared" si="3"/>
        <v>94.751102817962661</v>
      </c>
      <c r="T32" s="13">
        <v>0</v>
      </c>
      <c r="U32" s="14">
        <f t="shared" si="1"/>
        <v>-19.084066621286347</v>
      </c>
      <c r="V32" s="15">
        <f t="shared" si="2"/>
        <v>701.57487620311701</v>
      </c>
    </row>
    <row r="33" spans="2:22" x14ac:dyDescent="0.3">
      <c r="B33" t="s">
        <v>905</v>
      </c>
      <c r="C33" s="79">
        <v>1.1000000000000001</v>
      </c>
      <c r="D33" s="78">
        <v>45943</v>
      </c>
      <c r="E33">
        <v>16</v>
      </c>
      <c r="F33" t="s">
        <v>925</v>
      </c>
      <c r="G33" t="s">
        <v>926</v>
      </c>
      <c r="H33">
        <v>7</v>
      </c>
      <c r="I33">
        <v>22</v>
      </c>
      <c r="J33" t="s">
        <v>24</v>
      </c>
      <c r="K33" t="s">
        <v>949</v>
      </c>
      <c r="L33" t="s">
        <v>928</v>
      </c>
      <c r="M33" s="4">
        <v>47</v>
      </c>
      <c r="N33" s="4" t="s">
        <v>64</v>
      </c>
      <c r="O33" s="12">
        <v>46029.596736111111</v>
      </c>
      <c r="P33" s="5">
        <v>7.1792290000000003</v>
      </c>
      <c r="Q33" s="5">
        <v>-18.875183747942192</v>
      </c>
      <c r="R33" s="13">
        <f t="shared" si="0"/>
        <v>7.1792290000000003</v>
      </c>
      <c r="S33" s="42">
        <f t="shared" si="3"/>
        <v>94.751102817962661</v>
      </c>
      <c r="T33" s="13">
        <v>0</v>
      </c>
      <c r="U33" s="14">
        <f t="shared" si="1"/>
        <v>-18.875183747942192</v>
      </c>
      <c r="V33" s="15">
        <f t="shared" si="2"/>
        <v>680.23986513269926</v>
      </c>
    </row>
    <row r="34" spans="2:22" x14ac:dyDescent="0.3">
      <c r="B34" t="s">
        <v>905</v>
      </c>
      <c r="C34" s="79">
        <v>1.1000000000000001</v>
      </c>
      <c r="D34" s="78">
        <v>45943</v>
      </c>
      <c r="E34">
        <v>15</v>
      </c>
      <c r="F34" t="s">
        <v>929</v>
      </c>
      <c r="G34" t="s">
        <v>930</v>
      </c>
      <c r="H34">
        <v>7</v>
      </c>
      <c r="I34">
        <v>23</v>
      </c>
      <c r="J34" t="s">
        <v>24</v>
      </c>
      <c r="K34" t="s">
        <v>950</v>
      </c>
      <c r="M34" s="1">
        <v>48</v>
      </c>
      <c r="N34" s="1" t="s">
        <v>65</v>
      </c>
      <c r="O34" s="2">
        <v>46029.600474537037</v>
      </c>
      <c r="P34" s="3">
        <v>8.1519569999999995</v>
      </c>
      <c r="Q34" s="3">
        <v>-19.706635774496807</v>
      </c>
      <c r="R34" s="13">
        <f t="shared" si="0"/>
        <v>8.1519569999999995</v>
      </c>
      <c r="S34" s="42">
        <f t="shared" si="3"/>
        <v>94.751102817962661</v>
      </c>
      <c r="T34" s="13">
        <v>0</v>
      </c>
      <c r="U34" s="14">
        <f t="shared" si="1"/>
        <v>-19.706635774496807</v>
      </c>
      <c r="V34" s="15">
        <f t="shared" si="2"/>
        <v>772.40691587461038</v>
      </c>
    </row>
    <row r="35" spans="2:22" x14ac:dyDescent="0.3">
      <c r="B35" t="s">
        <v>905</v>
      </c>
      <c r="C35" s="79">
        <v>1.1000000000000001</v>
      </c>
      <c r="D35" s="78">
        <v>45943</v>
      </c>
      <c r="E35">
        <v>11</v>
      </c>
      <c r="F35" t="s">
        <v>932</v>
      </c>
      <c r="G35" t="s">
        <v>933</v>
      </c>
      <c r="H35">
        <v>7</v>
      </c>
      <c r="I35">
        <v>24</v>
      </c>
      <c r="J35" t="s">
        <v>24</v>
      </c>
      <c r="K35" t="s">
        <v>951</v>
      </c>
      <c r="M35" s="4">
        <v>49</v>
      </c>
      <c r="N35" s="4" t="s">
        <v>66</v>
      </c>
      <c r="O35" s="12">
        <v>46029.604212962964</v>
      </c>
      <c r="P35" s="5">
        <v>7.6339459999999999</v>
      </c>
      <c r="Q35" s="5">
        <v>-19.239275754316715</v>
      </c>
      <c r="R35" s="13">
        <f t="shared" si="0"/>
        <v>7.6339459999999999</v>
      </c>
      <c r="S35" s="42">
        <f t="shared" si="3"/>
        <v>94.751102817962661</v>
      </c>
      <c r="T35" s="13">
        <v>0</v>
      </c>
      <c r="U35" s="14">
        <f t="shared" si="1"/>
        <v>-19.239275754316715</v>
      </c>
      <c r="V35" s="15">
        <f t="shared" si="2"/>
        <v>723.32480235277478</v>
      </c>
    </row>
    <row r="36" spans="2:22" x14ac:dyDescent="0.3">
      <c r="B36" t="s">
        <v>905</v>
      </c>
      <c r="C36" s="79">
        <v>1.1000000000000001</v>
      </c>
      <c r="D36" s="78">
        <v>45943</v>
      </c>
      <c r="E36">
        <v>14</v>
      </c>
      <c r="F36" t="s">
        <v>906</v>
      </c>
      <c r="G36" t="s">
        <v>907</v>
      </c>
      <c r="H36">
        <v>7</v>
      </c>
      <c r="I36">
        <v>25</v>
      </c>
      <c r="J36" t="s">
        <v>25</v>
      </c>
      <c r="K36" t="s">
        <v>952</v>
      </c>
      <c r="M36" s="1">
        <v>50</v>
      </c>
      <c r="N36" s="1" t="s">
        <v>67</v>
      </c>
      <c r="O36" s="2">
        <v>46029.607951388891</v>
      </c>
      <c r="P36" s="3">
        <v>6.1353609999999996</v>
      </c>
      <c r="Q36" s="3">
        <v>-17.309196843389064</v>
      </c>
      <c r="R36" s="13">
        <f t="shared" si="0"/>
        <v>6.1353609999999996</v>
      </c>
      <c r="S36" s="42">
        <f t="shared" si="3"/>
        <v>94.751102817962661</v>
      </c>
      <c r="T36" s="13">
        <v>0</v>
      </c>
      <c r="U36" s="14">
        <f t="shared" si="1"/>
        <v>-17.309196843389064</v>
      </c>
      <c r="V36" s="15">
        <f t="shared" si="2"/>
        <v>581.33222093631821</v>
      </c>
    </row>
    <row r="37" spans="2:22" x14ac:dyDescent="0.3">
      <c r="B37" t="s">
        <v>905</v>
      </c>
      <c r="C37" s="79">
        <v>1.1000000000000001</v>
      </c>
      <c r="D37" s="78">
        <v>45943</v>
      </c>
      <c r="E37">
        <v>9</v>
      </c>
      <c r="F37" t="s">
        <v>910</v>
      </c>
      <c r="G37" t="s">
        <v>15</v>
      </c>
      <c r="H37">
        <v>7</v>
      </c>
      <c r="I37">
        <v>26</v>
      </c>
      <c r="J37" t="s">
        <v>25</v>
      </c>
      <c r="K37" t="s">
        <v>953</v>
      </c>
      <c r="M37" s="4">
        <v>51</v>
      </c>
      <c r="N37" s="4" t="s">
        <v>68</v>
      </c>
      <c r="O37" s="12">
        <v>46029.611689814818</v>
      </c>
      <c r="P37" s="5">
        <v>6.6075619999999997</v>
      </c>
      <c r="Q37" s="5">
        <v>-17.815774988954225</v>
      </c>
      <c r="R37" s="13">
        <f t="shared" si="0"/>
        <v>6.6075619999999997</v>
      </c>
      <c r="S37" s="42">
        <f t="shared" si="3"/>
        <v>94.751102817962661</v>
      </c>
      <c r="T37" s="13">
        <v>0</v>
      </c>
      <c r="U37" s="14">
        <f t="shared" si="1"/>
        <v>-17.815774988954225</v>
      </c>
      <c r="V37" s="15">
        <f t="shared" si="2"/>
        <v>626.07378643806294</v>
      </c>
    </row>
    <row r="38" spans="2:22" x14ac:dyDescent="0.3">
      <c r="B38" t="s">
        <v>905</v>
      </c>
      <c r="C38" s="79">
        <v>1.1000000000000001</v>
      </c>
      <c r="D38" s="78">
        <v>45943</v>
      </c>
      <c r="E38">
        <v>10</v>
      </c>
      <c r="F38" t="s">
        <v>913</v>
      </c>
      <c r="G38" t="s">
        <v>914</v>
      </c>
      <c r="H38">
        <v>7</v>
      </c>
      <c r="I38">
        <v>27</v>
      </c>
      <c r="J38" t="s">
        <v>25</v>
      </c>
      <c r="K38" t="s">
        <v>954</v>
      </c>
      <c r="L38" t="s">
        <v>916</v>
      </c>
      <c r="M38" s="1">
        <v>52</v>
      </c>
      <c r="N38" s="1" t="s">
        <v>69</v>
      </c>
      <c r="O38" s="2">
        <v>46029.615439814814</v>
      </c>
      <c r="P38" s="3">
        <v>7.3549449999999998</v>
      </c>
      <c r="Q38" s="3">
        <v>-19.109430823443375</v>
      </c>
      <c r="R38" s="13">
        <f t="shared" si="0"/>
        <v>7.3549449999999998</v>
      </c>
      <c r="S38" s="42">
        <f t="shared" si="3"/>
        <v>94.751102817962661</v>
      </c>
      <c r="T38" s="13">
        <v>0</v>
      </c>
      <c r="U38" s="14">
        <f t="shared" si="1"/>
        <v>-19.109430823443375</v>
      </c>
      <c r="V38" s="15">
        <f t="shared" si="2"/>
        <v>696.88914991546039</v>
      </c>
    </row>
    <row r="39" spans="2:22" x14ac:dyDescent="0.3">
      <c r="B39" t="s">
        <v>905</v>
      </c>
      <c r="C39" s="79">
        <v>1.1000000000000001</v>
      </c>
      <c r="D39" s="78">
        <v>45943</v>
      </c>
      <c r="E39">
        <v>12</v>
      </c>
      <c r="F39" t="s">
        <v>917</v>
      </c>
      <c r="G39" t="s">
        <v>918</v>
      </c>
      <c r="H39">
        <v>7</v>
      </c>
      <c r="I39">
        <v>28</v>
      </c>
      <c r="J39" t="s">
        <v>25</v>
      </c>
      <c r="K39" t="s">
        <v>955</v>
      </c>
      <c r="L39" t="s">
        <v>920</v>
      </c>
      <c r="M39" s="4">
        <v>53</v>
      </c>
      <c r="N39" s="4" t="s">
        <v>70</v>
      </c>
      <c r="O39" s="12">
        <v>46029.619166666664</v>
      </c>
      <c r="P39" s="5">
        <v>7.6109419999999997</v>
      </c>
      <c r="Q39" s="5">
        <v>-18.972206086348152</v>
      </c>
      <c r="R39" s="13">
        <f t="shared" si="0"/>
        <v>7.6109419999999997</v>
      </c>
      <c r="S39" s="42">
        <f t="shared" si="3"/>
        <v>94.751102817962661</v>
      </c>
      <c r="T39" s="13">
        <v>0</v>
      </c>
      <c r="U39" s="14">
        <f t="shared" si="1"/>
        <v>-18.972206086348152</v>
      </c>
      <c r="V39" s="15">
        <f t="shared" si="2"/>
        <v>721.14514798355037</v>
      </c>
    </row>
    <row r="40" spans="2:22" x14ac:dyDescent="0.3">
      <c r="B40" t="s">
        <v>905</v>
      </c>
      <c r="C40" s="79">
        <v>1.1000000000000001</v>
      </c>
      <c r="D40" s="78">
        <v>45943</v>
      </c>
      <c r="E40">
        <v>13</v>
      </c>
      <c r="F40" t="s">
        <v>921</v>
      </c>
      <c r="G40" t="s">
        <v>922</v>
      </c>
      <c r="H40">
        <v>7</v>
      </c>
      <c r="I40">
        <v>29</v>
      </c>
      <c r="J40" t="s">
        <v>25</v>
      </c>
      <c r="K40" t="s">
        <v>956</v>
      </c>
      <c r="L40" t="s">
        <v>924</v>
      </c>
      <c r="M40" s="1">
        <v>54</v>
      </c>
      <c r="N40" s="1" t="s">
        <v>71</v>
      </c>
      <c r="O40" s="2">
        <v>46029.622928240744</v>
      </c>
      <c r="P40" s="3">
        <v>7.2592460000000001</v>
      </c>
      <c r="Q40" s="3">
        <v>-19.266465222087685</v>
      </c>
      <c r="R40" s="13">
        <f t="shared" si="0"/>
        <v>7.2592460000000001</v>
      </c>
      <c r="S40" s="42">
        <f t="shared" si="3"/>
        <v>94.751102817962661</v>
      </c>
      <c r="T40" s="13">
        <v>0</v>
      </c>
      <c r="U40" s="14">
        <f t="shared" si="1"/>
        <v>-19.266465222087685</v>
      </c>
      <c r="V40" s="15">
        <f t="shared" si="2"/>
        <v>687.82156412688414</v>
      </c>
    </row>
    <row r="41" spans="2:22" x14ac:dyDescent="0.3">
      <c r="B41" t="s">
        <v>905</v>
      </c>
      <c r="C41" s="79">
        <v>1.1000000000000001</v>
      </c>
      <c r="D41" s="78">
        <v>45943</v>
      </c>
      <c r="E41">
        <v>16</v>
      </c>
      <c r="F41" t="s">
        <v>925</v>
      </c>
      <c r="G41" t="s">
        <v>926</v>
      </c>
      <c r="H41">
        <v>7</v>
      </c>
      <c r="I41">
        <v>30</v>
      </c>
      <c r="J41" t="s">
        <v>25</v>
      </c>
      <c r="K41" t="s">
        <v>957</v>
      </c>
      <c r="L41" t="s">
        <v>928</v>
      </c>
      <c r="M41" s="4">
        <v>55</v>
      </c>
      <c r="N41" s="4" t="s">
        <v>72</v>
      </c>
      <c r="O41" s="12">
        <v>46029.626666666663</v>
      </c>
      <c r="P41" s="5">
        <v>7.5514405</v>
      </c>
      <c r="Q41" s="5">
        <v>-18.998655395105569</v>
      </c>
      <c r="R41" s="13">
        <f t="shared" si="0"/>
        <v>7.5514405</v>
      </c>
      <c r="S41" s="42">
        <f t="shared" si="3"/>
        <v>94.751102817962661</v>
      </c>
      <c r="T41" s="13">
        <v>0</v>
      </c>
      <c r="U41" s="14">
        <f t="shared" si="1"/>
        <v>-18.998655395105569</v>
      </c>
      <c r="V41" s="15">
        <f t="shared" si="2"/>
        <v>715.50731523922741</v>
      </c>
    </row>
    <row r="42" spans="2:22" x14ac:dyDescent="0.3">
      <c r="B42" t="s">
        <v>905</v>
      </c>
      <c r="C42" s="79">
        <v>1.1000000000000001</v>
      </c>
      <c r="D42" s="78">
        <v>45943</v>
      </c>
      <c r="E42">
        <v>15</v>
      </c>
      <c r="F42" t="s">
        <v>929</v>
      </c>
      <c r="G42" t="s">
        <v>930</v>
      </c>
      <c r="H42">
        <v>7</v>
      </c>
      <c r="I42">
        <v>31</v>
      </c>
      <c r="J42" t="s">
        <v>25</v>
      </c>
      <c r="K42" t="s">
        <v>958</v>
      </c>
      <c r="M42" s="1">
        <v>56</v>
      </c>
      <c r="N42" s="1" t="s">
        <v>73</v>
      </c>
      <c r="O42" s="2">
        <v>46029.630416666667</v>
      </c>
      <c r="P42" s="3">
        <v>8.4285060000000005</v>
      </c>
      <c r="Q42" s="3">
        <v>-19.813442532969212</v>
      </c>
      <c r="R42" s="13">
        <f t="shared" si="0"/>
        <v>8.4285060000000005</v>
      </c>
      <c r="S42" s="42">
        <f t="shared" si="3"/>
        <v>94.751102817962661</v>
      </c>
      <c r="T42" s="13">
        <v>0</v>
      </c>
      <c r="U42" s="14">
        <f t="shared" si="1"/>
        <v>-19.813442532969212</v>
      </c>
      <c r="V42" s="15">
        <f t="shared" si="2"/>
        <v>798.61023860781529</v>
      </c>
    </row>
    <row r="43" spans="2:22" x14ac:dyDescent="0.3">
      <c r="B43" t="s">
        <v>905</v>
      </c>
      <c r="C43" s="79">
        <v>1.1000000000000001</v>
      </c>
      <c r="D43" s="78">
        <v>45943</v>
      </c>
      <c r="E43">
        <v>11</v>
      </c>
      <c r="F43" t="s">
        <v>932</v>
      </c>
      <c r="G43" t="s">
        <v>933</v>
      </c>
      <c r="H43">
        <v>7</v>
      </c>
      <c r="I43">
        <v>32</v>
      </c>
      <c r="J43" t="s">
        <v>25</v>
      </c>
      <c r="K43" t="s">
        <v>959</v>
      </c>
      <c r="M43" s="4">
        <v>57</v>
      </c>
      <c r="N43" s="4" t="s">
        <v>74</v>
      </c>
      <c r="O43" s="12">
        <v>46029.634143518517</v>
      </c>
      <c r="P43" s="5">
        <v>7.916436</v>
      </c>
      <c r="Q43" s="5">
        <v>-19.158275193162126</v>
      </c>
      <c r="R43" s="13">
        <f t="shared" si="0"/>
        <v>7.916436</v>
      </c>
      <c r="S43" s="42">
        <f t="shared" si="3"/>
        <v>94.751102817962661</v>
      </c>
      <c r="T43" s="13">
        <v>0</v>
      </c>
      <c r="U43" s="14">
        <f t="shared" si="1"/>
        <v>-19.158275193162126</v>
      </c>
      <c r="V43" s="15">
        <f t="shared" si="2"/>
        <v>750.09104138782106</v>
      </c>
    </row>
    <row r="44" spans="2:22" x14ac:dyDescent="0.3">
      <c r="B44" t="s">
        <v>905</v>
      </c>
      <c r="C44" s="79">
        <v>1.2</v>
      </c>
      <c r="D44" s="78">
        <v>45944</v>
      </c>
      <c r="E44">
        <v>14</v>
      </c>
      <c r="F44" t="s">
        <v>906</v>
      </c>
      <c r="G44" t="s">
        <v>907</v>
      </c>
      <c r="H44">
        <v>25</v>
      </c>
      <c r="I44">
        <v>1</v>
      </c>
      <c r="J44" t="s">
        <v>908</v>
      </c>
      <c r="K44" t="s">
        <v>960</v>
      </c>
      <c r="M44" s="1">
        <v>58</v>
      </c>
      <c r="N44" s="1" t="s">
        <v>75</v>
      </c>
      <c r="O44" s="2">
        <v>46029.63789351852</v>
      </c>
      <c r="P44" s="3">
        <v>6.3685444999999996</v>
      </c>
      <c r="Q44" s="3">
        <v>-17.33890307132685</v>
      </c>
      <c r="R44" s="13">
        <f t="shared" si="0"/>
        <v>6.3685444999999996</v>
      </c>
      <c r="S44" s="42">
        <f t="shared" si="3"/>
        <v>94.751102817962661</v>
      </c>
      <c r="T44" s="13">
        <v>0</v>
      </c>
      <c r="U44" s="14">
        <f t="shared" si="1"/>
        <v>-17.33890307132685</v>
      </c>
      <c r="V44" s="15">
        <f t="shared" si="2"/>
        <v>603.42661472027055</v>
      </c>
    </row>
    <row r="45" spans="2:22" x14ac:dyDescent="0.3">
      <c r="B45" t="s">
        <v>905</v>
      </c>
      <c r="C45" s="79">
        <v>1.2</v>
      </c>
      <c r="D45" s="78">
        <v>45944</v>
      </c>
      <c r="E45">
        <v>9</v>
      </c>
      <c r="F45" t="s">
        <v>910</v>
      </c>
      <c r="G45" t="s">
        <v>15</v>
      </c>
      <c r="H45">
        <v>25</v>
      </c>
      <c r="I45">
        <v>2</v>
      </c>
      <c r="J45" t="s">
        <v>908</v>
      </c>
      <c r="K45" t="s">
        <v>961</v>
      </c>
      <c r="M45" s="4">
        <v>59</v>
      </c>
      <c r="N45" s="4" t="s">
        <v>76</v>
      </c>
      <c r="O45" s="12">
        <v>46029.641608796293</v>
      </c>
      <c r="P45" s="5">
        <v>6.295445</v>
      </c>
      <c r="Q45" s="5">
        <v>-17.560134940436264</v>
      </c>
      <c r="R45" s="13">
        <f t="shared" si="0"/>
        <v>6.295445</v>
      </c>
      <c r="S45" s="42">
        <f t="shared" si="3"/>
        <v>94.751102817962661</v>
      </c>
      <c r="T45" s="13">
        <v>0</v>
      </c>
      <c r="U45" s="14">
        <f t="shared" si="1"/>
        <v>-17.560134940436264</v>
      </c>
      <c r="V45" s="15">
        <f t="shared" si="2"/>
        <v>596.50035647982895</v>
      </c>
    </row>
    <row r="46" spans="2:22" x14ac:dyDescent="0.3">
      <c r="B46" t="s">
        <v>905</v>
      </c>
      <c r="C46" s="79">
        <v>1.2</v>
      </c>
      <c r="D46" s="78">
        <v>45944</v>
      </c>
      <c r="E46">
        <v>10</v>
      </c>
      <c r="F46" t="s">
        <v>913</v>
      </c>
      <c r="G46" t="s">
        <v>914</v>
      </c>
      <c r="H46">
        <v>25</v>
      </c>
      <c r="I46">
        <v>3</v>
      </c>
      <c r="J46" t="s">
        <v>908</v>
      </c>
      <c r="K46" t="s">
        <v>962</v>
      </c>
      <c r="M46" s="1">
        <v>60</v>
      </c>
      <c r="N46" s="1" t="s">
        <v>77</v>
      </c>
      <c r="O46" s="2">
        <v>46029.64534722222</v>
      </c>
      <c r="P46" s="3">
        <v>6.5640565000000004</v>
      </c>
      <c r="Q46" s="3">
        <v>-17.847344217204448</v>
      </c>
      <c r="R46" s="13">
        <f t="shared" si="0"/>
        <v>6.5640565000000004</v>
      </c>
      <c r="S46" s="42">
        <f t="shared" si="3"/>
        <v>94.751102817962661</v>
      </c>
      <c r="T46" s="13">
        <v>0</v>
      </c>
      <c r="U46" s="14">
        <f t="shared" si="1"/>
        <v>-17.847344217204448</v>
      </c>
      <c r="V46" s="15">
        <f t="shared" si="2"/>
        <v>621.9515923344162</v>
      </c>
    </row>
    <row r="47" spans="2:22" x14ac:dyDescent="0.3">
      <c r="B47" t="s">
        <v>905</v>
      </c>
      <c r="C47" s="79">
        <v>1.2</v>
      </c>
      <c r="D47" s="78">
        <v>45944</v>
      </c>
      <c r="E47">
        <v>12</v>
      </c>
      <c r="F47" t="s">
        <v>917</v>
      </c>
      <c r="G47" t="s">
        <v>918</v>
      </c>
      <c r="H47">
        <v>25</v>
      </c>
      <c r="I47">
        <v>4</v>
      </c>
      <c r="J47" t="s">
        <v>908</v>
      </c>
      <c r="K47" t="s">
        <v>963</v>
      </c>
      <c r="M47" s="4">
        <v>61</v>
      </c>
      <c r="N47" s="4" t="s">
        <v>78</v>
      </c>
      <c r="O47" s="12">
        <v>46029.649085648147</v>
      </c>
      <c r="P47" s="5">
        <v>6.7118954999999998</v>
      </c>
      <c r="Q47" s="5">
        <v>-18.338740890068301</v>
      </c>
      <c r="R47" s="13">
        <f t="shared" si="0"/>
        <v>6.7118954999999998</v>
      </c>
      <c r="S47" s="42">
        <f t="shared" si="3"/>
        <v>94.751102817962661</v>
      </c>
      <c r="T47" s="13">
        <v>0</v>
      </c>
      <c r="U47" s="14">
        <f t="shared" si="1"/>
        <v>-18.338740890068301</v>
      </c>
      <c r="V47" s="15">
        <f t="shared" si="2"/>
        <v>635.95950062392092</v>
      </c>
    </row>
    <row r="48" spans="2:22" x14ac:dyDescent="0.3">
      <c r="B48" t="s">
        <v>905</v>
      </c>
      <c r="C48" s="79">
        <v>1.2</v>
      </c>
      <c r="D48" s="78">
        <v>45944</v>
      </c>
      <c r="E48">
        <v>13</v>
      </c>
      <c r="F48" t="s">
        <v>921</v>
      </c>
      <c r="G48" t="s">
        <v>922</v>
      </c>
      <c r="H48">
        <v>25</v>
      </c>
      <c r="I48">
        <v>5</v>
      </c>
      <c r="J48" t="s">
        <v>908</v>
      </c>
      <c r="K48" t="s">
        <v>964</v>
      </c>
      <c r="M48" s="1">
        <v>62</v>
      </c>
      <c r="N48" s="1" t="s">
        <v>79</v>
      </c>
      <c r="O48" s="2">
        <v>46029.652916666666</v>
      </c>
      <c r="P48" s="3">
        <v>6.7833114999999999</v>
      </c>
      <c r="Q48" s="3">
        <v>-18.202147626132579</v>
      </c>
      <c r="R48" s="13">
        <f t="shared" si="0"/>
        <v>6.7833114999999999</v>
      </c>
      <c r="S48" s="42">
        <f t="shared" si="3"/>
        <v>94.751102817962661</v>
      </c>
      <c r="T48" s="13">
        <v>0</v>
      </c>
      <c r="U48" s="14">
        <f t="shared" si="1"/>
        <v>-18.202147626132579</v>
      </c>
      <c r="V48" s="15">
        <f t="shared" si="2"/>
        <v>642.72624538276852</v>
      </c>
    </row>
    <row r="49" spans="2:22" x14ac:dyDescent="0.3">
      <c r="B49" t="s">
        <v>905</v>
      </c>
      <c r="C49" s="79">
        <v>1.2</v>
      </c>
      <c r="D49" s="78">
        <v>45944</v>
      </c>
      <c r="E49">
        <v>16</v>
      </c>
      <c r="F49" t="s">
        <v>925</v>
      </c>
      <c r="G49" t="s">
        <v>926</v>
      </c>
      <c r="H49">
        <v>25</v>
      </c>
      <c r="I49">
        <v>6</v>
      </c>
      <c r="J49" t="s">
        <v>908</v>
      </c>
      <c r="K49" t="s">
        <v>965</v>
      </c>
      <c r="M49" s="4">
        <v>63</v>
      </c>
      <c r="N49" s="4" t="s">
        <v>80</v>
      </c>
      <c r="O49" s="12">
        <v>46029.656655092593</v>
      </c>
      <c r="P49" s="5">
        <v>6.4810860000000003</v>
      </c>
      <c r="Q49" s="5">
        <v>-18.234134820635489</v>
      </c>
      <c r="R49" s="13">
        <f t="shared" si="0"/>
        <v>6.4810860000000003</v>
      </c>
      <c r="S49" s="42">
        <f t="shared" si="3"/>
        <v>94.751102817962661</v>
      </c>
      <c r="T49" s="13">
        <v>0</v>
      </c>
      <c r="U49" s="14">
        <f t="shared" si="1"/>
        <v>-18.234134820635489</v>
      </c>
      <c r="V49" s="15">
        <f t="shared" si="2"/>
        <v>614.09004595805834</v>
      </c>
    </row>
    <row r="50" spans="2:22" x14ac:dyDescent="0.3">
      <c r="B50" t="s">
        <v>905</v>
      </c>
      <c r="C50" s="79">
        <v>1.2</v>
      </c>
      <c r="D50" s="78">
        <v>45944</v>
      </c>
      <c r="E50">
        <v>15</v>
      </c>
      <c r="F50" t="s">
        <v>929</v>
      </c>
      <c r="G50" t="s">
        <v>930</v>
      </c>
      <c r="H50">
        <v>25</v>
      </c>
      <c r="I50">
        <v>7</v>
      </c>
      <c r="J50" t="s">
        <v>908</v>
      </c>
      <c r="K50" t="s">
        <v>966</v>
      </c>
      <c r="M50" s="1">
        <v>64</v>
      </c>
      <c r="N50" s="1" t="s">
        <v>81</v>
      </c>
      <c r="O50" s="2">
        <v>46029.660393518519</v>
      </c>
      <c r="P50" s="3">
        <v>6.5658130000000003</v>
      </c>
      <c r="Q50" s="3">
        <v>-18.305577343099586</v>
      </c>
      <c r="R50" s="13">
        <f t="shared" si="0"/>
        <v>6.5658130000000003</v>
      </c>
      <c r="S50" s="42">
        <f t="shared" si="3"/>
        <v>94.751102817962661</v>
      </c>
      <c r="T50" s="13">
        <v>0</v>
      </c>
      <c r="U50" s="14">
        <f t="shared" si="1"/>
        <v>-18.305577343099586</v>
      </c>
      <c r="V50" s="15">
        <f t="shared" si="2"/>
        <v>622.1180226465159</v>
      </c>
    </row>
    <row r="51" spans="2:22" x14ac:dyDescent="0.3">
      <c r="B51" t="s">
        <v>905</v>
      </c>
      <c r="C51" s="79">
        <v>1.2</v>
      </c>
      <c r="D51" s="78">
        <v>45944</v>
      </c>
      <c r="E51">
        <v>11</v>
      </c>
      <c r="F51" t="s">
        <v>932</v>
      </c>
      <c r="G51" t="s">
        <v>933</v>
      </c>
      <c r="H51">
        <v>25</v>
      </c>
      <c r="I51">
        <v>8</v>
      </c>
      <c r="J51" t="s">
        <v>908</v>
      </c>
      <c r="K51" t="s">
        <v>967</v>
      </c>
      <c r="M51" s="4">
        <v>65</v>
      </c>
      <c r="N51" s="4" t="s">
        <v>82</v>
      </c>
      <c r="O51" s="12">
        <v>46029.664131944446</v>
      </c>
      <c r="P51" s="5">
        <v>6.561769</v>
      </c>
      <c r="Q51" s="5">
        <v>-18.398985670852468</v>
      </c>
      <c r="R51" s="13">
        <f t="shared" si="0"/>
        <v>6.561769</v>
      </c>
      <c r="S51" s="42">
        <f t="shared" si="3"/>
        <v>94.751102817962661</v>
      </c>
      <c r="T51" s="13">
        <v>0</v>
      </c>
      <c r="U51" s="14">
        <f t="shared" si="1"/>
        <v>-18.398985670852468</v>
      </c>
      <c r="V51" s="15">
        <f t="shared" si="2"/>
        <v>621.73484918672</v>
      </c>
    </row>
    <row r="52" spans="2:22" x14ac:dyDescent="0.3">
      <c r="B52" t="s">
        <v>905</v>
      </c>
      <c r="C52" s="79">
        <v>1.2</v>
      </c>
      <c r="D52" s="78">
        <v>45944</v>
      </c>
      <c r="E52">
        <v>14</v>
      </c>
      <c r="F52" t="s">
        <v>906</v>
      </c>
      <c r="G52" t="s">
        <v>907</v>
      </c>
      <c r="H52">
        <v>25</v>
      </c>
      <c r="I52">
        <v>9</v>
      </c>
      <c r="J52" t="s">
        <v>935</v>
      </c>
      <c r="K52" t="s">
        <v>968</v>
      </c>
      <c r="M52" s="1">
        <v>66</v>
      </c>
      <c r="N52" s="1" t="s">
        <v>83</v>
      </c>
      <c r="O52" s="2">
        <v>46029.667881944442</v>
      </c>
      <c r="P52" s="3">
        <v>7.0653755</v>
      </c>
      <c r="Q52" s="3">
        <v>-18.823716493604184</v>
      </c>
      <c r="R52" s="13">
        <f t="shared" si="0"/>
        <v>7.0653755</v>
      </c>
      <c r="S52" s="42">
        <f t="shared" si="3"/>
        <v>94.751102817962661</v>
      </c>
      <c r="T52" s="13">
        <v>0</v>
      </c>
      <c r="U52" s="14">
        <f t="shared" si="1"/>
        <v>-18.823716493604184</v>
      </c>
      <c r="V52" s="15">
        <f t="shared" si="2"/>
        <v>669.4521204480144</v>
      </c>
    </row>
    <row r="53" spans="2:22" x14ac:dyDescent="0.3">
      <c r="B53" t="s">
        <v>905</v>
      </c>
      <c r="C53" s="79">
        <v>1.2</v>
      </c>
      <c r="D53" s="78">
        <v>45944</v>
      </c>
      <c r="E53">
        <v>9</v>
      </c>
      <c r="F53" t="s">
        <v>910</v>
      </c>
      <c r="G53" t="s">
        <v>15</v>
      </c>
      <c r="H53">
        <v>25</v>
      </c>
      <c r="I53">
        <v>10</v>
      </c>
      <c r="J53" t="s">
        <v>935</v>
      </c>
      <c r="K53" t="s">
        <v>969</v>
      </c>
      <c r="M53" s="4">
        <v>67</v>
      </c>
      <c r="N53" s="4" t="s">
        <v>84</v>
      </c>
      <c r="O53" s="12">
        <v>46029.671620370369</v>
      </c>
      <c r="P53" s="5">
        <v>6.4414550000000004</v>
      </c>
      <c r="Q53" s="5">
        <v>-18.17816498783181</v>
      </c>
      <c r="R53" s="13">
        <f t="shared" si="0"/>
        <v>6.4414550000000004</v>
      </c>
      <c r="S53" s="42">
        <f t="shared" si="3"/>
        <v>94.751102817962661</v>
      </c>
      <c r="T53" s="13">
        <v>0</v>
      </c>
      <c r="U53" s="14">
        <f t="shared" si="1"/>
        <v>-18.17816498783181</v>
      </c>
      <c r="V53" s="15">
        <f t="shared" si="2"/>
        <v>610.33496500227966</v>
      </c>
    </row>
    <row r="54" spans="2:22" x14ac:dyDescent="0.3">
      <c r="B54" t="s">
        <v>905</v>
      </c>
      <c r="C54" s="79">
        <v>1.2</v>
      </c>
      <c r="D54" s="78">
        <v>45944</v>
      </c>
      <c r="E54">
        <v>10</v>
      </c>
      <c r="F54" t="s">
        <v>913</v>
      </c>
      <c r="G54" t="s">
        <v>914</v>
      </c>
      <c r="H54">
        <v>25</v>
      </c>
      <c r="I54">
        <v>11</v>
      </c>
      <c r="J54" t="s">
        <v>935</v>
      </c>
      <c r="K54" t="s">
        <v>970</v>
      </c>
      <c r="M54" s="1">
        <v>68</v>
      </c>
      <c r="N54" s="1" t="s">
        <v>85</v>
      </c>
      <c r="O54" s="2">
        <v>46029.675439814811</v>
      </c>
      <c r="P54" s="3">
        <v>6.3558240000000001</v>
      </c>
      <c r="Q54" s="3">
        <v>-17.904504938158485</v>
      </c>
      <c r="R54" s="13">
        <f t="shared" si="0"/>
        <v>6.3558240000000001</v>
      </c>
      <c r="S54" s="42">
        <f t="shared" si="3"/>
        <v>94.751102817962661</v>
      </c>
      <c r="T54" s="13">
        <v>0</v>
      </c>
      <c r="U54" s="14">
        <f t="shared" si="1"/>
        <v>-17.904504938158485</v>
      </c>
      <c r="V54" s="15">
        <f t="shared" si="2"/>
        <v>602.22133331687473</v>
      </c>
    </row>
    <row r="55" spans="2:22" x14ac:dyDescent="0.3">
      <c r="B55" t="s">
        <v>905</v>
      </c>
      <c r="C55" s="79">
        <v>1.2</v>
      </c>
      <c r="D55" s="78">
        <v>45944</v>
      </c>
      <c r="E55">
        <v>12</v>
      </c>
      <c r="F55" t="s">
        <v>917</v>
      </c>
      <c r="G55" t="s">
        <v>918</v>
      </c>
      <c r="H55">
        <v>25</v>
      </c>
      <c r="I55">
        <v>12</v>
      </c>
      <c r="J55" t="s">
        <v>935</v>
      </c>
      <c r="K55" t="s">
        <v>971</v>
      </c>
      <c r="M55" s="4">
        <v>69</v>
      </c>
      <c r="N55" s="4" t="s">
        <v>86</v>
      </c>
      <c r="O55" s="12">
        <v>46029.679178240738</v>
      </c>
      <c r="P55" s="5">
        <v>6.4307080000000001</v>
      </c>
      <c r="Q55" s="5">
        <v>-18.268856232453189</v>
      </c>
      <c r="R55" s="13">
        <f t="shared" si="0"/>
        <v>6.4307080000000001</v>
      </c>
      <c r="S55" s="42">
        <f t="shared" si="3"/>
        <v>94.751102817962661</v>
      </c>
      <c r="T55" s="13">
        <v>0</v>
      </c>
      <c r="U55" s="14">
        <f t="shared" si="1"/>
        <v>-18.268856232453189</v>
      </c>
      <c r="V55" s="15">
        <f t="shared" si="2"/>
        <v>609.31667490029508</v>
      </c>
    </row>
    <row r="56" spans="2:22" x14ac:dyDescent="0.3">
      <c r="B56" t="s">
        <v>905</v>
      </c>
      <c r="C56" s="79">
        <v>1.2</v>
      </c>
      <c r="D56" s="78">
        <v>45944</v>
      </c>
      <c r="E56">
        <v>13</v>
      </c>
      <c r="F56" t="s">
        <v>921</v>
      </c>
      <c r="G56" t="s">
        <v>922</v>
      </c>
      <c r="H56">
        <v>25</v>
      </c>
      <c r="I56">
        <v>13</v>
      </c>
      <c r="J56" t="s">
        <v>935</v>
      </c>
      <c r="K56" t="s">
        <v>972</v>
      </c>
      <c r="M56" s="1">
        <v>70</v>
      </c>
      <c r="N56" s="1" t="s">
        <v>87</v>
      </c>
      <c r="O56" s="2">
        <v>46029.682916666665</v>
      </c>
      <c r="P56" s="3">
        <v>7.2525765</v>
      </c>
      <c r="Q56" s="3">
        <v>-19.201120168201008</v>
      </c>
      <c r="R56" s="13">
        <f t="shared" si="0"/>
        <v>7.2525765</v>
      </c>
      <c r="S56" s="42">
        <f t="shared" si="3"/>
        <v>94.751102817962661</v>
      </c>
      <c r="T56" s="13">
        <v>0</v>
      </c>
      <c r="U56" s="14">
        <f t="shared" si="1"/>
        <v>-19.201120168201008</v>
      </c>
      <c r="V56" s="15">
        <f t="shared" si="2"/>
        <v>687.18962164663981</v>
      </c>
    </row>
    <row r="57" spans="2:22" x14ac:dyDescent="0.3">
      <c r="B57" t="s">
        <v>905</v>
      </c>
      <c r="C57" s="79">
        <v>1.2</v>
      </c>
      <c r="D57" s="78">
        <v>45944</v>
      </c>
      <c r="E57">
        <v>16</v>
      </c>
      <c r="F57" t="s">
        <v>925</v>
      </c>
      <c r="G57" t="s">
        <v>926</v>
      </c>
      <c r="H57">
        <v>25</v>
      </c>
      <c r="I57">
        <v>14</v>
      </c>
      <c r="J57" t="s">
        <v>935</v>
      </c>
      <c r="K57" t="s">
        <v>973</v>
      </c>
      <c r="M57" s="4">
        <v>71</v>
      </c>
      <c r="N57" s="4" t="s">
        <v>88</v>
      </c>
      <c r="O57" s="12">
        <v>46029.686655092592</v>
      </c>
      <c r="P57" s="5">
        <v>7.2548849999999998</v>
      </c>
      <c r="Q57" s="5">
        <v>-19.112158260272846</v>
      </c>
      <c r="R57" s="13">
        <f t="shared" si="0"/>
        <v>7.2548849999999998</v>
      </c>
      <c r="S57" s="42">
        <f t="shared" si="3"/>
        <v>94.751102817962661</v>
      </c>
      <c r="T57" s="13">
        <v>0</v>
      </c>
      <c r="U57" s="14">
        <f t="shared" si="1"/>
        <v>-19.112158260272846</v>
      </c>
      <c r="V57" s="15">
        <f t="shared" si="2"/>
        <v>687.40835456749505</v>
      </c>
    </row>
    <row r="58" spans="2:22" x14ac:dyDescent="0.3">
      <c r="B58" t="s">
        <v>905</v>
      </c>
      <c r="C58" s="79">
        <v>1.2</v>
      </c>
      <c r="D58" s="78">
        <v>45944</v>
      </c>
      <c r="E58">
        <v>15</v>
      </c>
      <c r="F58" t="s">
        <v>929</v>
      </c>
      <c r="G58" t="s">
        <v>930</v>
      </c>
      <c r="H58">
        <v>25</v>
      </c>
      <c r="I58">
        <v>15</v>
      </c>
      <c r="J58" t="s">
        <v>935</v>
      </c>
      <c r="K58" t="s">
        <v>974</v>
      </c>
      <c r="M58" s="1">
        <v>72</v>
      </c>
      <c r="N58" s="1" t="s">
        <v>89</v>
      </c>
      <c r="O58" s="2">
        <v>46029.690393518518</v>
      </c>
      <c r="P58" s="3">
        <v>6.628088</v>
      </c>
      <c r="Q58" s="3">
        <v>-18.49821531620973</v>
      </c>
      <c r="R58" s="13">
        <f t="shared" si="0"/>
        <v>6.628088</v>
      </c>
      <c r="S58" s="42">
        <f t="shared" si="3"/>
        <v>94.751102817962661</v>
      </c>
      <c r="T58" s="13">
        <v>0</v>
      </c>
      <c r="U58" s="14">
        <f t="shared" si="1"/>
        <v>-18.49821531620973</v>
      </c>
      <c r="V58" s="15">
        <f t="shared" si="2"/>
        <v>628.01864757450448</v>
      </c>
    </row>
    <row r="59" spans="2:22" x14ac:dyDescent="0.3">
      <c r="B59" t="s">
        <v>905</v>
      </c>
      <c r="C59" s="79">
        <v>1.2</v>
      </c>
      <c r="D59" s="78">
        <v>45944</v>
      </c>
      <c r="E59">
        <v>11</v>
      </c>
      <c r="F59" t="s">
        <v>932</v>
      </c>
      <c r="G59" t="s">
        <v>933</v>
      </c>
      <c r="H59">
        <v>25</v>
      </c>
      <c r="I59">
        <v>16</v>
      </c>
      <c r="J59" t="s">
        <v>935</v>
      </c>
      <c r="K59" t="s">
        <v>975</v>
      </c>
      <c r="M59" s="4">
        <v>73</v>
      </c>
      <c r="N59" s="4" t="s">
        <v>90</v>
      </c>
      <c r="O59" s="12">
        <v>46029.694131944445</v>
      </c>
      <c r="P59" s="5">
        <v>6.5635694999999998</v>
      </c>
      <c r="Q59" s="5">
        <v>-18.530486005657362</v>
      </c>
      <c r="R59" s="13">
        <f t="shared" si="0"/>
        <v>6.5635694999999998</v>
      </c>
      <c r="S59" s="42">
        <f t="shared" si="3"/>
        <v>94.751102817962661</v>
      </c>
      <c r="T59" s="13">
        <v>0</v>
      </c>
      <c r="U59" s="14">
        <f t="shared" si="1"/>
        <v>-18.530486005657362</v>
      </c>
      <c r="V59" s="15">
        <f t="shared" si="2"/>
        <v>621.90544854734378</v>
      </c>
    </row>
    <row r="60" spans="2:22" x14ac:dyDescent="0.3">
      <c r="B60" t="s">
        <v>905</v>
      </c>
      <c r="C60" s="79">
        <v>1.2</v>
      </c>
      <c r="D60" s="78">
        <v>45944</v>
      </c>
      <c r="E60">
        <v>14</v>
      </c>
      <c r="F60" t="s">
        <v>906</v>
      </c>
      <c r="G60" t="s">
        <v>907</v>
      </c>
      <c r="H60">
        <v>25</v>
      </c>
      <c r="I60">
        <v>17</v>
      </c>
      <c r="J60" t="s">
        <v>24</v>
      </c>
      <c r="K60" t="s">
        <v>976</v>
      </c>
      <c r="M60" s="1">
        <v>74</v>
      </c>
      <c r="N60" s="1" t="s">
        <v>91</v>
      </c>
      <c r="O60" s="2">
        <v>46029.697881944441</v>
      </c>
      <c r="P60" s="3">
        <v>7.58209</v>
      </c>
      <c r="Q60" s="3">
        <v>-19.360228687138367</v>
      </c>
      <c r="R60" s="13">
        <f t="shared" si="0"/>
        <v>7.58209</v>
      </c>
      <c r="S60" s="42">
        <f t="shared" si="3"/>
        <v>94.751102817962661</v>
      </c>
      <c r="T60" s="13">
        <v>0</v>
      </c>
      <c r="U60" s="14">
        <f t="shared" si="1"/>
        <v>-19.360228687138367</v>
      </c>
      <c r="V60" s="15">
        <f t="shared" si="2"/>
        <v>718.41138916504656</v>
      </c>
    </row>
    <row r="61" spans="2:22" x14ac:dyDescent="0.3">
      <c r="B61" t="s">
        <v>905</v>
      </c>
      <c r="C61" s="79">
        <v>1.2</v>
      </c>
      <c r="D61" s="78">
        <v>45944</v>
      </c>
      <c r="E61">
        <v>9</v>
      </c>
      <c r="F61" t="s">
        <v>910</v>
      </c>
      <c r="G61" t="s">
        <v>15</v>
      </c>
      <c r="H61">
        <v>25</v>
      </c>
      <c r="I61">
        <v>18</v>
      </c>
      <c r="J61" t="s">
        <v>24</v>
      </c>
      <c r="K61" t="s">
        <v>977</v>
      </c>
      <c r="M61" s="4">
        <v>75</v>
      </c>
      <c r="N61" s="4" t="s">
        <v>92</v>
      </c>
      <c r="O61" s="12">
        <v>46029.70171296296</v>
      </c>
      <c r="P61" s="5">
        <v>6.7484409999999997</v>
      </c>
      <c r="Q61" s="5">
        <v>-18.591585752897306</v>
      </c>
      <c r="R61" s="13">
        <f t="shared" si="0"/>
        <v>6.7484409999999997</v>
      </c>
      <c r="S61" s="42">
        <f t="shared" si="3"/>
        <v>94.751102817962661</v>
      </c>
      <c r="T61" s="13">
        <v>0</v>
      </c>
      <c r="U61" s="14">
        <f t="shared" si="1"/>
        <v>-18.591585752897306</v>
      </c>
      <c r="V61" s="15">
        <f t="shared" si="2"/>
        <v>639.42222705195468</v>
      </c>
    </row>
    <row r="62" spans="2:22" x14ac:dyDescent="0.3">
      <c r="B62" t="s">
        <v>905</v>
      </c>
      <c r="C62" s="79">
        <v>1.2</v>
      </c>
      <c r="D62" s="78">
        <v>45944</v>
      </c>
      <c r="E62">
        <v>10</v>
      </c>
      <c r="F62" t="s">
        <v>913</v>
      </c>
      <c r="G62" t="s">
        <v>914</v>
      </c>
      <c r="H62">
        <v>25</v>
      </c>
      <c r="I62">
        <v>19</v>
      </c>
      <c r="J62" t="s">
        <v>24</v>
      </c>
      <c r="K62" t="s">
        <v>978</v>
      </c>
      <c r="M62" s="1">
        <v>76</v>
      </c>
      <c r="N62" s="1" t="s">
        <v>93</v>
      </c>
      <c r="O62" s="2">
        <v>46029.705462962964</v>
      </c>
      <c r="P62" s="3">
        <v>6.9546710000000003</v>
      </c>
      <c r="Q62" s="3">
        <v>-18.877404653714017</v>
      </c>
      <c r="R62" s="13">
        <f t="shared" si="0"/>
        <v>6.9546710000000003</v>
      </c>
      <c r="S62" s="42">
        <f t="shared" si="3"/>
        <v>94.751102817962661</v>
      </c>
      <c r="T62" s="13">
        <v>0</v>
      </c>
      <c r="U62" s="14">
        <f t="shared" si="1"/>
        <v>-18.877404653714017</v>
      </c>
      <c r="V62" s="15">
        <f t="shared" si="2"/>
        <v>658.96274698610318</v>
      </c>
    </row>
    <row r="63" spans="2:22" x14ac:dyDescent="0.3">
      <c r="B63" t="s">
        <v>905</v>
      </c>
      <c r="C63" s="79">
        <v>1.2</v>
      </c>
      <c r="D63" s="78">
        <v>45944</v>
      </c>
      <c r="E63">
        <v>12</v>
      </c>
      <c r="F63" t="s">
        <v>917</v>
      </c>
      <c r="G63" t="s">
        <v>918</v>
      </c>
      <c r="H63">
        <v>25</v>
      </c>
      <c r="I63">
        <v>20</v>
      </c>
      <c r="J63" t="s">
        <v>24</v>
      </c>
      <c r="K63" t="s">
        <v>979</v>
      </c>
      <c r="M63" s="4">
        <v>77</v>
      </c>
      <c r="N63" s="4" t="s">
        <v>94</v>
      </c>
      <c r="O63" s="12">
        <v>46029.709189814814</v>
      </c>
      <c r="P63" s="5">
        <v>6.6855989999999998</v>
      </c>
      <c r="Q63" s="5">
        <v>-18.635078222088808</v>
      </c>
      <c r="R63" s="13">
        <f t="shared" si="0"/>
        <v>6.6855989999999998</v>
      </c>
      <c r="S63" s="42">
        <f t="shared" si="3"/>
        <v>94.751102817962661</v>
      </c>
      <c r="T63" s="13">
        <v>0</v>
      </c>
      <c r="U63" s="14">
        <f t="shared" si="1"/>
        <v>-18.635078222088808</v>
      </c>
      <c r="V63" s="15">
        <f t="shared" si="2"/>
        <v>633.46787824866828</v>
      </c>
    </row>
    <row r="64" spans="2:22" x14ac:dyDescent="0.3">
      <c r="B64" t="s">
        <v>905</v>
      </c>
      <c r="C64" s="79">
        <v>1.2</v>
      </c>
      <c r="D64" s="78">
        <v>45944</v>
      </c>
      <c r="E64">
        <v>13</v>
      </c>
      <c r="F64" t="s">
        <v>921</v>
      </c>
      <c r="G64" t="s">
        <v>922</v>
      </c>
      <c r="H64">
        <v>25</v>
      </c>
      <c r="I64">
        <v>21</v>
      </c>
      <c r="J64" t="s">
        <v>24</v>
      </c>
      <c r="K64" t="s">
        <v>980</v>
      </c>
      <c r="M64" s="1">
        <v>78</v>
      </c>
      <c r="N64" s="1" t="s">
        <v>95</v>
      </c>
      <c r="O64" s="2">
        <v>46029.712939814817</v>
      </c>
      <c r="P64" s="3">
        <v>7.8155960000000002</v>
      </c>
      <c r="Q64" s="3">
        <v>-20.382516889525149</v>
      </c>
      <c r="R64" s="13">
        <f t="shared" si="0"/>
        <v>7.8155960000000002</v>
      </c>
      <c r="S64" s="42">
        <f t="shared" si="3"/>
        <v>94.751102817962661</v>
      </c>
      <c r="T64" s="13">
        <v>0</v>
      </c>
      <c r="U64" s="14">
        <f t="shared" si="1"/>
        <v>-20.382516889525149</v>
      </c>
      <c r="V64" s="15">
        <f t="shared" si="2"/>
        <v>740.53634017965771</v>
      </c>
    </row>
    <row r="65" spans="2:22" x14ac:dyDescent="0.3">
      <c r="B65" t="s">
        <v>905</v>
      </c>
      <c r="C65" s="79">
        <v>1.2</v>
      </c>
      <c r="D65" s="78">
        <v>45944</v>
      </c>
      <c r="E65">
        <v>16</v>
      </c>
      <c r="F65" t="s">
        <v>925</v>
      </c>
      <c r="G65" t="s">
        <v>926</v>
      </c>
      <c r="H65">
        <v>25</v>
      </c>
      <c r="I65">
        <v>22</v>
      </c>
      <c r="J65" t="s">
        <v>24</v>
      </c>
      <c r="K65" t="s">
        <v>981</v>
      </c>
      <c r="M65" s="4">
        <v>79</v>
      </c>
      <c r="N65" s="4" t="s">
        <v>96</v>
      </c>
      <c r="O65" s="12">
        <v>46029.716689814813</v>
      </c>
      <c r="P65" s="5">
        <v>7.6924025</v>
      </c>
      <c r="Q65" s="5">
        <v>-19.806460641367625</v>
      </c>
      <c r="R65" s="13">
        <f t="shared" si="0"/>
        <v>7.6924025</v>
      </c>
      <c r="S65" s="42">
        <f t="shared" si="3"/>
        <v>94.751102817962661</v>
      </c>
      <c r="T65" s="13">
        <v>0</v>
      </c>
      <c r="U65" s="14">
        <f t="shared" si="1"/>
        <v>-19.806460641367625</v>
      </c>
      <c r="V65" s="15">
        <f t="shared" si="2"/>
        <v>728.86362019465298</v>
      </c>
    </row>
    <row r="66" spans="2:22" x14ac:dyDescent="0.3">
      <c r="B66" t="s">
        <v>905</v>
      </c>
      <c r="C66" s="79">
        <v>1.2</v>
      </c>
      <c r="D66" s="78">
        <v>45944</v>
      </c>
      <c r="E66">
        <v>15</v>
      </c>
      <c r="F66" t="s">
        <v>929</v>
      </c>
      <c r="G66" t="s">
        <v>930</v>
      </c>
      <c r="H66">
        <v>25</v>
      </c>
      <c r="I66">
        <v>23</v>
      </c>
      <c r="J66" t="s">
        <v>24</v>
      </c>
      <c r="K66" t="s">
        <v>982</v>
      </c>
      <c r="M66" s="1">
        <v>80</v>
      </c>
      <c r="N66" s="1" t="s">
        <v>97</v>
      </c>
      <c r="O66" s="2">
        <v>46029.720416666663</v>
      </c>
      <c r="P66" s="3">
        <v>7.5384004999999998</v>
      </c>
      <c r="Q66" s="3">
        <v>-19.911843221148217</v>
      </c>
      <c r="R66" s="13">
        <f t="shared" ref="R66:R129" si="4">P66</f>
        <v>7.5384004999999998</v>
      </c>
      <c r="S66" s="42">
        <f t="shared" si="3"/>
        <v>94.751102817962661</v>
      </c>
      <c r="T66" s="13">
        <v>0</v>
      </c>
      <c r="U66" s="14">
        <f t="shared" ref="U66:U129" si="5">Q66+T66</f>
        <v>-19.911843221148217</v>
      </c>
      <c r="V66" s="15">
        <f t="shared" ref="V66:V129" si="6">R66*S66</f>
        <v>714.27176085848112</v>
      </c>
    </row>
    <row r="67" spans="2:22" x14ac:dyDescent="0.3">
      <c r="B67" t="s">
        <v>905</v>
      </c>
      <c r="C67" s="79">
        <v>1.2</v>
      </c>
      <c r="D67" s="78">
        <v>45944</v>
      </c>
      <c r="E67">
        <v>11</v>
      </c>
      <c r="F67" t="s">
        <v>932</v>
      </c>
      <c r="G67" t="s">
        <v>933</v>
      </c>
      <c r="H67">
        <v>25</v>
      </c>
      <c r="I67">
        <v>24</v>
      </c>
      <c r="J67" t="s">
        <v>24</v>
      </c>
      <c r="K67" t="s">
        <v>983</v>
      </c>
      <c r="M67" s="4">
        <v>81</v>
      </c>
      <c r="N67" s="4" t="s">
        <v>98</v>
      </c>
      <c r="O67" s="12">
        <v>46029.72415509259</v>
      </c>
      <c r="P67" s="5">
        <v>6.8599445000000001</v>
      </c>
      <c r="Q67" s="5">
        <v>-19.018092114029344</v>
      </c>
      <c r="R67" s="13">
        <f t="shared" si="4"/>
        <v>6.8599445000000001</v>
      </c>
      <c r="S67" s="42">
        <f t="shared" ref="S67:S130" si="7">$S$890</f>
        <v>94.751102817962661</v>
      </c>
      <c r="T67" s="13">
        <v>0</v>
      </c>
      <c r="U67" s="14">
        <f t="shared" si="5"/>
        <v>-19.018092114029344</v>
      </c>
      <c r="V67" s="15">
        <f t="shared" si="6"/>
        <v>649.9873066450175</v>
      </c>
    </row>
    <row r="68" spans="2:22" x14ac:dyDescent="0.3">
      <c r="B68" t="s">
        <v>905</v>
      </c>
      <c r="C68" s="79">
        <v>1.2</v>
      </c>
      <c r="D68" s="78">
        <v>45944</v>
      </c>
      <c r="E68">
        <v>14</v>
      </c>
      <c r="F68" t="s">
        <v>906</v>
      </c>
      <c r="G68" t="s">
        <v>907</v>
      </c>
      <c r="H68">
        <v>25</v>
      </c>
      <c r="I68">
        <v>25</v>
      </c>
      <c r="J68" t="s">
        <v>25</v>
      </c>
      <c r="K68" t="s">
        <v>984</v>
      </c>
      <c r="M68" s="1">
        <v>82</v>
      </c>
      <c r="N68" s="1" t="s">
        <v>99</v>
      </c>
      <c r="O68" s="2">
        <v>46029.727905092594</v>
      </c>
      <c r="P68" s="3">
        <v>7.6276644999999998</v>
      </c>
      <c r="Q68" s="3">
        <v>-19.853729555675638</v>
      </c>
      <c r="R68" s="13">
        <f t="shared" si="4"/>
        <v>7.6276644999999998</v>
      </c>
      <c r="S68" s="42">
        <f t="shared" si="7"/>
        <v>94.751102817962661</v>
      </c>
      <c r="T68" s="13">
        <v>0</v>
      </c>
      <c r="U68" s="14">
        <f t="shared" si="5"/>
        <v>-19.853729555675638</v>
      </c>
      <c r="V68" s="15">
        <f t="shared" si="6"/>
        <v>722.72962330042378</v>
      </c>
    </row>
    <row r="69" spans="2:22" x14ac:dyDescent="0.3">
      <c r="B69" t="s">
        <v>905</v>
      </c>
      <c r="C69" s="79">
        <v>1.2</v>
      </c>
      <c r="D69" s="78">
        <v>45944</v>
      </c>
      <c r="E69">
        <v>9</v>
      </c>
      <c r="F69" t="s">
        <v>910</v>
      </c>
      <c r="G69" t="s">
        <v>15</v>
      </c>
      <c r="H69">
        <v>25</v>
      </c>
      <c r="I69">
        <v>26</v>
      </c>
      <c r="J69" t="s">
        <v>25</v>
      </c>
      <c r="K69" t="s">
        <v>985</v>
      </c>
      <c r="M69" s="4">
        <v>83</v>
      </c>
      <c r="N69" s="4" t="s">
        <v>100</v>
      </c>
      <c r="O69" s="12">
        <v>46029.73164351852</v>
      </c>
      <c r="P69" s="5">
        <v>7.0380050000000001</v>
      </c>
      <c r="Q69" s="5">
        <v>-19.112521197776033</v>
      </c>
      <c r="R69" s="13">
        <f t="shared" si="4"/>
        <v>7.0380050000000001</v>
      </c>
      <c r="S69" s="42">
        <f t="shared" si="7"/>
        <v>94.751102817962661</v>
      </c>
      <c r="T69" s="13">
        <v>0</v>
      </c>
      <c r="U69" s="14">
        <f t="shared" si="5"/>
        <v>-19.112521197776033</v>
      </c>
      <c r="V69" s="15">
        <f t="shared" si="6"/>
        <v>666.85873538833528</v>
      </c>
    </row>
    <row r="70" spans="2:22" x14ac:dyDescent="0.3">
      <c r="B70" t="s">
        <v>905</v>
      </c>
      <c r="C70" s="79">
        <v>1.2</v>
      </c>
      <c r="D70" s="78">
        <v>45944</v>
      </c>
      <c r="E70">
        <v>10</v>
      </c>
      <c r="F70" t="s">
        <v>913</v>
      </c>
      <c r="G70" t="s">
        <v>914</v>
      </c>
      <c r="H70">
        <v>25</v>
      </c>
      <c r="I70">
        <v>27</v>
      </c>
      <c r="J70" t="s">
        <v>25</v>
      </c>
      <c r="K70" t="s">
        <v>986</v>
      </c>
      <c r="M70" s="1">
        <v>84</v>
      </c>
      <c r="N70" s="1" t="s">
        <v>101</v>
      </c>
      <c r="O70" s="2">
        <v>46029.73537037037</v>
      </c>
      <c r="P70" s="3">
        <v>6.7600030000000002</v>
      </c>
      <c r="Q70" s="3">
        <v>-18.417242671091774</v>
      </c>
      <c r="R70" s="13">
        <f t="shared" si="4"/>
        <v>6.7600030000000002</v>
      </c>
      <c r="S70" s="42">
        <f t="shared" si="7"/>
        <v>94.751102817962661</v>
      </c>
      <c r="T70" s="13">
        <v>0</v>
      </c>
      <c r="U70" s="14">
        <f t="shared" si="5"/>
        <v>-18.417242671091774</v>
      </c>
      <c r="V70" s="15">
        <f t="shared" si="6"/>
        <v>640.517739302736</v>
      </c>
    </row>
    <row r="71" spans="2:22" x14ac:dyDescent="0.3">
      <c r="B71" t="s">
        <v>905</v>
      </c>
      <c r="C71" s="79">
        <v>1.2</v>
      </c>
      <c r="D71" s="78">
        <v>45944</v>
      </c>
      <c r="E71">
        <v>12</v>
      </c>
      <c r="F71" t="s">
        <v>917</v>
      </c>
      <c r="G71" t="s">
        <v>918</v>
      </c>
      <c r="H71">
        <v>25</v>
      </c>
      <c r="I71">
        <v>28</v>
      </c>
      <c r="J71" t="s">
        <v>25</v>
      </c>
      <c r="K71" t="s">
        <v>987</v>
      </c>
      <c r="M71" s="4">
        <v>85</v>
      </c>
      <c r="N71" s="4" t="s">
        <v>102</v>
      </c>
      <c r="O71" s="12">
        <v>46029.739108796297</v>
      </c>
      <c r="P71" s="5">
        <v>7.0227694999999999</v>
      </c>
      <c r="Q71" s="5">
        <v>-18.816458590945018</v>
      </c>
      <c r="R71" s="13">
        <f t="shared" si="4"/>
        <v>7.0227694999999999</v>
      </c>
      <c r="S71" s="42">
        <f t="shared" si="7"/>
        <v>94.751102817962661</v>
      </c>
      <c r="T71" s="13">
        <v>0</v>
      </c>
      <c r="U71" s="14">
        <f t="shared" si="5"/>
        <v>-18.816458590945018</v>
      </c>
      <c r="V71" s="15">
        <f t="shared" si="6"/>
        <v>665.41515496135219</v>
      </c>
    </row>
    <row r="72" spans="2:22" x14ac:dyDescent="0.3">
      <c r="B72" t="s">
        <v>905</v>
      </c>
      <c r="C72" s="79">
        <v>1.2</v>
      </c>
      <c r="D72" s="78">
        <v>45944</v>
      </c>
      <c r="E72">
        <v>13</v>
      </c>
      <c r="F72" t="s">
        <v>921</v>
      </c>
      <c r="G72" t="s">
        <v>922</v>
      </c>
      <c r="H72">
        <v>25</v>
      </c>
      <c r="I72">
        <v>29</v>
      </c>
      <c r="J72" t="s">
        <v>25</v>
      </c>
      <c r="K72" t="s">
        <v>988</v>
      </c>
      <c r="M72" s="1">
        <v>86</v>
      </c>
      <c r="N72" s="1" t="s">
        <v>103</v>
      </c>
      <c r="O72" s="2">
        <v>46029.742858796293</v>
      </c>
      <c r="P72" s="3">
        <v>8.1706149999999997</v>
      </c>
      <c r="Q72" s="3">
        <v>-20.914443152193499</v>
      </c>
      <c r="R72" s="13">
        <f t="shared" si="4"/>
        <v>8.1706149999999997</v>
      </c>
      <c r="S72" s="42">
        <f t="shared" si="7"/>
        <v>94.751102817962661</v>
      </c>
      <c r="T72" s="13">
        <v>0</v>
      </c>
      <c r="U72" s="14">
        <f t="shared" si="5"/>
        <v>-20.914443152193499</v>
      </c>
      <c r="V72" s="15">
        <f t="shared" si="6"/>
        <v>774.17478195098795</v>
      </c>
    </row>
    <row r="73" spans="2:22" x14ac:dyDescent="0.3">
      <c r="B73" t="s">
        <v>905</v>
      </c>
      <c r="C73" s="79">
        <v>1.2</v>
      </c>
      <c r="D73" s="78">
        <v>45944</v>
      </c>
      <c r="E73">
        <v>16</v>
      </c>
      <c r="F73" t="s">
        <v>925</v>
      </c>
      <c r="G73" t="s">
        <v>926</v>
      </c>
      <c r="H73">
        <v>25</v>
      </c>
      <c r="I73">
        <v>30</v>
      </c>
      <c r="J73" t="s">
        <v>25</v>
      </c>
      <c r="K73" t="s">
        <v>989</v>
      </c>
      <c r="M73" s="4">
        <v>87</v>
      </c>
      <c r="N73" s="4" t="s">
        <v>104</v>
      </c>
      <c r="O73" s="12">
        <v>46029.74658564815</v>
      </c>
      <c r="P73" s="5">
        <v>7.7942660000000004</v>
      </c>
      <c r="Q73" s="5">
        <v>-20.117805973530885</v>
      </c>
      <c r="R73" s="13">
        <f t="shared" si="4"/>
        <v>7.7942660000000004</v>
      </c>
      <c r="S73" s="42">
        <f t="shared" si="7"/>
        <v>94.751102817962661</v>
      </c>
      <c r="T73" s="13">
        <v>0</v>
      </c>
      <c r="U73" s="14">
        <f t="shared" si="5"/>
        <v>-20.117805973530885</v>
      </c>
      <c r="V73" s="15">
        <f t="shared" si="6"/>
        <v>738.51529915655055</v>
      </c>
    </row>
    <row r="74" spans="2:22" x14ac:dyDescent="0.3">
      <c r="B74" t="s">
        <v>905</v>
      </c>
      <c r="C74" s="79">
        <v>1.2</v>
      </c>
      <c r="D74" s="78">
        <v>45944</v>
      </c>
      <c r="E74">
        <v>15</v>
      </c>
      <c r="F74" t="s">
        <v>929</v>
      </c>
      <c r="G74" t="s">
        <v>930</v>
      </c>
      <c r="H74">
        <v>25</v>
      </c>
      <c r="I74">
        <v>31</v>
      </c>
      <c r="J74" t="s">
        <v>25</v>
      </c>
      <c r="K74" t="s">
        <v>990</v>
      </c>
      <c r="L74" t="s">
        <v>991</v>
      </c>
      <c r="M74" s="1">
        <v>88</v>
      </c>
      <c r="N74" s="1" t="s">
        <v>105</v>
      </c>
      <c r="O74" s="2">
        <v>46029.750335648147</v>
      </c>
      <c r="P74" s="3">
        <v>7.3019144999999996</v>
      </c>
      <c r="Q74" s="3">
        <v>-20.021565376415534</v>
      </c>
      <c r="R74" s="13">
        <f t="shared" si="4"/>
        <v>7.3019144999999996</v>
      </c>
      <c r="S74" s="42">
        <f t="shared" si="7"/>
        <v>94.751102817962661</v>
      </c>
      <c r="T74" s="13">
        <v>0</v>
      </c>
      <c r="U74" s="14">
        <f t="shared" si="5"/>
        <v>-20.021565376415534</v>
      </c>
      <c r="V74" s="15">
        <f t="shared" si="6"/>
        <v>691.86445155747242</v>
      </c>
    </row>
    <row r="75" spans="2:22" x14ac:dyDescent="0.3">
      <c r="B75" t="s">
        <v>905</v>
      </c>
      <c r="C75" s="79">
        <v>1.2</v>
      </c>
      <c r="D75" s="78">
        <v>45944</v>
      </c>
      <c r="E75">
        <v>11</v>
      </c>
      <c r="F75" t="s">
        <v>932</v>
      </c>
      <c r="G75" t="s">
        <v>933</v>
      </c>
      <c r="H75">
        <v>25</v>
      </c>
      <c r="I75">
        <v>32</v>
      </c>
      <c r="J75" t="s">
        <v>25</v>
      </c>
      <c r="K75" t="s">
        <v>992</v>
      </c>
      <c r="L75" t="s">
        <v>993</v>
      </c>
      <c r="M75" s="4">
        <v>89</v>
      </c>
      <c r="N75" s="4" t="s">
        <v>106</v>
      </c>
      <c r="O75" s="12">
        <v>46029.754074074073</v>
      </c>
      <c r="P75" s="5">
        <v>7.1130905000000002</v>
      </c>
      <c r="Q75" s="5">
        <v>-19.090064810345254</v>
      </c>
      <c r="R75" s="13">
        <f t="shared" si="4"/>
        <v>7.1130905000000002</v>
      </c>
      <c r="S75" s="42">
        <f t="shared" si="7"/>
        <v>94.751102817962661</v>
      </c>
      <c r="T75" s="13">
        <v>0</v>
      </c>
      <c r="U75" s="14">
        <f t="shared" si="5"/>
        <v>-19.090064810345254</v>
      </c>
      <c r="V75" s="15">
        <f t="shared" si="6"/>
        <v>673.97316931897342</v>
      </c>
    </row>
    <row r="76" spans="2:22" x14ac:dyDescent="0.3">
      <c r="M76" s="1">
        <v>90</v>
      </c>
      <c r="N76" s="1" t="s">
        <v>107</v>
      </c>
      <c r="O76" s="2">
        <v>46029.757824074077</v>
      </c>
      <c r="P76" s="3">
        <v>3.4102519999999998</v>
      </c>
      <c r="Q76" s="3">
        <v>-13.698853744750382</v>
      </c>
      <c r="R76" s="13">
        <f t="shared" si="4"/>
        <v>3.4102519999999998</v>
      </c>
      <c r="S76" s="42">
        <f t="shared" si="7"/>
        <v>94.751102817962661</v>
      </c>
      <c r="T76" s="13">
        <v>0</v>
      </c>
      <c r="U76" s="14">
        <f t="shared" si="5"/>
        <v>-13.698853744750382</v>
      </c>
      <c r="V76" s="15">
        <f t="shared" si="6"/>
        <v>323.12513788716279</v>
      </c>
    </row>
    <row r="77" spans="2:22" x14ac:dyDescent="0.3">
      <c r="M77" s="4">
        <v>91</v>
      </c>
      <c r="N77" s="4" t="s">
        <v>108</v>
      </c>
      <c r="O77" s="12">
        <v>46029.761562500003</v>
      </c>
      <c r="P77" s="5">
        <v>2.74692625</v>
      </c>
      <c r="Q77" s="5">
        <v>-15.896301247397567</v>
      </c>
      <c r="R77" s="13">
        <f t="shared" si="4"/>
        <v>2.74692625</v>
      </c>
      <c r="S77" s="42">
        <f t="shared" si="7"/>
        <v>94.751102817962661</v>
      </c>
      <c r="T77" s="13">
        <v>0</v>
      </c>
      <c r="U77" s="14">
        <f t="shared" si="5"/>
        <v>-15.896301247397567</v>
      </c>
      <c r="V77" s="15">
        <f t="shared" si="6"/>
        <v>260.27429154711058</v>
      </c>
    </row>
    <row r="78" spans="2:22" x14ac:dyDescent="0.3">
      <c r="B78" t="s">
        <v>905</v>
      </c>
      <c r="C78" s="79">
        <v>1.3</v>
      </c>
      <c r="D78" s="78">
        <v>45945</v>
      </c>
      <c r="E78">
        <v>14</v>
      </c>
      <c r="F78" t="s">
        <v>906</v>
      </c>
      <c r="G78" t="s">
        <v>907</v>
      </c>
      <c r="H78">
        <v>49</v>
      </c>
      <c r="I78">
        <v>1</v>
      </c>
      <c r="J78" t="s">
        <v>908</v>
      </c>
      <c r="K78" t="s">
        <v>994</v>
      </c>
      <c r="M78" s="1">
        <v>92</v>
      </c>
      <c r="N78" s="1" t="s">
        <v>109</v>
      </c>
      <c r="O78" s="2">
        <v>46029.765300925923</v>
      </c>
      <c r="P78" s="3">
        <v>6.6297920000000001</v>
      </c>
      <c r="Q78" s="3">
        <v>-18.490755125969063</v>
      </c>
      <c r="R78" s="13">
        <f t="shared" si="4"/>
        <v>6.6297920000000001</v>
      </c>
      <c r="S78" s="42">
        <f t="shared" si="7"/>
        <v>94.751102817962661</v>
      </c>
      <c r="T78" s="13">
        <v>0</v>
      </c>
      <c r="U78" s="14">
        <f t="shared" si="5"/>
        <v>-18.490755125969063</v>
      </c>
      <c r="V78" s="15">
        <f t="shared" si="6"/>
        <v>628.18010345370635</v>
      </c>
    </row>
    <row r="79" spans="2:22" x14ac:dyDescent="0.3">
      <c r="B79" t="s">
        <v>905</v>
      </c>
      <c r="C79" s="79">
        <v>1.3</v>
      </c>
      <c r="D79" s="78">
        <v>45945</v>
      </c>
      <c r="E79">
        <v>9</v>
      </c>
      <c r="F79" t="s">
        <v>910</v>
      </c>
      <c r="G79" t="s">
        <v>15</v>
      </c>
      <c r="H79">
        <v>49</v>
      </c>
      <c r="I79">
        <v>2</v>
      </c>
      <c r="J79" t="s">
        <v>908</v>
      </c>
      <c r="K79" t="s">
        <v>995</v>
      </c>
      <c r="M79" s="4">
        <v>93</v>
      </c>
      <c r="N79" s="4" t="s">
        <v>110</v>
      </c>
      <c r="O79" s="12">
        <v>46029.769016203703</v>
      </c>
      <c r="P79" s="5">
        <v>6.6156344999999996</v>
      </c>
      <c r="Q79" s="5">
        <v>-18.857362492016215</v>
      </c>
      <c r="R79" s="13">
        <f t="shared" si="4"/>
        <v>6.6156344999999996</v>
      </c>
      <c r="S79" s="42">
        <f t="shared" si="7"/>
        <v>94.751102817962661</v>
      </c>
      <c r="T79" s="13">
        <v>0</v>
      </c>
      <c r="U79" s="14">
        <f t="shared" si="5"/>
        <v>-18.857362492016215</v>
      </c>
      <c r="V79" s="15">
        <f t="shared" si="6"/>
        <v>626.83866471556098</v>
      </c>
    </row>
    <row r="80" spans="2:22" x14ac:dyDescent="0.3">
      <c r="B80" t="s">
        <v>905</v>
      </c>
      <c r="C80" s="79">
        <v>1.3</v>
      </c>
      <c r="D80" s="78">
        <v>45945</v>
      </c>
      <c r="E80">
        <v>10</v>
      </c>
      <c r="F80" t="s">
        <v>913</v>
      </c>
      <c r="G80" t="s">
        <v>914</v>
      </c>
      <c r="H80">
        <v>49</v>
      </c>
      <c r="I80">
        <v>3</v>
      </c>
      <c r="J80" t="s">
        <v>908</v>
      </c>
      <c r="K80" t="s">
        <v>996</v>
      </c>
      <c r="M80" s="1">
        <v>94</v>
      </c>
      <c r="N80" s="1" t="s">
        <v>111</v>
      </c>
      <c r="O80" s="2">
        <v>46029.772743055553</v>
      </c>
      <c r="P80" s="3">
        <v>6.4737090000000004</v>
      </c>
      <c r="Q80" s="3">
        <v>-18.57825261475789</v>
      </c>
      <c r="R80" s="13">
        <f t="shared" si="4"/>
        <v>6.4737090000000004</v>
      </c>
      <c r="S80" s="42">
        <f t="shared" si="7"/>
        <v>94.751102817962661</v>
      </c>
      <c r="T80" s="13">
        <v>0</v>
      </c>
      <c r="U80" s="14">
        <f t="shared" si="5"/>
        <v>-18.57825261475789</v>
      </c>
      <c r="V80" s="15">
        <f t="shared" si="6"/>
        <v>613.39106707257031</v>
      </c>
    </row>
    <row r="81" spans="2:22" x14ac:dyDescent="0.3">
      <c r="B81" t="s">
        <v>905</v>
      </c>
      <c r="C81" s="79">
        <v>1.3</v>
      </c>
      <c r="D81" s="78">
        <v>45945</v>
      </c>
      <c r="E81">
        <v>10</v>
      </c>
      <c r="F81" t="s">
        <v>913</v>
      </c>
      <c r="G81" t="s">
        <v>918</v>
      </c>
      <c r="H81">
        <v>49</v>
      </c>
      <c r="I81">
        <v>4</v>
      </c>
      <c r="J81" t="s">
        <v>908</v>
      </c>
      <c r="K81" t="s">
        <v>997</v>
      </c>
      <c r="M81" s="4">
        <v>95</v>
      </c>
      <c r="N81" s="4" t="s">
        <v>112</v>
      </c>
      <c r="O81" s="12">
        <v>46029.776469907411</v>
      </c>
      <c r="P81" s="5">
        <v>6.9032035</v>
      </c>
      <c r="Q81" s="5">
        <v>-19.059780041837705</v>
      </c>
      <c r="R81" s="13">
        <f t="shared" si="4"/>
        <v>6.9032035</v>
      </c>
      <c r="S81" s="42">
        <f t="shared" si="7"/>
        <v>94.751102817962661</v>
      </c>
      <c r="T81" s="13">
        <v>0</v>
      </c>
      <c r="U81" s="14">
        <f t="shared" si="5"/>
        <v>-19.059780041837705</v>
      </c>
      <c r="V81" s="15">
        <f t="shared" si="6"/>
        <v>654.08614460181968</v>
      </c>
    </row>
    <row r="82" spans="2:22" x14ac:dyDescent="0.3">
      <c r="B82" t="s">
        <v>905</v>
      </c>
      <c r="C82" s="79">
        <v>1.3</v>
      </c>
      <c r="D82" s="78">
        <v>45945</v>
      </c>
      <c r="E82">
        <v>12</v>
      </c>
      <c r="F82" t="s">
        <v>917</v>
      </c>
      <c r="G82" t="s">
        <v>922</v>
      </c>
      <c r="H82">
        <v>49</v>
      </c>
      <c r="I82">
        <v>5</v>
      </c>
      <c r="J82" t="s">
        <v>908</v>
      </c>
      <c r="K82" t="s">
        <v>998</v>
      </c>
      <c r="M82" s="1">
        <v>96</v>
      </c>
      <c r="N82" s="1" t="s">
        <v>113</v>
      </c>
      <c r="O82" s="2">
        <v>46029.78019675926</v>
      </c>
      <c r="P82" s="3">
        <v>6.8364380000000002</v>
      </c>
      <c r="Q82" s="3">
        <v>-18.875317370944614</v>
      </c>
      <c r="R82" s="13">
        <f t="shared" si="4"/>
        <v>6.8364380000000002</v>
      </c>
      <c r="S82" s="42">
        <f t="shared" si="7"/>
        <v>94.751102817962661</v>
      </c>
      <c r="T82" s="13">
        <v>0</v>
      </c>
      <c r="U82" s="14">
        <f t="shared" si="5"/>
        <v>-18.875317370944614</v>
      </c>
      <c r="V82" s="15">
        <f t="shared" si="6"/>
        <v>647.76003984662702</v>
      </c>
    </row>
    <row r="83" spans="2:22" x14ac:dyDescent="0.3">
      <c r="B83" t="s">
        <v>905</v>
      </c>
      <c r="C83" s="79">
        <v>1.3</v>
      </c>
      <c r="D83" s="78">
        <v>45945</v>
      </c>
      <c r="E83">
        <v>13</v>
      </c>
      <c r="F83" t="s">
        <v>921</v>
      </c>
      <c r="G83" t="s">
        <v>926</v>
      </c>
      <c r="H83">
        <v>49</v>
      </c>
      <c r="I83">
        <v>6</v>
      </c>
      <c r="J83" t="s">
        <v>908</v>
      </c>
      <c r="K83" t="s">
        <v>999</v>
      </c>
      <c r="M83" s="4">
        <v>97</v>
      </c>
      <c r="N83" s="4" t="s">
        <v>114</v>
      </c>
      <c r="O83" s="12">
        <v>46029.78392361111</v>
      </c>
      <c r="P83" s="5">
        <v>6.6657785000000001</v>
      </c>
      <c r="Q83" s="5">
        <v>-18.983479985654558</v>
      </c>
      <c r="R83" s="13">
        <f t="shared" si="4"/>
        <v>6.6657785000000001</v>
      </c>
      <c r="S83" s="42">
        <f t="shared" si="7"/>
        <v>94.751102817962661</v>
      </c>
      <c r="T83" s="13">
        <v>0</v>
      </c>
      <c r="U83" s="14">
        <f t="shared" si="5"/>
        <v>-18.983479985654558</v>
      </c>
      <c r="V83" s="15">
        <f t="shared" si="6"/>
        <v>631.58986401526488</v>
      </c>
    </row>
    <row r="84" spans="2:22" x14ac:dyDescent="0.3">
      <c r="B84" t="s">
        <v>905</v>
      </c>
      <c r="C84" s="79">
        <v>1.3</v>
      </c>
      <c r="D84" s="78">
        <v>45945</v>
      </c>
      <c r="E84">
        <v>16</v>
      </c>
      <c r="F84" t="s">
        <v>925</v>
      </c>
      <c r="G84" t="s">
        <v>930</v>
      </c>
      <c r="H84">
        <v>49</v>
      </c>
      <c r="I84">
        <v>7</v>
      </c>
      <c r="J84" t="s">
        <v>908</v>
      </c>
      <c r="K84" t="s">
        <v>1000</v>
      </c>
      <c r="M84" s="1">
        <v>98</v>
      </c>
      <c r="N84" s="1" t="s">
        <v>115</v>
      </c>
      <c r="O84" s="2">
        <v>46029.78765046296</v>
      </c>
      <c r="P84" s="3">
        <v>6.8622905000000003</v>
      </c>
      <c r="Q84" s="3">
        <v>-19.264196352116386</v>
      </c>
      <c r="R84" s="13">
        <f t="shared" si="4"/>
        <v>6.8622905000000003</v>
      </c>
      <c r="S84" s="42">
        <f t="shared" si="7"/>
        <v>94.751102817962661</v>
      </c>
      <c r="T84" s="13">
        <v>0</v>
      </c>
      <c r="U84" s="14">
        <f t="shared" si="5"/>
        <v>-19.264196352116386</v>
      </c>
      <c r="V84" s="15">
        <f t="shared" si="6"/>
        <v>650.20959273222843</v>
      </c>
    </row>
    <row r="85" spans="2:22" x14ac:dyDescent="0.3">
      <c r="B85" t="s">
        <v>905</v>
      </c>
      <c r="C85" s="79">
        <v>1.3</v>
      </c>
      <c r="D85" s="78">
        <v>45945</v>
      </c>
      <c r="E85">
        <v>15</v>
      </c>
      <c r="F85" t="s">
        <v>929</v>
      </c>
      <c r="G85" t="s">
        <v>933</v>
      </c>
      <c r="H85">
        <v>49</v>
      </c>
      <c r="I85">
        <v>8</v>
      </c>
      <c r="J85" t="s">
        <v>908</v>
      </c>
      <c r="K85" t="s">
        <v>1001</v>
      </c>
      <c r="M85" s="4">
        <v>99</v>
      </c>
      <c r="N85" s="4" t="s">
        <v>116</v>
      </c>
      <c r="O85" s="12">
        <v>46029.791377314818</v>
      </c>
      <c r="P85" s="5">
        <v>6.5339425000000002</v>
      </c>
      <c r="Q85" s="5">
        <v>-18.613706220472324</v>
      </c>
      <c r="R85" s="13">
        <f t="shared" si="4"/>
        <v>6.5339425000000002</v>
      </c>
      <c r="S85" s="42">
        <f t="shared" si="7"/>
        <v>94.751102817962661</v>
      </c>
      <c r="T85" s="13">
        <v>0</v>
      </c>
      <c r="U85" s="14">
        <f t="shared" si="5"/>
        <v>-18.613706220472324</v>
      </c>
      <c r="V85" s="15">
        <f t="shared" si="6"/>
        <v>619.09825762415596</v>
      </c>
    </row>
    <row r="86" spans="2:22" x14ac:dyDescent="0.3">
      <c r="B86" t="s">
        <v>905</v>
      </c>
      <c r="C86" s="79">
        <v>1.3</v>
      </c>
      <c r="D86" s="78">
        <v>45945</v>
      </c>
      <c r="E86">
        <v>11</v>
      </c>
      <c r="F86" t="s">
        <v>932</v>
      </c>
      <c r="G86" t="s">
        <v>907</v>
      </c>
      <c r="H86">
        <v>49</v>
      </c>
      <c r="I86">
        <v>9</v>
      </c>
      <c r="J86" t="s">
        <v>935</v>
      </c>
      <c r="K86" t="s">
        <v>1002</v>
      </c>
      <c r="M86" s="1">
        <v>100</v>
      </c>
      <c r="N86" s="1" t="s">
        <v>117</v>
      </c>
      <c r="O86" s="2">
        <v>46029.795115740744</v>
      </c>
      <c r="P86" s="3">
        <v>7.4026325000000002</v>
      </c>
      <c r="Q86" s="3">
        <v>-19.744170220691771</v>
      </c>
      <c r="R86" s="13">
        <f t="shared" si="4"/>
        <v>7.4026325000000002</v>
      </c>
      <c r="S86" s="42">
        <f t="shared" si="7"/>
        <v>94.751102817962661</v>
      </c>
      <c r="T86" s="13">
        <v>0</v>
      </c>
      <c r="U86" s="14">
        <f t="shared" si="5"/>
        <v>-19.744170220691771</v>
      </c>
      <c r="V86" s="15">
        <f t="shared" si="6"/>
        <v>701.40759313109197</v>
      </c>
    </row>
    <row r="87" spans="2:22" x14ac:dyDescent="0.3">
      <c r="B87" t="s">
        <v>905</v>
      </c>
      <c r="C87" s="79">
        <v>1.3</v>
      </c>
      <c r="D87" s="78">
        <v>45945</v>
      </c>
      <c r="E87">
        <v>14</v>
      </c>
      <c r="F87" t="s">
        <v>906</v>
      </c>
      <c r="G87" t="s">
        <v>15</v>
      </c>
      <c r="H87">
        <v>49</v>
      </c>
      <c r="I87">
        <v>10</v>
      </c>
      <c r="J87" t="s">
        <v>935</v>
      </c>
      <c r="K87" t="s">
        <v>1003</v>
      </c>
      <c r="M87" s="4">
        <v>101</v>
      </c>
      <c r="N87" s="4" t="s">
        <v>118</v>
      </c>
      <c r="O87" s="12">
        <v>46029.798842592594</v>
      </c>
      <c r="P87" s="5">
        <v>6.8915505000000001</v>
      </c>
      <c r="Q87" s="5">
        <v>-18.715994075650606</v>
      </c>
      <c r="R87" s="13">
        <f t="shared" si="4"/>
        <v>6.8915505000000001</v>
      </c>
      <c r="S87" s="42">
        <f t="shared" si="7"/>
        <v>94.751102817962661</v>
      </c>
      <c r="T87" s="13">
        <v>0</v>
      </c>
      <c r="U87" s="14">
        <f t="shared" si="5"/>
        <v>-18.715994075650606</v>
      </c>
      <c r="V87" s="15">
        <f t="shared" si="6"/>
        <v>652.98201000068195</v>
      </c>
    </row>
    <row r="88" spans="2:22" x14ac:dyDescent="0.3">
      <c r="B88" t="s">
        <v>905</v>
      </c>
      <c r="C88" s="79">
        <v>1.3</v>
      </c>
      <c r="D88" s="78">
        <v>45945</v>
      </c>
      <c r="E88">
        <v>9</v>
      </c>
      <c r="F88" t="s">
        <v>910</v>
      </c>
      <c r="G88" t="s">
        <v>914</v>
      </c>
      <c r="H88">
        <v>49</v>
      </c>
      <c r="I88">
        <v>11</v>
      </c>
      <c r="J88" t="s">
        <v>935</v>
      </c>
      <c r="K88" t="s">
        <v>1004</v>
      </c>
      <c r="M88" s="1">
        <v>102</v>
      </c>
      <c r="N88" s="1" t="s">
        <v>119</v>
      </c>
      <c r="O88" s="2">
        <v>46029.802569444444</v>
      </c>
      <c r="P88" s="3">
        <v>6.5753015000000001</v>
      </c>
      <c r="Q88" s="3">
        <v>-18.785523908776057</v>
      </c>
      <c r="R88" s="13">
        <f t="shared" si="4"/>
        <v>6.5753015000000001</v>
      </c>
      <c r="S88" s="42">
        <f t="shared" si="7"/>
        <v>94.751102817962661</v>
      </c>
      <c r="T88" s="13">
        <v>0</v>
      </c>
      <c r="U88" s="14">
        <f t="shared" si="5"/>
        <v>-18.785523908776057</v>
      </c>
      <c r="V88" s="15">
        <f t="shared" si="6"/>
        <v>623.01706848560411</v>
      </c>
    </row>
    <row r="89" spans="2:22" x14ac:dyDescent="0.3">
      <c r="B89" t="s">
        <v>905</v>
      </c>
      <c r="C89" s="79">
        <v>1.3</v>
      </c>
      <c r="D89" s="78">
        <v>45945</v>
      </c>
      <c r="E89">
        <v>10</v>
      </c>
      <c r="F89" t="s">
        <v>913</v>
      </c>
      <c r="G89" t="s">
        <v>918</v>
      </c>
      <c r="H89">
        <v>49</v>
      </c>
      <c r="I89">
        <v>12</v>
      </c>
      <c r="J89" t="s">
        <v>935</v>
      </c>
      <c r="K89" t="s">
        <v>1005</v>
      </c>
      <c r="M89" s="4">
        <v>103</v>
      </c>
      <c r="N89" s="4" t="s">
        <v>120</v>
      </c>
      <c r="O89" s="12">
        <v>46029.806296296294</v>
      </c>
      <c r="P89" s="5">
        <v>7.0440474999999996</v>
      </c>
      <c r="Q89" s="5">
        <v>-19.218284552437062</v>
      </c>
      <c r="R89" s="13">
        <f t="shared" si="4"/>
        <v>7.0440474999999996</v>
      </c>
      <c r="S89" s="42">
        <f t="shared" si="7"/>
        <v>94.751102817962661</v>
      </c>
      <c r="T89" s="13">
        <v>0</v>
      </c>
      <c r="U89" s="14">
        <f t="shared" si="5"/>
        <v>-19.218284552437062</v>
      </c>
      <c r="V89" s="15">
        <f t="shared" si="6"/>
        <v>667.4312689271128</v>
      </c>
    </row>
    <row r="90" spans="2:22" x14ac:dyDescent="0.3">
      <c r="B90" t="s">
        <v>905</v>
      </c>
      <c r="C90" s="79">
        <v>1.3</v>
      </c>
      <c r="D90" s="78">
        <v>45945</v>
      </c>
      <c r="E90">
        <v>12</v>
      </c>
      <c r="F90" t="s">
        <v>917</v>
      </c>
      <c r="G90" t="s">
        <v>922</v>
      </c>
      <c r="H90">
        <v>49</v>
      </c>
      <c r="I90">
        <v>13</v>
      </c>
      <c r="J90" t="s">
        <v>935</v>
      </c>
      <c r="K90" t="s">
        <v>1006</v>
      </c>
      <c r="M90" s="1">
        <v>104</v>
      </c>
      <c r="N90" s="1" t="s">
        <v>121</v>
      </c>
      <c r="O90" s="2">
        <v>46029.810034722221</v>
      </c>
      <c r="P90" s="3">
        <v>7.8471330000000004</v>
      </c>
      <c r="Q90" s="3">
        <v>-20.266676559931113</v>
      </c>
      <c r="R90" s="13">
        <f t="shared" si="4"/>
        <v>7.8471330000000004</v>
      </c>
      <c r="S90" s="42">
        <f t="shared" si="7"/>
        <v>94.751102817962661</v>
      </c>
      <c r="T90" s="13">
        <v>0</v>
      </c>
      <c r="U90" s="14">
        <f t="shared" si="5"/>
        <v>-20.266676559931113</v>
      </c>
      <c r="V90" s="15">
        <f t="shared" si="6"/>
        <v>743.52450570922781</v>
      </c>
    </row>
    <row r="91" spans="2:22" x14ac:dyDescent="0.3">
      <c r="B91" t="s">
        <v>905</v>
      </c>
      <c r="C91" s="79">
        <v>1.3</v>
      </c>
      <c r="D91" s="78">
        <v>45945</v>
      </c>
      <c r="E91">
        <v>13</v>
      </c>
      <c r="F91" t="s">
        <v>921</v>
      </c>
      <c r="G91" t="s">
        <v>926</v>
      </c>
      <c r="H91">
        <v>49</v>
      </c>
      <c r="I91">
        <v>14</v>
      </c>
      <c r="J91" t="s">
        <v>935</v>
      </c>
      <c r="K91" t="s">
        <v>1007</v>
      </c>
      <c r="M91" s="4">
        <v>105</v>
      </c>
      <c r="N91" s="4" t="s">
        <v>122</v>
      </c>
      <c r="O91" s="12">
        <v>46029.813773148147</v>
      </c>
      <c r="P91" s="5">
        <v>7.287674</v>
      </c>
      <c r="Q91" s="5">
        <v>-19.716116907608377</v>
      </c>
      <c r="R91" s="13">
        <f t="shared" si="4"/>
        <v>7.287674</v>
      </c>
      <c r="S91" s="42">
        <f t="shared" si="7"/>
        <v>94.751102817962661</v>
      </c>
      <c r="T91" s="13">
        <v>0</v>
      </c>
      <c r="U91" s="14">
        <f t="shared" si="5"/>
        <v>-19.716116907608377</v>
      </c>
      <c r="V91" s="15">
        <f t="shared" si="6"/>
        <v>690.51514847779322</v>
      </c>
    </row>
    <row r="92" spans="2:22" x14ac:dyDescent="0.3">
      <c r="B92" t="s">
        <v>905</v>
      </c>
      <c r="C92" s="79">
        <v>1.3</v>
      </c>
      <c r="D92" s="78">
        <v>45945</v>
      </c>
      <c r="E92">
        <v>16</v>
      </c>
      <c r="F92" t="s">
        <v>925</v>
      </c>
      <c r="G92" t="s">
        <v>930</v>
      </c>
      <c r="H92">
        <v>49</v>
      </c>
      <c r="I92">
        <v>15</v>
      </c>
      <c r="J92" t="s">
        <v>935</v>
      </c>
      <c r="K92" t="s">
        <v>1008</v>
      </c>
      <c r="M92" s="1">
        <v>106</v>
      </c>
      <c r="N92" s="1" t="s">
        <v>123</v>
      </c>
      <c r="O92" s="2">
        <v>46029.817511574074</v>
      </c>
      <c r="P92" s="3">
        <v>7.6661795000000001</v>
      </c>
      <c r="Q92" s="3">
        <v>-20.01690503449586</v>
      </c>
      <c r="R92" s="13">
        <f t="shared" si="4"/>
        <v>7.6661795000000001</v>
      </c>
      <c r="S92" s="42">
        <f t="shared" si="7"/>
        <v>94.751102817962661</v>
      </c>
      <c r="T92" s="13">
        <v>0</v>
      </c>
      <c r="U92" s="14">
        <f t="shared" si="5"/>
        <v>-20.01690503449586</v>
      </c>
      <c r="V92" s="15">
        <f t="shared" si="6"/>
        <v>726.37896202545755</v>
      </c>
    </row>
    <row r="93" spans="2:22" x14ac:dyDescent="0.3">
      <c r="B93" t="s">
        <v>905</v>
      </c>
      <c r="C93" s="79">
        <v>1.3</v>
      </c>
      <c r="D93" s="78">
        <v>45945</v>
      </c>
      <c r="E93">
        <v>15</v>
      </c>
      <c r="F93" t="s">
        <v>929</v>
      </c>
      <c r="G93" t="s">
        <v>933</v>
      </c>
      <c r="H93">
        <v>49</v>
      </c>
      <c r="I93">
        <v>16</v>
      </c>
      <c r="J93" t="s">
        <v>935</v>
      </c>
      <c r="K93" t="s">
        <v>1009</v>
      </c>
      <c r="M93" s="4">
        <v>107</v>
      </c>
      <c r="N93" s="4" t="s">
        <v>124</v>
      </c>
      <c r="O93" s="12">
        <v>46029.821238425924</v>
      </c>
      <c r="P93" s="5">
        <v>7.3891580000000001</v>
      </c>
      <c r="Q93" s="5">
        <v>-19.551601159283695</v>
      </c>
      <c r="R93" s="13">
        <f t="shared" si="4"/>
        <v>7.3891580000000001</v>
      </c>
      <c r="S93" s="42">
        <f t="shared" si="7"/>
        <v>94.751102817962661</v>
      </c>
      <c r="T93" s="13">
        <v>0</v>
      </c>
      <c r="U93" s="14">
        <f t="shared" si="5"/>
        <v>-19.551601159283695</v>
      </c>
      <c r="V93" s="15">
        <f t="shared" si="6"/>
        <v>700.13086939617131</v>
      </c>
    </row>
    <row r="94" spans="2:22" x14ac:dyDescent="0.3">
      <c r="B94" t="s">
        <v>905</v>
      </c>
      <c r="C94" s="79">
        <v>1.3</v>
      </c>
      <c r="D94" s="78">
        <v>45945</v>
      </c>
      <c r="E94">
        <v>11</v>
      </c>
      <c r="F94" t="s">
        <v>932</v>
      </c>
      <c r="G94" t="s">
        <v>907</v>
      </c>
      <c r="H94">
        <v>49</v>
      </c>
      <c r="I94">
        <v>17</v>
      </c>
      <c r="J94" t="s">
        <v>24</v>
      </c>
      <c r="K94" t="s">
        <v>1010</v>
      </c>
      <c r="M94" s="1">
        <v>108</v>
      </c>
      <c r="N94" s="1" t="s">
        <v>125</v>
      </c>
      <c r="O94" s="2">
        <v>46029.824988425928</v>
      </c>
      <c r="P94" s="3">
        <v>8.0295194999999993</v>
      </c>
      <c r="Q94" s="3">
        <v>-20.303534132697266</v>
      </c>
      <c r="R94" s="13">
        <f t="shared" si="4"/>
        <v>8.0295194999999993</v>
      </c>
      <c r="S94" s="42">
        <f t="shared" si="7"/>
        <v>94.751102817962661</v>
      </c>
      <c r="T94" s="13">
        <v>0</v>
      </c>
      <c r="U94" s="14">
        <f t="shared" si="5"/>
        <v>-20.303534132697266</v>
      </c>
      <c r="V94" s="15">
        <f t="shared" si="6"/>
        <v>760.80582772333605</v>
      </c>
    </row>
    <row r="95" spans="2:22" x14ac:dyDescent="0.3">
      <c r="B95" t="s">
        <v>905</v>
      </c>
      <c r="C95" s="79">
        <v>1.3</v>
      </c>
      <c r="D95" s="78">
        <v>45945</v>
      </c>
      <c r="E95">
        <v>14</v>
      </c>
      <c r="F95" t="s">
        <v>906</v>
      </c>
      <c r="G95" t="s">
        <v>15</v>
      </c>
      <c r="H95">
        <v>49</v>
      </c>
      <c r="I95">
        <v>18</v>
      </c>
      <c r="J95" t="s">
        <v>24</v>
      </c>
      <c r="K95" t="s">
        <v>1011</v>
      </c>
      <c r="M95" s="4">
        <v>109</v>
      </c>
      <c r="N95" s="4" t="s">
        <v>126</v>
      </c>
      <c r="O95" s="12">
        <v>46029.828738425924</v>
      </c>
      <c r="P95" s="5">
        <v>7.1202224999999997</v>
      </c>
      <c r="Q95" s="5">
        <v>-19.547890231476202</v>
      </c>
      <c r="R95" s="13">
        <f t="shared" si="4"/>
        <v>7.1202224999999997</v>
      </c>
      <c r="S95" s="42">
        <f t="shared" si="7"/>
        <v>94.751102817962661</v>
      </c>
      <c r="T95" s="13">
        <v>0</v>
      </c>
      <c r="U95" s="14">
        <f t="shared" si="5"/>
        <v>-19.547890231476202</v>
      </c>
      <c r="V95" s="15">
        <f t="shared" si="6"/>
        <v>674.64893418427107</v>
      </c>
    </row>
    <row r="96" spans="2:22" x14ac:dyDescent="0.3">
      <c r="B96" t="s">
        <v>905</v>
      </c>
      <c r="C96" s="79">
        <v>1.3</v>
      </c>
      <c r="D96" s="78">
        <v>45945</v>
      </c>
      <c r="E96">
        <v>9</v>
      </c>
      <c r="F96" t="s">
        <v>910</v>
      </c>
      <c r="G96" t="s">
        <v>914</v>
      </c>
      <c r="H96">
        <v>49</v>
      </c>
      <c r="I96">
        <v>19</v>
      </c>
      <c r="J96" t="s">
        <v>24</v>
      </c>
      <c r="K96" t="s">
        <v>1012</v>
      </c>
      <c r="M96" s="1">
        <v>110</v>
      </c>
      <c r="N96" s="1" t="s">
        <v>127</v>
      </c>
      <c r="O96" s="2">
        <v>46029.832476851851</v>
      </c>
      <c r="P96" s="3">
        <v>7.0569699999999997</v>
      </c>
      <c r="Q96" s="3">
        <v>-19.317890134220445</v>
      </c>
      <c r="R96" s="13">
        <f t="shared" si="4"/>
        <v>7.0569699999999997</v>
      </c>
      <c r="S96" s="42">
        <f t="shared" si="7"/>
        <v>94.751102817962661</v>
      </c>
      <c r="T96" s="13">
        <v>0</v>
      </c>
      <c r="U96" s="14">
        <f t="shared" si="5"/>
        <v>-19.317890134220445</v>
      </c>
      <c r="V96" s="15">
        <f t="shared" si="6"/>
        <v>668.65569005327791</v>
      </c>
    </row>
    <row r="97" spans="2:22" x14ac:dyDescent="0.3">
      <c r="B97" t="s">
        <v>905</v>
      </c>
      <c r="C97" s="79">
        <v>1.3</v>
      </c>
      <c r="D97" s="78">
        <v>45945</v>
      </c>
      <c r="E97">
        <v>10</v>
      </c>
      <c r="F97" t="s">
        <v>913</v>
      </c>
      <c r="G97" t="s">
        <v>918</v>
      </c>
      <c r="H97">
        <v>49</v>
      </c>
      <c r="I97">
        <v>20</v>
      </c>
      <c r="J97" t="s">
        <v>24</v>
      </c>
      <c r="K97" t="s">
        <v>1013</v>
      </c>
      <c r="M97" s="4">
        <v>111</v>
      </c>
      <c r="N97" s="4" t="s">
        <v>128</v>
      </c>
      <c r="O97" s="12">
        <v>46029.836215277777</v>
      </c>
      <c r="P97" s="5">
        <v>6.8847680000000002</v>
      </c>
      <c r="Q97" s="5">
        <v>-18.943306992299469</v>
      </c>
      <c r="R97" s="13">
        <f t="shared" si="4"/>
        <v>6.8847680000000002</v>
      </c>
      <c r="S97" s="42">
        <f t="shared" si="7"/>
        <v>94.751102817962661</v>
      </c>
      <c r="T97" s="13">
        <v>0</v>
      </c>
      <c r="U97" s="14">
        <f t="shared" si="5"/>
        <v>-18.943306992299469</v>
      </c>
      <c r="V97" s="15">
        <f t="shared" si="6"/>
        <v>652.33936064581917</v>
      </c>
    </row>
    <row r="98" spans="2:22" x14ac:dyDescent="0.3">
      <c r="B98" t="s">
        <v>905</v>
      </c>
      <c r="C98" s="79">
        <v>1.3</v>
      </c>
      <c r="D98" s="78">
        <v>45945</v>
      </c>
      <c r="E98">
        <v>12</v>
      </c>
      <c r="F98" t="s">
        <v>917</v>
      </c>
      <c r="G98" t="s">
        <v>922</v>
      </c>
      <c r="H98">
        <v>49</v>
      </c>
      <c r="I98">
        <v>21</v>
      </c>
      <c r="J98" t="s">
        <v>24</v>
      </c>
      <c r="K98" t="s">
        <v>1014</v>
      </c>
      <c r="M98" s="1">
        <v>112</v>
      </c>
      <c r="N98" s="1" t="s">
        <v>129</v>
      </c>
      <c r="O98" s="2">
        <v>46029.839953703704</v>
      </c>
      <c r="P98" s="3">
        <v>8.4575469999999999</v>
      </c>
      <c r="Q98" s="3">
        <v>-20.870147486935199</v>
      </c>
      <c r="R98" s="13">
        <f t="shared" si="4"/>
        <v>8.4575469999999999</v>
      </c>
      <c r="S98" s="42">
        <f t="shared" si="7"/>
        <v>94.751102817962661</v>
      </c>
      <c r="T98" s="13">
        <v>0</v>
      </c>
      <c r="U98" s="14">
        <f t="shared" si="5"/>
        <v>-20.870147486935199</v>
      </c>
      <c r="V98" s="15">
        <f t="shared" si="6"/>
        <v>801.36190538475159</v>
      </c>
    </row>
    <row r="99" spans="2:22" x14ac:dyDescent="0.3">
      <c r="B99" t="s">
        <v>905</v>
      </c>
      <c r="C99" s="79">
        <v>1.3</v>
      </c>
      <c r="D99" s="78">
        <v>45945</v>
      </c>
      <c r="E99">
        <v>13</v>
      </c>
      <c r="F99" t="s">
        <v>921</v>
      </c>
      <c r="G99" t="s">
        <v>926</v>
      </c>
      <c r="H99">
        <v>49</v>
      </c>
      <c r="I99">
        <v>22</v>
      </c>
      <c r="J99" t="s">
        <v>24</v>
      </c>
      <c r="K99" t="s">
        <v>1015</v>
      </c>
      <c r="M99" s="4">
        <v>113</v>
      </c>
      <c r="N99" s="4" t="s">
        <v>130</v>
      </c>
      <c r="O99" s="12">
        <v>46029.843692129631</v>
      </c>
      <c r="P99" s="5">
        <v>6.0972225</v>
      </c>
      <c r="Q99" s="5">
        <v>-20.264084750600386</v>
      </c>
      <c r="R99" s="13">
        <f t="shared" si="4"/>
        <v>6.0972225</v>
      </c>
      <c r="S99" s="42">
        <f t="shared" si="7"/>
        <v>94.751102817962661</v>
      </c>
      <c r="T99" s="13">
        <v>0</v>
      </c>
      <c r="U99" s="14">
        <f t="shared" si="5"/>
        <v>-20.264084750600386</v>
      </c>
      <c r="V99" s="15">
        <f t="shared" si="6"/>
        <v>577.71855600149536</v>
      </c>
    </row>
    <row r="100" spans="2:22" x14ac:dyDescent="0.3">
      <c r="B100" t="s">
        <v>905</v>
      </c>
      <c r="C100" s="79">
        <v>1.3</v>
      </c>
      <c r="D100" s="78">
        <v>45945</v>
      </c>
      <c r="E100">
        <v>16</v>
      </c>
      <c r="F100" t="s">
        <v>925</v>
      </c>
      <c r="G100" t="s">
        <v>930</v>
      </c>
      <c r="H100">
        <v>49</v>
      </c>
      <c r="I100">
        <v>23</v>
      </c>
      <c r="J100" t="s">
        <v>24</v>
      </c>
      <c r="K100" t="s">
        <v>1016</v>
      </c>
      <c r="M100" s="1">
        <v>114</v>
      </c>
      <c r="N100" s="1" t="s">
        <v>131</v>
      </c>
      <c r="O100" s="2">
        <v>46029.847453703704</v>
      </c>
      <c r="P100" s="3">
        <v>8.2501610000000003</v>
      </c>
      <c r="Q100" s="3">
        <v>-20.895310031631933</v>
      </c>
      <c r="R100" s="13">
        <f t="shared" si="4"/>
        <v>8.2501610000000003</v>
      </c>
      <c r="S100" s="42">
        <f t="shared" si="7"/>
        <v>94.751102817962661</v>
      </c>
      <c r="T100" s="13">
        <v>0</v>
      </c>
      <c r="U100" s="14">
        <f t="shared" si="5"/>
        <v>-20.895310031631933</v>
      </c>
      <c r="V100" s="15">
        <f t="shared" si="6"/>
        <v>781.71185317574566</v>
      </c>
    </row>
    <row r="101" spans="2:22" x14ac:dyDescent="0.3">
      <c r="B101" t="s">
        <v>905</v>
      </c>
      <c r="C101" s="79">
        <v>1.3</v>
      </c>
      <c r="D101" s="78">
        <v>45945</v>
      </c>
      <c r="E101">
        <v>15</v>
      </c>
      <c r="F101" t="s">
        <v>929</v>
      </c>
      <c r="G101" t="s">
        <v>933</v>
      </c>
      <c r="H101">
        <v>49</v>
      </c>
      <c r="I101">
        <v>24</v>
      </c>
      <c r="J101" t="s">
        <v>24</v>
      </c>
      <c r="K101" t="s">
        <v>1017</v>
      </c>
      <c r="M101" s="4">
        <v>115</v>
      </c>
      <c r="N101" s="4" t="s">
        <v>132</v>
      </c>
      <c r="O101" s="12">
        <v>46029.851168981484</v>
      </c>
      <c r="P101" s="5">
        <v>7.4024824999999996</v>
      </c>
      <c r="Q101" s="5">
        <v>-19.466174656350091</v>
      </c>
      <c r="R101" s="13">
        <f t="shared" si="4"/>
        <v>7.4024824999999996</v>
      </c>
      <c r="S101" s="42">
        <f t="shared" si="7"/>
        <v>94.751102817962661</v>
      </c>
      <c r="T101" s="13">
        <v>0</v>
      </c>
      <c r="U101" s="14">
        <f t="shared" si="5"/>
        <v>-19.466174656350091</v>
      </c>
      <c r="V101" s="15">
        <f t="shared" si="6"/>
        <v>701.39338046566922</v>
      </c>
    </row>
    <row r="102" spans="2:22" x14ac:dyDescent="0.3">
      <c r="B102" t="s">
        <v>905</v>
      </c>
      <c r="C102" s="79">
        <v>1.3</v>
      </c>
      <c r="D102" s="78">
        <v>45945</v>
      </c>
      <c r="E102">
        <v>11</v>
      </c>
      <c r="F102" t="s">
        <v>932</v>
      </c>
      <c r="G102" t="s">
        <v>907</v>
      </c>
      <c r="H102">
        <v>49</v>
      </c>
      <c r="I102">
        <v>25</v>
      </c>
      <c r="J102" t="s">
        <v>25</v>
      </c>
      <c r="K102" t="s">
        <v>1018</v>
      </c>
      <c r="M102" s="1">
        <v>116</v>
      </c>
      <c r="N102" s="1" t="s">
        <v>133</v>
      </c>
      <c r="O102" s="2">
        <v>46029.854895833334</v>
      </c>
      <c r="P102" s="3">
        <v>8.3887689999999999</v>
      </c>
      <c r="Q102" s="3">
        <v>-20.699219875529799</v>
      </c>
      <c r="R102" s="13">
        <f t="shared" si="4"/>
        <v>8.3887689999999999</v>
      </c>
      <c r="S102" s="42">
        <f t="shared" si="7"/>
        <v>94.751102817962661</v>
      </c>
      <c r="T102" s="13">
        <v>0</v>
      </c>
      <c r="U102" s="14">
        <f t="shared" si="5"/>
        <v>-20.699219875529799</v>
      </c>
      <c r="V102" s="15">
        <f t="shared" si="6"/>
        <v>794.84511403513784</v>
      </c>
    </row>
    <row r="103" spans="2:22" x14ac:dyDescent="0.3">
      <c r="B103" t="s">
        <v>905</v>
      </c>
      <c r="C103" s="79">
        <v>1.3</v>
      </c>
      <c r="D103" s="78">
        <v>45945</v>
      </c>
      <c r="E103">
        <v>14</v>
      </c>
      <c r="F103" t="s">
        <v>906</v>
      </c>
      <c r="G103" t="s">
        <v>15</v>
      </c>
      <c r="H103">
        <v>49</v>
      </c>
      <c r="I103">
        <v>26</v>
      </c>
      <c r="J103" t="s">
        <v>25</v>
      </c>
      <c r="K103" t="s">
        <v>1019</v>
      </c>
      <c r="M103" s="4">
        <v>117</v>
      </c>
      <c r="N103" s="4" t="s">
        <v>134</v>
      </c>
      <c r="O103" s="12">
        <v>46029.858622685184</v>
      </c>
      <c r="P103" s="5">
        <v>7.4992274999999999</v>
      </c>
      <c r="Q103" s="5">
        <v>-19.693274356327315</v>
      </c>
      <c r="R103" s="13">
        <f t="shared" si="4"/>
        <v>7.4992274999999999</v>
      </c>
      <c r="S103" s="42">
        <f t="shared" si="7"/>
        <v>94.751102817962661</v>
      </c>
      <c r="T103" s="13">
        <v>0</v>
      </c>
      <c r="U103" s="14">
        <f t="shared" si="5"/>
        <v>-19.693274356327315</v>
      </c>
      <c r="V103" s="15">
        <f t="shared" si="6"/>
        <v>710.56007590779302</v>
      </c>
    </row>
    <row r="104" spans="2:22" x14ac:dyDescent="0.3">
      <c r="B104" t="s">
        <v>905</v>
      </c>
      <c r="C104" s="79">
        <v>1.3</v>
      </c>
      <c r="D104" s="78">
        <v>45945</v>
      </c>
      <c r="E104">
        <v>9</v>
      </c>
      <c r="F104" t="s">
        <v>910</v>
      </c>
      <c r="G104" t="s">
        <v>914</v>
      </c>
      <c r="H104">
        <v>49</v>
      </c>
      <c r="I104">
        <v>27</v>
      </c>
      <c r="J104" t="s">
        <v>25</v>
      </c>
      <c r="K104" t="s">
        <v>1020</v>
      </c>
      <c r="M104" s="1">
        <v>118</v>
      </c>
      <c r="N104" s="1" t="s">
        <v>135</v>
      </c>
      <c r="O104" s="2">
        <v>46029.862372685187</v>
      </c>
      <c r="P104" s="3">
        <v>7.2972210000000004</v>
      </c>
      <c r="Q104" s="3">
        <v>-19.365424589449383</v>
      </c>
      <c r="R104" s="13">
        <f t="shared" si="4"/>
        <v>7.2972210000000004</v>
      </c>
      <c r="S104" s="42">
        <f t="shared" si="7"/>
        <v>94.751102817962661</v>
      </c>
      <c r="T104" s="13">
        <v>0</v>
      </c>
      <c r="U104" s="14">
        <f t="shared" si="5"/>
        <v>-19.365424589449383</v>
      </c>
      <c r="V104" s="15">
        <f t="shared" si="6"/>
        <v>691.41973725639639</v>
      </c>
    </row>
    <row r="105" spans="2:22" x14ac:dyDescent="0.3">
      <c r="B105" t="s">
        <v>905</v>
      </c>
      <c r="C105" s="79">
        <v>1.3</v>
      </c>
      <c r="D105" s="78">
        <v>45945</v>
      </c>
      <c r="E105">
        <v>12</v>
      </c>
      <c r="F105" t="s">
        <v>917</v>
      </c>
      <c r="G105" t="s">
        <v>918</v>
      </c>
      <c r="H105">
        <v>49</v>
      </c>
      <c r="I105">
        <v>28</v>
      </c>
      <c r="J105" t="s">
        <v>25</v>
      </c>
      <c r="K105" t="s">
        <v>1021</v>
      </c>
      <c r="M105" s="4">
        <v>119</v>
      </c>
      <c r="N105" s="4" t="s">
        <v>136</v>
      </c>
      <c r="O105" s="12">
        <v>46029.866203703707</v>
      </c>
      <c r="P105" s="5">
        <v>7.1326464999999999</v>
      </c>
      <c r="Q105" s="5">
        <v>-19.134358885290485</v>
      </c>
      <c r="R105" s="13">
        <f t="shared" si="4"/>
        <v>7.1326464999999999</v>
      </c>
      <c r="S105" s="42">
        <f t="shared" si="7"/>
        <v>94.751102817962661</v>
      </c>
      <c r="T105" s="13">
        <v>0</v>
      </c>
      <c r="U105" s="14">
        <f t="shared" si="5"/>
        <v>-19.134358885290485</v>
      </c>
      <c r="V105" s="15">
        <f t="shared" si="6"/>
        <v>675.82612188568146</v>
      </c>
    </row>
    <row r="106" spans="2:22" x14ac:dyDescent="0.3">
      <c r="B106" t="s">
        <v>905</v>
      </c>
      <c r="C106" s="79">
        <v>1.3</v>
      </c>
      <c r="D106" s="78">
        <v>45945</v>
      </c>
      <c r="E106">
        <v>13</v>
      </c>
      <c r="F106" t="s">
        <v>921</v>
      </c>
      <c r="G106" t="s">
        <v>922</v>
      </c>
      <c r="H106">
        <v>49</v>
      </c>
      <c r="I106">
        <v>29</v>
      </c>
      <c r="J106" t="s">
        <v>25</v>
      </c>
      <c r="K106" t="s">
        <v>1022</v>
      </c>
      <c r="M106" s="1">
        <v>120</v>
      </c>
      <c r="N106" s="1" t="s">
        <v>137</v>
      </c>
      <c r="O106" s="2">
        <v>46029.869930555556</v>
      </c>
      <c r="P106" s="3">
        <v>8.6979240000000004</v>
      </c>
      <c r="Q106" s="3">
        <v>-21.285733408477483</v>
      </c>
      <c r="R106" s="13">
        <f t="shared" si="4"/>
        <v>8.6979240000000004</v>
      </c>
      <c r="S106" s="42">
        <f t="shared" si="7"/>
        <v>94.751102817962661</v>
      </c>
      <c r="T106" s="13">
        <v>0</v>
      </c>
      <c r="U106" s="14">
        <f t="shared" si="5"/>
        <v>-21.285733408477483</v>
      </c>
      <c r="V106" s="15">
        <f t="shared" si="6"/>
        <v>824.1378912268251</v>
      </c>
    </row>
    <row r="107" spans="2:22" x14ac:dyDescent="0.3">
      <c r="B107" t="s">
        <v>905</v>
      </c>
      <c r="C107" s="79">
        <v>1.3</v>
      </c>
      <c r="D107" s="78">
        <v>45945</v>
      </c>
      <c r="E107">
        <v>16</v>
      </c>
      <c r="F107" t="s">
        <v>925</v>
      </c>
      <c r="G107" t="s">
        <v>926</v>
      </c>
      <c r="H107">
        <v>49</v>
      </c>
      <c r="I107">
        <v>30</v>
      </c>
      <c r="J107" t="s">
        <v>25</v>
      </c>
      <c r="K107" t="s">
        <v>1023</v>
      </c>
      <c r="M107" s="4">
        <v>121</v>
      </c>
      <c r="N107" s="4" t="s">
        <v>138</v>
      </c>
      <c r="O107" s="12">
        <v>46029.873680555553</v>
      </c>
      <c r="P107" s="5">
        <v>8.2460190000000004</v>
      </c>
      <c r="Q107" s="5">
        <v>-20.568311078600939</v>
      </c>
      <c r="R107" s="13">
        <f t="shared" si="4"/>
        <v>8.2460190000000004</v>
      </c>
      <c r="S107" s="42">
        <f t="shared" si="7"/>
        <v>94.751102817962661</v>
      </c>
      <c r="T107" s="13">
        <v>0</v>
      </c>
      <c r="U107" s="14">
        <f t="shared" si="5"/>
        <v>-20.568311078600939</v>
      </c>
      <c r="V107" s="15">
        <f t="shared" si="6"/>
        <v>781.31939410787368</v>
      </c>
    </row>
    <row r="108" spans="2:22" x14ac:dyDescent="0.3">
      <c r="B108" t="s">
        <v>905</v>
      </c>
      <c r="C108" s="79">
        <v>1.3</v>
      </c>
      <c r="D108" s="78">
        <v>45945</v>
      </c>
      <c r="E108">
        <v>15</v>
      </c>
      <c r="F108" t="s">
        <v>929</v>
      </c>
      <c r="G108" t="s">
        <v>930</v>
      </c>
      <c r="H108">
        <v>49</v>
      </c>
      <c r="I108">
        <v>31</v>
      </c>
      <c r="J108" t="s">
        <v>25</v>
      </c>
      <c r="K108" t="s">
        <v>1024</v>
      </c>
      <c r="M108" s="1">
        <v>122</v>
      </c>
      <c r="N108" s="1" t="s">
        <v>139</v>
      </c>
      <c r="O108" s="2">
        <v>46029.877418981479</v>
      </c>
      <c r="P108" s="3">
        <v>8.3212810000000008</v>
      </c>
      <c r="Q108" s="3">
        <v>-21.077692982767182</v>
      </c>
      <c r="R108" s="13">
        <f t="shared" si="4"/>
        <v>8.3212810000000008</v>
      </c>
      <c r="S108" s="42">
        <f t="shared" si="7"/>
        <v>94.751102817962661</v>
      </c>
      <c r="T108" s="13">
        <v>0</v>
      </c>
      <c r="U108" s="14">
        <f t="shared" si="5"/>
        <v>-21.077692982767182</v>
      </c>
      <c r="V108" s="15">
        <f t="shared" si="6"/>
        <v>788.45055160815923</v>
      </c>
    </row>
    <row r="109" spans="2:22" x14ac:dyDescent="0.3">
      <c r="B109" t="s">
        <v>905</v>
      </c>
      <c r="C109" s="79">
        <v>1.3</v>
      </c>
      <c r="D109" s="78">
        <v>45945</v>
      </c>
      <c r="E109">
        <v>11</v>
      </c>
      <c r="F109" t="s">
        <v>932</v>
      </c>
      <c r="G109" t="s">
        <v>933</v>
      </c>
      <c r="H109">
        <v>49</v>
      </c>
      <c r="I109">
        <v>32</v>
      </c>
      <c r="J109" t="s">
        <v>25</v>
      </c>
      <c r="K109" t="s">
        <v>1025</v>
      </c>
      <c r="M109" s="4">
        <v>123</v>
      </c>
      <c r="N109" s="4" t="s">
        <v>140</v>
      </c>
      <c r="O109" s="12">
        <v>46029.88113425926</v>
      </c>
      <c r="P109" s="5">
        <v>7.6141874999999999</v>
      </c>
      <c r="Q109" s="5">
        <v>-19.654568164724353</v>
      </c>
      <c r="R109" s="13">
        <f t="shared" si="4"/>
        <v>7.6141874999999999</v>
      </c>
      <c r="S109" s="42">
        <f t="shared" si="7"/>
        <v>94.751102817962661</v>
      </c>
      <c r="T109" s="13">
        <v>0</v>
      </c>
      <c r="U109" s="14">
        <f t="shared" si="5"/>
        <v>-19.654568164724353</v>
      </c>
      <c r="V109" s="15">
        <f t="shared" si="6"/>
        <v>721.45266268774606</v>
      </c>
    </row>
    <row r="110" spans="2:22" x14ac:dyDescent="0.3">
      <c r="B110" t="s">
        <v>905</v>
      </c>
      <c r="C110" s="79">
        <v>1.4</v>
      </c>
      <c r="D110" s="78">
        <v>45947</v>
      </c>
      <c r="E110">
        <v>14</v>
      </c>
      <c r="F110" t="s">
        <v>906</v>
      </c>
      <c r="G110" t="s">
        <v>907</v>
      </c>
      <c r="H110">
        <v>97</v>
      </c>
      <c r="I110">
        <v>1</v>
      </c>
      <c r="J110" t="s">
        <v>908</v>
      </c>
      <c r="K110" t="s">
        <v>1026</v>
      </c>
      <c r="M110" s="1">
        <v>124</v>
      </c>
      <c r="N110" s="1" t="s">
        <v>141</v>
      </c>
      <c r="O110" s="2">
        <v>46029.884884259256</v>
      </c>
      <c r="P110" s="3">
        <v>5.7618995000000002</v>
      </c>
      <c r="Q110" s="3">
        <v>-17.273892197945948</v>
      </c>
      <c r="R110" s="13">
        <f t="shared" si="4"/>
        <v>5.7618995000000002</v>
      </c>
      <c r="S110" s="42">
        <f t="shared" si="7"/>
        <v>94.751102817962661</v>
      </c>
      <c r="T110" s="13">
        <v>0</v>
      </c>
      <c r="U110" s="14">
        <f t="shared" si="5"/>
        <v>-17.273892197945948</v>
      </c>
      <c r="V110" s="15">
        <f t="shared" si="6"/>
        <v>545.94633195126767</v>
      </c>
    </row>
    <row r="111" spans="2:22" x14ac:dyDescent="0.3">
      <c r="B111" t="s">
        <v>905</v>
      </c>
      <c r="C111" s="79">
        <v>1.4</v>
      </c>
      <c r="D111" s="78">
        <v>45947</v>
      </c>
      <c r="E111">
        <v>9</v>
      </c>
      <c r="F111" t="s">
        <v>910</v>
      </c>
      <c r="G111" t="s">
        <v>15</v>
      </c>
      <c r="H111">
        <v>97</v>
      </c>
      <c r="I111">
        <v>2</v>
      </c>
      <c r="J111" t="s">
        <v>908</v>
      </c>
      <c r="K111" t="s">
        <v>1027</v>
      </c>
      <c r="M111" s="4">
        <v>125</v>
      </c>
      <c r="N111" s="4" t="s">
        <v>142</v>
      </c>
      <c r="O111" s="12">
        <v>46029.88863425926</v>
      </c>
      <c r="P111" s="5">
        <v>5.4752225000000001</v>
      </c>
      <c r="Q111" s="5">
        <v>-16.649710932114854</v>
      </c>
      <c r="R111" s="13">
        <f t="shared" si="4"/>
        <v>5.4752225000000001</v>
      </c>
      <c r="S111" s="42">
        <f t="shared" si="7"/>
        <v>94.751102817962661</v>
      </c>
      <c r="T111" s="13">
        <v>0</v>
      </c>
      <c r="U111" s="14">
        <f t="shared" si="5"/>
        <v>-16.649710932114854</v>
      </c>
      <c r="V111" s="15">
        <f t="shared" si="6"/>
        <v>518.78337004872253</v>
      </c>
    </row>
    <row r="112" spans="2:22" x14ac:dyDescent="0.3">
      <c r="B112" t="s">
        <v>905</v>
      </c>
      <c r="C112" s="79">
        <v>1.4</v>
      </c>
      <c r="D112" s="78">
        <v>45947</v>
      </c>
      <c r="E112">
        <v>10</v>
      </c>
      <c r="F112" t="s">
        <v>913</v>
      </c>
      <c r="G112" t="s">
        <v>914</v>
      </c>
      <c r="H112">
        <v>97</v>
      </c>
      <c r="I112">
        <v>3</v>
      </c>
      <c r="J112" t="s">
        <v>908</v>
      </c>
      <c r="K112" t="s">
        <v>1028</v>
      </c>
      <c r="M112" s="1">
        <v>126</v>
      </c>
      <c r="N112" s="1" t="s">
        <v>143</v>
      </c>
      <c r="O112" s="2">
        <v>46029.892361111109</v>
      </c>
      <c r="P112" s="3">
        <v>5.6952385000000003</v>
      </c>
      <c r="Q112" s="3">
        <v>-17.363424362756497</v>
      </c>
      <c r="R112" s="13">
        <f t="shared" si="4"/>
        <v>5.6952385000000003</v>
      </c>
      <c r="S112" s="42">
        <f t="shared" si="7"/>
        <v>94.751102817962661</v>
      </c>
      <c r="T112" s="13">
        <v>0</v>
      </c>
      <c r="U112" s="14">
        <f t="shared" si="5"/>
        <v>-17.363424362756497</v>
      </c>
      <c r="V112" s="15">
        <f t="shared" si="6"/>
        <v>539.63012868631949</v>
      </c>
    </row>
    <row r="113" spans="2:22" x14ac:dyDescent="0.3">
      <c r="B113" t="s">
        <v>905</v>
      </c>
      <c r="C113" s="79">
        <v>1.4</v>
      </c>
      <c r="D113" s="78">
        <v>45947</v>
      </c>
      <c r="E113">
        <v>12</v>
      </c>
      <c r="F113" t="s">
        <v>917</v>
      </c>
      <c r="G113" t="s">
        <v>918</v>
      </c>
      <c r="H113">
        <v>97</v>
      </c>
      <c r="I113">
        <v>4</v>
      </c>
      <c r="J113" t="s">
        <v>908</v>
      </c>
      <c r="K113" t="s">
        <v>1029</v>
      </c>
      <c r="M113" s="4">
        <v>127</v>
      </c>
      <c r="N113" s="4" t="s">
        <v>144</v>
      </c>
      <c r="O113" s="12">
        <v>46029.896111111113</v>
      </c>
      <c r="P113" s="5">
        <v>5.9199855000000001</v>
      </c>
      <c r="Q113" s="5">
        <v>-17.563342066403592</v>
      </c>
      <c r="R113" s="13">
        <f t="shared" si="4"/>
        <v>5.9199855000000001</v>
      </c>
      <c r="S113" s="42">
        <f t="shared" si="7"/>
        <v>94.751102817962661</v>
      </c>
      <c r="T113" s="13">
        <v>0</v>
      </c>
      <c r="U113" s="14">
        <f t="shared" si="5"/>
        <v>-17.563342066403592</v>
      </c>
      <c r="V113" s="15">
        <f t="shared" si="6"/>
        <v>560.92515479134806</v>
      </c>
    </row>
    <row r="114" spans="2:22" x14ac:dyDescent="0.3">
      <c r="B114" t="s">
        <v>905</v>
      </c>
      <c r="C114" s="79">
        <v>1.4</v>
      </c>
      <c r="D114" s="78">
        <v>45947</v>
      </c>
      <c r="E114">
        <v>13</v>
      </c>
      <c r="F114" t="s">
        <v>921</v>
      </c>
      <c r="G114" t="s">
        <v>922</v>
      </c>
      <c r="H114">
        <v>97</v>
      </c>
      <c r="I114">
        <v>5</v>
      </c>
      <c r="J114" t="s">
        <v>908</v>
      </c>
      <c r="K114" t="s">
        <v>1030</v>
      </c>
      <c r="M114" s="1">
        <v>128</v>
      </c>
      <c r="N114" s="1" t="s">
        <v>145</v>
      </c>
      <c r="O114" s="2">
        <v>46029.899861111109</v>
      </c>
      <c r="P114" s="3">
        <v>5.8236350000000003</v>
      </c>
      <c r="Q114" s="3">
        <v>-17.555731049768024</v>
      </c>
      <c r="R114" s="13">
        <f t="shared" si="4"/>
        <v>5.8236350000000003</v>
      </c>
      <c r="S114" s="42">
        <f t="shared" si="7"/>
        <v>94.751102817962661</v>
      </c>
      <c r="T114" s="13">
        <v>0</v>
      </c>
      <c r="U114" s="14">
        <f t="shared" si="5"/>
        <v>-17.555731049768024</v>
      </c>
      <c r="V114" s="15">
        <f t="shared" si="6"/>
        <v>551.79583865928601</v>
      </c>
    </row>
    <row r="115" spans="2:22" x14ac:dyDescent="0.3">
      <c r="B115" t="s">
        <v>905</v>
      </c>
      <c r="C115" s="79">
        <v>1.4</v>
      </c>
      <c r="D115" s="78">
        <v>45947</v>
      </c>
      <c r="E115">
        <v>16</v>
      </c>
      <c r="F115" t="s">
        <v>925</v>
      </c>
      <c r="G115" t="s">
        <v>926</v>
      </c>
      <c r="H115">
        <v>97</v>
      </c>
      <c r="I115">
        <v>6</v>
      </c>
      <c r="J115" t="s">
        <v>908</v>
      </c>
      <c r="K115" t="s">
        <v>1031</v>
      </c>
      <c r="M115" s="4">
        <v>129</v>
      </c>
      <c r="N115" s="4" t="s">
        <v>146</v>
      </c>
      <c r="O115" s="12">
        <v>46029.903599537036</v>
      </c>
      <c r="P115" s="5">
        <v>6.2891919999999999</v>
      </c>
      <c r="Q115" s="5">
        <v>-18.320689493455212</v>
      </c>
      <c r="R115" s="13">
        <f t="shared" si="4"/>
        <v>6.2891919999999999</v>
      </c>
      <c r="S115" s="42">
        <f t="shared" si="7"/>
        <v>94.751102817962661</v>
      </c>
      <c r="T115" s="13">
        <v>0</v>
      </c>
      <c r="U115" s="14">
        <f t="shared" si="5"/>
        <v>-18.320689493455212</v>
      </c>
      <c r="V115" s="15">
        <f t="shared" si="6"/>
        <v>595.90787783390817</v>
      </c>
    </row>
    <row r="116" spans="2:22" x14ac:dyDescent="0.3">
      <c r="B116" t="s">
        <v>905</v>
      </c>
      <c r="C116" s="79">
        <v>1.4</v>
      </c>
      <c r="D116" s="78">
        <v>45947</v>
      </c>
      <c r="E116">
        <v>15</v>
      </c>
      <c r="F116" t="s">
        <v>929</v>
      </c>
      <c r="G116" t="s">
        <v>930</v>
      </c>
      <c r="H116">
        <v>97</v>
      </c>
      <c r="I116">
        <v>7</v>
      </c>
      <c r="J116" t="s">
        <v>908</v>
      </c>
      <c r="K116" t="s">
        <v>1032</v>
      </c>
      <c r="M116" s="1">
        <v>130</v>
      </c>
      <c r="N116" s="1" t="s">
        <v>147</v>
      </c>
      <c r="O116" s="2">
        <v>46029.907337962963</v>
      </c>
      <c r="P116" s="3">
        <v>6.1428545000000003</v>
      </c>
      <c r="Q116" s="3">
        <v>-17.98835045968956</v>
      </c>
      <c r="R116" s="13">
        <f t="shared" si="4"/>
        <v>6.1428545000000003</v>
      </c>
      <c r="S116" s="42">
        <f t="shared" si="7"/>
        <v>94.751102817962661</v>
      </c>
      <c r="T116" s="13">
        <v>0</v>
      </c>
      <c r="U116" s="14">
        <f t="shared" si="5"/>
        <v>-17.98835045968956</v>
      </c>
      <c r="V116" s="15">
        <f t="shared" si="6"/>
        <v>582.04223832528464</v>
      </c>
    </row>
    <row r="117" spans="2:22" x14ac:dyDescent="0.3">
      <c r="B117" t="s">
        <v>905</v>
      </c>
      <c r="C117" s="79">
        <v>1.4</v>
      </c>
      <c r="D117" s="78">
        <v>45947</v>
      </c>
      <c r="E117">
        <v>11</v>
      </c>
      <c r="F117" t="s">
        <v>932</v>
      </c>
      <c r="G117" t="s">
        <v>933</v>
      </c>
      <c r="H117">
        <v>97</v>
      </c>
      <c r="I117">
        <v>8</v>
      </c>
      <c r="J117" t="s">
        <v>908</v>
      </c>
      <c r="K117" t="s">
        <v>1033</v>
      </c>
      <c r="M117" s="4">
        <v>131</v>
      </c>
      <c r="N117" s="4" t="s">
        <v>148</v>
      </c>
      <c r="O117" s="12">
        <v>46029.911134259259</v>
      </c>
      <c r="P117" s="5">
        <v>6.7814385000000001</v>
      </c>
      <c r="Q117" s="5">
        <v>-18.665450173544059</v>
      </c>
      <c r="R117" s="13">
        <f t="shared" si="4"/>
        <v>6.7814385000000001</v>
      </c>
      <c r="S117" s="42">
        <f t="shared" si="7"/>
        <v>94.751102817962661</v>
      </c>
      <c r="T117" s="13">
        <v>0</v>
      </c>
      <c r="U117" s="14">
        <f t="shared" si="5"/>
        <v>-18.665450173544059</v>
      </c>
      <c r="V117" s="15">
        <f t="shared" si="6"/>
        <v>642.54877656719054</v>
      </c>
    </row>
    <row r="118" spans="2:22" x14ac:dyDescent="0.3">
      <c r="B118" t="s">
        <v>905</v>
      </c>
      <c r="C118" s="79">
        <v>1.4</v>
      </c>
      <c r="D118" s="78">
        <v>45947</v>
      </c>
      <c r="E118">
        <v>14</v>
      </c>
      <c r="F118" t="s">
        <v>906</v>
      </c>
      <c r="G118" t="s">
        <v>907</v>
      </c>
      <c r="H118">
        <v>97</v>
      </c>
      <c r="I118">
        <v>9</v>
      </c>
      <c r="J118" t="s">
        <v>935</v>
      </c>
      <c r="K118" t="s">
        <v>1034</v>
      </c>
      <c r="M118" s="1">
        <v>132</v>
      </c>
      <c r="N118" s="1" t="s">
        <v>149</v>
      </c>
      <c r="O118" s="2">
        <v>46029.914872685185</v>
      </c>
      <c r="P118" s="3">
        <v>6.6165409999999998</v>
      </c>
      <c r="Q118" s="3">
        <v>-18.424240050740408</v>
      </c>
      <c r="R118" s="13">
        <f t="shared" si="4"/>
        <v>6.6165409999999998</v>
      </c>
      <c r="S118" s="42">
        <f t="shared" si="7"/>
        <v>94.751102817962661</v>
      </c>
      <c r="T118" s="13">
        <v>0</v>
      </c>
      <c r="U118" s="14">
        <f t="shared" si="5"/>
        <v>-18.424240050740408</v>
      </c>
      <c r="V118" s="15">
        <f t="shared" si="6"/>
        <v>626.92455659026541</v>
      </c>
    </row>
    <row r="119" spans="2:22" x14ac:dyDescent="0.3">
      <c r="B119" t="s">
        <v>905</v>
      </c>
      <c r="C119" s="79">
        <v>1.4</v>
      </c>
      <c r="D119" s="78">
        <v>45947</v>
      </c>
      <c r="E119">
        <v>9</v>
      </c>
      <c r="F119" t="s">
        <v>910</v>
      </c>
      <c r="G119" t="s">
        <v>15</v>
      </c>
      <c r="H119">
        <v>97</v>
      </c>
      <c r="I119">
        <v>10</v>
      </c>
      <c r="J119" t="s">
        <v>935</v>
      </c>
      <c r="K119" t="s">
        <v>1035</v>
      </c>
      <c r="M119" s="4">
        <v>133</v>
      </c>
      <c r="N119" s="4" t="s">
        <v>150</v>
      </c>
      <c r="O119" s="12">
        <v>46029.918611111112</v>
      </c>
      <c r="P119" s="5">
        <v>6.1176335000000002</v>
      </c>
      <c r="Q119" s="5">
        <v>-17.560823154032935</v>
      </c>
      <c r="R119" s="13">
        <f t="shared" si="4"/>
        <v>6.1176335000000002</v>
      </c>
      <c r="S119" s="42">
        <f t="shared" si="7"/>
        <v>94.751102817962661</v>
      </c>
      <c r="T119" s="13">
        <v>0</v>
      </c>
      <c r="U119" s="14">
        <f t="shared" si="5"/>
        <v>-17.560823154032935</v>
      </c>
      <c r="V119" s="15">
        <f t="shared" si="6"/>
        <v>579.65252076111278</v>
      </c>
    </row>
    <row r="120" spans="2:22" x14ac:dyDescent="0.3">
      <c r="B120" t="s">
        <v>905</v>
      </c>
      <c r="C120" s="79">
        <v>1.4</v>
      </c>
      <c r="D120" s="78">
        <v>45947</v>
      </c>
      <c r="E120">
        <v>10</v>
      </c>
      <c r="F120" t="s">
        <v>913</v>
      </c>
      <c r="G120" t="s">
        <v>914</v>
      </c>
      <c r="H120">
        <v>97</v>
      </c>
      <c r="I120">
        <v>11</v>
      </c>
      <c r="J120" t="s">
        <v>935</v>
      </c>
      <c r="K120" t="s">
        <v>1036</v>
      </c>
      <c r="M120" s="1">
        <v>134</v>
      </c>
      <c r="N120" s="1" t="s">
        <v>151</v>
      </c>
      <c r="O120" s="2">
        <v>46029.922361111108</v>
      </c>
      <c r="P120" s="3">
        <v>6.0227845000000002</v>
      </c>
      <c r="Q120" s="3">
        <v>-17.64242741841187</v>
      </c>
      <c r="R120" s="13">
        <f t="shared" si="4"/>
        <v>6.0227845000000002</v>
      </c>
      <c r="S120" s="42">
        <f t="shared" si="7"/>
        <v>94.751102817962661</v>
      </c>
      <c r="T120" s="13">
        <v>0</v>
      </c>
      <c r="U120" s="14">
        <f t="shared" si="5"/>
        <v>-17.64242741841187</v>
      </c>
      <c r="V120" s="15">
        <f t="shared" si="6"/>
        <v>570.66547340993191</v>
      </c>
    </row>
    <row r="121" spans="2:22" x14ac:dyDescent="0.3">
      <c r="B121" t="s">
        <v>905</v>
      </c>
      <c r="C121" s="79">
        <v>1.4</v>
      </c>
      <c r="D121" s="78">
        <v>45947</v>
      </c>
      <c r="E121">
        <v>12</v>
      </c>
      <c r="F121" t="s">
        <v>917</v>
      </c>
      <c r="G121" t="s">
        <v>918</v>
      </c>
      <c r="H121">
        <v>97</v>
      </c>
      <c r="I121">
        <v>12</v>
      </c>
      <c r="J121" t="s">
        <v>935</v>
      </c>
      <c r="K121" t="s">
        <v>1037</v>
      </c>
      <c r="M121" s="4">
        <v>135</v>
      </c>
      <c r="N121" s="4" t="s">
        <v>152</v>
      </c>
      <c r="O121" s="12">
        <v>46029.926099537035</v>
      </c>
      <c r="P121" s="5">
        <v>6.1002590000000003</v>
      </c>
      <c r="Q121" s="5">
        <v>-18.143639451945806</v>
      </c>
      <c r="R121" s="13">
        <f t="shared" si="4"/>
        <v>6.1002590000000003</v>
      </c>
      <c r="S121" s="42">
        <f t="shared" si="7"/>
        <v>94.751102817962661</v>
      </c>
      <c r="T121" s="13">
        <v>0</v>
      </c>
      <c r="U121" s="14">
        <f t="shared" si="5"/>
        <v>-18.143639451945806</v>
      </c>
      <c r="V121" s="15">
        <f t="shared" si="6"/>
        <v>578.00626772520206</v>
      </c>
    </row>
    <row r="122" spans="2:22" x14ac:dyDescent="0.3">
      <c r="B122" t="s">
        <v>905</v>
      </c>
      <c r="C122" s="79">
        <v>1.4</v>
      </c>
      <c r="D122" s="78">
        <v>45947</v>
      </c>
      <c r="E122">
        <v>13</v>
      </c>
      <c r="F122" t="s">
        <v>921</v>
      </c>
      <c r="G122" t="s">
        <v>922</v>
      </c>
      <c r="H122">
        <v>97</v>
      </c>
      <c r="I122">
        <v>13</v>
      </c>
      <c r="J122" t="s">
        <v>935</v>
      </c>
      <c r="K122" t="s">
        <v>1038</v>
      </c>
      <c r="M122" s="1">
        <v>136</v>
      </c>
      <c r="N122" s="1" t="s">
        <v>153</v>
      </c>
      <c r="O122" s="2">
        <v>46029.929837962962</v>
      </c>
      <c r="P122" s="3">
        <v>6.5169689999999996</v>
      </c>
      <c r="Q122" s="3">
        <v>-18.652028237688651</v>
      </c>
      <c r="R122" s="13">
        <f t="shared" si="4"/>
        <v>6.5169689999999996</v>
      </c>
      <c r="S122" s="42">
        <f t="shared" si="7"/>
        <v>94.751102817962661</v>
      </c>
      <c r="T122" s="13">
        <v>0</v>
      </c>
      <c r="U122" s="14">
        <f t="shared" si="5"/>
        <v>-18.652028237688651</v>
      </c>
      <c r="V122" s="15">
        <f t="shared" si="6"/>
        <v>617.48999978047527</v>
      </c>
    </row>
    <row r="123" spans="2:22" x14ac:dyDescent="0.3">
      <c r="B123" t="s">
        <v>905</v>
      </c>
      <c r="C123" s="79">
        <v>1.4</v>
      </c>
      <c r="D123" s="78">
        <v>45947</v>
      </c>
      <c r="E123">
        <v>16</v>
      </c>
      <c r="F123" t="s">
        <v>925</v>
      </c>
      <c r="G123" t="s">
        <v>926</v>
      </c>
      <c r="H123">
        <v>97</v>
      </c>
      <c r="I123">
        <v>14</v>
      </c>
      <c r="J123" t="s">
        <v>935</v>
      </c>
      <c r="K123" t="s">
        <v>1039</v>
      </c>
      <c r="M123" s="4">
        <v>137</v>
      </c>
      <c r="N123" s="4" t="s">
        <v>154</v>
      </c>
      <c r="O123" s="12">
        <v>46029.933576388888</v>
      </c>
      <c r="P123" s="5">
        <v>6.8374079999999999</v>
      </c>
      <c r="Q123" s="5">
        <v>-18.679549111592749</v>
      </c>
      <c r="R123" s="13">
        <f t="shared" si="4"/>
        <v>6.8374079999999999</v>
      </c>
      <c r="S123" s="42">
        <f t="shared" si="7"/>
        <v>94.751102817962661</v>
      </c>
      <c r="T123" s="13">
        <v>0</v>
      </c>
      <c r="U123" s="14">
        <f t="shared" si="5"/>
        <v>-18.679549111592749</v>
      </c>
      <c r="V123" s="15">
        <f t="shared" si="6"/>
        <v>647.85194841636041</v>
      </c>
    </row>
    <row r="124" spans="2:22" x14ac:dyDescent="0.3">
      <c r="B124" t="s">
        <v>905</v>
      </c>
      <c r="C124" s="79">
        <v>1.4</v>
      </c>
      <c r="D124" s="78">
        <v>45947</v>
      </c>
      <c r="E124">
        <v>15</v>
      </c>
      <c r="F124" t="s">
        <v>929</v>
      </c>
      <c r="G124" t="s">
        <v>930</v>
      </c>
      <c r="H124">
        <v>97</v>
      </c>
      <c r="I124">
        <v>15</v>
      </c>
      <c r="J124" t="s">
        <v>935</v>
      </c>
      <c r="K124" t="s">
        <v>1040</v>
      </c>
      <c r="M124" s="1">
        <v>138</v>
      </c>
      <c r="N124" s="1" t="s">
        <v>155</v>
      </c>
      <c r="O124" s="2">
        <v>46029.937326388892</v>
      </c>
      <c r="P124" s="3">
        <v>6.7965850000000003</v>
      </c>
      <c r="Q124" s="3">
        <v>-18.724824336782547</v>
      </c>
      <c r="R124" s="13">
        <f t="shared" si="4"/>
        <v>6.7965850000000003</v>
      </c>
      <c r="S124" s="42">
        <f t="shared" si="7"/>
        <v>94.751102817962661</v>
      </c>
      <c r="T124" s="13">
        <v>0</v>
      </c>
      <c r="U124" s="14">
        <f t="shared" si="5"/>
        <v>-18.724824336782547</v>
      </c>
      <c r="V124" s="15">
        <f t="shared" si="6"/>
        <v>643.98392414602279</v>
      </c>
    </row>
    <row r="125" spans="2:22" x14ac:dyDescent="0.3">
      <c r="B125" t="s">
        <v>905</v>
      </c>
      <c r="C125" s="79">
        <v>1.4</v>
      </c>
      <c r="D125" s="78">
        <v>45947</v>
      </c>
      <c r="E125">
        <v>11</v>
      </c>
      <c r="F125" t="s">
        <v>932</v>
      </c>
      <c r="G125" t="s">
        <v>933</v>
      </c>
      <c r="H125">
        <v>97</v>
      </c>
      <c r="I125">
        <v>16</v>
      </c>
      <c r="J125" t="s">
        <v>935</v>
      </c>
      <c r="K125" t="s">
        <v>1041</v>
      </c>
      <c r="M125" s="4">
        <v>139</v>
      </c>
      <c r="N125" s="4" t="s">
        <v>156</v>
      </c>
      <c r="O125" s="12">
        <v>46029.941064814811</v>
      </c>
      <c r="P125" s="5">
        <v>6.8494865000000003</v>
      </c>
      <c r="Q125" s="5">
        <v>-18.445321408531527</v>
      </c>
      <c r="R125" s="13">
        <f t="shared" si="4"/>
        <v>6.8494865000000003</v>
      </c>
      <c r="S125" s="42">
        <f t="shared" si="7"/>
        <v>94.751102817962661</v>
      </c>
      <c r="T125" s="13">
        <v>0</v>
      </c>
      <c r="U125" s="14">
        <f t="shared" si="5"/>
        <v>-18.445321408531527</v>
      </c>
      <c r="V125" s="15">
        <f t="shared" si="6"/>
        <v>648.99639961174728</v>
      </c>
    </row>
    <row r="126" spans="2:22" x14ac:dyDescent="0.3">
      <c r="B126" t="s">
        <v>905</v>
      </c>
      <c r="C126" s="79">
        <v>1.4</v>
      </c>
      <c r="D126" s="78">
        <v>45947</v>
      </c>
      <c r="E126">
        <v>14</v>
      </c>
      <c r="F126" t="s">
        <v>906</v>
      </c>
      <c r="G126" t="s">
        <v>907</v>
      </c>
      <c r="H126">
        <v>97</v>
      </c>
      <c r="I126">
        <v>17</v>
      </c>
      <c r="J126" t="s">
        <v>24</v>
      </c>
      <c r="K126" t="s">
        <v>1042</v>
      </c>
      <c r="M126" s="1">
        <v>140</v>
      </c>
      <c r="N126" s="1" t="s">
        <v>157</v>
      </c>
      <c r="O126" s="2">
        <v>46029.944884259261</v>
      </c>
      <c r="P126" s="3">
        <v>7.0336734999999999</v>
      </c>
      <c r="Q126" s="3">
        <v>-19.136211752803185</v>
      </c>
      <c r="R126" s="13">
        <f t="shared" si="4"/>
        <v>7.0336734999999999</v>
      </c>
      <c r="S126" s="42">
        <f t="shared" si="7"/>
        <v>94.751102817962661</v>
      </c>
      <c r="T126" s="13">
        <v>0</v>
      </c>
      <c r="U126" s="14">
        <f t="shared" si="5"/>
        <v>-19.136211752803185</v>
      </c>
      <c r="V126" s="15">
        <f t="shared" si="6"/>
        <v>666.4483209864793</v>
      </c>
    </row>
    <row r="127" spans="2:22" x14ac:dyDescent="0.3">
      <c r="B127" t="s">
        <v>905</v>
      </c>
      <c r="C127" s="79">
        <v>1.4</v>
      </c>
      <c r="D127" s="78">
        <v>45947</v>
      </c>
      <c r="E127">
        <v>9</v>
      </c>
      <c r="F127" t="s">
        <v>910</v>
      </c>
      <c r="G127" t="s">
        <v>15</v>
      </c>
      <c r="H127">
        <v>97</v>
      </c>
      <c r="I127">
        <v>18</v>
      </c>
      <c r="J127" t="s">
        <v>24</v>
      </c>
      <c r="K127" t="s">
        <v>1043</v>
      </c>
      <c r="M127" s="4">
        <v>141</v>
      </c>
      <c r="N127" s="4" t="s">
        <v>158</v>
      </c>
      <c r="O127" s="12">
        <v>46029.948622685188</v>
      </c>
      <c r="P127" s="5">
        <v>6.5230695000000001</v>
      </c>
      <c r="Q127" s="5">
        <v>-18.034352755140844</v>
      </c>
      <c r="R127" s="13">
        <f t="shared" si="4"/>
        <v>6.5230695000000001</v>
      </c>
      <c r="S127" s="42">
        <f t="shared" si="7"/>
        <v>94.751102817962661</v>
      </c>
      <c r="T127" s="13">
        <v>0</v>
      </c>
      <c r="U127" s="14">
        <f t="shared" si="5"/>
        <v>-18.034352755140844</v>
      </c>
      <c r="V127" s="15">
        <f t="shared" si="6"/>
        <v>618.06802888321624</v>
      </c>
    </row>
    <row r="128" spans="2:22" x14ac:dyDescent="0.3">
      <c r="B128" t="s">
        <v>905</v>
      </c>
      <c r="C128" s="79">
        <v>1.4</v>
      </c>
      <c r="D128" s="78">
        <v>45947</v>
      </c>
      <c r="E128">
        <v>10</v>
      </c>
      <c r="F128" t="s">
        <v>913</v>
      </c>
      <c r="G128" t="s">
        <v>914</v>
      </c>
      <c r="H128">
        <v>97</v>
      </c>
      <c r="I128">
        <v>19</v>
      </c>
      <c r="J128" t="s">
        <v>24</v>
      </c>
      <c r="K128" t="s">
        <v>1044</v>
      </c>
      <c r="M128" s="1">
        <v>142</v>
      </c>
      <c r="N128" s="1" t="s">
        <v>159</v>
      </c>
      <c r="O128" s="2">
        <v>46029.952349537038</v>
      </c>
      <c r="P128" s="3">
        <v>6.1672095000000002</v>
      </c>
      <c r="Q128" s="3">
        <v>-18.072782403037305</v>
      </c>
      <c r="R128" s="13">
        <f t="shared" si="4"/>
        <v>6.1672095000000002</v>
      </c>
      <c r="S128" s="42">
        <f t="shared" si="7"/>
        <v>94.751102817962661</v>
      </c>
      <c r="T128" s="13">
        <v>0</v>
      </c>
      <c r="U128" s="14">
        <f t="shared" si="5"/>
        <v>-18.072782403037305</v>
      </c>
      <c r="V128" s="15">
        <f t="shared" si="6"/>
        <v>584.3499014344161</v>
      </c>
    </row>
    <row r="129" spans="2:22" x14ac:dyDescent="0.3">
      <c r="B129" t="s">
        <v>905</v>
      </c>
      <c r="C129" s="79">
        <v>1.4</v>
      </c>
      <c r="D129" s="78">
        <v>45947</v>
      </c>
      <c r="E129">
        <v>12</v>
      </c>
      <c r="F129" t="s">
        <v>917</v>
      </c>
      <c r="G129" t="s">
        <v>918</v>
      </c>
      <c r="H129">
        <v>97</v>
      </c>
      <c r="I129">
        <v>20</v>
      </c>
      <c r="J129" t="s">
        <v>24</v>
      </c>
      <c r="K129" t="s">
        <v>1045</v>
      </c>
      <c r="M129" s="4">
        <v>143</v>
      </c>
      <c r="N129" s="4" t="s">
        <v>160</v>
      </c>
      <c r="O129" s="12">
        <v>46029.956099537034</v>
      </c>
      <c r="P129" s="5">
        <v>6.3500164999999997</v>
      </c>
      <c r="Q129" s="5">
        <v>-18.13822378712775</v>
      </c>
      <c r="R129" s="13">
        <f t="shared" si="4"/>
        <v>6.3500164999999997</v>
      </c>
      <c r="S129" s="42">
        <f t="shared" si="7"/>
        <v>94.751102817962661</v>
      </c>
      <c r="T129" s="13">
        <v>0</v>
      </c>
      <c r="U129" s="14">
        <f t="shared" si="5"/>
        <v>-18.13822378712775</v>
      </c>
      <c r="V129" s="15">
        <f t="shared" si="6"/>
        <v>601.67106628725935</v>
      </c>
    </row>
    <row r="130" spans="2:22" x14ac:dyDescent="0.3">
      <c r="B130" t="s">
        <v>905</v>
      </c>
      <c r="C130" s="79">
        <v>1.4</v>
      </c>
      <c r="D130" s="78">
        <v>45947</v>
      </c>
      <c r="E130">
        <v>13</v>
      </c>
      <c r="F130" t="s">
        <v>921</v>
      </c>
      <c r="G130" t="s">
        <v>922</v>
      </c>
      <c r="H130">
        <v>97</v>
      </c>
      <c r="I130">
        <v>21</v>
      </c>
      <c r="J130" t="s">
        <v>24</v>
      </c>
      <c r="K130" t="s">
        <v>1046</v>
      </c>
      <c r="M130" s="1">
        <v>144</v>
      </c>
      <c r="N130" s="1" t="s">
        <v>161</v>
      </c>
      <c r="O130" s="2">
        <v>46029.959849537037</v>
      </c>
      <c r="P130" s="3">
        <v>7.4723924999999998</v>
      </c>
      <c r="Q130" s="3">
        <v>-19.851775104007469</v>
      </c>
      <c r="R130" s="13">
        <f t="shared" ref="R130:R193" si="8">P130</f>
        <v>7.4723924999999998</v>
      </c>
      <c r="S130" s="42">
        <f t="shared" si="7"/>
        <v>94.751102817962661</v>
      </c>
      <c r="T130" s="13">
        <v>0</v>
      </c>
      <c r="U130" s="14">
        <f t="shared" ref="U130:U193" si="9">Q130+T130</f>
        <v>-19.851775104007469</v>
      </c>
      <c r="V130" s="15">
        <f t="shared" ref="V130:V193" si="10">R130*S130</f>
        <v>708.01743006367303</v>
      </c>
    </row>
    <row r="131" spans="2:22" x14ac:dyDescent="0.3">
      <c r="B131" t="s">
        <v>905</v>
      </c>
      <c r="C131" s="79">
        <v>1.4</v>
      </c>
      <c r="D131" s="78">
        <v>45947</v>
      </c>
      <c r="E131">
        <v>16</v>
      </c>
      <c r="F131" t="s">
        <v>925</v>
      </c>
      <c r="G131" t="s">
        <v>926</v>
      </c>
      <c r="H131">
        <v>97</v>
      </c>
      <c r="I131">
        <v>22</v>
      </c>
      <c r="J131" t="s">
        <v>24</v>
      </c>
      <c r="K131" t="s">
        <v>1047</v>
      </c>
      <c r="M131" s="4">
        <v>145</v>
      </c>
      <c r="N131" s="4" t="s">
        <v>162</v>
      </c>
      <c r="O131" s="12">
        <v>46029.963599537034</v>
      </c>
      <c r="P131" s="5">
        <v>6.8895925</v>
      </c>
      <c r="Q131" s="5">
        <v>-19.035983627511463</v>
      </c>
      <c r="R131" s="13">
        <f t="shared" si="8"/>
        <v>6.8895925</v>
      </c>
      <c r="S131" s="42">
        <f t="shared" ref="S131:S194" si="11">$S$890</f>
        <v>94.751102817962661</v>
      </c>
      <c r="T131" s="13">
        <v>0</v>
      </c>
      <c r="U131" s="14">
        <f t="shared" si="9"/>
        <v>-19.035983627511463</v>
      </c>
      <c r="V131" s="15">
        <f t="shared" si="10"/>
        <v>652.79648734136447</v>
      </c>
    </row>
    <row r="132" spans="2:22" x14ac:dyDescent="0.3">
      <c r="B132" t="s">
        <v>905</v>
      </c>
      <c r="C132" s="79">
        <v>1.4</v>
      </c>
      <c r="D132" s="78">
        <v>45947</v>
      </c>
      <c r="E132">
        <v>15</v>
      </c>
      <c r="F132" t="s">
        <v>929</v>
      </c>
      <c r="G132" t="s">
        <v>930</v>
      </c>
      <c r="H132">
        <v>97</v>
      </c>
      <c r="I132">
        <v>23</v>
      </c>
      <c r="J132" t="s">
        <v>24</v>
      </c>
      <c r="K132" t="s">
        <v>1048</v>
      </c>
      <c r="M132" s="1">
        <v>146</v>
      </c>
      <c r="N132" s="1" t="s">
        <v>163</v>
      </c>
      <c r="O132" s="2">
        <v>46029.967349537037</v>
      </c>
      <c r="P132" s="3">
        <v>7.125813</v>
      </c>
      <c r="Q132" s="3">
        <v>-19.507632863460191</v>
      </c>
      <c r="R132" s="13">
        <f t="shared" si="8"/>
        <v>7.125813</v>
      </c>
      <c r="S132" s="42">
        <f t="shared" si="11"/>
        <v>94.751102817962661</v>
      </c>
      <c r="T132" s="13">
        <v>0</v>
      </c>
      <c r="U132" s="14">
        <f t="shared" si="9"/>
        <v>-19.507632863460191</v>
      </c>
      <c r="V132" s="15">
        <f t="shared" si="10"/>
        <v>675.17864022457491</v>
      </c>
    </row>
    <row r="133" spans="2:22" x14ac:dyDescent="0.3">
      <c r="B133" t="s">
        <v>905</v>
      </c>
      <c r="C133" s="79">
        <v>1.4</v>
      </c>
      <c r="D133" s="78">
        <v>45947</v>
      </c>
      <c r="E133">
        <v>11</v>
      </c>
      <c r="F133" t="s">
        <v>932</v>
      </c>
      <c r="G133" t="s">
        <v>933</v>
      </c>
      <c r="H133">
        <v>97</v>
      </c>
      <c r="I133">
        <v>24</v>
      </c>
      <c r="J133" t="s">
        <v>24</v>
      </c>
      <c r="K133" t="s">
        <v>1049</v>
      </c>
      <c r="M133" s="4">
        <v>147</v>
      </c>
      <c r="N133" s="4" t="s">
        <v>164</v>
      </c>
      <c r="O133" s="12">
        <v>46029.971168981479</v>
      </c>
      <c r="P133" s="5">
        <v>7.3427284999999998</v>
      </c>
      <c r="Q133" s="5">
        <v>-19.002236195831429</v>
      </c>
      <c r="R133" s="13">
        <f t="shared" si="8"/>
        <v>7.3427284999999998</v>
      </c>
      <c r="S133" s="42">
        <f t="shared" si="11"/>
        <v>94.751102817962661</v>
      </c>
      <c r="T133" s="13">
        <v>0</v>
      </c>
      <c r="U133" s="14">
        <f t="shared" si="9"/>
        <v>-19.002236195831429</v>
      </c>
      <c r="V133" s="15">
        <f t="shared" si="10"/>
        <v>695.7316230678847</v>
      </c>
    </row>
    <row r="134" spans="2:22" x14ac:dyDescent="0.3">
      <c r="B134" t="s">
        <v>905</v>
      </c>
      <c r="C134" s="79">
        <v>1.4</v>
      </c>
      <c r="D134" s="78">
        <v>45947</v>
      </c>
      <c r="E134">
        <v>14</v>
      </c>
      <c r="F134" t="s">
        <v>906</v>
      </c>
      <c r="G134" t="s">
        <v>907</v>
      </c>
      <c r="H134">
        <v>97</v>
      </c>
      <c r="I134">
        <v>25</v>
      </c>
      <c r="J134" t="s">
        <v>25</v>
      </c>
      <c r="K134" t="s">
        <v>1050</v>
      </c>
      <c r="M134" s="1">
        <v>148</v>
      </c>
      <c r="N134" s="1" t="s">
        <v>165</v>
      </c>
      <c r="O134" s="2">
        <v>46029.974895833337</v>
      </c>
      <c r="P134" s="3">
        <v>7.4157469999999996</v>
      </c>
      <c r="Q134" s="3">
        <v>-19.622904222570305</v>
      </c>
      <c r="R134" s="13">
        <f t="shared" si="8"/>
        <v>7.4157469999999996</v>
      </c>
      <c r="S134" s="42">
        <f t="shared" si="11"/>
        <v>94.751102817962661</v>
      </c>
      <c r="T134" s="13">
        <v>0</v>
      </c>
      <c r="U134" s="14">
        <f t="shared" si="9"/>
        <v>-19.622904222570305</v>
      </c>
      <c r="V134" s="15">
        <f t="shared" si="10"/>
        <v>702.65020646899814</v>
      </c>
    </row>
    <row r="135" spans="2:22" x14ac:dyDescent="0.3">
      <c r="B135" t="s">
        <v>905</v>
      </c>
      <c r="C135" s="79">
        <v>1.4</v>
      </c>
      <c r="D135" s="78">
        <v>45947</v>
      </c>
      <c r="E135">
        <v>9</v>
      </c>
      <c r="F135" t="s">
        <v>910</v>
      </c>
      <c r="G135" t="s">
        <v>15</v>
      </c>
      <c r="H135">
        <v>97</v>
      </c>
      <c r="I135">
        <v>26</v>
      </c>
      <c r="J135" t="s">
        <v>25</v>
      </c>
      <c r="K135" t="s">
        <v>1051</v>
      </c>
      <c r="M135" s="4">
        <v>149</v>
      </c>
      <c r="N135" s="4" t="s">
        <v>166</v>
      </c>
      <c r="O135" s="12">
        <v>46029.978645833333</v>
      </c>
      <c r="P135" s="5">
        <v>6.5782175000000001</v>
      </c>
      <c r="Q135" s="5">
        <v>-18.39218974096309</v>
      </c>
      <c r="R135" s="13">
        <f t="shared" si="8"/>
        <v>6.5782175000000001</v>
      </c>
      <c r="S135" s="42">
        <f t="shared" si="11"/>
        <v>94.751102817962661</v>
      </c>
      <c r="T135" s="13">
        <v>0</v>
      </c>
      <c r="U135" s="14">
        <f t="shared" si="9"/>
        <v>-18.39218974096309</v>
      </c>
      <c r="V135" s="15">
        <f t="shared" si="10"/>
        <v>623.2933627014213</v>
      </c>
    </row>
    <row r="136" spans="2:22" x14ac:dyDescent="0.3">
      <c r="B136" t="s">
        <v>905</v>
      </c>
      <c r="C136" s="79">
        <v>1.4</v>
      </c>
      <c r="D136" s="78">
        <v>45947</v>
      </c>
      <c r="E136">
        <v>10</v>
      </c>
      <c r="F136" t="s">
        <v>913</v>
      </c>
      <c r="G136" t="s">
        <v>914</v>
      </c>
      <c r="H136">
        <v>97</v>
      </c>
      <c r="I136">
        <v>27</v>
      </c>
      <c r="J136" t="s">
        <v>25</v>
      </c>
      <c r="K136" t="s">
        <v>1052</v>
      </c>
      <c r="M136" s="1">
        <v>150</v>
      </c>
      <c r="N136" s="1" t="s">
        <v>167</v>
      </c>
      <c r="O136" s="2">
        <v>46029.982418981483</v>
      </c>
      <c r="P136" s="3">
        <v>6.5098700000000003</v>
      </c>
      <c r="Q136" s="3">
        <v>-18.354679151760291</v>
      </c>
      <c r="R136" s="13">
        <f t="shared" si="8"/>
        <v>6.5098700000000003</v>
      </c>
      <c r="S136" s="42">
        <f t="shared" si="11"/>
        <v>94.751102817962661</v>
      </c>
      <c r="T136" s="13">
        <v>0</v>
      </c>
      <c r="U136" s="14">
        <f t="shared" si="9"/>
        <v>-18.354679151760291</v>
      </c>
      <c r="V136" s="15">
        <f t="shared" si="10"/>
        <v>616.81736170157058</v>
      </c>
    </row>
    <row r="137" spans="2:22" x14ac:dyDescent="0.3">
      <c r="B137" t="s">
        <v>905</v>
      </c>
      <c r="C137" s="79">
        <v>1.4</v>
      </c>
      <c r="D137" s="78">
        <v>45947</v>
      </c>
      <c r="E137">
        <v>12</v>
      </c>
      <c r="F137" t="s">
        <v>917</v>
      </c>
      <c r="G137" t="s">
        <v>918</v>
      </c>
      <c r="H137">
        <v>97</v>
      </c>
      <c r="I137">
        <v>28</v>
      </c>
      <c r="J137" t="s">
        <v>25</v>
      </c>
      <c r="K137" t="s">
        <v>1053</v>
      </c>
      <c r="M137" s="4">
        <v>151</v>
      </c>
      <c r="N137" s="4" t="s">
        <v>168</v>
      </c>
      <c r="O137" s="12">
        <v>46029.986157407409</v>
      </c>
      <c r="P137" s="5">
        <v>5.9711825000000003</v>
      </c>
      <c r="Q137" s="5">
        <v>-17.70194830648666</v>
      </c>
      <c r="R137" s="13">
        <f t="shared" si="8"/>
        <v>5.9711825000000003</v>
      </c>
      <c r="S137" s="42">
        <f t="shared" si="11"/>
        <v>94.751102817962661</v>
      </c>
      <c r="T137" s="13">
        <v>0</v>
      </c>
      <c r="U137" s="14">
        <f t="shared" si="9"/>
        <v>-17.70194830648666</v>
      </c>
      <c r="V137" s="15">
        <f t="shared" si="10"/>
        <v>565.7761270023193</v>
      </c>
    </row>
    <row r="138" spans="2:22" x14ac:dyDescent="0.3">
      <c r="B138" t="s">
        <v>905</v>
      </c>
      <c r="C138" s="79">
        <v>1.4</v>
      </c>
      <c r="D138" s="78">
        <v>45947</v>
      </c>
      <c r="E138">
        <v>13</v>
      </c>
      <c r="F138" t="s">
        <v>921</v>
      </c>
      <c r="G138" t="s">
        <v>922</v>
      </c>
      <c r="H138">
        <v>97</v>
      </c>
      <c r="I138">
        <v>29</v>
      </c>
      <c r="J138" t="s">
        <v>25</v>
      </c>
      <c r="K138" t="s">
        <v>1054</v>
      </c>
      <c r="M138" s="1">
        <v>152</v>
      </c>
      <c r="N138" s="1" t="s">
        <v>169</v>
      </c>
      <c r="O138" s="2">
        <v>46029.989895833336</v>
      </c>
      <c r="P138" s="3">
        <v>7.8604355000000004</v>
      </c>
      <c r="Q138" s="3">
        <v>-20.04103327871341</v>
      </c>
      <c r="R138" s="13">
        <f t="shared" si="8"/>
        <v>7.8604355000000004</v>
      </c>
      <c r="S138" s="42">
        <f t="shared" si="11"/>
        <v>94.751102817962661</v>
      </c>
      <c r="T138" s="13">
        <v>0</v>
      </c>
      <c r="U138" s="14">
        <f t="shared" si="9"/>
        <v>-20.04103327871341</v>
      </c>
      <c r="V138" s="15">
        <f t="shared" si="10"/>
        <v>744.7849322544638</v>
      </c>
    </row>
    <row r="139" spans="2:22" x14ac:dyDescent="0.3">
      <c r="B139" t="s">
        <v>905</v>
      </c>
      <c r="C139" s="79">
        <v>1.4</v>
      </c>
      <c r="D139" s="78">
        <v>45947</v>
      </c>
      <c r="E139">
        <v>16</v>
      </c>
      <c r="F139" t="s">
        <v>925</v>
      </c>
      <c r="G139" t="s">
        <v>926</v>
      </c>
      <c r="H139">
        <v>97</v>
      </c>
      <c r="I139">
        <v>30</v>
      </c>
      <c r="J139" t="s">
        <v>25</v>
      </c>
      <c r="K139" t="s">
        <v>1055</v>
      </c>
      <c r="M139" s="4">
        <v>153</v>
      </c>
      <c r="N139" s="4" t="s">
        <v>170</v>
      </c>
      <c r="O139" s="12">
        <v>46029.993645833332</v>
      </c>
      <c r="P139" s="5">
        <v>7.5714230000000002</v>
      </c>
      <c r="Q139" s="5">
        <v>-19.66233711307763</v>
      </c>
      <c r="R139" s="13">
        <f t="shared" si="8"/>
        <v>7.5714230000000002</v>
      </c>
      <c r="S139" s="42">
        <f t="shared" si="11"/>
        <v>94.751102817962661</v>
      </c>
      <c r="T139" s="13">
        <v>0</v>
      </c>
      <c r="U139" s="14">
        <f t="shared" si="9"/>
        <v>-19.66233711307763</v>
      </c>
      <c r="V139" s="15">
        <f t="shared" si="10"/>
        <v>717.40067915128736</v>
      </c>
    </row>
    <row r="140" spans="2:22" x14ac:dyDescent="0.3">
      <c r="B140" t="s">
        <v>905</v>
      </c>
      <c r="C140" s="79">
        <v>1.4</v>
      </c>
      <c r="D140" s="78">
        <v>45947</v>
      </c>
      <c r="E140">
        <v>15</v>
      </c>
      <c r="F140" t="s">
        <v>929</v>
      </c>
      <c r="G140" t="s">
        <v>930</v>
      </c>
      <c r="H140">
        <v>97</v>
      </c>
      <c r="I140">
        <v>31</v>
      </c>
      <c r="J140" t="s">
        <v>25</v>
      </c>
      <c r="K140" t="s">
        <v>1056</v>
      </c>
      <c r="M140" s="1">
        <v>154</v>
      </c>
      <c r="N140" s="1" t="s">
        <v>171</v>
      </c>
      <c r="O140" s="2">
        <v>46029.997418981482</v>
      </c>
      <c r="P140" s="3">
        <v>7.7832984999999999</v>
      </c>
      <c r="Q140" s="3">
        <v>-19.926701917850941</v>
      </c>
      <c r="R140" s="13">
        <f t="shared" si="8"/>
        <v>7.7832984999999999</v>
      </c>
      <c r="S140" s="42">
        <f t="shared" si="11"/>
        <v>94.751102817962661</v>
      </c>
      <c r="T140" s="13">
        <v>0</v>
      </c>
      <c r="U140" s="14">
        <f t="shared" si="9"/>
        <v>-19.926701917850941</v>
      </c>
      <c r="V140" s="15">
        <f t="shared" si="10"/>
        <v>737.47611643639459</v>
      </c>
    </row>
    <row r="141" spans="2:22" x14ac:dyDescent="0.3">
      <c r="B141" t="s">
        <v>905</v>
      </c>
      <c r="C141" s="79">
        <v>1.4</v>
      </c>
      <c r="D141" s="78">
        <v>45947</v>
      </c>
      <c r="E141">
        <v>11</v>
      </c>
      <c r="F141" t="s">
        <v>932</v>
      </c>
      <c r="G141" t="s">
        <v>933</v>
      </c>
      <c r="H141">
        <v>97</v>
      </c>
      <c r="I141">
        <v>32</v>
      </c>
      <c r="J141" t="s">
        <v>25</v>
      </c>
      <c r="K141" t="s">
        <v>1057</v>
      </c>
      <c r="M141" s="4">
        <v>155</v>
      </c>
      <c r="N141" s="4" t="s">
        <v>172</v>
      </c>
      <c r="O141" s="12">
        <v>46030.001238425924</v>
      </c>
      <c r="P141" s="5">
        <v>7.4656704999999999</v>
      </c>
      <c r="Q141" s="5">
        <v>-19.249317499956646</v>
      </c>
      <c r="R141" s="13">
        <f t="shared" si="8"/>
        <v>7.4656704999999999</v>
      </c>
      <c r="S141" s="42">
        <f t="shared" si="11"/>
        <v>94.751102817962661</v>
      </c>
      <c r="T141" s="13">
        <v>0</v>
      </c>
      <c r="U141" s="14">
        <f t="shared" si="9"/>
        <v>-19.249317499956646</v>
      </c>
      <c r="V141" s="15">
        <f t="shared" si="10"/>
        <v>707.38051315053065</v>
      </c>
    </row>
    <row r="142" spans="2:22" x14ac:dyDescent="0.3">
      <c r="M142" s="1">
        <v>156</v>
      </c>
      <c r="N142" s="1" t="s">
        <v>173</v>
      </c>
      <c r="O142" s="2">
        <v>46030.507372685184</v>
      </c>
      <c r="P142" s="3">
        <v>21.340319999999998</v>
      </c>
      <c r="Q142" s="3">
        <v>-6.4941357964698954</v>
      </c>
      <c r="R142" s="13">
        <f t="shared" si="8"/>
        <v>21.340319999999998</v>
      </c>
      <c r="S142" s="42">
        <f t="shared" si="11"/>
        <v>94.751102817962661</v>
      </c>
      <c r="T142" s="13">
        <v>0</v>
      </c>
      <c r="U142" s="14">
        <f t="shared" si="9"/>
        <v>-6.4941357964698954</v>
      </c>
      <c r="V142" s="15">
        <f t="shared" si="10"/>
        <v>2022.0188544882249</v>
      </c>
    </row>
    <row r="143" spans="2:22" x14ac:dyDescent="0.3">
      <c r="M143" s="4">
        <v>157</v>
      </c>
      <c r="N143" s="4" t="s">
        <v>174</v>
      </c>
      <c r="O143" s="12">
        <v>46030.511111111111</v>
      </c>
      <c r="P143" s="5">
        <v>9.4032599999999995</v>
      </c>
      <c r="Q143" s="5">
        <v>-8.2843961127197119</v>
      </c>
      <c r="R143" s="13">
        <f t="shared" si="8"/>
        <v>9.4032599999999995</v>
      </c>
      <c r="S143" s="42">
        <f t="shared" si="11"/>
        <v>94.751102817962661</v>
      </c>
      <c r="T143" s="13">
        <v>0</v>
      </c>
      <c r="U143" s="14">
        <f t="shared" si="9"/>
        <v>-8.2843961127197119</v>
      </c>
      <c r="V143" s="15">
        <f t="shared" si="10"/>
        <v>890.96925508403547</v>
      </c>
    </row>
    <row r="144" spans="2:22" x14ac:dyDescent="0.3">
      <c r="M144" s="1">
        <v>158</v>
      </c>
      <c r="N144" s="1" t="s">
        <v>175</v>
      </c>
      <c r="O144" s="2">
        <v>46030.514861111114</v>
      </c>
      <c r="P144" s="3">
        <v>5.7233565000000004</v>
      </c>
      <c r="Q144" s="3">
        <v>-9.038291798158518</v>
      </c>
      <c r="R144" s="13">
        <f t="shared" si="8"/>
        <v>5.7233565000000004</v>
      </c>
      <c r="S144" s="42">
        <f t="shared" si="11"/>
        <v>94.751102817962661</v>
      </c>
      <c r="T144" s="13">
        <v>0</v>
      </c>
      <c r="U144" s="14">
        <f t="shared" si="9"/>
        <v>-9.038291798158518</v>
      </c>
      <c r="V144" s="15">
        <f t="shared" si="10"/>
        <v>542.29434019535495</v>
      </c>
    </row>
    <row r="145" spans="2:22" x14ac:dyDescent="0.3">
      <c r="M145" s="4">
        <v>159</v>
      </c>
      <c r="N145" s="4" t="s">
        <v>176</v>
      </c>
      <c r="O145" s="12">
        <v>46030.518587962964</v>
      </c>
      <c r="P145" s="5">
        <v>3.3023457500000002</v>
      </c>
      <c r="Q145" s="5">
        <v>-11.388805982516377</v>
      </c>
      <c r="R145" s="13">
        <f t="shared" si="8"/>
        <v>3.3023457500000002</v>
      </c>
      <c r="S145" s="42">
        <f t="shared" si="11"/>
        <v>94.751102817962661</v>
      </c>
      <c r="T145" s="13">
        <v>0</v>
      </c>
      <c r="U145" s="14">
        <f t="shared" si="9"/>
        <v>-11.388805982516377</v>
      </c>
      <c r="V145" s="15">
        <f t="shared" si="10"/>
        <v>312.90090169871206</v>
      </c>
    </row>
    <row r="146" spans="2:22" x14ac:dyDescent="0.3">
      <c r="M146" s="1">
        <v>160</v>
      </c>
      <c r="N146" s="1" t="s">
        <v>177</v>
      </c>
      <c r="O146" s="2">
        <v>46030.522326388891</v>
      </c>
      <c r="P146" s="3">
        <v>5.1402669999999997</v>
      </c>
      <c r="Q146" s="3">
        <v>-12.72202255547872</v>
      </c>
      <c r="R146" s="13">
        <f t="shared" si="8"/>
        <v>5.1402669999999997</v>
      </c>
      <c r="S146" s="42">
        <f t="shared" si="11"/>
        <v>94.751102817962661</v>
      </c>
      <c r="T146" s="13">
        <v>0</v>
      </c>
      <c r="U146" s="14">
        <f t="shared" si="9"/>
        <v>-12.72202255547872</v>
      </c>
      <c r="V146" s="15">
        <f t="shared" si="10"/>
        <v>487.04596702878047</v>
      </c>
    </row>
    <row r="147" spans="2:22" x14ac:dyDescent="0.3">
      <c r="M147" s="4">
        <v>161</v>
      </c>
      <c r="N147" s="4" t="s">
        <v>178</v>
      </c>
      <c r="O147" s="12">
        <v>46030.526064814818</v>
      </c>
      <c r="P147" s="5">
        <v>21.269358</v>
      </c>
      <c r="Q147" s="5">
        <v>-7.078142747724077</v>
      </c>
      <c r="R147" s="13">
        <f t="shared" si="8"/>
        <v>21.269358</v>
      </c>
      <c r="S147" s="42">
        <f t="shared" si="11"/>
        <v>94.751102817962661</v>
      </c>
      <c r="T147" s="13">
        <v>0</v>
      </c>
      <c r="U147" s="14">
        <f t="shared" si="9"/>
        <v>-7.078142747724077</v>
      </c>
      <c r="V147" s="15">
        <f t="shared" si="10"/>
        <v>2015.2951267300566</v>
      </c>
    </row>
    <row r="148" spans="2:22" x14ac:dyDescent="0.3">
      <c r="M148" s="1">
        <v>162</v>
      </c>
      <c r="N148" s="1" t="s">
        <v>179</v>
      </c>
      <c r="O148" s="2">
        <v>46030.52983796296</v>
      </c>
      <c r="P148" s="3">
        <v>14.659190000000001</v>
      </c>
      <c r="Q148" s="3">
        <v>-7.9963924364943075</v>
      </c>
      <c r="R148" s="13">
        <f t="shared" si="8"/>
        <v>14.659190000000001</v>
      </c>
      <c r="S148" s="42">
        <f t="shared" si="11"/>
        <v>94.751102817962661</v>
      </c>
      <c r="T148" s="13">
        <v>0</v>
      </c>
      <c r="U148" s="14">
        <f t="shared" si="9"/>
        <v>-7.9963924364943075</v>
      </c>
      <c r="V148" s="15">
        <f t="shared" si="10"/>
        <v>1388.9744189180501</v>
      </c>
    </row>
    <row r="149" spans="2:22" x14ac:dyDescent="0.3">
      <c r="M149" s="4">
        <v>163</v>
      </c>
      <c r="N149" s="4" t="s">
        <v>180</v>
      </c>
      <c r="O149" s="12">
        <v>46030.533587962964</v>
      </c>
      <c r="P149" s="5">
        <v>8.4624480000000002</v>
      </c>
      <c r="Q149" s="5">
        <v>-10.380082624018828</v>
      </c>
      <c r="R149" s="13">
        <f t="shared" si="8"/>
        <v>8.4624480000000002</v>
      </c>
      <c r="S149" s="42">
        <f t="shared" si="11"/>
        <v>94.751102817962661</v>
      </c>
      <c r="T149" s="13">
        <v>0</v>
      </c>
      <c r="U149" s="14">
        <f t="shared" si="9"/>
        <v>-10.380082624018828</v>
      </c>
      <c r="V149" s="15">
        <f t="shared" si="10"/>
        <v>801.82628053966255</v>
      </c>
    </row>
    <row r="150" spans="2:22" x14ac:dyDescent="0.3">
      <c r="M150" s="1">
        <v>164</v>
      </c>
      <c r="N150" s="1" t="s">
        <v>181</v>
      </c>
      <c r="O150" s="2">
        <v>46030.537314814814</v>
      </c>
      <c r="P150" s="3">
        <v>7.3698435</v>
      </c>
      <c r="Q150" s="3">
        <v>-12.262674072539918</v>
      </c>
      <c r="R150" s="13">
        <f t="shared" si="8"/>
        <v>7.3698435</v>
      </c>
      <c r="S150" s="42">
        <f t="shared" si="11"/>
        <v>94.751102817962661</v>
      </c>
      <c r="T150" s="13">
        <v>0</v>
      </c>
      <c r="U150" s="14">
        <f t="shared" si="9"/>
        <v>-12.262674072539918</v>
      </c>
      <c r="V150" s="15">
        <f t="shared" si="10"/>
        <v>698.30079922079381</v>
      </c>
    </row>
    <row r="151" spans="2:22" x14ac:dyDescent="0.3">
      <c r="M151" s="63">
        <v>165</v>
      </c>
      <c r="N151" s="63" t="s">
        <v>182</v>
      </c>
      <c r="O151" s="64">
        <v>46030.54105324074</v>
      </c>
      <c r="P151" s="65">
        <v>2.3806802500000002</v>
      </c>
      <c r="Q151" s="65">
        <v>-11.927285136968004</v>
      </c>
      <c r="R151" s="13">
        <f t="shared" si="8"/>
        <v>2.3806802500000002</v>
      </c>
      <c r="S151" s="42">
        <f t="shared" si="11"/>
        <v>94.751102817962661</v>
      </c>
      <c r="T151" s="13">
        <v>0</v>
      </c>
      <c r="U151" s="14">
        <f t="shared" si="9"/>
        <v>-11.927285136968004</v>
      </c>
      <c r="V151" s="15">
        <f t="shared" si="10"/>
        <v>225.57207914444308</v>
      </c>
    </row>
    <row r="152" spans="2:22" x14ac:dyDescent="0.3">
      <c r="B152" t="s">
        <v>1058</v>
      </c>
      <c r="C152" s="81">
        <v>2.1</v>
      </c>
      <c r="D152" s="78">
        <v>45952</v>
      </c>
      <c r="E152">
        <v>20</v>
      </c>
      <c r="F152" t="s">
        <v>932</v>
      </c>
      <c r="G152" t="s">
        <v>907</v>
      </c>
      <c r="H152">
        <v>7</v>
      </c>
      <c r="I152">
        <v>1</v>
      </c>
      <c r="J152" t="s">
        <v>908</v>
      </c>
      <c r="K152" t="s">
        <v>1059</v>
      </c>
      <c r="M152" s="66">
        <v>169</v>
      </c>
      <c r="N152" s="1" t="s">
        <v>183</v>
      </c>
      <c r="O152" s="2">
        <v>46030.549930555557</v>
      </c>
      <c r="P152" s="3">
        <v>6.7767530000000002</v>
      </c>
      <c r="Q152" s="3">
        <v>-16.880291436921148</v>
      </c>
      <c r="R152" s="13">
        <f t="shared" si="8"/>
        <v>6.7767530000000002</v>
      </c>
      <c r="S152" s="42">
        <f t="shared" si="11"/>
        <v>94.751102817962661</v>
      </c>
      <c r="T152" s="13">
        <v>0</v>
      </c>
      <c r="U152" s="14">
        <f t="shared" si="9"/>
        <v>-16.880291436921148</v>
      </c>
      <c r="V152" s="15">
        <f t="shared" si="10"/>
        <v>642.10482027493697</v>
      </c>
    </row>
    <row r="153" spans="2:22" x14ac:dyDescent="0.3">
      <c r="B153" t="s">
        <v>1058</v>
      </c>
      <c r="C153" s="81">
        <v>2.1</v>
      </c>
      <c r="D153" s="78">
        <v>45952</v>
      </c>
      <c r="E153">
        <v>19</v>
      </c>
      <c r="F153" t="s">
        <v>917</v>
      </c>
      <c r="G153" t="s">
        <v>15</v>
      </c>
      <c r="H153">
        <v>7</v>
      </c>
      <c r="I153">
        <v>2</v>
      </c>
      <c r="J153" t="s">
        <v>908</v>
      </c>
      <c r="K153" s="78" t="s">
        <v>1060</v>
      </c>
      <c r="M153" s="4">
        <v>170</v>
      </c>
      <c r="N153" s="4" t="s">
        <v>184</v>
      </c>
      <c r="O153" s="12">
        <v>46030.553680555553</v>
      </c>
      <c r="P153" s="5">
        <v>7.1186449999999999</v>
      </c>
      <c r="Q153" s="5">
        <v>-17.295044329613063</v>
      </c>
      <c r="R153" s="13">
        <f t="shared" si="8"/>
        <v>7.1186449999999999</v>
      </c>
      <c r="S153" s="42">
        <f t="shared" si="11"/>
        <v>94.751102817962661</v>
      </c>
      <c r="T153" s="13">
        <v>0</v>
      </c>
      <c r="U153" s="14">
        <f t="shared" si="9"/>
        <v>-17.295044329613063</v>
      </c>
      <c r="V153" s="15">
        <f t="shared" si="10"/>
        <v>674.49946431957585</v>
      </c>
    </row>
    <row r="154" spans="2:22" x14ac:dyDescent="0.3">
      <c r="B154" t="s">
        <v>1058</v>
      </c>
      <c r="C154" s="81">
        <v>2.1</v>
      </c>
      <c r="D154" s="78">
        <v>45952</v>
      </c>
      <c r="E154">
        <v>17</v>
      </c>
      <c r="F154" t="s">
        <v>913</v>
      </c>
      <c r="G154" t="s">
        <v>914</v>
      </c>
      <c r="H154">
        <v>7</v>
      </c>
      <c r="I154">
        <v>3</v>
      </c>
      <c r="J154" t="s">
        <v>908</v>
      </c>
      <c r="K154" t="s">
        <v>1061</v>
      </c>
      <c r="M154" s="1">
        <v>171</v>
      </c>
      <c r="N154" s="1" t="s">
        <v>185</v>
      </c>
      <c r="O154" s="2">
        <v>46030.55740740741</v>
      </c>
      <c r="P154" s="3">
        <v>6.9501004999999996</v>
      </c>
      <c r="Q154" s="3">
        <v>-17.060024212245761</v>
      </c>
      <c r="R154" s="13">
        <f t="shared" si="8"/>
        <v>6.9501004999999996</v>
      </c>
      <c r="S154" s="42">
        <f t="shared" si="11"/>
        <v>94.751102817962661</v>
      </c>
      <c r="T154" s="13">
        <v>0</v>
      </c>
      <c r="U154" s="14">
        <f t="shared" si="9"/>
        <v>-17.060024212245761</v>
      </c>
      <c r="V154" s="15">
        <f t="shared" si="10"/>
        <v>658.52968707067362</v>
      </c>
    </row>
    <row r="155" spans="2:22" x14ac:dyDescent="0.3">
      <c r="B155" t="s">
        <v>1058</v>
      </c>
      <c r="C155" s="81">
        <v>2.1</v>
      </c>
      <c r="D155" s="78">
        <v>45952</v>
      </c>
      <c r="E155">
        <v>22</v>
      </c>
      <c r="F155" t="s">
        <v>925</v>
      </c>
      <c r="G155" t="s">
        <v>918</v>
      </c>
      <c r="H155">
        <v>7</v>
      </c>
      <c r="I155">
        <v>4</v>
      </c>
      <c r="J155" t="s">
        <v>908</v>
      </c>
      <c r="K155" t="s">
        <v>1062</v>
      </c>
      <c r="M155" s="4">
        <v>172</v>
      </c>
      <c r="N155" s="4" t="s">
        <v>186</v>
      </c>
      <c r="O155" s="12">
        <v>46030.56113425926</v>
      </c>
      <c r="P155" s="5">
        <v>6.9618165000000003</v>
      </c>
      <c r="Q155" s="5">
        <v>-16.974636007510963</v>
      </c>
      <c r="R155" s="13">
        <f t="shared" si="8"/>
        <v>6.9618165000000003</v>
      </c>
      <c r="S155" s="42">
        <f t="shared" si="11"/>
        <v>94.751102817962661</v>
      </c>
      <c r="T155" s="13">
        <v>0</v>
      </c>
      <c r="U155" s="14">
        <f t="shared" si="9"/>
        <v>-16.974636007510963</v>
      </c>
      <c r="V155" s="15">
        <f t="shared" si="10"/>
        <v>659.63979099128892</v>
      </c>
    </row>
    <row r="156" spans="2:22" x14ac:dyDescent="0.3">
      <c r="B156" t="s">
        <v>1058</v>
      </c>
      <c r="C156" s="81">
        <v>2.1</v>
      </c>
      <c r="D156" s="78">
        <v>45952</v>
      </c>
      <c r="E156">
        <v>21</v>
      </c>
      <c r="F156" t="s">
        <v>906</v>
      </c>
      <c r="G156" t="s">
        <v>922</v>
      </c>
      <c r="H156">
        <v>7</v>
      </c>
      <c r="I156">
        <v>5</v>
      </c>
      <c r="J156" t="s">
        <v>908</v>
      </c>
      <c r="K156" t="s">
        <v>1063</v>
      </c>
      <c r="M156" s="1">
        <v>173</v>
      </c>
      <c r="N156" s="1" t="s">
        <v>187</v>
      </c>
      <c r="O156" s="2">
        <v>46030.56486111111</v>
      </c>
      <c r="P156" s="3">
        <v>6.561661</v>
      </c>
      <c r="Q156" s="3">
        <v>-16.933433001498614</v>
      </c>
      <c r="R156" s="13">
        <f t="shared" si="8"/>
        <v>6.561661</v>
      </c>
      <c r="S156" s="42">
        <f t="shared" si="11"/>
        <v>94.751102817962661</v>
      </c>
      <c r="T156" s="13">
        <v>0</v>
      </c>
      <c r="U156" s="14">
        <f t="shared" si="9"/>
        <v>-16.933433001498614</v>
      </c>
      <c r="V156" s="15">
        <f t="shared" si="10"/>
        <v>621.72461606761567</v>
      </c>
    </row>
    <row r="157" spans="2:22" x14ac:dyDescent="0.3">
      <c r="B157" t="s">
        <v>1058</v>
      </c>
      <c r="C157" s="81">
        <v>2.1</v>
      </c>
      <c r="D157" s="78">
        <v>45952</v>
      </c>
      <c r="E157">
        <v>24</v>
      </c>
      <c r="F157" t="s">
        <v>929</v>
      </c>
      <c r="G157" t="s">
        <v>926</v>
      </c>
      <c r="H157">
        <v>7</v>
      </c>
      <c r="I157">
        <v>6</v>
      </c>
      <c r="J157" t="s">
        <v>908</v>
      </c>
      <c r="K157" t="s">
        <v>1064</v>
      </c>
      <c r="M157" s="4">
        <v>174</v>
      </c>
      <c r="N157" s="4" t="s">
        <v>188</v>
      </c>
      <c r="O157" s="12">
        <v>46030.56858796296</v>
      </c>
      <c r="P157" s="5">
        <v>6.5031480000000004</v>
      </c>
      <c r="Q157" s="5">
        <v>-16.979991522151423</v>
      </c>
      <c r="R157" s="13">
        <f t="shared" si="8"/>
        <v>6.5031480000000004</v>
      </c>
      <c r="S157" s="42">
        <f t="shared" si="11"/>
        <v>94.751102817962661</v>
      </c>
      <c r="T157" s="13">
        <v>0</v>
      </c>
      <c r="U157" s="14">
        <f t="shared" si="9"/>
        <v>-16.979991522151423</v>
      </c>
      <c r="V157" s="15">
        <f t="shared" si="10"/>
        <v>616.1804447884283</v>
      </c>
    </row>
    <row r="158" spans="2:22" x14ac:dyDescent="0.3">
      <c r="B158" t="s">
        <v>1058</v>
      </c>
      <c r="C158" s="81">
        <v>2.1</v>
      </c>
      <c r="D158" s="78">
        <v>45952</v>
      </c>
      <c r="E158">
        <v>18</v>
      </c>
      <c r="F158" t="s">
        <v>910</v>
      </c>
      <c r="G158" t="s">
        <v>930</v>
      </c>
      <c r="H158">
        <v>7</v>
      </c>
      <c r="I158">
        <v>7</v>
      </c>
      <c r="J158" t="s">
        <v>908</v>
      </c>
      <c r="K158" t="s">
        <v>1065</v>
      </c>
      <c r="M158" s="1">
        <v>175</v>
      </c>
      <c r="N158" s="1" t="s">
        <v>189</v>
      </c>
      <c r="O158" s="2">
        <v>46030.572314814817</v>
      </c>
      <c r="P158" s="3">
        <v>7.4672915</v>
      </c>
      <c r="Q158" s="3">
        <v>-18.080455108817606</v>
      </c>
      <c r="R158" s="13">
        <f t="shared" si="8"/>
        <v>7.4672915</v>
      </c>
      <c r="S158" s="42">
        <f t="shared" si="11"/>
        <v>94.751102817962661</v>
      </c>
      <c r="T158" s="13">
        <v>0</v>
      </c>
      <c r="U158" s="14">
        <f t="shared" si="9"/>
        <v>-18.080455108817606</v>
      </c>
      <c r="V158" s="15">
        <f t="shared" si="10"/>
        <v>707.53410468819857</v>
      </c>
    </row>
    <row r="159" spans="2:22" x14ac:dyDescent="0.3">
      <c r="B159" t="s">
        <v>1058</v>
      </c>
      <c r="C159" s="81">
        <v>2.1</v>
      </c>
      <c r="D159" s="78">
        <v>45952</v>
      </c>
      <c r="E159">
        <v>23</v>
      </c>
      <c r="F159" t="s">
        <v>921</v>
      </c>
      <c r="G159" t="s">
        <v>933</v>
      </c>
      <c r="H159">
        <v>7</v>
      </c>
      <c r="I159">
        <v>8</v>
      </c>
      <c r="J159" t="s">
        <v>908</v>
      </c>
      <c r="K159" t="s">
        <v>1066</v>
      </c>
      <c r="M159" s="4">
        <v>176</v>
      </c>
      <c r="N159" s="4" t="s">
        <v>190</v>
      </c>
      <c r="O159" s="12">
        <v>46030.576041666667</v>
      </c>
      <c r="P159" s="5">
        <v>6.9645975</v>
      </c>
      <c r="Q159" s="5">
        <v>-17.374329514483474</v>
      </c>
      <c r="R159" s="13">
        <f t="shared" si="8"/>
        <v>6.9645975</v>
      </c>
      <c r="S159" s="42">
        <f t="shared" si="11"/>
        <v>94.751102817962661</v>
      </c>
      <c r="T159" s="13">
        <v>0</v>
      </c>
      <c r="U159" s="14">
        <f t="shared" si="9"/>
        <v>-17.374329514483474</v>
      </c>
      <c r="V159" s="15">
        <f t="shared" si="10"/>
        <v>659.90329380822573</v>
      </c>
    </row>
    <row r="160" spans="2:22" x14ac:dyDescent="0.3">
      <c r="B160" t="s">
        <v>1058</v>
      </c>
      <c r="C160" s="81">
        <v>2.1</v>
      </c>
      <c r="D160" s="78">
        <v>45952</v>
      </c>
      <c r="E160">
        <v>20</v>
      </c>
      <c r="F160" t="s">
        <v>932</v>
      </c>
      <c r="G160" t="s">
        <v>907</v>
      </c>
      <c r="H160">
        <v>7</v>
      </c>
      <c r="I160">
        <v>9</v>
      </c>
      <c r="J160" t="s">
        <v>935</v>
      </c>
      <c r="K160" t="s">
        <v>1034</v>
      </c>
      <c r="M160" s="1">
        <v>177</v>
      </c>
      <c r="N160" s="1" t="s">
        <v>191</v>
      </c>
      <c r="O160" s="2">
        <v>46030.579768518517</v>
      </c>
      <c r="P160" s="3">
        <v>6.8588924999999996</v>
      </c>
      <c r="Q160" s="3">
        <v>-8.9579689246661349</v>
      </c>
      <c r="R160" s="13">
        <f t="shared" si="8"/>
        <v>6.8588924999999996</v>
      </c>
      <c r="S160" s="42">
        <f t="shared" si="11"/>
        <v>94.751102817962661</v>
      </c>
      <c r="T160" s="13">
        <v>0</v>
      </c>
      <c r="U160" s="14">
        <f t="shared" si="9"/>
        <v>-8.9579689246661349</v>
      </c>
      <c r="V160" s="15">
        <f t="shared" si="10"/>
        <v>649.88762848485294</v>
      </c>
    </row>
    <row r="161" spans="2:22" x14ac:dyDescent="0.3">
      <c r="B161" t="s">
        <v>1058</v>
      </c>
      <c r="C161" s="81">
        <v>2.1</v>
      </c>
      <c r="D161" s="78">
        <v>45952</v>
      </c>
      <c r="E161">
        <v>19</v>
      </c>
      <c r="F161" t="s">
        <v>917</v>
      </c>
      <c r="G161" t="s">
        <v>15</v>
      </c>
      <c r="H161">
        <v>7</v>
      </c>
      <c r="I161">
        <v>10</v>
      </c>
      <c r="J161" t="s">
        <v>935</v>
      </c>
      <c r="K161" t="s">
        <v>1067</v>
      </c>
      <c r="M161" s="4">
        <v>178</v>
      </c>
      <c r="N161" s="4" t="s">
        <v>192</v>
      </c>
      <c r="O161" s="12">
        <v>46030.583495370367</v>
      </c>
      <c r="P161" s="5">
        <v>6.5378815000000001</v>
      </c>
      <c r="Q161" s="5">
        <v>-13.456807843471875</v>
      </c>
      <c r="R161" s="13">
        <f t="shared" si="8"/>
        <v>6.5378815000000001</v>
      </c>
      <c r="S161" s="42">
        <f t="shared" si="11"/>
        <v>94.751102817962661</v>
      </c>
      <c r="T161" s="13">
        <v>0</v>
      </c>
      <c r="U161" s="14">
        <f t="shared" si="9"/>
        <v>-13.456807843471875</v>
      </c>
      <c r="V161" s="15">
        <f t="shared" si="10"/>
        <v>619.47148221815598</v>
      </c>
    </row>
    <row r="162" spans="2:22" x14ac:dyDescent="0.3">
      <c r="B162" t="s">
        <v>1058</v>
      </c>
      <c r="C162" s="81">
        <v>2.1</v>
      </c>
      <c r="D162" s="78">
        <v>45952</v>
      </c>
      <c r="E162">
        <v>17</v>
      </c>
      <c r="F162" t="s">
        <v>913</v>
      </c>
      <c r="G162" t="s">
        <v>914</v>
      </c>
      <c r="H162">
        <v>7</v>
      </c>
      <c r="I162">
        <v>11</v>
      </c>
      <c r="J162" t="s">
        <v>935</v>
      </c>
      <c r="K162" t="s">
        <v>1068</v>
      </c>
      <c r="M162" s="1">
        <v>179</v>
      </c>
      <c r="N162" s="1" t="s">
        <v>193</v>
      </c>
      <c r="O162" s="2">
        <v>46030.587233796294</v>
      </c>
      <c r="P162" s="3">
        <v>6.7474955000000003</v>
      </c>
      <c r="Q162" s="3">
        <v>-10.117914610542263</v>
      </c>
      <c r="R162" s="13">
        <f t="shared" si="8"/>
        <v>6.7474955000000003</v>
      </c>
      <c r="S162" s="42">
        <f t="shared" si="11"/>
        <v>94.751102817962661</v>
      </c>
      <c r="T162" s="13">
        <v>0</v>
      </c>
      <c r="U162" s="14">
        <f t="shared" si="9"/>
        <v>-10.117914610542263</v>
      </c>
      <c r="V162" s="15">
        <f t="shared" si="10"/>
        <v>639.33263988424039</v>
      </c>
    </row>
    <row r="163" spans="2:22" x14ac:dyDescent="0.3">
      <c r="B163" t="s">
        <v>1058</v>
      </c>
      <c r="C163" s="81">
        <v>2.1</v>
      </c>
      <c r="D163" s="78">
        <v>45952</v>
      </c>
      <c r="E163">
        <v>22</v>
      </c>
      <c r="F163" t="s">
        <v>925</v>
      </c>
      <c r="G163" t="s">
        <v>918</v>
      </c>
      <c r="H163">
        <v>7</v>
      </c>
      <c r="I163">
        <v>12</v>
      </c>
      <c r="J163" t="s">
        <v>935</v>
      </c>
      <c r="K163" t="s">
        <v>1069</v>
      </c>
      <c r="M163" s="4">
        <v>180</v>
      </c>
      <c r="N163" s="4" t="s">
        <v>194</v>
      </c>
      <c r="O163" s="12">
        <v>46030.590960648151</v>
      </c>
      <c r="P163" s="5">
        <v>6.9906664999999997</v>
      </c>
      <c r="Q163" s="5">
        <v>-9.0353081582041703</v>
      </c>
      <c r="R163" s="13">
        <f t="shared" si="8"/>
        <v>6.9906664999999997</v>
      </c>
      <c r="S163" s="42">
        <f t="shared" si="11"/>
        <v>94.751102817962661</v>
      </c>
      <c r="T163" s="13">
        <v>0</v>
      </c>
      <c r="U163" s="14">
        <f t="shared" si="9"/>
        <v>-9.0353081582041703</v>
      </c>
      <c r="V163" s="15">
        <f t="shared" si="10"/>
        <v>662.37336030758718</v>
      </c>
    </row>
    <row r="164" spans="2:22" x14ac:dyDescent="0.3">
      <c r="B164" t="s">
        <v>1058</v>
      </c>
      <c r="C164" s="81">
        <v>2.1</v>
      </c>
      <c r="D164" s="78">
        <v>45952</v>
      </c>
      <c r="E164">
        <v>21</v>
      </c>
      <c r="F164" t="s">
        <v>906</v>
      </c>
      <c r="G164" t="s">
        <v>922</v>
      </c>
      <c r="H164">
        <v>7</v>
      </c>
      <c r="I164">
        <v>13</v>
      </c>
      <c r="J164" t="s">
        <v>935</v>
      </c>
      <c r="K164" t="s">
        <v>1070</v>
      </c>
      <c r="M164" s="1">
        <v>181</v>
      </c>
      <c r="N164" s="1" t="s">
        <v>195</v>
      </c>
      <c r="O164" s="2">
        <v>46030.594687500001</v>
      </c>
      <c r="P164" s="3">
        <v>7.3076895000000004</v>
      </c>
      <c r="Q164" s="3">
        <v>-11.424756674203557</v>
      </c>
      <c r="R164" s="13">
        <f t="shared" si="8"/>
        <v>7.3076895000000004</v>
      </c>
      <c r="S164" s="42">
        <f t="shared" si="11"/>
        <v>94.751102817962661</v>
      </c>
      <c r="T164" s="13">
        <v>0</v>
      </c>
      <c r="U164" s="14">
        <f t="shared" si="9"/>
        <v>-11.424756674203557</v>
      </c>
      <c r="V164" s="15">
        <f t="shared" si="10"/>
        <v>692.41163917624624</v>
      </c>
    </row>
    <row r="165" spans="2:22" x14ac:dyDescent="0.3">
      <c r="B165" t="s">
        <v>1058</v>
      </c>
      <c r="C165" s="81">
        <v>2.1</v>
      </c>
      <c r="D165" s="78">
        <v>45952</v>
      </c>
      <c r="E165">
        <v>24</v>
      </c>
      <c r="F165" t="s">
        <v>929</v>
      </c>
      <c r="G165" t="s">
        <v>926</v>
      </c>
      <c r="H165">
        <v>7</v>
      </c>
      <c r="I165">
        <v>14</v>
      </c>
      <c r="J165" t="s">
        <v>935</v>
      </c>
      <c r="K165" t="s">
        <v>1071</v>
      </c>
      <c r="M165" s="4">
        <v>182</v>
      </c>
      <c r="N165" s="4" t="s">
        <v>196</v>
      </c>
      <c r="O165" s="12">
        <v>46030.598414351851</v>
      </c>
      <c r="P165" s="5">
        <v>6.6319005000000004</v>
      </c>
      <c r="Q165" s="5">
        <v>-11.305018208952628</v>
      </c>
      <c r="R165" s="13">
        <f t="shared" si="8"/>
        <v>6.6319005000000004</v>
      </c>
      <c r="S165" s="42">
        <f t="shared" si="11"/>
        <v>94.751102817962661</v>
      </c>
      <c r="T165" s="13">
        <v>0</v>
      </c>
      <c r="U165" s="14">
        <f t="shared" si="9"/>
        <v>-11.305018208952628</v>
      </c>
      <c r="V165" s="15">
        <f t="shared" si="10"/>
        <v>628.37988615399797</v>
      </c>
    </row>
    <row r="166" spans="2:22" x14ac:dyDescent="0.3">
      <c r="B166" t="s">
        <v>1058</v>
      </c>
      <c r="C166" s="81">
        <v>2.1</v>
      </c>
      <c r="D166" s="78">
        <v>45952</v>
      </c>
      <c r="E166">
        <v>18</v>
      </c>
      <c r="F166" t="s">
        <v>910</v>
      </c>
      <c r="G166" t="s">
        <v>930</v>
      </c>
      <c r="H166">
        <v>7</v>
      </c>
      <c r="I166">
        <v>15</v>
      </c>
      <c r="J166" t="s">
        <v>935</v>
      </c>
      <c r="K166" t="s">
        <v>1072</v>
      </c>
      <c r="M166" s="1">
        <v>183</v>
      </c>
      <c r="N166" s="1" t="s">
        <v>197</v>
      </c>
      <c r="O166" s="2">
        <v>46030.602141203701</v>
      </c>
      <c r="P166" s="3">
        <v>7.3175869999999996</v>
      </c>
      <c r="Q166" s="3">
        <v>-14.199052577668294</v>
      </c>
      <c r="R166" s="13">
        <f t="shared" si="8"/>
        <v>7.3175869999999996</v>
      </c>
      <c r="S166" s="42">
        <f t="shared" si="11"/>
        <v>94.751102817962661</v>
      </c>
      <c r="T166" s="13">
        <v>0</v>
      </c>
      <c r="U166" s="14">
        <f t="shared" si="9"/>
        <v>-14.199052577668294</v>
      </c>
      <c r="V166" s="15">
        <f t="shared" si="10"/>
        <v>693.34943821638694</v>
      </c>
    </row>
    <row r="167" spans="2:22" x14ac:dyDescent="0.3">
      <c r="B167" t="s">
        <v>1058</v>
      </c>
      <c r="C167" s="81">
        <v>2.1</v>
      </c>
      <c r="D167" s="78">
        <v>45952</v>
      </c>
      <c r="E167">
        <v>23</v>
      </c>
      <c r="F167" t="s">
        <v>921</v>
      </c>
      <c r="G167" t="s">
        <v>933</v>
      </c>
      <c r="H167">
        <v>7</v>
      </c>
      <c r="I167">
        <v>16</v>
      </c>
      <c r="J167" t="s">
        <v>935</v>
      </c>
      <c r="K167" t="s">
        <v>1073</v>
      </c>
      <c r="M167" s="4">
        <v>184</v>
      </c>
      <c r="N167" s="4" t="s">
        <v>198</v>
      </c>
      <c r="O167" s="12">
        <v>46030.605868055558</v>
      </c>
      <c r="P167" s="5">
        <v>7.4257780000000002</v>
      </c>
      <c r="Q167" s="5">
        <v>-11.476347247039122</v>
      </c>
      <c r="R167" s="13">
        <f t="shared" si="8"/>
        <v>7.4257780000000002</v>
      </c>
      <c r="S167" s="42">
        <f t="shared" si="11"/>
        <v>94.751102817962661</v>
      </c>
      <c r="T167" s="13">
        <v>0</v>
      </c>
      <c r="U167" s="14">
        <f t="shared" si="9"/>
        <v>-11.476347247039122</v>
      </c>
      <c r="V167" s="15">
        <f t="shared" si="10"/>
        <v>703.60065478136517</v>
      </c>
    </row>
    <row r="168" spans="2:22" x14ac:dyDescent="0.3">
      <c r="B168" t="s">
        <v>1074</v>
      </c>
      <c r="C168" s="81">
        <v>2.1</v>
      </c>
      <c r="D168" s="78">
        <v>45952</v>
      </c>
      <c r="E168">
        <v>20</v>
      </c>
      <c r="F168" t="s">
        <v>932</v>
      </c>
      <c r="G168" t="s">
        <v>907</v>
      </c>
      <c r="H168">
        <v>7</v>
      </c>
      <c r="I168">
        <v>17</v>
      </c>
      <c r="J168" t="s">
        <v>24</v>
      </c>
      <c r="K168" t="s">
        <v>1075</v>
      </c>
      <c r="M168" s="1">
        <v>185</v>
      </c>
      <c r="N168" s="1" t="s">
        <v>199</v>
      </c>
      <c r="O168" s="2">
        <v>46030.609618055554</v>
      </c>
      <c r="P168" s="3">
        <v>6.8792679999999997</v>
      </c>
      <c r="Q168" s="3">
        <v>-3.1284549651378653</v>
      </c>
      <c r="R168" s="13">
        <f t="shared" si="8"/>
        <v>6.8792679999999997</v>
      </c>
      <c r="S168" s="42">
        <f t="shared" si="11"/>
        <v>94.751102817962661</v>
      </c>
      <c r="T168" s="13">
        <v>0</v>
      </c>
      <c r="U168" s="14">
        <f t="shared" si="9"/>
        <v>-3.1284549651378653</v>
      </c>
      <c r="V168" s="15">
        <f t="shared" si="10"/>
        <v>651.81822958032035</v>
      </c>
    </row>
    <row r="169" spans="2:22" x14ac:dyDescent="0.3">
      <c r="B169" t="s">
        <v>1074</v>
      </c>
      <c r="C169" s="81">
        <v>2.1</v>
      </c>
      <c r="D169" s="78">
        <v>45952</v>
      </c>
      <c r="E169">
        <v>19</v>
      </c>
      <c r="F169" t="s">
        <v>917</v>
      </c>
      <c r="G169" t="s">
        <v>15</v>
      </c>
      <c r="H169">
        <v>7</v>
      </c>
      <c r="I169">
        <v>18</v>
      </c>
      <c r="J169" t="s">
        <v>24</v>
      </c>
      <c r="K169" t="s">
        <v>1076</v>
      </c>
      <c r="M169" s="4">
        <v>186</v>
      </c>
      <c r="N169" s="4" t="s">
        <v>200</v>
      </c>
      <c r="O169" s="12">
        <v>46030.613333333335</v>
      </c>
      <c r="P169" s="5">
        <v>6.7183299999999999</v>
      </c>
      <c r="Q169" s="5">
        <v>-10.41847100879162</v>
      </c>
      <c r="R169" s="13">
        <f t="shared" si="8"/>
        <v>6.7183299999999999</v>
      </c>
      <c r="S169" s="42">
        <f t="shared" si="11"/>
        <v>94.751102817962661</v>
      </c>
      <c r="T169" s="13">
        <v>0</v>
      </c>
      <c r="U169" s="14">
        <f t="shared" si="9"/>
        <v>-10.41847100879162</v>
      </c>
      <c r="V169" s="15">
        <f t="shared" si="10"/>
        <v>636.56917659500311</v>
      </c>
    </row>
    <row r="170" spans="2:22" x14ac:dyDescent="0.3">
      <c r="B170" t="s">
        <v>1074</v>
      </c>
      <c r="C170" s="81">
        <v>2.1</v>
      </c>
      <c r="D170" s="78">
        <v>45952</v>
      </c>
      <c r="E170">
        <v>17</v>
      </c>
      <c r="F170" t="s">
        <v>913</v>
      </c>
      <c r="G170" t="s">
        <v>914</v>
      </c>
      <c r="H170">
        <v>7</v>
      </c>
      <c r="I170">
        <v>19</v>
      </c>
      <c r="J170" t="s">
        <v>24</v>
      </c>
      <c r="K170" t="s">
        <v>1077</v>
      </c>
      <c r="M170" s="1">
        <v>187</v>
      </c>
      <c r="N170" s="1" t="s">
        <v>201</v>
      </c>
      <c r="O170" s="2">
        <v>46030.617071759261</v>
      </c>
      <c r="P170" s="3">
        <v>7.0342070000000003</v>
      </c>
      <c r="Q170" s="3">
        <v>-5.4567352482788678</v>
      </c>
      <c r="R170" s="13">
        <f t="shared" si="8"/>
        <v>7.0342070000000003</v>
      </c>
      <c r="S170" s="42">
        <f t="shared" si="11"/>
        <v>94.751102817962661</v>
      </c>
      <c r="T170" s="13">
        <v>0</v>
      </c>
      <c r="U170" s="14">
        <f t="shared" si="9"/>
        <v>-5.4567352482788678</v>
      </c>
      <c r="V170" s="15">
        <f t="shared" si="10"/>
        <v>666.49887069983265</v>
      </c>
    </row>
    <row r="171" spans="2:22" x14ac:dyDescent="0.3">
      <c r="B171" t="s">
        <v>1074</v>
      </c>
      <c r="C171" s="81">
        <v>2.1</v>
      </c>
      <c r="D171" s="78">
        <v>45952</v>
      </c>
      <c r="E171">
        <v>22</v>
      </c>
      <c r="F171" t="s">
        <v>925</v>
      </c>
      <c r="G171" t="s">
        <v>918</v>
      </c>
      <c r="H171">
        <v>7</v>
      </c>
      <c r="I171">
        <v>20</v>
      </c>
      <c r="J171" t="s">
        <v>24</v>
      </c>
      <c r="K171" t="s">
        <v>1078</v>
      </c>
      <c r="M171" s="4">
        <v>188</v>
      </c>
      <c r="N171" s="4" t="s">
        <v>202</v>
      </c>
      <c r="O171" s="12">
        <v>46030.620810185188</v>
      </c>
      <c r="P171" s="5">
        <v>7.3613165</v>
      </c>
      <c r="Q171" s="5">
        <v>-3.7941731160036345</v>
      </c>
      <c r="R171" s="13">
        <f t="shared" si="8"/>
        <v>7.3613165</v>
      </c>
      <c r="S171" s="42">
        <f t="shared" si="11"/>
        <v>94.751102817962661</v>
      </c>
      <c r="T171" s="13">
        <v>0</v>
      </c>
      <c r="U171" s="14">
        <f t="shared" si="9"/>
        <v>-3.7941731160036345</v>
      </c>
      <c r="V171" s="15">
        <f t="shared" si="10"/>
        <v>697.49285656706502</v>
      </c>
    </row>
    <row r="172" spans="2:22" x14ac:dyDescent="0.3">
      <c r="B172" t="s">
        <v>1074</v>
      </c>
      <c r="C172" s="81">
        <v>2.1</v>
      </c>
      <c r="D172" s="78">
        <v>45952</v>
      </c>
      <c r="E172">
        <v>21</v>
      </c>
      <c r="F172" t="s">
        <v>906</v>
      </c>
      <c r="G172" t="s">
        <v>922</v>
      </c>
      <c r="H172">
        <v>7</v>
      </c>
      <c r="I172">
        <v>21</v>
      </c>
      <c r="J172" t="s">
        <v>24</v>
      </c>
      <c r="K172" t="s">
        <v>1079</v>
      </c>
      <c r="M172" s="1">
        <v>189</v>
      </c>
      <c r="N172" s="1" t="s">
        <v>203</v>
      </c>
      <c r="O172" s="2">
        <v>46030.624571759261</v>
      </c>
      <c r="P172" s="3">
        <v>7.2644229999999999</v>
      </c>
      <c r="Q172" s="3">
        <v>-6.129497366844145</v>
      </c>
      <c r="R172" s="13">
        <f t="shared" si="8"/>
        <v>7.2644229999999999</v>
      </c>
      <c r="S172" s="42">
        <f t="shared" si="11"/>
        <v>94.751102817962661</v>
      </c>
      <c r="T172" s="13">
        <v>0</v>
      </c>
      <c r="U172" s="14">
        <f t="shared" si="9"/>
        <v>-6.129497366844145</v>
      </c>
      <c r="V172" s="15">
        <f t="shared" si="10"/>
        <v>688.31209058617276</v>
      </c>
    </row>
    <row r="173" spans="2:22" x14ac:dyDescent="0.3">
      <c r="B173" t="s">
        <v>1074</v>
      </c>
      <c r="C173" s="81">
        <v>2.1</v>
      </c>
      <c r="D173" s="78">
        <v>45952</v>
      </c>
      <c r="E173">
        <v>24</v>
      </c>
      <c r="F173" t="s">
        <v>929</v>
      </c>
      <c r="G173" t="s">
        <v>926</v>
      </c>
      <c r="H173">
        <v>7</v>
      </c>
      <c r="I173">
        <v>22</v>
      </c>
      <c r="J173" t="s">
        <v>24</v>
      </c>
      <c r="K173" t="s">
        <v>1080</v>
      </c>
      <c r="M173" s="4">
        <v>190</v>
      </c>
      <c r="N173" s="4" t="s">
        <v>204</v>
      </c>
      <c r="O173" s="12">
        <v>46030.628310185188</v>
      </c>
      <c r="P173" s="5">
        <v>6.5912559999999996</v>
      </c>
      <c r="Q173" s="5">
        <v>-5.8667092223825454</v>
      </c>
      <c r="R173" s="13">
        <f t="shared" si="8"/>
        <v>6.5912559999999996</v>
      </c>
      <c r="S173" s="42">
        <f t="shared" si="11"/>
        <v>94.751102817962661</v>
      </c>
      <c r="T173" s="13">
        <v>0</v>
      </c>
      <c r="U173" s="14">
        <f t="shared" si="9"/>
        <v>-5.8667092223825454</v>
      </c>
      <c r="V173" s="15">
        <f t="shared" si="10"/>
        <v>624.5287749555132</v>
      </c>
    </row>
    <row r="174" spans="2:22" x14ac:dyDescent="0.3">
      <c r="B174" t="s">
        <v>1074</v>
      </c>
      <c r="C174" s="81">
        <v>2.1</v>
      </c>
      <c r="D174" s="78">
        <v>45952</v>
      </c>
      <c r="E174">
        <v>18</v>
      </c>
      <c r="F174" t="s">
        <v>910</v>
      </c>
      <c r="G174" t="s">
        <v>930</v>
      </c>
      <c r="H174">
        <v>7</v>
      </c>
      <c r="I174">
        <v>23</v>
      </c>
      <c r="J174" t="s">
        <v>24</v>
      </c>
      <c r="K174" t="s">
        <v>1081</v>
      </c>
      <c r="M174" s="1">
        <v>191</v>
      </c>
      <c r="N174" s="1" t="s">
        <v>205</v>
      </c>
      <c r="O174" s="2">
        <v>46030.632210648146</v>
      </c>
      <c r="P174" s="3">
        <v>7.3310285000000004</v>
      </c>
      <c r="Q174" s="3">
        <v>-10.868935872588509</v>
      </c>
      <c r="R174" s="13">
        <f t="shared" si="8"/>
        <v>7.3310285000000004</v>
      </c>
      <c r="S174" s="42">
        <f t="shared" si="11"/>
        <v>94.751102817962661</v>
      </c>
      <c r="T174" s="13">
        <v>0</v>
      </c>
      <c r="U174" s="14">
        <f t="shared" si="9"/>
        <v>-10.868935872588509</v>
      </c>
      <c r="V174" s="15">
        <f t="shared" si="10"/>
        <v>694.62303516491465</v>
      </c>
    </row>
    <row r="175" spans="2:22" x14ac:dyDescent="0.3">
      <c r="B175" t="s">
        <v>1074</v>
      </c>
      <c r="C175" s="81">
        <v>2.1</v>
      </c>
      <c r="D175" s="78">
        <v>45952</v>
      </c>
      <c r="E175">
        <v>23</v>
      </c>
      <c r="F175" t="s">
        <v>921</v>
      </c>
      <c r="G175" t="s">
        <v>933</v>
      </c>
      <c r="H175">
        <v>7</v>
      </c>
      <c r="I175">
        <v>24</v>
      </c>
      <c r="J175" t="s">
        <v>24</v>
      </c>
      <c r="K175" t="s">
        <v>1082</v>
      </c>
      <c r="M175" s="4">
        <v>192</v>
      </c>
      <c r="N175" s="4" t="s">
        <v>206</v>
      </c>
      <c r="O175" s="12">
        <v>46030.635972222219</v>
      </c>
      <c r="P175" s="5">
        <v>7.0832930000000003</v>
      </c>
      <c r="Q175" s="5">
        <v>-5.051216769760341</v>
      </c>
      <c r="R175" s="13">
        <f t="shared" si="8"/>
        <v>7.0832930000000003</v>
      </c>
      <c r="S175" s="42">
        <f t="shared" si="11"/>
        <v>94.751102817962661</v>
      </c>
      <c r="T175" s="13">
        <v>0</v>
      </c>
      <c r="U175" s="14">
        <f t="shared" si="9"/>
        <v>-5.051216769760341</v>
      </c>
      <c r="V175" s="15">
        <f t="shared" si="10"/>
        <v>671.1498233327552</v>
      </c>
    </row>
    <row r="176" spans="2:22" x14ac:dyDescent="0.3">
      <c r="B176" t="s">
        <v>1074</v>
      </c>
      <c r="C176" s="81">
        <v>2.1</v>
      </c>
      <c r="D176" s="78">
        <v>45952</v>
      </c>
      <c r="E176">
        <v>20</v>
      </c>
      <c r="F176" t="s">
        <v>932</v>
      </c>
      <c r="G176" t="s">
        <v>907</v>
      </c>
      <c r="H176">
        <v>7</v>
      </c>
      <c r="I176">
        <v>25</v>
      </c>
      <c r="J176" t="s">
        <v>25</v>
      </c>
      <c r="K176" t="s">
        <v>1083</v>
      </c>
      <c r="M176" s="1">
        <v>193</v>
      </c>
      <c r="N176" s="1" t="s">
        <v>207</v>
      </c>
      <c r="O176" s="2">
        <v>46030.639710648145</v>
      </c>
      <c r="P176" s="3">
        <v>6.9702264999999999</v>
      </c>
      <c r="Q176" s="3">
        <v>1.7549626405568399</v>
      </c>
      <c r="R176" s="13">
        <f t="shared" si="8"/>
        <v>6.9702264999999999</v>
      </c>
      <c r="S176" s="42">
        <f t="shared" si="11"/>
        <v>94.751102817962661</v>
      </c>
      <c r="T176" s="13">
        <v>0</v>
      </c>
      <c r="U176" s="14">
        <f t="shared" si="9"/>
        <v>1.7549626405568399</v>
      </c>
      <c r="V176" s="15">
        <f t="shared" si="10"/>
        <v>660.43664776598803</v>
      </c>
    </row>
    <row r="177" spans="2:22" x14ac:dyDescent="0.3">
      <c r="B177" t="s">
        <v>1074</v>
      </c>
      <c r="C177" s="81">
        <v>2.1</v>
      </c>
      <c r="D177" s="78">
        <v>45952</v>
      </c>
      <c r="E177">
        <v>19</v>
      </c>
      <c r="F177" t="s">
        <v>917</v>
      </c>
      <c r="G177" t="s">
        <v>15</v>
      </c>
      <c r="H177">
        <v>7</v>
      </c>
      <c r="I177">
        <v>26</v>
      </c>
      <c r="J177" t="s">
        <v>25</v>
      </c>
      <c r="K177" t="s">
        <v>1084</v>
      </c>
      <c r="M177" s="4">
        <v>194</v>
      </c>
      <c r="N177" s="4" t="s">
        <v>208</v>
      </c>
      <c r="O177" s="12">
        <v>46030.643553240741</v>
      </c>
      <c r="P177" s="5">
        <v>6.9186335000000003</v>
      </c>
      <c r="Q177" s="5">
        <v>-8.1104073104466856</v>
      </c>
      <c r="R177" s="13">
        <f t="shared" si="8"/>
        <v>6.9186335000000003</v>
      </c>
      <c r="S177" s="42">
        <f t="shared" si="11"/>
        <v>94.751102817962661</v>
      </c>
      <c r="T177" s="13">
        <v>0</v>
      </c>
      <c r="U177" s="14">
        <f t="shared" si="9"/>
        <v>-8.1104073104466856</v>
      </c>
      <c r="V177" s="15">
        <f t="shared" si="10"/>
        <v>655.54815411830089</v>
      </c>
    </row>
    <row r="178" spans="2:22" x14ac:dyDescent="0.3">
      <c r="B178" t="s">
        <v>1074</v>
      </c>
      <c r="C178" s="81">
        <v>2.1</v>
      </c>
      <c r="D178" s="78">
        <v>45952</v>
      </c>
      <c r="E178">
        <v>17</v>
      </c>
      <c r="F178" t="s">
        <v>913</v>
      </c>
      <c r="G178" t="s">
        <v>914</v>
      </c>
      <c r="H178">
        <v>7</v>
      </c>
      <c r="I178">
        <v>27</v>
      </c>
      <c r="J178" t="s">
        <v>25</v>
      </c>
      <c r="K178" t="s">
        <v>1085</v>
      </c>
      <c r="M178" s="1">
        <v>195</v>
      </c>
      <c r="N178" s="1" t="s">
        <v>209</v>
      </c>
      <c r="O178" s="2">
        <v>46030.647291666668</v>
      </c>
      <c r="P178" s="3">
        <v>6.6866320000000004</v>
      </c>
      <c r="Q178" s="3">
        <v>0.29941192647460918</v>
      </c>
      <c r="R178" s="13">
        <f t="shared" si="8"/>
        <v>6.6866320000000004</v>
      </c>
      <c r="S178" s="42">
        <f t="shared" si="11"/>
        <v>94.751102817962661</v>
      </c>
      <c r="T178" s="13">
        <v>0</v>
      </c>
      <c r="U178" s="14">
        <f t="shared" si="9"/>
        <v>0.29941192647460918</v>
      </c>
      <c r="V178" s="15">
        <f t="shared" si="10"/>
        <v>633.56575613787936</v>
      </c>
    </row>
    <row r="179" spans="2:22" x14ac:dyDescent="0.3">
      <c r="B179" t="s">
        <v>1074</v>
      </c>
      <c r="C179" s="81">
        <v>2.1</v>
      </c>
      <c r="D179" s="78">
        <v>45952</v>
      </c>
      <c r="E179">
        <v>22</v>
      </c>
      <c r="F179" t="s">
        <v>925</v>
      </c>
      <c r="G179" t="s">
        <v>918</v>
      </c>
      <c r="H179">
        <v>7</v>
      </c>
      <c r="I179">
        <v>28</v>
      </c>
      <c r="J179" t="s">
        <v>25</v>
      </c>
      <c r="K179" t="s">
        <v>1086</v>
      </c>
      <c r="M179" s="4">
        <v>196</v>
      </c>
      <c r="N179" s="4" t="s">
        <v>210</v>
      </c>
      <c r="O179" s="12">
        <v>46030.651030092595</v>
      </c>
      <c r="P179" s="5">
        <v>6.8406320000000003</v>
      </c>
      <c r="Q179" s="5">
        <v>3.1600711773456007</v>
      </c>
      <c r="R179" s="13">
        <f t="shared" si="8"/>
        <v>6.8406320000000003</v>
      </c>
      <c r="S179" s="42">
        <f t="shared" si="11"/>
        <v>94.751102817962661</v>
      </c>
      <c r="T179" s="13">
        <v>0</v>
      </c>
      <c r="U179" s="14">
        <f t="shared" si="9"/>
        <v>3.1600711773456007</v>
      </c>
      <c r="V179" s="15">
        <f t="shared" si="10"/>
        <v>648.15742597184556</v>
      </c>
    </row>
    <row r="180" spans="2:22" x14ac:dyDescent="0.3">
      <c r="B180" t="s">
        <v>1074</v>
      </c>
      <c r="C180" s="81">
        <v>2.1</v>
      </c>
      <c r="D180" s="78">
        <v>45952</v>
      </c>
      <c r="E180">
        <v>21</v>
      </c>
      <c r="F180" t="s">
        <v>906</v>
      </c>
      <c r="G180" t="s">
        <v>922</v>
      </c>
      <c r="H180">
        <v>7</v>
      </c>
      <c r="I180">
        <v>29</v>
      </c>
      <c r="J180" t="s">
        <v>25</v>
      </c>
      <c r="K180" t="s">
        <v>1087</v>
      </c>
      <c r="M180" s="1">
        <v>197</v>
      </c>
      <c r="N180" s="1" t="s">
        <v>211</v>
      </c>
      <c r="O180" s="2">
        <v>46030.65483796296</v>
      </c>
      <c r="P180" s="3">
        <v>6.9689160000000001</v>
      </c>
      <c r="Q180" s="3">
        <v>4.2525234309120939E-2</v>
      </c>
      <c r="R180" s="13">
        <f t="shared" si="8"/>
        <v>6.9689160000000001</v>
      </c>
      <c r="S180" s="42">
        <f t="shared" si="11"/>
        <v>94.751102817962661</v>
      </c>
      <c r="T180" s="13">
        <v>0</v>
      </c>
      <c r="U180" s="14">
        <f t="shared" si="9"/>
        <v>4.2525234309120939E-2</v>
      </c>
      <c r="V180" s="15">
        <f t="shared" si="10"/>
        <v>660.31247644574512</v>
      </c>
    </row>
    <row r="181" spans="2:22" x14ac:dyDescent="0.3">
      <c r="B181" t="s">
        <v>1074</v>
      </c>
      <c r="C181" s="81">
        <v>2.1</v>
      </c>
      <c r="D181" s="78">
        <v>45952</v>
      </c>
      <c r="E181">
        <v>24</v>
      </c>
      <c r="F181" t="s">
        <v>929</v>
      </c>
      <c r="G181" t="s">
        <v>926</v>
      </c>
      <c r="H181">
        <v>7</v>
      </c>
      <c r="I181">
        <v>30</v>
      </c>
      <c r="J181" t="s">
        <v>25</v>
      </c>
      <c r="K181" t="s">
        <v>1088</v>
      </c>
      <c r="M181" s="4">
        <v>198</v>
      </c>
      <c r="N181" s="4" t="s">
        <v>212</v>
      </c>
      <c r="O181" s="12">
        <v>46030.658645833333</v>
      </c>
      <c r="P181" s="5">
        <v>7.0030175000000003</v>
      </c>
      <c r="Q181" s="5">
        <v>-2.9897568719142735</v>
      </c>
      <c r="R181" s="13">
        <f t="shared" si="8"/>
        <v>7.0030175000000003</v>
      </c>
      <c r="S181" s="42">
        <f t="shared" si="11"/>
        <v>94.751102817962661</v>
      </c>
      <c r="T181" s="13">
        <v>0</v>
      </c>
      <c r="U181" s="14">
        <f t="shared" si="9"/>
        <v>-2.9897568719142735</v>
      </c>
      <c r="V181" s="15">
        <f t="shared" si="10"/>
        <v>663.54363117849186</v>
      </c>
    </row>
    <row r="182" spans="2:22" x14ac:dyDescent="0.3">
      <c r="B182" t="s">
        <v>1074</v>
      </c>
      <c r="C182" s="81">
        <v>2.1</v>
      </c>
      <c r="D182" s="78">
        <v>45952</v>
      </c>
      <c r="E182">
        <v>18</v>
      </c>
      <c r="F182" t="s">
        <v>910</v>
      </c>
      <c r="G182" t="s">
        <v>930</v>
      </c>
      <c r="H182">
        <v>7</v>
      </c>
      <c r="I182">
        <v>31</v>
      </c>
      <c r="J182" t="s">
        <v>25</v>
      </c>
      <c r="K182" t="s">
        <v>1089</v>
      </c>
      <c r="M182" s="1">
        <v>199</v>
      </c>
      <c r="N182" s="1" t="s">
        <v>213</v>
      </c>
      <c r="O182" s="2">
        <v>46030.662395833337</v>
      </c>
      <c r="P182" s="3">
        <v>7.6506984999999998</v>
      </c>
      <c r="Q182" s="3">
        <v>-8.4293935278968348</v>
      </c>
      <c r="R182" s="13">
        <f t="shared" si="8"/>
        <v>7.6506984999999998</v>
      </c>
      <c r="S182" s="42">
        <f t="shared" si="11"/>
        <v>94.751102817962661</v>
      </c>
      <c r="T182" s="13">
        <v>0</v>
      </c>
      <c r="U182" s="14">
        <f t="shared" si="9"/>
        <v>-8.4293935278968348</v>
      </c>
      <c r="V182" s="15">
        <f t="shared" si="10"/>
        <v>724.91212020273269</v>
      </c>
    </row>
    <row r="183" spans="2:22" x14ac:dyDescent="0.3">
      <c r="B183" t="s">
        <v>1074</v>
      </c>
      <c r="C183" s="81">
        <v>2.1</v>
      </c>
      <c r="D183" s="78">
        <v>45952</v>
      </c>
      <c r="E183">
        <v>23</v>
      </c>
      <c r="F183" t="s">
        <v>921</v>
      </c>
      <c r="G183" t="s">
        <v>933</v>
      </c>
      <c r="H183">
        <v>7</v>
      </c>
      <c r="I183">
        <v>32</v>
      </c>
      <c r="J183" t="s">
        <v>25</v>
      </c>
      <c r="K183" t="s">
        <v>1090</v>
      </c>
      <c r="M183" s="4">
        <v>200</v>
      </c>
      <c r="N183" s="4" t="s">
        <v>214</v>
      </c>
      <c r="O183" s="12">
        <v>46030.666145833333</v>
      </c>
      <c r="P183" s="5">
        <v>7.3366350000000002</v>
      </c>
      <c r="Q183" s="5">
        <v>-0.78800525765811014</v>
      </c>
      <c r="R183" s="13">
        <f t="shared" si="8"/>
        <v>7.3366350000000002</v>
      </c>
      <c r="S183" s="42">
        <f t="shared" si="11"/>
        <v>94.751102817962661</v>
      </c>
      <c r="T183" s="13">
        <v>0</v>
      </c>
      <c r="U183" s="14">
        <f t="shared" si="9"/>
        <v>-0.78800525765811014</v>
      </c>
      <c r="V183" s="15">
        <f t="shared" si="10"/>
        <v>695.15425722286352</v>
      </c>
    </row>
    <row r="184" spans="2:22" x14ac:dyDescent="0.3">
      <c r="B184" t="s">
        <v>1074</v>
      </c>
      <c r="C184" s="81">
        <v>2.2000000000000002</v>
      </c>
      <c r="D184" s="78">
        <v>45953</v>
      </c>
      <c r="E184">
        <v>20</v>
      </c>
      <c r="F184" t="s">
        <v>932</v>
      </c>
      <c r="G184" t="s">
        <v>907</v>
      </c>
      <c r="H184">
        <v>25</v>
      </c>
      <c r="I184">
        <v>1</v>
      </c>
      <c r="J184" t="s">
        <v>908</v>
      </c>
      <c r="K184" t="s">
        <v>1091</v>
      </c>
      <c r="M184" s="1">
        <v>201</v>
      </c>
      <c r="N184" s="1" t="s">
        <v>215</v>
      </c>
      <c r="O184" s="2">
        <v>46030.669895833336</v>
      </c>
      <c r="P184" s="3">
        <v>6.0384555000000004</v>
      </c>
      <c r="Q184" s="3">
        <v>-15.582352121986215</v>
      </c>
      <c r="R184" s="13">
        <f t="shared" si="8"/>
        <v>6.0384555000000004</v>
      </c>
      <c r="S184" s="42">
        <f t="shared" si="11"/>
        <v>94.751102817962661</v>
      </c>
      <c r="T184" s="13">
        <v>0</v>
      </c>
      <c r="U184" s="14">
        <f t="shared" si="9"/>
        <v>-15.582352121986215</v>
      </c>
      <c r="V184" s="15">
        <f t="shared" si="10"/>
        <v>572.15031794219215</v>
      </c>
    </row>
    <row r="185" spans="2:22" x14ac:dyDescent="0.3">
      <c r="B185" t="s">
        <v>1074</v>
      </c>
      <c r="C185" s="81">
        <v>2.2000000000000002</v>
      </c>
      <c r="D185" s="78">
        <v>45953</v>
      </c>
      <c r="E185">
        <v>19</v>
      </c>
      <c r="F185" t="s">
        <v>917</v>
      </c>
      <c r="G185" t="s">
        <v>15</v>
      </c>
      <c r="H185">
        <v>25</v>
      </c>
      <c r="I185">
        <v>2</v>
      </c>
      <c r="J185" t="s">
        <v>908</v>
      </c>
      <c r="K185" t="s">
        <v>1092</v>
      </c>
      <c r="M185" s="4">
        <v>202</v>
      </c>
      <c r="N185" s="4" t="s">
        <v>216</v>
      </c>
      <c r="O185" s="12">
        <v>46030.673726851855</v>
      </c>
      <c r="P185" s="5">
        <v>5.8792435000000003</v>
      </c>
      <c r="Q185" s="5">
        <v>-15.461824202918081</v>
      </c>
      <c r="R185" s="13">
        <f t="shared" si="8"/>
        <v>5.8792435000000003</v>
      </c>
      <c r="S185" s="42">
        <f t="shared" si="11"/>
        <v>94.751102817962661</v>
      </c>
      <c r="T185" s="13">
        <v>0</v>
      </c>
      <c r="U185" s="14">
        <f t="shared" si="9"/>
        <v>-15.461824202918081</v>
      </c>
      <c r="V185" s="15">
        <f t="shared" si="10"/>
        <v>557.06480536033871</v>
      </c>
    </row>
    <row r="186" spans="2:22" x14ac:dyDescent="0.3">
      <c r="B186" t="s">
        <v>1074</v>
      </c>
      <c r="C186" s="81">
        <v>2.2000000000000002</v>
      </c>
      <c r="D186" s="78">
        <v>45953</v>
      </c>
      <c r="E186">
        <v>17</v>
      </c>
      <c r="F186" t="s">
        <v>913</v>
      </c>
      <c r="G186" t="s">
        <v>914</v>
      </c>
      <c r="H186">
        <v>25</v>
      </c>
      <c r="I186">
        <v>3</v>
      </c>
      <c r="J186" t="s">
        <v>908</v>
      </c>
      <c r="K186" t="s">
        <v>1093</v>
      </c>
      <c r="M186" s="1">
        <v>203</v>
      </c>
      <c r="N186" s="1" t="s">
        <v>217</v>
      </c>
      <c r="O186" s="2">
        <v>46030.677465277775</v>
      </c>
      <c r="P186" s="3">
        <v>6.3973104999999997</v>
      </c>
      <c r="Q186" s="3">
        <v>-15.999185973076678</v>
      </c>
      <c r="R186" s="13">
        <f t="shared" si="8"/>
        <v>6.3973104999999997</v>
      </c>
      <c r="S186" s="42">
        <f t="shared" si="11"/>
        <v>94.751102817962661</v>
      </c>
      <c r="T186" s="13">
        <v>0</v>
      </c>
      <c r="U186" s="14">
        <f t="shared" si="9"/>
        <v>-15.999185973076678</v>
      </c>
      <c r="V186" s="15">
        <f t="shared" si="10"/>
        <v>606.15222494393208</v>
      </c>
    </row>
    <row r="187" spans="2:22" x14ac:dyDescent="0.3">
      <c r="B187" t="s">
        <v>1074</v>
      </c>
      <c r="C187" s="81">
        <v>2.2000000000000002</v>
      </c>
      <c r="D187" s="78">
        <v>45953</v>
      </c>
      <c r="E187">
        <v>22</v>
      </c>
      <c r="F187" t="s">
        <v>925</v>
      </c>
      <c r="G187" t="s">
        <v>918</v>
      </c>
      <c r="H187">
        <v>25</v>
      </c>
      <c r="I187">
        <v>4</v>
      </c>
      <c r="J187" t="s">
        <v>908</v>
      </c>
      <c r="K187" t="s">
        <v>1094</v>
      </c>
      <c r="M187" s="4">
        <v>204</v>
      </c>
      <c r="N187" s="4" t="s">
        <v>218</v>
      </c>
      <c r="O187" s="12">
        <v>46030.681238425925</v>
      </c>
      <c r="P187" s="5">
        <v>6.1585014999999999</v>
      </c>
      <c r="Q187" s="5">
        <v>-14.130337029823293</v>
      </c>
      <c r="R187" s="13">
        <f t="shared" si="8"/>
        <v>6.1585014999999999</v>
      </c>
      <c r="S187" s="42">
        <f t="shared" si="11"/>
        <v>94.751102817962661</v>
      </c>
      <c r="T187" s="13">
        <v>0</v>
      </c>
      <c r="U187" s="14">
        <f t="shared" si="9"/>
        <v>-14.130337029823293</v>
      </c>
      <c r="V187" s="15">
        <f t="shared" si="10"/>
        <v>583.52480883107728</v>
      </c>
    </row>
    <row r="188" spans="2:22" x14ac:dyDescent="0.3">
      <c r="B188" t="s">
        <v>1074</v>
      </c>
      <c r="C188" s="81">
        <v>2.2000000000000002</v>
      </c>
      <c r="D188" s="78">
        <v>45953</v>
      </c>
      <c r="E188">
        <v>21</v>
      </c>
      <c r="F188" t="s">
        <v>906</v>
      </c>
      <c r="G188" t="s">
        <v>922</v>
      </c>
      <c r="H188">
        <v>25</v>
      </c>
      <c r="I188">
        <v>5</v>
      </c>
      <c r="J188" t="s">
        <v>908</v>
      </c>
      <c r="K188" t="s">
        <v>1095</v>
      </c>
      <c r="M188" s="1">
        <v>205</v>
      </c>
      <c r="N188" s="1" t="s">
        <v>219</v>
      </c>
      <c r="O188" s="2">
        <v>46030.684965277775</v>
      </c>
      <c r="P188" s="3">
        <v>6.5348195000000002</v>
      </c>
      <c r="Q188" s="3">
        <v>-15.128392768847238</v>
      </c>
      <c r="R188" s="13">
        <f t="shared" si="8"/>
        <v>6.5348195000000002</v>
      </c>
      <c r="S188" s="42">
        <f t="shared" si="11"/>
        <v>94.751102817962661</v>
      </c>
      <c r="T188" s="13">
        <v>0</v>
      </c>
      <c r="U188" s="14">
        <f t="shared" si="9"/>
        <v>-15.128392768847238</v>
      </c>
      <c r="V188" s="15">
        <f t="shared" si="10"/>
        <v>619.18135434132739</v>
      </c>
    </row>
    <row r="189" spans="2:22" x14ac:dyDescent="0.3">
      <c r="B189" t="s">
        <v>1074</v>
      </c>
      <c r="C189" s="81">
        <v>2.2000000000000002</v>
      </c>
      <c r="D189" s="78">
        <v>45953</v>
      </c>
      <c r="E189">
        <v>24</v>
      </c>
      <c r="F189" t="s">
        <v>929</v>
      </c>
      <c r="G189" t="s">
        <v>926</v>
      </c>
      <c r="H189">
        <v>25</v>
      </c>
      <c r="I189">
        <v>6</v>
      </c>
      <c r="J189" t="s">
        <v>908</v>
      </c>
      <c r="K189" t="s">
        <v>1096</v>
      </c>
      <c r="M189" s="4">
        <v>206</v>
      </c>
      <c r="N189" s="4" t="s">
        <v>220</v>
      </c>
      <c r="O189" s="12">
        <v>46030.688703703701</v>
      </c>
      <c r="P189" s="5">
        <v>7.7799544999999997</v>
      </c>
      <c r="Q189" s="5">
        <v>-18.057576085276899</v>
      </c>
      <c r="R189" s="13">
        <f t="shared" si="8"/>
        <v>7.7799544999999997</v>
      </c>
      <c r="S189" s="42">
        <f t="shared" si="11"/>
        <v>94.751102817962661</v>
      </c>
      <c r="T189" s="13">
        <v>0</v>
      </c>
      <c r="U189" s="14">
        <f t="shared" si="9"/>
        <v>-18.057576085276899</v>
      </c>
      <c r="V189" s="15">
        <f t="shared" si="10"/>
        <v>737.15926874857121</v>
      </c>
    </row>
    <row r="190" spans="2:22" x14ac:dyDescent="0.3">
      <c r="B190" t="s">
        <v>1074</v>
      </c>
      <c r="C190" s="81">
        <v>2.2000000000000002</v>
      </c>
      <c r="D190" s="78">
        <v>45953</v>
      </c>
      <c r="E190">
        <v>18</v>
      </c>
      <c r="F190" t="s">
        <v>910</v>
      </c>
      <c r="G190" t="s">
        <v>930</v>
      </c>
      <c r="H190">
        <v>25</v>
      </c>
      <c r="I190">
        <v>7</v>
      </c>
      <c r="J190" t="s">
        <v>908</v>
      </c>
      <c r="K190" t="s">
        <v>1097</v>
      </c>
      <c r="M190" s="1">
        <v>207</v>
      </c>
      <c r="N190" s="1" t="s">
        <v>221</v>
      </c>
      <c r="O190" s="2">
        <v>46030.692442129628</v>
      </c>
      <c r="P190" s="3">
        <v>6.7345305</v>
      </c>
      <c r="Q190" s="3">
        <v>-16.567732022206545</v>
      </c>
      <c r="R190" s="13">
        <f t="shared" si="8"/>
        <v>6.7345305</v>
      </c>
      <c r="S190" s="42">
        <f t="shared" si="11"/>
        <v>94.751102817962661</v>
      </c>
      <c r="T190" s="13">
        <v>0</v>
      </c>
      <c r="U190" s="14">
        <f t="shared" si="9"/>
        <v>-16.567732022206545</v>
      </c>
      <c r="V190" s="15">
        <f t="shared" si="10"/>
        <v>638.10419183620547</v>
      </c>
    </row>
    <row r="191" spans="2:22" x14ac:dyDescent="0.3">
      <c r="B191" t="s">
        <v>1074</v>
      </c>
      <c r="C191" s="81">
        <v>2.2000000000000002</v>
      </c>
      <c r="D191" s="78">
        <v>45953</v>
      </c>
      <c r="E191">
        <v>23</v>
      </c>
      <c r="F191" t="s">
        <v>921</v>
      </c>
      <c r="G191" t="s">
        <v>933</v>
      </c>
      <c r="H191">
        <v>25</v>
      </c>
      <c r="I191">
        <v>8</v>
      </c>
      <c r="J191" t="s">
        <v>908</v>
      </c>
      <c r="K191" t="s">
        <v>1098</v>
      </c>
      <c r="M191" s="4">
        <v>208</v>
      </c>
      <c r="N191" s="4" t="s">
        <v>222</v>
      </c>
      <c r="O191" s="12">
        <v>46030.696180555555</v>
      </c>
      <c r="P191" s="5">
        <v>6.8591980000000001</v>
      </c>
      <c r="Q191" s="5">
        <v>-16.521968318337386</v>
      </c>
      <c r="R191" s="13">
        <f t="shared" si="8"/>
        <v>6.8591980000000001</v>
      </c>
      <c r="S191" s="42">
        <f t="shared" si="11"/>
        <v>94.751102817962661</v>
      </c>
      <c r="T191" s="13">
        <v>0</v>
      </c>
      <c r="U191" s="14">
        <f t="shared" si="9"/>
        <v>-16.521968318337386</v>
      </c>
      <c r="V191" s="15">
        <f t="shared" si="10"/>
        <v>649.91657494676383</v>
      </c>
    </row>
    <row r="192" spans="2:22" x14ac:dyDescent="0.3">
      <c r="B192" t="s">
        <v>1074</v>
      </c>
      <c r="C192" s="81">
        <v>2.2000000000000002</v>
      </c>
      <c r="D192" s="78">
        <v>45953</v>
      </c>
      <c r="E192">
        <v>20</v>
      </c>
      <c r="F192" t="s">
        <v>932</v>
      </c>
      <c r="G192" t="s">
        <v>907</v>
      </c>
      <c r="H192">
        <v>25</v>
      </c>
      <c r="I192">
        <v>9</v>
      </c>
      <c r="J192" t="s">
        <v>935</v>
      </c>
      <c r="K192" t="s">
        <v>1099</v>
      </c>
      <c r="M192" s="1">
        <v>209</v>
      </c>
      <c r="N192" s="1" t="s">
        <v>223</v>
      </c>
      <c r="O192" s="2">
        <v>46030.699918981481</v>
      </c>
      <c r="P192" s="3">
        <v>5.7173379999999998</v>
      </c>
      <c r="Q192" s="3">
        <v>-0.31785206505414926</v>
      </c>
      <c r="R192" s="13">
        <f t="shared" si="8"/>
        <v>5.7173379999999998</v>
      </c>
      <c r="S192" s="42">
        <f t="shared" si="11"/>
        <v>94.751102817962661</v>
      </c>
      <c r="T192" s="13">
        <v>0</v>
      </c>
      <c r="U192" s="14">
        <f t="shared" si="9"/>
        <v>-0.31785206505414926</v>
      </c>
      <c r="V192" s="15">
        <f t="shared" si="10"/>
        <v>541.72408068304503</v>
      </c>
    </row>
    <row r="193" spans="2:22" x14ac:dyDescent="0.3">
      <c r="B193" t="s">
        <v>1074</v>
      </c>
      <c r="C193" s="81">
        <v>2.2000000000000002</v>
      </c>
      <c r="D193" s="78">
        <v>45953</v>
      </c>
      <c r="E193">
        <v>19</v>
      </c>
      <c r="F193" t="s">
        <v>917</v>
      </c>
      <c r="G193" t="s">
        <v>15</v>
      </c>
      <c r="H193">
        <v>25</v>
      </c>
      <c r="I193">
        <v>10</v>
      </c>
      <c r="J193" t="s">
        <v>935</v>
      </c>
      <c r="K193" t="s">
        <v>1100</v>
      </c>
      <c r="M193" s="4">
        <v>210</v>
      </c>
      <c r="N193" s="4" t="s">
        <v>224</v>
      </c>
      <c r="O193" s="12">
        <v>46030.703726851854</v>
      </c>
      <c r="P193" s="5">
        <v>5.8092350000000001</v>
      </c>
      <c r="Q193" s="5">
        <v>-4.7986881179460115</v>
      </c>
      <c r="R193" s="13">
        <f t="shared" si="8"/>
        <v>5.8092350000000001</v>
      </c>
      <c r="S193" s="42">
        <f t="shared" si="11"/>
        <v>94.751102817962661</v>
      </c>
      <c r="T193" s="13">
        <v>0</v>
      </c>
      <c r="U193" s="14">
        <f t="shared" si="9"/>
        <v>-4.7986881179460115</v>
      </c>
      <c r="V193" s="15">
        <f t="shared" si="10"/>
        <v>550.43142277870732</v>
      </c>
    </row>
    <row r="194" spans="2:22" x14ac:dyDescent="0.3">
      <c r="B194" t="s">
        <v>1074</v>
      </c>
      <c r="C194" s="81">
        <v>2.2000000000000002</v>
      </c>
      <c r="D194" s="78">
        <v>45953</v>
      </c>
      <c r="E194">
        <v>17</v>
      </c>
      <c r="F194" t="s">
        <v>913</v>
      </c>
      <c r="G194" t="s">
        <v>914</v>
      </c>
      <c r="H194">
        <v>25</v>
      </c>
      <c r="I194">
        <v>11</v>
      </c>
      <c r="J194" t="s">
        <v>935</v>
      </c>
      <c r="K194" t="s">
        <v>1101</v>
      </c>
      <c r="M194" s="1">
        <v>211</v>
      </c>
      <c r="N194" s="1" t="s">
        <v>225</v>
      </c>
      <c r="O194" s="2">
        <v>46030.707453703704</v>
      </c>
      <c r="P194" s="3">
        <v>6.0541549999999997</v>
      </c>
      <c r="Q194" s="3">
        <v>2.4706725982210314</v>
      </c>
      <c r="R194" s="13">
        <f t="shared" ref="R194:R257" si="12">P194</f>
        <v>6.0541549999999997</v>
      </c>
      <c r="S194" s="42">
        <f t="shared" si="11"/>
        <v>94.751102817962661</v>
      </c>
      <c r="T194" s="13">
        <v>0</v>
      </c>
      <c r="U194" s="14">
        <f t="shared" ref="U194:U257" si="13">Q194+T194</f>
        <v>2.4706725982210314</v>
      </c>
      <c r="V194" s="15">
        <f t="shared" ref="V194:V257" si="14">R194*S194</f>
        <v>573.63786288088272</v>
      </c>
    </row>
    <row r="195" spans="2:22" x14ac:dyDescent="0.3">
      <c r="B195" t="s">
        <v>1074</v>
      </c>
      <c r="C195" s="81">
        <v>2.2000000000000002</v>
      </c>
      <c r="D195" s="78">
        <v>45953</v>
      </c>
      <c r="E195">
        <v>22</v>
      </c>
      <c r="F195" t="s">
        <v>925</v>
      </c>
      <c r="G195" t="s">
        <v>918</v>
      </c>
      <c r="H195">
        <v>25</v>
      </c>
      <c r="I195">
        <v>12</v>
      </c>
      <c r="J195" t="s">
        <v>935</v>
      </c>
      <c r="K195" t="s">
        <v>1102</v>
      </c>
      <c r="M195" s="4">
        <v>212</v>
      </c>
      <c r="N195" s="4" t="s">
        <v>226</v>
      </c>
      <c r="O195" s="12">
        <v>46030.711192129631</v>
      </c>
      <c r="P195" s="5">
        <v>6.824497</v>
      </c>
      <c r="Q195" s="5">
        <v>-1.4524765730355855</v>
      </c>
      <c r="R195" s="13">
        <f t="shared" si="12"/>
        <v>6.824497</v>
      </c>
      <c r="S195" s="42">
        <f t="shared" ref="S195:S258" si="15">$S$890</f>
        <v>94.751102817962661</v>
      </c>
      <c r="T195" s="13">
        <v>0</v>
      </c>
      <c r="U195" s="14">
        <f t="shared" si="13"/>
        <v>-1.4524765730355855</v>
      </c>
      <c r="V195" s="15">
        <f t="shared" si="14"/>
        <v>646.62861692787772</v>
      </c>
    </row>
    <row r="196" spans="2:22" x14ac:dyDescent="0.3">
      <c r="B196" t="s">
        <v>1074</v>
      </c>
      <c r="C196" s="81">
        <v>2.2000000000000002</v>
      </c>
      <c r="D196" s="78">
        <v>45953</v>
      </c>
      <c r="E196">
        <v>21</v>
      </c>
      <c r="F196" t="s">
        <v>906</v>
      </c>
      <c r="G196" t="s">
        <v>922</v>
      </c>
      <c r="H196">
        <v>25</v>
      </c>
      <c r="I196">
        <v>13</v>
      </c>
      <c r="J196" t="s">
        <v>935</v>
      </c>
      <c r="K196" t="s">
        <v>1103</v>
      </c>
      <c r="M196" s="1">
        <v>213</v>
      </c>
      <c r="N196" s="1" t="s">
        <v>227</v>
      </c>
      <c r="O196" s="2">
        <v>46030.714930555558</v>
      </c>
      <c r="P196" s="3">
        <v>6.4221219999999999</v>
      </c>
      <c r="Q196" s="3">
        <v>0.30186130439236614</v>
      </c>
      <c r="R196" s="13">
        <f t="shared" si="12"/>
        <v>6.4221219999999999</v>
      </c>
      <c r="S196" s="42">
        <f t="shared" si="15"/>
        <v>94.751102817962661</v>
      </c>
      <c r="T196" s="13">
        <v>0</v>
      </c>
      <c r="U196" s="14">
        <f t="shared" si="13"/>
        <v>0.30186130439236614</v>
      </c>
      <c r="V196" s="15">
        <f t="shared" si="14"/>
        <v>608.50314193149995</v>
      </c>
    </row>
    <row r="197" spans="2:22" x14ac:dyDescent="0.3">
      <c r="B197" t="s">
        <v>1074</v>
      </c>
      <c r="C197" s="81">
        <v>2.2000000000000002</v>
      </c>
      <c r="D197" s="78">
        <v>45953</v>
      </c>
      <c r="E197">
        <v>24</v>
      </c>
      <c r="F197" t="s">
        <v>929</v>
      </c>
      <c r="G197" t="s">
        <v>926</v>
      </c>
      <c r="H197">
        <v>25</v>
      </c>
      <c r="I197">
        <v>14</v>
      </c>
      <c r="J197" t="s">
        <v>935</v>
      </c>
      <c r="K197" t="s">
        <v>1104</v>
      </c>
      <c r="M197" s="4">
        <v>214</v>
      </c>
      <c r="N197" s="4" t="s">
        <v>228</v>
      </c>
      <c r="O197" s="12">
        <v>46030.718680555554</v>
      </c>
      <c r="P197" s="5">
        <v>7.2924905000000004</v>
      </c>
      <c r="Q197" s="5">
        <v>-4.7867931630031988</v>
      </c>
      <c r="R197" s="13">
        <f t="shared" si="12"/>
        <v>7.2924905000000004</v>
      </c>
      <c r="S197" s="42">
        <f t="shared" si="15"/>
        <v>94.751102817962661</v>
      </c>
      <c r="T197" s="13">
        <v>0</v>
      </c>
      <c r="U197" s="14">
        <f t="shared" si="13"/>
        <v>-4.7867931630031988</v>
      </c>
      <c r="V197" s="15">
        <f t="shared" si="14"/>
        <v>690.97151716451594</v>
      </c>
    </row>
    <row r="198" spans="2:22" x14ac:dyDescent="0.3">
      <c r="B198" t="s">
        <v>1074</v>
      </c>
      <c r="C198" s="81">
        <v>2.2000000000000002</v>
      </c>
      <c r="D198" s="78">
        <v>45953</v>
      </c>
      <c r="E198">
        <v>18</v>
      </c>
      <c r="F198" t="s">
        <v>910</v>
      </c>
      <c r="G198" t="s">
        <v>930</v>
      </c>
      <c r="H198">
        <v>25</v>
      </c>
      <c r="I198">
        <v>15</v>
      </c>
      <c r="J198" t="s">
        <v>935</v>
      </c>
      <c r="K198" t="s">
        <v>1105</v>
      </c>
      <c r="M198" s="1">
        <v>215</v>
      </c>
      <c r="N198" s="1" t="s">
        <v>229</v>
      </c>
      <c r="O198" s="2">
        <v>46030.722407407404</v>
      </c>
      <c r="P198" s="3">
        <v>6.6021539999999996</v>
      </c>
      <c r="Q198" s="3">
        <v>-5.433387174383169</v>
      </c>
      <c r="R198" s="13">
        <f t="shared" si="12"/>
        <v>6.6021539999999996</v>
      </c>
      <c r="S198" s="42">
        <f t="shared" si="15"/>
        <v>94.751102817962661</v>
      </c>
      <c r="T198" s="13">
        <v>0</v>
      </c>
      <c r="U198" s="14">
        <f t="shared" si="13"/>
        <v>-5.433387174383169</v>
      </c>
      <c r="V198" s="15">
        <f t="shared" si="14"/>
        <v>625.56137247402341</v>
      </c>
    </row>
    <row r="199" spans="2:22" x14ac:dyDescent="0.3">
      <c r="B199" t="s">
        <v>1074</v>
      </c>
      <c r="C199" s="81">
        <v>2.2000000000000002</v>
      </c>
      <c r="D199" s="78">
        <v>45953</v>
      </c>
      <c r="E199">
        <v>23</v>
      </c>
      <c r="F199" t="s">
        <v>921</v>
      </c>
      <c r="G199" t="s">
        <v>933</v>
      </c>
      <c r="H199">
        <v>25</v>
      </c>
      <c r="I199">
        <v>16</v>
      </c>
      <c r="J199" t="s">
        <v>935</v>
      </c>
      <c r="K199" t="s">
        <v>1106</v>
      </c>
      <c r="M199" s="4">
        <v>216</v>
      </c>
      <c r="N199" s="4" t="s">
        <v>230</v>
      </c>
      <c r="O199" s="12">
        <v>46030.726145833331</v>
      </c>
      <c r="P199" s="5">
        <v>6.7195090000000004</v>
      </c>
      <c r="Q199" s="5">
        <v>0.55037093370299794</v>
      </c>
      <c r="R199" s="13">
        <f t="shared" si="12"/>
        <v>6.7195090000000004</v>
      </c>
      <c r="S199" s="42">
        <f t="shared" si="15"/>
        <v>94.751102817962661</v>
      </c>
      <c r="T199" s="13">
        <v>0</v>
      </c>
      <c r="U199" s="14">
        <f t="shared" si="13"/>
        <v>0.55037093370299794</v>
      </c>
      <c r="V199" s="15">
        <f t="shared" si="14"/>
        <v>636.68088814522548</v>
      </c>
    </row>
    <row r="200" spans="2:22" x14ac:dyDescent="0.3">
      <c r="B200" t="s">
        <v>1074</v>
      </c>
      <c r="C200" s="81">
        <v>2.2000000000000002</v>
      </c>
      <c r="D200" s="78">
        <v>45953</v>
      </c>
      <c r="E200">
        <v>20</v>
      </c>
      <c r="F200" t="s">
        <v>932</v>
      </c>
      <c r="G200" t="s">
        <v>907</v>
      </c>
      <c r="H200">
        <v>25</v>
      </c>
      <c r="I200">
        <v>17</v>
      </c>
      <c r="J200" t="s">
        <v>24</v>
      </c>
      <c r="K200" t="s">
        <v>1107</v>
      </c>
      <c r="M200" s="1">
        <v>217</v>
      </c>
      <c r="N200" s="1" t="s">
        <v>231</v>
      </c>
      <c r="O200" s="2">
        <v>46030.729884259257</v>
      </c>
      <c r="P200" s="3">
        <v>6.0903735000000001</v>
      </c>
      <c r="Q200" s="3">
        <v>8.8358801878783595</v>
      </c>
      <c r="R200" s="13">
        <f t="shared" si="12"/>
        <v>6.0903735000000001</v>
      </c>
      <c r="S200" s="42">
        <f t="shared" si="15"/>
        <v>94.751102817962661</v>
      </c>
      <c r="T200" s="13">
        <v>0</v>
      </c>
      <c r="U200" s="14">
        <f t="shared" si="13"/>
        <v>8.8358801878783595</v>
      </c>
      <c r="V200" s="15">
        <f t="shared" si="14"/>
        <v>577.06960569829516</v>
      </c>
    </row>
    <row r="201" spans="2:22" x14ac:dyDescent="0.3">
      <c r="B201" t="s">
        <v>1074</v>
      </c>
      <c r="C201" s="81">
        <v>2.2000000000000002</v>
      </c>
      <c r="D201" s="78">
        <v>45953</v>
      </c>
      <c r="E201">
        <v>19</v>
      </c>
      <c r="F201" t="s">
        <v>917</v>
      </c>
      <c r="G201" t="s">
        <v>15</v>
      </c>
      <c r="H201">
        <v>25</v>
      </c>
      <c r="I201">
        <v>18</v>
      </c>
      <c r="J201" t="s">
        <v>24</v>
      </c>
      <c r="K201" t="s">
        <v>1108</v>
      </c>
      <c r="M201" s="4">
        <v>218</v>
      </c>
      <c r="N201" s="4" t="s">
        <v>232</v>
      </c>
      <c r="O201" s="12">
        <v>46030.733622685184</v>
      </c>
      <c r="P201" s="5">
        <v>6.0852415000000004</v>
      </c>
      <c r="Q201" s="5">
        <v>1.6473469652000907</v>
      </c>
      <c r="R201" s="13">
        <f t="shared" si="12"/>
        <v>6.0852415000000004</v>
      </c>
      <c r="S201" s="42">
        <f t="shared" si="15"/>
        <v>94.751102817962661</v>
      </c>
      <c r="T201" s="13">
        <v>0</v>
      </c>
      <c r="U201" s="14">
        <f t="shared" si="13"/>
        <v>1.6473469652000907</v>
      </c>
      <c r="V201" s="15">
        <f t="shared" si="14"/>
        <v>576.58334303863342</v>
      </c>
    </row>
    <row r="202" spans="2:22" x14ac:dyDescent="0.3">
      <c r="B202" t="s">
        <v>1074</v>
      </c>
      <c r="C202" s="81">
        <v>2.2000000000000002</v>
      </c>
      <c r="D202" s="78">
        <v>45953</v>
      </c>
      <c r="E202">
        <v>17</v>
      </c>
      <c r="F202" t="s">
        <v>913</v>
      </c>
      <c r="G202" t="s">
        <v>914</v>
      </c>
      <c r="H202">
        <v>25</v>
      </c>
      <c r="I202">
        <v>19</v>
      </c>
      <c r="J202" t="s">
        <v>24</v>
      </c>
      <c r="K202" t="s">
        <v>1109</v>
      </c>
      <c r="M202" s="1">
        <v>219</v>
      </c>
      <c r="N202" s="1" t="s">
        <v>233</v>
      </c>
      <c r="O202" s="2">
        <v>46030.737361111111</v>
      </c>
      <c r="P202" s="3">
        <v>6.3684395</v>
      </c>
      <c r="Q202" s="3">
        <v>13.68606308741029</v>
      </c>
      <c r="R202" s="13">
        <f t="shared" si="12"/>
        <v>6.3684395</v>
      </c>
      <c r="S202" s="42">
        <f t="shared" si="15"/>
        <v>94.751102817962661</v>
      </c>
      <c r="T202" s="13">
        <v>0</v>
      </c>
      <c r="U202" s="14">
        <f t="shared" si="13"/>
        <v>13.68606308741029</v>
      </c>
      <c r="V202" s="15">
        <f t="shared" si="14"/>
        <v>603.41666585447467</v>
      </c>
    </row>
    <row r="203" spans="2:22" x14ac:dyDescent="0.3">
      <c r="B203" t="s">
        <v>1074</v>
      </c>
      <c r="C203" s="81">
        <v>2.2000000000000002</v>
      </c>
      <c r="D203" s="78">
        <v>45953</v>
      </c>
      <c r="E203">
        <v>22</v>
      </c>
      <c r="F203" t="s">
        <v>925</v>
      </c>
      <c r="G203" t="s">
        <v>918</v>
      </c>
      <c r="H203">
        <v>25</v>
      </c>
      <c r="I203">
        <v>20</v>
      </c>
      <c r="J203" t="s">
        <v>24</v>
      </c>
      <c r="K203" t="s">
        <v>1110</v>
      </c>
      <c r="M203" s="4">
        <v>220</v>
      </c>
      <c r="N203" s="4" t="s">
        <v>234</v>
      </c>
      <c r="O203" s="12">
        <v>46030.741099537037</v>
      </c>
      <c r="P203" s="5">
        <v>7.1670474999999998</v>
      </c>
      <c r="Q203" s="5">
        <v>7.6886644172121859</v>
      </c>
      <c r="R203" s="13">
        <f t="shared" si="12"/>
        <v>7.1670474999999998</v>
      </c>
      <c r="S203" s="42">
        <f t="shared" si="15"/>
        <v>94.751102817962661</v>
      </c>
      <c r="T203" s="13">
        <v>0</v>
      </c>
      <c r="U203" s="14">
        <f t="shared" si="13"/>
        <v>7.6886644172121859</v>
      </c>
      <c r="V203" s="15">
        <f t="shared" si="14"/>
        <v>679.08565457372219</v>
      </c>
    </row>
    <row r="204" spans="2:22" x14ac:dyDescent="0.3">
      <c r="B204" t="s">
        <v>1074</v>
      </c>
      <c r="C204" s="81">
        <v>2.2000000000000002</v>
      </c>
      <c r="D204" s="78">
        <v>45953</v>
      </c>
      <c r="E204">
        <v>21</v>
      </c>
      <c r="F204" t="s">
        <v>906</v>
      </c>
      <c r="G204" t="s">
        <v>922</v>
      </c>
      <c r="H204">
        <v>25</v>
      </c>
      <c r="I204">
        <v>21</v>
      </c>
      <c r="J204" t="s">
        <v>24</v>
      </c>
      <c r="K204" t="s">
        <v>1111</v>
      </c>
      <c r="M204" s="1">
        <v>221</v>
      </c>
      <c r="N204" s="1" t="s">
        <v>235</v>
      </c>
      <c r="O204" s="2">
        <v>46030.744837962964</v>
      </c>
      <c r="P204" s="3">
        <v>6.8848909999999997</v>
      </c>
      <c r="Q204" s="3">
        <v>11.18997808016754</v>
      </c>
      <c r="R204" s="13">
        <f t="shared" si="12"/>
        <v>6.8848909999999997</v>
      </c>
      <c r="S204" s="42">
        <f t="shared" si="15"/>
        <v>94.751102817962661</v>
      </c>
      <c r="T204" s="13">
        <v>0</v>
      </c>
      <c r="U204" s="14">
        <f t="shared" si="13"/>
        <v>11.18997808016754</v>
      </c>
      <c r="V204" s="15">
        <f t="shared" si="14"/>
        <v>652.35101503146575</v>
      </c>
    </row>
    <row r="205" spans="2:22" x14ac:dyDescent="0.3">
      <c r="B205" t="s">
        <v>1074</v>
      </c>
      <c r="C205" s="81">
        <v>2.2000000000000002</v>
      </c>
      <c r="D205" s="78">
        <v>45953</v>
      </c>
      <c r="E205">
        <v>24</v>
      </c>
      <c r="F205" t="s">
        <v>929</v>
      </c>
      <c r="G205" t="s">
        <v>926</v>
      </c>
      <c r="H205">
        <v>25</v>
      </c>
      <c r="I205">
        <v>22</v>
      </c>
      <c r="J205" t="s">
        <v>24</v>
      </c>
      <c r="K205" t="s">
        <v>1112</v>
      </c>
      <c r="M205" s="4">
        <v>222</v>
      </c>
      <c r="N205" s="4" t="s">
        <v>236</v>
      </c>
      <c r="O205" s="12">
        <v>46030.748576388891</v>
      </c>
      <c r="P205" s="5">
        <v>7.2405629999999999</v>
      </c>
      <c r="Q205" s="5">
        <v>4.8178596079788631</v>
      </c>
      <c r="R205" s="13">
        <f t="shared" si="12"/>
        <v>7.2405629999999999</v>
      </c>
      <c r="S205" s="42">
        <f t="shared" si="15"/>
        <v>94.751102817962661</v>
      </c>
      <c r="T205" s="13">
        <v>0</v>
      </c>
      <c r="U205" s="14">
        <f t="shared" si="13"/>
        <v>4.8178596079788631</v>
      </c>
      <c r="V205" s="15">
        <f t="shared" si="14"/>
        <v>686.05132927293619</v>
      </c>
    </row>
    <row r="206" spans="2:22" x14ac:dyDescent="0.3">
      <c r="B206" t="s">
        <v>1074</v>
      </c>
      <c r="C206" s="81">
        <v>2.2000000000000002</v>
      </c>
      <c r="D206" s="78">
        <v>45953</v>
      </c>
      <c r="E206">
        <v>18</v>
      </c>
      <c r="F206" t="s">
        <v>910</v>
      </c>
      <c r="G206" t="s">
        <v>930</v>
      </c>
      <c r="H206">
        <v>25</v>
      </c>
      <c r="I206">
        <v>23</v>
      </c>
      <c r="J206" t="s">
        <v>24</v>
      </c>
      <c r="K206" t="s">
        <v>1113</v>
      </c>
      <c r="M206" s="1">
        <v>223</v>
      </c>
      <c r="N206" s="1" t="s">
        <v>237</v>
      </c>
      <c r="O206" s="2">
        <v>46030.752314814818</v>
      </c>
      <c r="P206" s="3">
        <v>6.5043325000000003</v>
      </c>
      <c r="Q206" s="3">
        <v>3.6491096025864693</v>
      </c>
      <c r="R206" s="13">
        <f t="shared" si="12"/>
        <v>6.5043325000000003</v>
      </c>
      <c r="S206" s="42">
        <f t="shared" si="15"/>
        <v>94.751102817962661</v>
      </c>
      <c r="T206" s="13">
        <v>0</v>
      </c>
      <c r="U206" s="14">
        <f t="shared" si="13"/>
        <v>3.6491096025864693</v>
      </c>
      <c r="V206" s="15">
        <f t="shared" si="14"/>
        <v>616.29267746971618</v>
      </c>
    </row>
    <row r="207" spans="2:22" x14ac:dyDescent="0.3">
      <c r="B207" t="s">
        <v>1074</v>
      </c>
      <c r="C207" s="81">
        <v>2.2000000000000002</v>
      </c>
      <c r="D207" s="78">
        <v>45953</v>
      </c>
      <c r="E207">
        <v>23</v>
      </c>
      <c r="F207" t="s">
        <v>921</v>
      </c>
      <c r="G207" t="s">
        <v>933</v>
      </c>
      <c r="H207">
        <v>25</v>
      </c>
      <c r="I207">
        <v>24</v>
      </c>
      <c r="J207" t="s">
        <v>24</v>
      </c>
      <c r="K207" t="s">
        <v>1114</v>
      </c>
      <c r="M207" s="4">
        <v>224</v>
      </c>
      <c r="N207" s="4" t="s">
        <v>238</v>
      </c>
      <c r="O207" s="12">
        <v>46030.756053240744</v>
      </c>
      <c r="P207" s="5">
        <v>7.4173014999999998</v>
      </c>
      <c r="Q207" s="5">
        <v>8.6360111972867593</v>
      </c>
      <c r="R207" s="13">
        <f t="shared" si="12"/>
        <v>7.4173014999999998</v>
      </c>
      <c r="S207" s="42">
        <f t="shared" si="15"/>
        <v>94.751102817962661</v>
      </c>
      <c r="T207" s="13">
        <v>0</v>
      </c>
      <c r="U207" s="14">
        <f t="shared" si="13"/>
        <v>8.6360111972867593</v>
      </c>
      <c r="V207" s="15">
        <f t="shared" si="14"/>
        <v>702.79749705832864</v>
      </c>
    </row>
    <row r="208" spans="2:22" x14ac:dyDescent="0.3">
      <c r="B208" t="s">
        <v>1074</v>
      </c>
      <c r="C208" s="81">
        <v>2.2000000000000002</v>
      </c>
      <c r="D208" s="78">
        <v>45953</v>
      </c>
      <c r="E208">
        <v>20</v>
      </c>
      <c r="F208" t="s">
        <v>932</v>
      </c>
      <c r="G208" t="s">
        <v>907</v>
      </c>
      <c r="H208">
        <v>25</v>
      </c>
      <c r="I208">
        <v>25</v>
      </c>
      <c r="J208" t="s">
        <v>25</v>
      </c>
      <c r="K208" t="s">
        <v>1115</v>
      </c>
      <c r="M208" s="1">
        <v>225</v>
      </c>
      <c r="N208" s="1" t="s">
        <v>239</v>
      </c>
      <c r="O208" s="2">
        <v>46030.759791666664</v>
      </c>
      <c r="P208" s="3">
        <v>6.5677824999999999</v>
      </c>
      <c r="Q208" s="3">
        <v>15.510602006126513</v>
      </c>
      <c r="R208" s="13">
        <f t="shared" si="12"/>
        <v>6.5677824999999999</v>
      </c>
      <c r="S208" s="42">
        <f t="shared" si="15"/>
        <v>94.751102817962661</v>
      </c>
      <c r="T208" s="13">
        <v>0</v>
      </c>
      <c r="U208" s="14">
        <f t="shared" si="13"/>
        <v>15.510602006126513</v>
      </c>
      <c r="V208" s="15">
        <f t="shared" si="14"/>
        <v>622.30463494351579</v>
      </c>
    </row>
    <row r="209" spans="2:22" x14ac:dyDescent="0.3">
      <c r="B209" t="s">
        <v>1074</v>
      </c>
      <c r="C209" s="81">
        <v>2.2000000000000002</v>
      </c>
      <c r="D209" s="78">
        <v>45953</v>
      </c>
      <c r="E209">
        <v>19</v>
      </c>
      <c r="F209" t="s">
        <v>917</v>
      </c>
      <c r="G209" t="s">
        <v>15</v>
      </c>
      <c r="H209">
        <v>25</v>
      </c>
      <c r="I209">
        <v>26</v>
      </c>
      <c r="J209" t="s">
        <v>25</v>
      </c>
      <c r="K209" t="s">
        <v>1116</v>
      </c>
      <c r="M209" s="4">
        <v>226</v>
      </c>
      <c r="N209" s="4" t="s">
        <v>240</v>
      </c>
      <c r="O209" s="12">
        <v>46030.763541666667</v>
      </c>
      <c r="P209" s="5">
        <v>6.0261695</v>
      </c>
      <c r="Q209" s="5">
        <v>9.0833559305342462</v>
      </c>
      <c r="R209" s="13">
        <f t="shared" si="12"/>
        <v>6.0261695</v>
      </c>
      <c r="S209" s="42">
        <f t="shared" si="15"/>
        <v>94.751102817962661</v>
      </c>
      <c r="T209" s="13">
        <v>0</v>
      </c>
      <c r="U209" s="14">
        <f t="shared" si="13"/>
        <v>9.0833559305342462</v>
      </c>
      <c r="V209" s="15">
        <f t="shared" si="14"/>
        <v>570.98620589297059</v>
      </c>
    </row>
    <row r="210" spans="2:22" x14ac:dyDescent="0.3">
      <c r="B210" t="s">
        <v>1074</v>
      </c>
      <c r="C210" s="81">
        <v>2.2000000000000002</v>
      </c>
      <c r="D210" s="78">
        <v>45953</v>
      </c>
      <c r="E210">
        <v>17</v>
      </c>
      <c r="F210" t="s">
        <v>913</v>
      </c>
      <c r="G210" t="s">
        <v>914</v>
      </c>
      <c r="H210">
        <v>25</v>
      </c>
      <c r="I210">
        <v>27</v>
      </c>
      <c r="J210" t="s">
        <v>25</v>
      </c>
      <c r="K210" t="s">
        <v>1117</v>
      </c>
      <c r="M210" s="1">
        <v>227</v>
      </c>
      <c r="N210" s="1" t="s">
        <v>241</v>
      </c>
      <c r="O210" s="2">
        <v>46030.76730324074</v>
      </c>
      <c r="P210" s="3">
        <v>6.4464965000000003</v>
      </c>
      <c r="Q210" s="3">
        <v>23.299900823208063</v>
      </c>
      <c r="R210" s="13">
        <f t="shared" si="12"/>
        <v>6.4464965000000003</v>
      </c>
      <c r="S210" s="42">
        <f t="shared" si="15"/>
        <v>94.751102817962661</v>
      </c>
      <c r="T210" s="13">
        <v>0</v>
      </c>
      <c r="U210" s="14">
        <f t="shared" si="13"/>
        <v>23.299900823208063</v>
      </c>
      <c r="V210" s="15">
        <f t="shared" si="14"/>
        <v>610.81265268713651</v>
      </c>
    </row>
    <row r="211" spans="2:22" x14ac:dyDescent="0.3">
      <c r="B211" t="s">
        <v>1074</v>
      </c>
      <c r="C211" s="81">
        <v>2.2000000000000002</v>
      </c>
      <c r="D211" s="78">
        <v>45953</v>
      </c>
      <c r="E211">
        <v>22</v>
      </c>
      <c r="F211" t="s">
        <v>925</v>
      </c>
      <c r="G211" t="s">
        <v>918</v>
      </c>
      <c r="H211">
        <v>25</v>
      </c>
      <c r="I211">
        <v>28</v>
      </c>
      <c r="J211" t="s">
        <v>25</v>
      </c>
      <c r="K211" t="s">
        <v>1118</v>
      </c>
      <c r="M211" s="4">
        <v>228</v>
      </c>
      <c r="N211" s="4" t="s">
        <v>242</v>
      </c>
      <c r="O211" s="12">
        <v>46030.77103009259</v>
      </c>
      <c r="P211" s="5">
        <v>6.8960049999999997</v>
      </c>
      <c r="Q211" s="5">
        <v>16.717536100963478</v>
      </c>
      <c r="R211" s="13">
        <f t="shared" si="12"/>
        <v>6.8960049999999997</v>
      </c>
      <c r="S211" s="42">
        <f t="shared" si="15"/>
        <v>94.751102817962661</v>
      </c>
      <c r="T211" s="13">
        <v>0</v>
      </c>
      <c r="U211" s="14">
        <f t="shared" si="13"/>
        <v>16.717536100963478</v>
      </c>
      <c r="V211" s="15">
        <f t="shared" si="14"/>
        <v>653.40407878818462</v>
      </c>
    </row>
    <row r="212" spans="2:22" x14ac:dyDescent="0.3">
      <c r="B212" t="s">
        <v>1074</v>
      </c>
      <c r="C212" s="81">
        <v>2.2000000000000002</v>
      </c>
      <c r="D212" s="78">
        <v>45953</v>
      </c>
      <c r="E212">
        <v>21</v>
      </c>
      <c r="F212" t="s">
        <v>906</v>
      </c>
      <c r="G212" t="s">
        <v>922</v>
      </c>
      <c r="H212">
        <v>25</v>
      </c>
      <c r="I212">
        <v>29</v>
      </c>
      <c r="J212" t="s">
        <v>25</v>
      </c>
      <c r="K212" t="s">
        <v>1119</v>
      </c>
      <c r="M212" s="1">
        <v>229</v>
      </c>
      <c r="N212" s="1" t="s">
        <v>243</v>
      </c>
      <c r="O212" s="2">
        <v>46030.774780092594</v>
      </c>
      <c r="P212" s="3">
        <v>7.4312310000000004</v>
      </c>
      <c r="Q212" s="3">
        <v>17.316329395881308</v>
      </c>
      <c r="R212" s="13">
        <f t="shared" si="12"/>
        <v>7.4312310000000004</v>
      </c>
      <c r="S212" s="42">
        <f t="shared" si="15"/>
        <v>94.751102817962661</v>
      </c>
      <c r="T212" s="13">
        <v>0</v>
      </c>
      <c r="U212" s="14">
        <f t="shared" si="13"/>
        <v>17.316329395881308</v>
      </c>
      <c r="V212" s="15">
        <f t="shared" si="14"/>
        <v>704.11733254503156</v>
      </c>
    </row>
    <row r="213" spans="2:22" x14ac:dyDescent="0.3">
      <c r="B213" t="s">
        <v>1074</v>
      </c>
      <c r="C213" s="81">
        <v>2.2000000000000002</v>
      </c>
      <c r="D213" s="78">
        <v>45953</v>
      </c>
      <c r="E213">
        <v>24</v>
      </c>
      <c r="F213" t="s">
        <v>929</v>
      </c>
      <c r="G213" t="s">
        <v>926</v>
      </c>
      <c r="H213">
        <v>25</v>
      </c>
      <c r="I213">
        <v>30</v>
      </c>
      <c r="J213" t="s">
        <v>25</v>
      </c>
      <c r="K213" t="s">
        <v>1120</v>
      </c>
      <c r="M213" s="4">
        <v>230</v>
      </c>
      <c r="N213" s="4" t="s">
        <v>244</v>
      </c>
      <c r="O213" s="12">
        <v>46030.778506944444</v>
      </c>
      <c r="P213" s="5">
        <v>7.5433395000000001</v>
      </c>
      <c r="Q213" s="5">
        <v>12.258953855618419</v>
      </c>
      <c r="R213" s="13">
        <f t="shared" si="12"/>
        <v>7.5433395000000001</v>
      </c>
      <c r="S213" s="42">
        <f t="shared" si="15"/>
        <v>94.751102817962661</v>
      </c>
      <c r="T213" s="13">
        <v>0</v>
      </c>
      <c r="U213" s="14">
        <f t="shared" si="13"/>
        <v>12.258953855618419</v>
      </c>
      <c r="V213" s="15">
        <f t="shared" si="14"/>
        <v>714.73973655529903</v>
      </c>
    </row>
    <row r="214" spans="2:22" x14ac:dyDescent="0.3">
      <c r="B214" t="s">
        <v>1074</v>
      </c>
      <c r="C214" s="81">
        <v>2.2000000000000002</v>
      </c>
      <c r="D214" s="78">
        <v>45953</v>
      </c>
      <c r="E214">
        <v>18</v>
      </c>
      <c r="F214" t="s">
        <v>910</v>
      </c>
      <c r="G214" t="s">
        <v>930</v>
      </c>
      <c r="H214">
        <v>25</v>
      </c>
      <c r="I214">
        <v>31</v>
      </c>
      <c r="J214" t="s">
        <v>25</v>
      </c>
      <c r="K214" t="s">
        <v>1121</v>
      </c>
      <c r="M214" s="1">
        <v>231</v>
      </c>
      <c r="N214" s="1" t="s">
        <v>245</v>
      </c>
      <c r="O214" s="2">
        <v>46030.78224537037</v>
      </c>
      <c r="P214" s="3">
        <v>6.8478124999999999</v>
      </c>
      <c r="Q214" s="3">
        <v>10.537744346309639</v>
      </c>
      <c r="R214" s="13">
        <f t="shared" si="12"/>
        <v>6.8478124999999999</v>
      </c>
      <c r="S214" s="42">
        <f t="shared" si="15"/>
        <v>94.751102817962661</v>
      </c>
      <c r="T214" s="13">
        <v>0</v>
      </c>
      <c r="U214" s="14">
        <f t="shared" si="13"/>
        <v>10.537744346309639</v>
      </c>
      <c r="V214" s="15">
        <f t="shared" si="14"/>
        <v>648.83778626562992</v>
      </c>
    </row>
    <row r="215" spans="2:22" x14ac:dyDescent="0.3">
      <c r="B215" t="s">
        <v>1074</v>
      </c>
      <c r="C215" s="81">
        <v>2.2000000000000002</v>
      </c>
      <c r="D215" s="78">
        <v>45953</v>
      </c>
      <c r="E215">
        <v>23</v>
      </c>
      <c r="F215" t="s">
        <v>921</v>
      </c>
      <c r="G215" t="s">
        <v>933</v>
      </c>
      <c r="H215">
        <v>25</v>
      </c>
      <c r="I215">
        <v>32</v>
      </c>
      <c r="J215" t="s">
        <v>25</v>
      </c>
      <c r="K215" t="s">
        <v>1122</v>
      </c>
      <c r="M215" s="4">
        <v>232</v>
      </c>
      <c r="N215" s="4" t="s">
        <v>246</v>
      </c>
      <c r="O215" s="12">
        <v>46030.785995370374</v>
      </c>
      <c r="P215" s="5">
        <v>7.7677785000000004</v>
      </c>
      <c r="Q215" s="5">
        <v>15.313640598034789</v>
      </c>
      <c r="R215" s="13">
        <f t="shared" si="12"/>
        <v>7.7677785000000004</v>
      </c>
      <c r="S215" s="42">
        <f t="shared" si="15"/>
        <v>94.751102817962661</v>
      </c>
      <c r="T215" s="13">
        <v>0</v>
      </c>
      <c r="U215" s="14">
        <f t="shared" si="13"/>
        <v>15.313640598034789</v>
      </c>
      <c r="V215" s="15">
        <f t="shared" si="14"/>
        <v>736.00557932065976</v>
      </c>
    </row>
    <row r="216" spans="2:22" x14ac:dyDescent="0.3">
      <c r="B216" t="s">
        <v>1074</v>
      </c>
      <c r="C216" s="81">
        <v>2.2999999999999998</v>
      </c>
      <c r="D216" s="78">
        <v>45954</v>
      </c>
      <c r="E216">
        <v>20</v>
      </c>
      <c r="F216" t="s">
        <v>932</v>
      </c>
      <c r="G216" t="s">
        <v>907</v>
      </c>
      <c r="H216">
        <v>49</v>
      </c>
      <c r="I216">
        <v>1</v>
      </c>
      <c r="J216" t="s">
        <v>908</v>
      </c>
      <c r="K216" t="s">
        <v>1123</v>
      </c>
      <c r="M216" s="1">
        <v>233</v>
      </c>
      <c r="N216" s="1" t="s">
        <v>247</v>
      </c>
      <c r="O216" s="2">
        <v>46030.789722222224</v>
      </c>
      <c r="P216" s="3">
        <v>6.9895709999999998</v>
      </c>
      <c r="Q216" s="3">
        <v>-16.696024327238515</v>
      </c>
      <c r="R216" s="13">
        <f t="shared" si="12"/>
        <v>6.9895709999999998</v>
      </c>
      <c r="S216" s="42">
        <f t="shared" si="15"/>
        <v>94.751102817962661</v>
      </c>
      <c r="T216" s="13">
        <v>0</v>
      </c>
      <c r="U216" s="14">
        <f t="shared" si="13"/>
        <v>-16.696024327238515</v>
      </c>
      <c r="V216" s="15">
        <f t="shared" si="14"/>
        <v>662.26956047445003</v>
      </c>
    </row>
    <row r="217" spans="2:22" x14ac:dyDescent="0.3">
      <c r="B217" t="s">
        <v>1074</v>
      </c>
      <c r="C217" s="81">
        <v>2.2999999999999998</v>
      </c>
      <c r="D217" s="78">
        <v>45954</v>
      </c>
      <c r="E217">
        <v>19</v>
      </c>
      <c r="F217" t="s">
        <v>917</v>
      </c>
      <c r="G217" t="s">
        <v>15</v>
      </c>
      <c r="H217">
        <v>49</v>
      </c>
      <c r="I217">
        <v>2</v>
      </c>
      <c r="J217" t="s">
        <v>908</v>
      </c>
      <c r="K217" t="s">
        <v>1124</v>
      </c>
      <c r="M217" s="4">
        <v>234</v>
      </c>
      <c r="N217" s="4" t="s">
        <v>248</v>
      </c>
      <c r="O217" s="12">
        <v>46030.793483796297</v>
      </c>
      <c r="P217" s="5">
        <v>6.9725809999999999</v>
      </c>
      <c r="Q217" s="5">
        <v>-17.542913907889947</v>
      </c>
      <c r="R217" s="13">
        <f t="shared" si="12"/>
        <v>6.9725809999999999</v>
      </c>
      <c r="S217" s="42">
        <f t="shared" si="15"/>
        <v>94.751102817962661</v>
      </c>
      <c r="T217" s="13">
        <v>0</v>
      </c>
      <c r="U217" s="14">
        <f t="shared" si="13"/>
        <v>-17.542913907889947</v>
      </c>
      <c r="V217" s="15">
        <f t="shared" si="14"/>
        <v>660.65973923757292</v>
      </c>
    </row>
    <row r="218" spans="2:22" x14ac:dyDescent="0.3">
      <c r="B218" t="s">
        <v>1125</v>
      </c>
      <c r="C218" s="81">
        <v>2.2999999999999998</v>
      </c>
      <c r="D218" s="78">
        <v>45954</v>
      </c>
      <c r="E218">
        <v>17</v>
      </c>
      <c r="F218" t="s">
        <v>913</v>
      </c>
      <c r="G218" t="s">
        <v>914</v>
      </c>
      <c r="H218">
        <v>49</v>
      </c>
      <c r="I218">
        <v>3</v>
      </c>
      <c r="J218" t="s">
        <v>908</v>
      </c>
      <c r="K218" t="s">
        <v>1126</v>
      </c>
      <c r="M218" s="1">
        <v>235</v>
      </c>
      <c r="N218" s="1" t="s">
        <v>249</v>
      </c>
      <c r="O218" s="2">
        <v>46030.797210648147</v>
      </c>
      <c r="P218" s="3">
        <v>6.7376094999999996</v>
      </c>
      <c r="Q218" s="3">
        <v>-16.48892793312644</v>
      </c>
      <c r="R218" s="13">
        <f t="shared" si="12"/>
        <v>6.7376094999999996</v>
      </c>
      <c r="S218" s="42">
        <f t="shared" si="15"/>
        <v>94.751102817962661</v>
      </c>
      <c r="T218" s="13">
        <v>0</v>
      </c>
      <c r="U218" s="14">
        <f t="shared" si="13"/>
        <v>-16.48892793312644</v>
      </c>
      <c r="V218" s="15">
        <f t="shared" si="14"/>
        <v>638.39593048178199</v>
      </c>
    </row>
    <row r="219" spans="2:22" x14ac:dyDescent="0.3">
      <c r="B219" t="s">
        <v>1125</v>
      </c>
      <c r="C219" s="81">
        <v>2.2999999999999998</v>
      </c>
      <c r="D219" s="78">
        <v>45954</v>
      </c>
      <c r="E219">
        <v>22</v>
      </c>
      <c r="F219" t="s">
        <v>925</v>
      </c>
      <c r="G219" t="s">
        <v>918</v>
      </c>
      <c r="H219">
        <v>49</v>
      </c>
      <c r="I219">
        <v>4</v>
      </c>
      <c r="J219" t="s">
        <v>908</v>
      </c>
      <c r="K219" t="s">
        <v>1127</v>
      </c>
      <c r="M219" s="4">
        <v>236</v>
      </c>
      <c r="N219" s="4" t="s">
        <v>250</v>
      </c>
      <c r="O219" s="12">
        <v>46030.80096064815</v>
      </c>
      <c r="P219" s="5">
        <v>7.1328185</v>
      </c>
      <c r="Q219" s="5">
        <v>-17.557562687512764</v>
      </c>
      <c r="R219" s="13">
        <f t="shared" si="12"/>
        <v>7.1328185</v>
      </c>
      <c r="S219" s="42">
        <f t="shared" si="15"/>
        <v>94.751102817962661</v>
      </c>
      <c r="T219" s="13">
        <v>0</v>
      </c>
      <c r="U219" s="14">
        <f t="shared" si="13"/>
        <v>-17.557562687512764</v>
      </c>
      <c r="V219" s="15">
        <f t="shared" si="14"/>
        <v>675.84241907536614</v>
      </c>
    </row>
    <row r="220" spans="2:22" x14ac:dyDescent="0.3">
      <c r="B220" t="s">
        <v>1125</v>
      </c>
      <c r="C220" s="81">
        <v>2.2999999999999998</v>
      </c>
      <c r="D220" s="78">
        <v>45954</v>
      </c>
      <c r="E220">
        <v>21</v>
      </c>
      <c r="F220" t="s">
        <v>906</v>
      </c>
      <c r="G220" t="s">
        <v>922</v>
      </c>
      <c r="H220">
        <v>49</v>
      </c>
      <c r="I220">
        <v>5</v>
      </c>
      <c r="J220" t="s">
        <v>908</v>
      </c>
      <c r="K220" t="s">
        <v>1128</v>
      </c>
      <c r="M220" s="1">
        <v>237</v>
      </c>
      <c r="N220" s="1" t="s">
        <v>251</v>
      </c>
      <c r="O220" s="2">
        <v>46030.804710648146</v>
      </c>
      <c r="P220" s="3">
        <v>7.0174874999999997</v>
      </c>
      <c r="Q220" s="3">
        <v>-16.598619049998536</v>
      </c>
      <c r="R220" s="13">
        <f t="shared" si="12"/>
        <v>7.0174874999999997</v>
      </c>
      <c r="S220" s="42">
        <f t="shared" si="15"/>
        <v>94.751102817962661</v>
      </c>
      <c r="T220" s="13">
        <v>0</v>
      </c>
      <c r="U220" s="14">
        <f t="shared" si="13"/>
        <v>-16.598619049998536</v>
      </c>
      <c r="V220" s="15">
        <f t="shared" si="14"/>
        <v>664.91467963626769</v>
      </c>
    </row>
    <row r="221" spans="2:22" x14ac:dyDescent="0.3">
      <c r="B221" t="s">
        <v>1125</v>
      </c>
      <c r="C221" s="81">
        <v>2.2999999999999998</v>
      </c>
      <c r="D221" s="78">
        <v>45954</v>
      </c>
      <c r="E221">
        <v>24</v>
      </c>
      <c r="F221" t="s">
        <v>929</v>
      </c>
      <c r="G221" t="s">
        <v>926</v>
      </c>
      <c r="H221">
        <v>49</v>
      </c>
      <c r="I221">
        <v>6</v>
      </c>
      <c r="J221" t="s">
        <v>908</v>
      </c>
      <c r="K221" t="s">
        <v>1129</v>
      </c>
      <c r="M221" s="4">
        <v>238</v>
      </c>
      <c r="N221" s="4" t="s">
        <v>252</v>
      </c>
      <c r="O221" s="12">
        <v>46030.808449074073</v>
      </c>
      <c r="P221" s="5">
        <v>6.7338750000000003</v>
      </c>
      <c r="Q221" s="5">
        <v>-15.581431959796783</v>
      </c>
      <c r="R221" s="13">
        <f t="shared" si="12"/>
        <v>6.7338750000000003</v>
      </c>
      <c r="S221" s="42">
        <f t="shared" si="15"/>
        <v>94.751102817962661</v>
      </c>
      <c r="T221" s="13">
        <v>0</v>
      </c>
      <c r="U221" s="14">
        <f t="shared" si="13"/>
        <v>-15.581431959796783</v>
      </c>
      <c r="V221" s="15">
        <f t="shared" si="14"/>
        <v>638.04208248830832</v>
      </c>
    </row>
    <row r="222" spans="2:22" x14ac:dyDescent="0.3">
      <c r="B222" t="s">
        <v>1125</v>
      </c>
      <c r="C222" s="81">
        <v>2.2999999999999998</v>
      </c>
      <c r="D222" s="78">
        <v>45954</v>
      </c>
      <c r="E222">
        <v>18</v>
      </c>
      <c r="F222" t="s">
        <v>910</v>
      </c>
      <c r="G222" t="s">
        <v>930</v>
      </c>
      <c r="H222">
        <v>49</v>
      </c>
      <c r="I222">
        <v>7</v>
      </c>
      <c r="J222" t="s">
        <v>908</v>
      </c>
      <c r="K222" t="s">
        <v>1130</v>
      </c>
      <c r="M222" s="1">
        <v>239</v>
      </c>
      <c r="N222" s="1" t="s">
        <v>253</v>
      </c>
      <c r="O222" s="2">
        <v>46030.812199074076</v>
      </c>
      <c r="P222" s="3">
        <v>6.5924810000000003</v>
      </c>
      <c r="Q222" s="3">
        <v>-16.411805439039398</v>
      </c>
      <c r="R222" s="13">
        <f t="shared" si="12"/>
        <v>6.5924810000000003</v>
      </c>
      <c r="S222" s="42">
        <f t="shared" si="15"/>
        <v>94.751102817962661</v>
      </c>
      <c r="T222" s="13">
        <v>0</v>
      </c>
      <c r="U222" s="14">
        <f t="shared" si="13"/>
        <v>-16.411805439039398</v>
      </c>
      <c r="V222" s="15">
        <f t="shared" si="14"/>
        <v>624.64484505646533</v>
      </c>
    </row>
    <row r="223" spans="2:22" x14ac:dyDescent="0.3">
      <c r="B223" t="s">
        <v>1125</v>
      </c>
      <c r="C223" s="81">
        <v>2.2999999999999998</v>
      </c>
      <c r="D223" s="78">
        <v>45954</v>
      </c>
      <c r="E223">
        <v>23</v>
      </c>
      <c r="F223" t="s">
        <v>921</v>
      </c>
      <c r="G223" t="s">
        <v>933</v>
      </c>
      <c r="H223">
        <v>49</v>
      </c>
      <c r="I223">
        <v>8</v>
      </c>
      <c r="J223" t="s">
        <v>908</v>
      </c>
      <c r="K223" t="s">
        <v>1131</v>
      </c>
      <c r="M223" s="4">
        <v>240</v>
      </c>
      <c r="N223" s="4" t="s">
        <v>254</v>
      </c>
      <c r="O223" s="12">
        <v>46030.815937500003</v>
      </c>
      <c r="P223" s="5">
        <v>6.3899664999999999</v>
      </c>
      <c r="Q223" s="5">
        <v>-16.632644444884836</v>
      </c>
      <c r="R223" s="13">
        <f t="shared" si="12"/>
        <v>6.3899664999999999</v>
      </c>
      <c r="S223" s="42">
        <f t="shared" si="15"/>
        <v>94.751102817962661</v>
      </c>
      <c r="T223" s="13">
        <v>0</v>
      </c>
      <c r="U223" s="14">
        <f t="shared" si="13"/>
        <v>-16.632644444884836</v>
      </c>
      <c r="V223" s="15">
        <f t="shared" si="14"/>
        <v>605.45637284483701</v>
      </c>
    </row>
    <row r="224" spans="2:22" x14ac:dyDescent="0.3">
      <c r="B224" t="s">
        <v>1125</v>
      </c>
      <c r="C224" s="81">
        <v>2.2999999999999998</v>
      </c>
      <c r="D224" s="78">
        <v>45954</v>
      </c>
      <c r="E224">
        <v>20</v>
      </c>
      <c r="F224" t="s">
        <v>932</v>
      </c>
      <c r="G224" t="s">
        <v>907</v>
      </c>
      <c r="H224">
        <v>49</v>
      </c>
      <c r="I224">
        <v>9</v>
      </c>
      <c r="J224" t="s">
        <v>935</v>
      </c>
      <c r="K224" t="s">
        <v>1132</v>
      </c>
      <c r="M224" s="1">
        <v>241</v>
      </c>
      <c r="N224" s="1" t="s">
        <v>255</v>
      </c>
      <c r="O224" s="2">
        <v>46030.819664351853</v>
      </c>
      <c r="P224" s="3">
        <v>6.7352865</v>
      </c>
      <c r="Q224" s="3">
        <v>4.0700493306824859</v>
      </c>
      <c r="R224" s="13">
        <f t="shared" si="12"/>
        <v>6.7352865</v>
      </c>
      <c r="S224" s="42">
        <f t="shared" si="15"/>
        <v>94.751102817962661</v>
      </c>
      <c r="T224" s="13">
        <v>0</v>
      </c>
      <c r="U224" s="14">
        <f t="shared" si="13"/>
        <v>4.0700493306824859</v>
      </c>
      <c r="V224" s="15">
        <f t="shared" si="14"/>
        <v>638.17582366993588</v>
      </c>
    </row>
    <row r="225" spans="2:22" x14ac:dyDescent="0.3">
      <c r="B225" t="s">
        <v>1125</v>
      </c>
      <c r="C225" s="81">
        <v>2.2999999999999998</v>
      </c>
      <c r="D225" s="78">
        <v>45954</v>
      </c>
      <c r="E225">
        <v>19</v>
      </c>
      <c r="F225" t="s">
        <v>917</v>
      </c>
      <c r="G225" t="s">
        <v>15</v>
      </c>
      <c r="H225">
        <v>49</v>
      </c>
      <c r="I225">
        <v>10</v>
      </c>
      <c r="J225" t="s">
        <v>935</v>
      </c>
      <c r="K225" t="s">
        <v>1133</v>
      </c>
      <c r="M225" s="4">
        <v>242</v>
      </c>
      <c r="N225" s="4" t="s">
        <v>256</v>
      </c>
      <c r="O225" s="12">
        <v>46030.82340277778</v>
      </c>
      <c r="P225" s="5">
        <v>6.7934275</v>
      </c>
      <c r="Q225" s="5">
        <v>1.1615012267154847</v>
      </c>
      <c r="R225" s="13">
        <f t="shared" si="12"/>
        <v>6.7934275</v>
      </c>
      <c r="S225" s="42">
        <f t="shared" si="15"/>
        <v>94.751102817962661</v>
      </c>
      <c r="T225" s="13">
        <v>0</v>
      </c>
      <c r="U225" s="14">
        <f t="shared" si="13"/>
        <v>1.1615012267154847</v>
      </c>
      <c r="V225" s="15">
        <f t="shared" si="14"/>
        <v>643.68474753887506</v>
      </c>
    </row>
    <row r="226" spans="2:22" x14ac:dyDescent="0.3">
      <c r="B226" t="s">
        <v>1125</v>
      </c>
      <c r="C226" s="81">
        <v>2.2999999999999998</v>
      </c>
      <c r="D226" s="78">
        <v>45954</v>
      </c>
      <c r="E226">
        <v>17</v>
      </c>
      <c r="F226" t="s">
        <v>913</v>
      </c>
      <c r="G226" t="s">
        <v>914</v>
      </c>
      <c r="H226">
        <v>49</v>
      </c>
      <c r="I226">
        <v>11</v>
      </c>
      <c r="J226" t="s">
        <v>935</v>
      </c>
      <c r="K226" t="s">
        <v>1134</v>
      </c>
      <c r="M226" s="1">
        <v>243</v>
      </c>
      <c r="N226" s="1" t="s">
        <v>257</v>
      </c>
      <c r="O226" s="2">
        <v>46030.827141203707</v>
      </c>
      <c r="P226" s="3">
        <v>7.0341765000000001</v>
      </c>
      <c r="Q226" s="3">
        <v>12.47050462780418</v>
      </c>
      <c r="R226" s="13">
        <f t="shared" si="12"/>
        <v>7.0341765000000001</v>
      </c>
      <c r="S226" s="42">
        <f t="shared" si="15"/>
        <v>94.751102817962661</v>
      </c>
      <c r="T226" s="13">
        <v>0</v>
      </c>
      <c r="U226" s="14">
        <f t="shared" si="13"/>
        <v>12.47050462780418</v>
      </c>
      <c r="V226" s="15">
        <f t="shared" si="14"/>
        <v>666.49598079119676</v>
      </c>
    </row>
    <row r="227" spans="2:22" x14ac:dyDescent="0.3">
      <c r="B227" t="s">
        <v>1125</v>
      </c>
      <c r="C227" s="81">
        <v>2.2999999999999998</v>
      </c>
      <c r="D227" s="78">
        <v>45954</v>
      </c>
      <c r="E227">
        <v>22</v>
      </c>
      <c r="F227" t="s">
        <v>925</v>
      </c>
      <c r="G227" t="s">
        <v>918</v>
      </c>
      <c r="H227">
        <v>49</v>
      </c>
      <c r="I227">
        <v>12</v>
      </c>
      <c r="J227" t="s">
        <v>935</v>
      </c>
      <c r="K227" t="s">
        <v>1135</v>
      </c>
      <c r="M227" s="4">
        <v>244</v>
      </c>
      <c r="N227" s="4" t="s">
        <v>258</v>
      </c>
      <c r="O227" s="12">
        <v>46030.830891203703</v>
      </c>
      <c r="P227" s="5">
        <v>7.5125529999999996</v>
      </c>
      <c r="Q227" s="5">
        <v>1.4985145799525581</v>
      </c>
      <c r="R227" s="13">
        <f t="shared" si="12"/>
        <v>7.5125529999999996</v>
      </c>
      <c r="S227" s="42">
        <f t="shared" si="15"/>
        <v>94.751102817962661</v>
      </c>
      <c r="T227" s="13">
        <v>0</v>
      </c>
      <c r="U227" s="14">
        <f t="shared" si="13"/>
        <v>1.4985145799525581</v>
      </c>
      <c r="V227" s="15">
        <f t="shared" si="14"/>
        <v>711.82268172839383</v>
      </c>
    </row>
    <row r="228" spans="2:22" x14ac:dyDescent="0.3">
      <c r="B228" t="s">
        <v>1125</v>
      </c>
      <c r="C228" s="81">
        <v>2.2999999999999998</v>
      </c>
      <c r="D228" s="78">
        <v>45954</v>
      </c>
      <c r="E228">
        <v>21</v>
      </c>
      <c r="F228" t="s">
        <v>906</v>
      </c>
      <c r="G228" t="s">
        <v>922</v>
      </c>
      <c r="H228">
        <v>49</v>
      </c>
      <c r="I228">
        <v>13</v>
      </c>
      <c r="J228" t="s">
        <v>935</v>
      </c>
      <c r="K228" t="s">
        <v>1136</v>
      </c>
      <c r="M228" s="1">
        <v>245</v>
      </c>
      <c r="N228" s="1" t="s">
        <v>259</v>
      </c>
      <c r="O228" s="2">
        <v>46030.834629629629</v>
      </c>
      <c r="P228" s="3">
        <v>7.6233870000000001</v>
      </c>
      <c r="Q228" s="3">
        <v>6.8959860241048396</v>
      </c>
      <c r="R228" s="13">
        <f t="shared" si="12"/>
        <v>7.6233870000000001</v>
      </c>
      <c r="S228" s="42">
        <f t="shared" si="15"/>
        <v>94.751102817962661</v>
      </c>
      <c r="T228" s="13">
        <v>0</v>
      </c>
      <c r="U228" s="14">
        <f t="shared" si="13"/>
        <v>6.8959860241048396</v>
      </c>
      <c r="V228" s="15">
        <f t="shared" si="14"/>
        <v>722.32432545811992</v>
      </c>
    </row>
    <row r="229" spans="2:22" x14ac:dyDescent="0.3">
      <c r="B229" t="s">
        <v>1125</v>
      </c>
      <c r="C229" s="81">
        <v>2.2999999999999998</v>
      </c>
      <c r="D229" s="78">
        <v>45954</v>
      </c>
      <c r="E229">
        <v>24</v>
      </c>
      <c r="F229" t="s">
        <v>929</v>
      </c>
      <c r="G229" t="s">
        <v>926</v>
      </c>
      <c r="H229">
        <v>49</v>
      </c>
      <c r="I229">
        <v>14</v>
      </c>
      <c r="J229" t="s">
        <v>935</v>
      </c>
      <c r="K229" t="s">
        <v>1137</v>
      </c>
      <c r="M229" s="4">
        <v>246</v>
      </c>
      <c r="N229" s="4" t="s">
        <v>260</v>
      </c>
      <c r="O229" s="12">
        <v>46030.838368055556</v>
      </c>
      <c r="P229" s="5">
        <v>6.7022385</v>
      </c>
      <c r="Q229" s="5">
        <v>4.6107838637915002</v>
      </c>
      <c r="R229" s="13">
        <f t="shared" si="12"/>
        <v>6.7022385</v>
      </c>
      <c r="S229" s="42">
        <f t="shared" si="15"/>
        <v>94.751102817962661</v>
      </c>
      <c r="T229" s="13">
        <v>0</v>
      </c>
      <c r="U229" s="14">
        <f t="shared" si="13"/>
        <v>4.6107838637915002</v>
      </c>
      <c r="V229" s="15">
        <f t="shared" si="14"/>
        <v>635.04448922400786</v>
      </c>
    </row>
    <row r="230" spans="2:22" x14ac:dyDescent="0.3">
      <c r="B230" t="s">
        <v>1125</v>
      </c>
      <c r="C230" s="81">
        <v>2.2999999999999998</v>
      </c>
      <c r="D230" s="78">
        <v>45954</v>
      </c>
      <c r="E230">
        <v>18</v>
      </c>
      <c r="F230" t="s">
        <v>910</v>
      </c>
      <c r="G230" t="s">
        <v>930</v>
      </c>
      <c r="H230">
        <v>49</v>
      </c>
      <c r="I230">
        <v>15</v>
      </c>
      <c r="J230" t="s">
        <v>935</v>
      </c>
      <c r="K230" t="s">
        <v>1138</v>
      </c>
      <c r="M230" s="1">
        <v>247</v>
      </c>
      <c r="N230" s="1" t="s">
        <v>261</v>
      </c>
      <c r="O230" s="2">
        <v>46030.842094907406</v>
      </c>
      <c r="P230" s="3">
        <v>6.7718800000000003</v>
      </c>
      <c r="Q230" s="3">
        <v>9.3871166488323325</v>
      </c>
      <c r="R230" s="13">
        <f t="shared" si="12"/>
        <v>6.7718800000000003</v>
      </c>
      <c r="S230" s="42">
        <f t="shared" si="15"/>
        <v>94.751102817962661</v>
      </c>
      <c r="T230" s="13">
        <v>0</v>
      </c>
      <c r="U230" s="14">
        <f t="shared" si="13"/>
        <v>9.3871166488323325</v>
      </c>
      <c r="V230" s="15">
        <f t="shared" si="14"/>
        <v>641.64309815090496</v>
      </c>
    </row>
    <row r="231" spans="2:22" x14ac:dyDescent="0.3">
      <c r="B231" t="s">
        <v>1125</v>
      </c>
      <c r="C231" s="81">
        <v>2.2999999999999998</v>
      </c>
      <c r="D231" s="78">
        <v>45954</v>
      </c>
      <c r="E231">
        <v>23</v>
      </c>
      <c r="F231" t="s">
        <v>921</v>
      </c>
      <c r="G231" t="s">
        <v>933</v>
      </c>
      <c r="H231">
        <v>49</v>
      </c>
      <c r="I231">
        <v>16</v>
      </c>
      <c r="J231" t="s">
        <v>935</v>
      </c>
      <c r="K231" t="s">
        <v>1139</v>
      </c>
      <c r="M231" s="4">
        <v>248</v>
      </c>
      <c r="N231" s="4" t="s">
        <v>262</v>
      </c>
      <c r="O231" s="12">
        <v>46030.84584490741</v>
      </c>
      <c r="P231" s="5">
        <v>7.2722205000000004</v>
      </c>
      <c r="Q231" s="5">
        <v>7.2620076354187351</v>
      </c>
      <c r="R231" s="13">
        <f t="shared" si="12"/>
        <v>7.2722205000000004</v>
      </c>
      <c r="S231" s="42">
        <f t="shared" si="15"/>
        <v>94.751102817962661</v>
      </c>
      <c r="T231" s="13">
        <v>0</v>
      </c>
      <c r="U231" s="14">
        <f t="shared" si="13"/>
        <v>7.2620076354187351</v>
      </c>
      <c r="V231" s="15">
        <f t="shared" si="14"/>
        <v>689.05091231039592</v>
      </c>
    </row>
    <row r="232" spans="2:22" x14ac:dyDescent="0.3">
      <c r="B232" t="s">
        <v>1125</v>
      </c>
      <c r="C232" s="81">
        <v>2.2999999999999998</v>
      </c>
      <c r="D232" s="78">
        <v>45954</v>
      </c>
      <c r="E232">
        <v>20</v>
      </c>
      <c r="F232" t="s">
        <v>932</v>
      </c>
      <c r="G232" t="s">
        <v>907</v>
      </c>
      <c r="H232">
        <v>49</v>
      </c>
      <c r="I232">
        <v>17</v>
      </c>
      <c r="J232" t="s">
        <v>24</v>
      </c>
      <c r="K232" t="s">
        <v>1140</v>
      </c>
      <c r="M232" s="1">
        <v>249</v>
      </c>
      <c r="N232" s="1" t="s">
        <v>263</v>
      </c>
      <c r="O232" s="2">
        <v>46030.849583333336</v>
      </c>
      <c r="P232" s="3">
        <v>7.0297349999999996</v>
      </c>
      <c r="Q232" s="3">
        <v>19.634709901029566</v>
      </c>
      <c r="R232" s="13">
        <f t="shared" si="12"/>
        <v>7.0297349999999996</v>
      </c>
      <c r="S232" s="42">
        <f t="shared" si="15"/>
        <v>94.751102817962661</v>
      </c>
      <c r="T232" s="13">
        <v>0</v>
      </c>
      <c r="U232" s="14">
        <f t="shared" si="13"/>
        <v>19.634709901029566</v>
      </c>
      <c r="V232" s="15">
        <f t="shared" si="14"/>
        <v>666.07514376803067</v>
      </c>
    </row>
    <row r="233" spans="2:22" x14ac:dyDescent="0.3">
      <c r="B233" t="s">
        <v>1125</v>
      </c>
      <c r="C233" s="81">
        <v>2.2999999999999998</v>
      </c>
      <c r="D233" s="78">
        <v>45954</v>
      </c>
      <c r="E233">
        <v>19</v>
      </c>
      <c r="F233" t="s">
        <v>917</v>
      </c>
      <c r="G233" t="s">
        <v>15</v>
      </c>
      <c r="H233">
        <v>49</v>
      </c>
      <c r="I233">
        <v>18</v>
      </c>
      <c r="J233" t="s">
        <v>24</v>
      </c>
      <c r="K233" t="s">
        <v>1141</v>
      </c>
      <c r="M233" s="4">
        <v>250</v>
      </c>
      <c r="N233" s="4" t="s">
        <v>264</v>
      </c>
      <c r="O233" s="12">
        <v>46030.853321759256</v>
      </c>
      <c r="P233" s="5">
        <v>7.1154894999999998</v>
      </c>
      <c r="Q233" s="5">
        <v>14.366860879451368</v>
      </c>
      <c r="R233" s="13">
        <f t="shared" si="12"/>
        <v>7.1154894999999998</v>
      </c>
      <c r="S233" s="42">
        <f t="shared" si="15"/>
        <v>94.751102817962661</v>
      </c>
      <c r="T233" s="13">
        <v>0</v>
      </c>
      <c r="U233" s="14">
        <f t="shared" si="13"/>
        <v>14.366860879451368</v>
      </c>
      <c r="V233" s="15">
        <f t="shared" si="14"/>
        <v>674.20047721463368</v>
      </c>
    </row>
    <row r="234" spans="2:22" x14ac:dyDescent="0.3">
      <c r="B234" t="s">
        <v>1125</v>
      </c>
      <c r="C234" s="81">
        <v>2.2999999999999998</v>
      </c>
      <c r="D234" s="78">
        <v>45954</v>
      </c>
      <c r="E234">
        <v>17</v>
      </c>
      <c r="F234" t="s">
        <v>913</v>
      </c>
      <c r="G234" t="s">
        <v>914</v>
      </c>
      <c r="H234">
        <v>49</v>
      </c>
      <c r="I234">
        <v>19</v>
      </c>
      <c r="J234" t="s">
        <v>24</v>
      </c>
      <c r="K234" t="s">
        <v>1142</v>
      </c>
      <c r="M234" s="1">
        <v>251</v>
      </c>
      <c r="N234" s="1" t="s">
        <v>265</v>
      </c>
      <c r="O234" s="2">
        <v>46030.857094907406</v>
      </c>
      <c r="P234" s="3">
        <v>7.0518394999999998</v>
      </c>
      <c r="Q234" s="3">
        <v>34.468357464324811</v>
      </c>
      <c r="R234" s="13">
        <f t="shared" si="12"/>
        <v>7.0518394999999998</v>
      </c>
      <c r="S234" s="42">
        <f t="shared" si="15"/>
        <v>94.751102817962661</v>
      </c>
      <c r="T234" s="13">
        <v>0</v>
      </c>
      <c r="U234" s="14">
        <f t="shared" si="13"/>
        <v>34.468357464324811</v>
      </c>
      <c r="V234" s="15">
        <f t="shared" si="14"/>
        <v>668.16956952027033</v>
      </c>
    </row>
    <row r="235" spans="2:22" x14ac:dyDescent="0.3">
      <c r="B235" t="s">
        <v>1125</v>
      </c>
      <c r="C235" s="81">
        <v>2.2999999999999998</v>
      </c>
      <c r="D235" s="78">
        <v>45954</v>
      </c>
      <c r="E235">
        <v>22</v>
      </c>
      <c r="F235" t="s">
        <v>925</v>
      </c>
      <c r="G235" t="s">
        <v>918</v>
      </c>
      <c r="H235">
        <v>49</v>
      </c>
      <c r="I235">
        <v>20</v>
      </c>
      <c r="J235" t="s">
        <v>24</v>
      </c>
      <c r="K235" t="s">
        <v>1143</v>
      </c>
      <c r="M235" s="4">
        <v>252</v>
      </c>
      <c r="N235" s="4" t="s">
        <v>266</v>
      </c>
      <c r="O235" s="12">
        <v>46030.860844907409</v>
      </c>
      <c r="P235" s="5">
        <v>7.7313105000000002</v>
      </c>
      <c r="Q235" s="5">
        <v>14.930098569890216</v>
      </c>
      <c r="R235" s="13">
        <f t="shared" si="12"/>
        <v>7.7313105000000002</v>
      </c>
      <c r="S235" s="42">
        <f t="shared" si="15"/>
        <v>94.751102817962661</v>
      </c>
      <c r="T235" s="13">
        <v>0</v>
      </c>
      <c r="U235" s="14">
        <f t="shared" si="13"/>
        <v>14.930098569890216</v>
      </c>
      <c r="V235" s="15">
        <f t="shared" si="14"/>
        <v>732.55019610309432</v>
      </c>
    </row>
    <row r="236" spans="2:22" x14ac:dyDescent="0.3">
      <c r="B236" t="s">
        <v>1125</v>
      </c>
      <c r="C236" s="81">
        <v>2.2999999999999998</v>
      </c>
      <c r="D236" s="78">
        <v>45954</v>
      </c>
      <c r="E236">
        <v>21</v>
      </c>
      <c r="F236" t="s">
        <v>906</v>
      </c>
      <c r="G236" t="s">
        <v>922</v>
      </c>
      <c r="H236">
        <v>49</v>
      </c>
      <c r="I236">
        <v>21</v>
      </c>
      <c r="J236" t="s">
        <v>24</v>
      </c>
      <c r="K236" t="s">
        <v>1144</v>
      </c>
      <c r="M236" s="1">
        <v>253</v>
      </c>
      <c r="N236" s="1" t="s">
        <v>267</v>
      </c>
      <c r="O236" s="2">
        <v>46030.864571759259</v>
      </c>
      <c r="P236" s="3">
        <v>7.6259024999999996</v>
      </c>
      <c r="Q236" s="3">
        <v>25.66682039567139</v>
      </c>
      <c r="R236" s="13">
        <f t="shared" si="12"/>
        <v>7.6259024999999996</v>
      </c>
      <c r="S236" s="42">
        <f t="shared" si="15"/>
        <v>94.751102817962661</v>
      </c>
      <c r="T236" s="13">
        <v>0</v>
      </c>
      <c r="U236" s="14">
        <f t="shared" si="13"/>
        <v>25.66682039567139</v>
      </c>
      <c r="V236" s="15">
        <f t="shared" si="14"/>
        <v>722.56267185725847</v>
      </c>
    </row>
    <row r="237" spans="2:22" x14ac:dyDescent="0.3">
      <c r="B237" t="s">
        <v>1125</v>
      </c>
      <c r="C237" s="81">
        <v>2.2999999999999998</v>
      </c>
      <c r="D237" s="78">
        <v>45954</v>
      </c>
      <c r="E237">
        <v>24</v>
      </c>
      <c r="F237" t="s">
        <v>929</v>
      </c>
      <c r="G237" t="s">
        <v>926</v>
      </c>
      <c r="H237">
        <v>49</v>
      </c>
      <c r="I237">
        <v>22</v>
      </c>
      <c r="J237" t="s">
        <v>24</v>
      </c>
      <c r="K237" t="s">
        <v>1145</v>
      </c>
      <c r="M237" s="4">
        <v>254</v>
      </c>
      <c r="N237" s="4" t="s">
        <v>268</v>
      </c>
      <c r="O237" s="12">
        <v>46030.868321759262</v>
      </c>
      <c r="P237" s="5">
        <v>7.3722215000000002</v>
      </c>
      <c r="Q237" s="5">
        <v>17.571688264611936</v>
      </c>
      <c r="R237" s="13">
        <f t="shared" si="12"/>
        <v>7.3722215000000002</v>
      </c>
      <c r="S237" s="42">
        <f t="shared" si="15"/>
        <v>94.751102817962661</v>
      </c>
      <c r="T237" s="13">
        <v>0</v>
      </c>
      <c r="U237" s="14">
        <f t="shared" si="13"/>
        <v>17.571688264611936</v>
      </c>
      <c r="V237" s="15">
        <f t="shared" si="14"/>
        <v>698.52611734329491</v>
      </c>
    </row>
    <row r="238" spans="2:22" x14ac:dyDescent="0.3">
      <c r="B238" t="s">
        <v>1125</v>
      </c>
      <c r="C238" s="81">
        <v>2.2999999999999998</v>
      </c>
      <c r="D238" s="78">
        <v>45954</v>
      </c>
      <c r="E238">
        <v>18</v>
      </c>
      <c r="F238" t="s">
        <v>910</v>
      </c>
      <c r="G238" t="s">
        <v>930</v>
      </c>
      <c r="H238">
        <v>49</v>
      </c>
      <c r="I238">
        <v>23</v>
      </c>
      <c r="J238" t="s">
        <v>24</v>
      </c>
      <c r="K238" t="s">
        <v>1146</v>
      </c>
      <c r="M238" s="1">
        <v>255</v>
      </c>
      <c r="N238" s="1" t="s">
        <v>269</v>
      </c>
      <c r="O238" s="2">
        <v>46030.872048611112</v>
      </c>
      <c r="P238" s="3">
        <v>6.9083034999999997</v>
      </c>
      <c r="Q238" s="3">
        <v>29.512375092352457</v>
      </c>
      <c r="R238" s="13">
        <f t="shared" si="12"/>
        <v>6.9083034999999997</v>
      </c>
      <c r="S238" s="42">
        <f t="shared" si="15"/>
        <v>94.751102817962661</v>
      </c>
      <c r="T238" s="13">
        <v>0</v>
      </c>
      <c r="U238" s="14">
        <f t="shared" si="13"/>
        <v>29.512375092352457</v>
      </c>
      <c r="V238" s="15">
        <f t="shared" si="14"/>
        <v>654.56937522619126</v>
      </c>
    </row>
    <row r="239" spans="2:22" x14ac:dyDescent="0.3">
      <c r="B239" t="s">
        <v>1125</v>
      </c>
      <c r="C239" s="81">
        <v>2.2999999999999998</v>
      </c>
      <c r="D239" s="78">
        <v>45954</v>
      </c>
      <c r="E239">
        <v>23</v>
      </c>
      <c r="F239" t="s">
        <v>921</v>
      </c>
      <c r="G239" t="s">
        <v>933</v>
      </c>
      <c r="H239">
        <v>49</v>
      </c>
      <c r="I239">
        <v>24</v>
      </c>
      <c r="J239" t="s">
        <v>24</v>
      </c>
      <c r="K239" t="s">
        <v>1147</v>
      </c>
      <c r="M239" s="4">
        <v>256</v>
      </c>
      <c r="N239" s="4" t="s">
        <v>270</v>
      </c>
      <c r="O239" s="12">
        <v>46030.875787037039</v>
      </c>
      <c r="P239" s="5">
        <v>7.5610014999999997</v>
      </c>
      <c r="Q239" s="5">
        <v>24.123263341995859</v>
      </c>
      <c r="R239" s="13">
        <f t="shared" si="12"/>
        <v>7.5610014999999997</v>
      </c>
      <c r="S239" s="42">
        <f t="shared" si="15"/>
        <v>94.751102817962661</v>
      </c>
      <c r="T239" s="13">
        <v>0</v>
      </c>
      <c r="U239" s="14">
        <f t="shared" si="13"/>
        <v>24.123263341995859</v>
      </c>
      <c r="V239" s="15">
        <f t="shared" si="14"/>
        <v>716.41323053326983</v>
      </c>
    </row>
    <row r="240" spans="2:22" x14ac:dyDescent="0.3">
      <c r="B240" t="s">
        <v>1125</v>
      </c>
      <c r="C240" s="81">
        <v>2.2999999999999998</v>
      </c>
      <c r="D240" s="78">
        <v>45954</v>
      </c>
      <c r="E240">
        <v>20</v>
      </c>
      <c r="F240" t="s">
        <v>932</v>
      </c>
      <c r="G240" t="s">
        <v>907</v>
      </c>
      <c r="H240">
        <v>49</v>
      </c>
      <c r="I240">
        <v>25</v>
      </c>
      <c r="J240" t="s">
        <v>25</v>
      </c>
      <c r="K240" t="s">
        <v>1148</v>
      </c>
      <c r="M240" s="1">
        <v>257</v>
      </c>
      <c r="N240" s="1" t="s">
        <v>271</v>
      </c>
      <c r="O240" s="2">
        <v>46030.879525462966</v>
      </c>
      <c r="P240" s="3">
        <v>7.4515015</v>
      </c>
      <c r="Q240" s="3">
        <v>31.262226963138488</v>
      </c>
      <c r="R240" s="13">
        <f t="shared" si="12"/>
        <v>7.4515015</v>
      </c>
      <c r="S240" s="42">
        <f t="shared" si="15"/>
        <v>94.751102817962661</v>
      </c>
      <c r="T240" s="13">
        <v>0</v>
      </c>
      <c r="U240" s="14">
        <f t="shared" si="13"/>
        <v>31.262226963138488</v>
      </c>
      <c r="V240" s="15">
        <f t="shared" si="14"/>
        <v>706.03798477470298</v>
      </c>
    </row>
    <row r="241" spans="2:22" x14ac:dyDescent="0.3">
      <c r="B241" t="s">
        <v>1125</v>
      </c>
      <c r="C241" s="81">
        <v>2.2999999999999998</v>
      </c>
      <c r="D241" s="78">
        <v>45954</v>
      </c>
      <c r="E241">
        <v>19</v>
      </c>
      <c r="F241" t="s">
        <v>917</v>
      </c>
      <c r="G241" t="s">
        <v>15</v>
      </c>
      <c r="H241">
        <v>49</v>
      </c>
      <c r="I241">
        <v>26</v>
      </c>
      <c r="J241" t="s">
        <v>25</v>
      </c>
      <c r="K241" t="s">
        <v>1149</v>
      </c>
      <c r="M241" s="4">
        <v>258</v>
      </c>
      <c r="N241" s="4" t="s">
        <v>272</v>
      </c>
      <c r="O241" s="12">
        <v>46030.883263888885</v>
      </c>
      <c r="P241" s="5">
        <v>6.7817485</v>
      </c>
      <c r="Q241" s="5">
        <v>29.823437084604169</v>
      </c>
      <c r="R241" s="13">
        <f t="shared" si="12"/>
        <v>6.7817485</v>
      </c>
      <c r="S241" s="42">
        <f t="shared" si="15"/>
        <v>94.751102817962661</v>
      </c>
      <c r="T241" s="13">
        <v>0</v>
      </c>
      <c r="U241" s="14">
        <f t="shared" si="13"/>
        <v>29.823437084604169</v>
      </c>
      <c r="V241" s="15">
        <f t="shared" si="14"/>
        <v>642.57814940906405</v>
      </c>
    </row>
    <row r="242" spans="2:22" x14ac:dyDescent="0.3">
      <c r="B242" t="s">
        <v>1125</v>
      </c>
      <c r="C242" s="81">
        <v>2.2999999999999998</v>
      </c>
      <c r="D242" s="78">
        <v>45954</v>
      </c>
      <c r="E242">
        <v>17</v>
      </c>
      <c r="F242" t="s">
        <v>913</v>
      </c>
      <c r="G242" t="s">
        <v>914</v>
      </c>
      <c r="H242">
        <v>49</v>
      </c>
      <c r="I242">
        <v>27</v>
      </c>
      <c r="J242" t="s">
        <v>25</v>
      </c>
      <c r="K242" t="s">
        <v>1150</v>
      </c>
      <c r="M242" s="1">
        <v>259</v>
      </c>
      <c r="N242" s="1" t="s">
        <v>273</v>
      </c>
      <c r="O242" s="2">
        <v>46030.887013888889</v>
      </c>
      <c r="P242" s="3">
        <v>7.1402020000000004</v>
      </c>
      <c r="Q242" s="3">
        <v>54.450563661409248</v>
      </c>
      <c r="R242" s="13">
        <f t="shared" si="12"/>
        <v>7.1402020000000004</v>
      </c>
      <c r="S242" s="42">
        <f t="shared" si="15"/>
        <v>94.751102817962661</v>
      </c>
      <c r="T242" s="13">
        <v>0</v>
      </c>
      <c r="U242" s="14">
        <f t="shared" si="13"/>
        <v>54.450563661409248</v>
      </c>
      <c r="V242" s="15">
        <f t="shared" si="14"/>
        <v>676.54201384302269</v>
      </c>
    </row>
    <row r="243" spans="2:22" x14ac:dyDescent="0.3">
      <c r="B243" t="s">
        <v>1125</v>
      </c>
      <c r="C243" s="81">
        <v>2.2999999999999998</v>
      </c>
      <c r="D243" s="78">
        <v>45954</v>
      </c>
      <c r="E243">
        <v>22</v>
      </c>
      <c r="F243" t="s">
        <v>925</v>
      </c>
      <c r="G243" t="s">
        <v>918</v>
      </c>
      <c r="H243">
        <v>49</v>
      </c>
      <c r="I243">
        <v>28</v>
      </c>
      <c r="J243" t="s">
        <v>25</v>
      </c>
      <c r="K243" t="s">
        <v>1151</v>
      </c>
      <c r="M243" s="4">
        <v>260</v>
      </c>
      <c r="N243" s="4" t="s">
        <v>274</v>
      </c>
      <c r="O243" s="12">
        <v>46030.890740740739</v>
      </c>
      <c r="P243" s="5">
        <v>8.1469950000000004</v>
      </c>
      <c r="Q243" s="5">
        <v>23.334440068101522</v>
      </c>
      <c r="R243" s="13">
        <f t="shared" si="12"/>
        <v>8.1469950000000004</v>
      </c>
      <c r="S243" s="42">
        <f t="shared" si="15"/>
        <v>94.751102817962661</v>
      </c>
      <c r="T243" s="13">
        <v>0</v>
      </c>
      <c r="U243" s="14">
        <f t="shared" si="13"/>
        <v>23.334440068101522</v>
      </c>
      <c r="V243" s="15">
        <f t="shared" si="14"/>
        <v>771.93676090242775</v>
      </c>
    </row>
    <row r="244" spans="2:22" x14ac:dyDescent="0.3">
      <c r="B244" t="s">
        <v>1125</v>
      </c>
      <c r="C244" s="81">
        <v>2.2999999999999998</v>
      </c>
      <c r="D244" s="78">
        <v>45954</v>
      </c>
      <c r="E244">
        <v>21</v>
      </c>
      <c r="F244" t="s">
        <v>906</v>
      </c>
      <c r="G244" t="s">
        <v>922</v>
      </c>
      <c r="H244">
        <v>49</v>
      </c>
      <c r="I244">
        <v>29</v>
      </c>
      <c r="J244" t="s">
        <v>25</v>
      </c>
      <c r="K244" t="s">
        <v>1152</v>
      </c>
      <c r="M244" s="1">
        <v>261</v>
      </c>
      <c r="N244" s="1" t="s">
        <v>275</v>
      </c>
      <c r="O244" s="2">
        <v>46030.894479166665</v>
      </c>
      <c r="P244" s="3">
        <v>8.2747545000000002</v>
      </c>
      <c r="Q244" s="3">
        <v>35.82392475110759</v>
      </c>
      <c r="R244" s="13">
        <f t="shared" si="12"/>
        <v>8.2747545000000002</v>
      </c>
      <c r="S244" s="42">
        <f t="shared" si="15"/>
        <v>94.751102817962661</v>
      </c>
      <c r="T244" s="13">
        <v>0</v>
      </c>
      <c r="U244" s="14">
        <f t="shared" si="13"/>
        <v>35.82392475110759</v>
      </c>
      <c r="V244" s="15">
        <f t="shared" si="14"/>
        <v>784.0421144228992</v>
      </c>
    </row>
    <row r="245" spans="2:22" x14ac:dyDescent="0.3">
      <c r="B245" t="s">
        <v>1125</v>
      </c>
      <c r="C245" s="81">
        <v>2.2999999999999998</v>
      </c>
      <c r="D245" s="78">
        <v>45954</v>
      </c>
      <c r="E245">
        <v>24</v>
      </c>
      <c r="F245" t="s">
        <v>929</v>
      </c>
      <c r="G245" t="s">
        <v>926</v>
      </c>
      <c r="H245">
        <v>49</v>
      </c>
      <c r="I245">
        <v>30</v>
      </c>
      <c r="J245" t="s">
        <v>25</v>
      </c>
      <c r="K245" t="s">
        <v>1153</v>
      </c>
      <c r="M245" s="4">
        <v>262</v>
      </c>
      <c r="N245" s="4" t="s">
        <v>276</v>
      </c>
      <c r="O245" s="12">
        <v>46030.898217592592</v>
      </c>
      <c r="P245" s="5">
        <v>7.7681459999999998</v>
      </c>
      <c r="Q245" s="5">
        <v>30.619561050637564</v>
      </c>
      <c r="R245" s="13">
        <f t="shared" si="12"/>
        <v>7.7681459999999998</v>
      </c>
      <c r="S245" s="42">
        <f t="shared" si="15"/>
        <v>94.751102817962661</v>
      </c>
      <c r="T245" s="13">
        <v>0</v>
      </c>
      <c r="U245" s="14">
        <f t="shared" si="13"/>
        <v>30.619561050637564</v>
      </c>
      <c r="V245" s="15">
        <f t="shared" si="14"/>
        <v>736.04040035094533</v>
      </c>
    </row>
    <row r="246" spans="2:22" x14ac:dyDescent="0.3">
      <c r="B246" t="s">
        <v>1125</v>
      </c>
      <c r="C246" s="81">
        <v>2.2999999999999998</v>
      </c>
      <c r="D246" s="78">
        <v>45954</v>
      </c>
      <c r="E246">
        <v>18</v>
      </c>
      <c r="F246" t="s">
        <v>910</v>
      </c>
      <c r="G246" t="s">
        <v>930</v>
      </c>
      <c r="H246">
        <v>49</v>
      </c>
      <c r="I246">
        <v>31</v>
      </c>
      <c r="J246" t="s">
        <v>25</v>
      </c>
      <c r="K246" t="s">
        <v>1154</v>
      </c>
      <c r="M246" s="1">
        <v>263</v>
      </c>
      <c r="N246" s="1" t="s">
        <v>277</v>
      </c>
      <c r="O246" s="2">
        <v>46030.901956018519</v>
      </c>
      <c r="P246" s="3">
        <v>7.2001514999999996</v>
      </c>
      <c r="Q246" s="3">
        <v>45.282898341155175</v>
      </c>
      <c r="R246" s="13">
        <f t="shared" si="12"/>
        <v>7.2001514999999996</v>
      </c>
      <c r="S246" s="42">
        <f t="shared" si="15"/>
        <v>94.751102817962661</v>
      </c>
      <c r="T246" s="13">
        <v>0</v>
      </c>
      <c r="U246" s="14">
        <f t="shared" si="13"/>
        <v>45.282898341155175</v>
      </c>
      <c r="V246" s="15">
        <f t="shared" si="14"/>
        <v>682.22229508140799</v>
      </c>
    </row>
    <row r="247" spans="2:22" x14ac:dyDescent="0.3">
      <c r="B247" t="s">
        <v>1125</v>
      </c>
      <c r="C247" s="81">
        <v>2.2999999999999998</v>
      </c>
      <c r="D247" s="78">
        <v>45954</v>
      </c>
      <c r="E247">
        <v>23</v>
      </c>
      <c r="F247" t="s">
        <v>921</v>
      </c>
      <c r="G247" t="s">
        <v>933</v>
      </c>
      <c r="H247">
        <v>49</v>
      </c>
      <c r="I247">
        <v>32</v>
      </c>
      <c r="J247" t="s">
        <v>25</v>
      </c>
      <c r="K247" t="s">
        <v>1155</v>
      </c>
      <c r="M247" s="4">
        <v>264</v>
      </c>
      <c r="N247" s="4" t="s">
        <v>278</v>
      </c>
      <c r="O247" s="12">
        <v>46030.905694444446</v>
      </c>
      <c r="P247" s="5">
        <v>8.2323955000000009</v>
      </c>
      <c r="Q247" s="5">
        <v>34.772977134511464</v>
      </c>
      <c r="R247" s="13">
        <f t="shared" si="12"/>
        <v>8.2323955000000009</v>
      </c>
      <c r="S247" s="42">
        <f t="shared" si="15"/>
        <v>94.751102817962661</v>
      </c>
      <c r="T247" s="13">
        <v>0</v>
      </c>
      <c r="U247" s="14">
        <f t="shared" si="13"/>
        <v>34.772977134511464</v>
      </c>
      <c r="V247" s="15">
        <f t="shared" si="14"/>
        <v>780.02855245863316</v>
      </c>
    </row>
    <row r="248" spans="2:22" x14ac:dyDescent="0.3">
      <c r="M248" s="1">
        <v>265</v>
      </c>
      <c r="N248" s="1" t="s">
        <v>279</v>
      </c>
      <c r="O248" s="2">
        <v>46030.909444444442</v>
      </c>
      <c r="P248" s="3">
        <v>3.529455</v>
      </c>
      <c r="Q248" s="3">
        <v>-14.961623426307881</v>
      </c>
      <c r="R248" s="13">
        <f t="shared" si="12"/>
        <v>3.529455</v>
      </c>
      <c r="S248" s="42">
        <f t="shared" si="15"/>
        <v>94.751102817962661</v>
      </c>
      <c r="T248" s="13">
        <v>0</v>
      </c>
      <c r="U248" s="14">
        <f t="shared" si="13"/>
        <v>-14.961623426307881</v>
      </c>
      <c r="V248" s="15">
        <f t="shared" si="14"/>
        <v>334.4197535963724</v>
      </c>
    </row>
    <row r="249" spans="2:22" x14ac:dyDescent="0.3">
      <c r="M249" s="4">
        <v>266</v>
      </c>
      <c r="N249" s="4" t="s">
        <v>280</v>
      </c>
      <c r="O249" s="12">
        <v>46030.913171296299</v>
      </c>
      <c r="P249" s="5">
        <v>2.43094425</v>
      </c>
      <c r="Q249" s="5">
        <v>-17.143391042277024</v>
      </c>
      <c r="R249" s="13">
        <f t="shared" si="12"/>
        <v>2.43094425</v>
      </c>
      <c r="S249" s="42">
        <f t="shared" si="15"/>
        <v>94.751102817962661</v>
      </c>
      <c r="T249" s="13">
        <v>0</v>
      </c>
      <c r="U249" s="14">
        <f t="shared" si="13"/>
        <v>-17.143391042277024</v>
      </c>
      <c r="V249" s="15">
        <f t="shared" si="14"/>
        <v>230.33464857648514</v>
      </c>
    </row>
    <row r="250" spans="2:22" x14ac:dyDescent="0.3">
      <c r="B250" t="s">
        <v>1125</v>
      </c>
      <c r="C250" s="81">
        <v>2.4</v>
      </c>
      <c r="D250" s="78">
        <v>45956</v>
      </c>
      <c r="E250">
        <v>20</v>
      </c>
      <c r="F250" t="s">
        <v>932</v>
      </c>
      <c r="G250" t="s">
        <v>907</v>
      </c>
      <c r="H250">
        <v>97</v>
      </c>
      <c r="I250">
        <v>1</v>
      </c>
      <c r="J250" t="s">
        <v>908</v>
      </c>
      <c r="K250" t="s">
        <v>1156</v>
      </c>
      <c r="M250" s="1">
        <v>267</v>
      </c>
      <c r="N250" s="1" t="s">
        <v>281</v>
      </c>
      <c r="O250" s="2">
        <v>46030.916921296295</v>
      </c>
      <c r="P250" s="3">
        <v>5.8649944999999999</v>
      </c>
      <c r="Q250" s="3">
        <v>-14.5637823693628</v>
      </c>
      <c r="R250" s="13">
        <f t="shared" si="12"/>
        <v>5.8649944999999999</v>
      </c>
      <c r="S250" s="42">
        <f t="shared" si="15"/>
        <v>94.751102817962661</v>
      </c>
      <c r="T250" s="13">
        <v>0</v>
      </c>
      <c r="U250" s="14">
        <f t="shared" si="13"/>
        <v>-14.5637823693628</v>
      </c>
      <c r="V250" s="15">
        <f t="shared" si="14"/>
        <v>555.71469689628555</v>
      </c>
    </row>
    <row r="251" spans="2:22" x14ac:dyDescent="0.3">
      <c r="B251" t="s">
        <v>1125</v>
      </c>
      <c r="C251" s="81">
        <v>2.4</v>
      </c>
      <c r="D251" s="78">
        <v>45956</v>
      </c>
      <c r="E251">
        <v>19</v>
      </c>
      <c r="F251" t="s">
        <v>917</v>
      </c>
      <c r="G251" t="s">
        <v>15</v>
      </c>
      <c r="H251">
        <v>97</v>
      </c>
      <c r="I251">
        <v>2</v>
      </c>
      <c r="J251" t="s">
        <v>908</v>
      </c>
      <c r="K251" t="s">
        <v>1157</v>
      </c>
      <c r="M251" s="4">
        <v>268</v>
      </c>
      <c r="N251" s="4" t="s">
        <v>282</v>
      </c>
      <c r="O251" s="12">
        <v>46030.920682870368</v>
      </c>
      <c r="P251" s="5">
        <v>5.5981255000000001</v>
      </c>
      <c r="Q251" s="5">
        <v>-13.177320657051318</v>
      </c>
      <c r="R251" s="13">
        <f t="shared" si="12"/>
        <v>5.5981255000000001</v>
      </c>
      <c r="S251" s="42">
        <f t="shared" si="15"/>
        <v>94.751102817962661</v>
      </c>
      <c r="T251" s="13">
        <v>0</v>
      </c>
      <c r="U251" s="14">
        <f t="shared" si="13"/>
        <v>-13.177320657051318</v>
      </c>
      <c r="V251" s="15">
        <f t="shared" si="14"/>
        <v>530.42856483835862</v>
      </c>
    </row>
    <row r="252" spans="2:22" x14ac:dyDescent="0.3">
      <c r="B252" t="s">
        <v>1125</v>
      </c>
      <c r="C252" s="81">
        <v>2.4</v>
      </c>
      <c r="D252" s="78">
        <v>45956</v>
      </c>
      <c r="E252">
        <v>17</v>
      </c>
      <c r="F252" t="s">
        <v>913</v>
      </c>
      <c r="G252" t="s">
        <v>914</v>
      </c>
      <c r="H252">
        <v>97</v>
      </c>
      <c r="I252">
        <v>3</v>
      </c>
      <c r="J252" t="s">
        <v>908</v>
      </c>
      <c r="K252" t="s">
        <v>1158</v>
      </c>
      <c r="M252" s="1">
        <v>269</v>
      </c>
      <c r="N252" s="1" t="s">
        <v>283</v>
      </c>
      <c r="O252" s="2">
        <v>46030.924409722225</v>
      </c>
      <c r="P252" s="3">
        <v>6.1809159999999999</v>
      </c>
      <c r="Q252" s="3">
        <v>-12.811065369791461</v>
      </c>
      <c r="R252" s="13">
        <f t="shared" si="12"/>
        <v>6.1809159999999999</v>
      </c>
      <c r="S252" s="42">
        <f t="shared" si="15"/>
        <v>94.751102817962661</v>
      </c>
      <c r="T252" s="13">
        <v>0</v>
      </c>
      <c r="U252" s="14">
        <f t="shared" si="13"/>
        <v>-12.811065369791461</v>
      </c>
      <c r="V252" s="15">
        <f t="shared" si="14"/>
        <v>585.64860742519045</v>
      </c>
    </row>
    <row r="253" spans="2:22" x14ac:dyDescent="0.3">
      <c r="B253" t="s">
        <v>1125</v>
      </c>
      <c r="C253" s="81">
        <v>2.4</v>
      </c>
      <c r="D253" s="78">
        <v>45956</v>
      </c>
      <c r="E253">
        <v>22</v>
      </c>
      <c r="F253" t="s">
        <v>925</v>
      </c>
      <c r="G253" t="s">
        <v>918</v>
      </c>
      <c r="H253">
        <v>97</v>
      </c>
      <c r="I253">
        <v>4</v>
      </c>
      <c r="J253" t="s">
        <v>908</v>
      </c>
      <c r="K253" t="s">
        <v>1159</v>
      </c>
      <c r="M253" s="4">
        <v>270</v>
      </c>
      <c r="N253" s="4" t="s">
        <v>284</v>
      </c>
      <c r="O253" s="12">
        <v>46030.928136574075</v>
      </c>
      <c r="P253" s="5">
        <v>6.1270499999999997</v>
      </c>
      <c r="Q253" s="5">
        <v>-14.371321134182075</v>
      </c>
      <c r="R253" s="13">
        <f t="shared" si="12"/>
        <v>6.1270499999999997</v>
      </c>
      <c r="S253" s="42">
        <f t="shared" si="15"/>
        <v>94.751102817962661</v>
      </c>
      <c r="T253" s="13">
        <v>0</v>
      </c>
      <c r="U253" s="14">
        <f t="shared" si="13"/>
        <v>-14.371321134182075</v>
      </c>
      <c r="V253" s="15">
        <f t="shared" si="14"/>
        <v>580.54474452079808</v>
      </c>
    </row>
    <row r="254" spans="2:22" x14ac:dyDescent="0.3">
      <c r="B254" t="s">
        <v>1125</v>
      </c>
      <c r="C254" s="81">
        <v>2.4</v>
      </c>
      <c r="D254" s="78">
        <v>45956</v>
      </c>
      <c r="E254">
        <v>21</v>
      </c>
      <c r="F254" t="s">
        <v>906</v>
      </c>
      <c r="G254" t="s">
        <v>922</v>
      </c>
      <c r="H254">
        <v>97</v>
      </c>
      <c r="I254">
        <v>5</v>
      </c>
      <c r="J254" t="s">
        <v>908</v>
      </c>
      <c r="K254" t="s">
        <v>1160</v>
      </c>
      <c r="M254" s="1">
        <v>271</v>
      </c>
      <c r="N254" s="1" t="s">
        <v>285</v>
      </c>
      <c r="O254" s="2">
        <v>46030.931863425925</v>
      </c>
      <c r="P254" s="3">
        <v>6.8041675000000001</v>
      </c>
      <c r="Q254" s="3">
        <v>-13.106478592862961</v>
      </c>
      <c r="R254" s="13">
        <f t="shared" si="12"/>
        <v>6.8041675000000001</v>
      </c>
      <c r="S254" s="42">
        <f t="shared" si="15"/>
        <v>94.751102817962661</v>
      </c>
      <c r="T254" s="13">
        <v>0</v>
      </c>
      <c r="U254" s="14">
        <f t="shared" si="13"/>
        <v>-13.106478592862961</v>
      </c>
      <c r="V254" s="15">
        <f t="shared" si="14"/>
        <v>644.70237438313995</v>
      </c>
    </row>
    <row r="255" spans="2:22" x14ac:dyDescent="0.3">
      <c r="B255" t="s">
        <v>1125</v>
      </c>
      <c r="C255" s="81">
        <v>2.4</v>
      </c>
      <c r="D255" s="78">
        <v>45956</v>
      </c>
      <c r="E255">
        <v>24</v>
      </c>
      <c r="F255" t="s">
        <v>929</v>
      </c>
      <c r="G255" t="s">
        <v>926</v>
      </c>
      <c r="H255">
        <v>97</v>
      </c>
      <c r="I255">
        <v>6</v>
      </c>
      <c r="J255" t="s">
        <v>908</v>
      </c>
      <c r="K255" t="s">
        <v>1161</v>
      </c>
      <c r="M255" s="4">
        <v>272</v>
      </c>
      <c r="N255" s="4" t="s">
        <v>286</v>
      </c>
      <c r="O255" s="12">
        <v>46030.935590277775</v>
      </c>
      <c r="P255" s="5">
        <v>6.2569679999999996</v>
      </c>
      <c r="Q255" s="5">
        <v>-15.275966710316554</v>
      </c>
      <c r="R255" s="13">
        <f t="shared" si="12"/>
        <v>6.2569679999999996</v>
      </c>
      <c r="S255" s="42">
        <f t="shared" si="15"/>
        <v>94.751102817962661</v>
      </c>
      <c r="T255" s="13">
        <v>0</v>
      </c>
      <c r="U255" s="14">
        <f t="shared" si="13"/>
        <v>-15.275966710316554</v>
      </c>
      <c r="V255" s="15">
        <f t="shared" si="14"/>
        <v>592.85461829670214</v>
      </c>
    </row>
    <row r="256" spans="2:22" x14ac:dyDescent="0.3">
      <c r="B256" t="s">
        <v>1125</v>
      </c>
      <c r="C256" s="81">
        <v>2.4</v>
      </c>
      <c r="D256" s="78">
        <v>45956</v>
      </c>
      <c r="E256">
        <v>18</v>
      </c>
      <c r="F256" t="s">
        <v>910</v>
      </c>
      <c r="G256" t="s">
        <v>930</v>
      </c>
      <c r="H256">
        <v>97</v>
      </c>
      <c r="I256">
        <v>7</v>
      </c>
      <c r="J256" t="s">
        <v>908</v>
      </c>
      <c r="K256" t="s">
        <v>1162</v>
      </c>
      <c r="M256" s="1">
        <v>273</v>
      </c>
      <c r="N256" s="1" t="s">
        <v>287</v>
      </c>
      <c r="O256" s="2">
        <v>46030.939317129632</v>
      </c>
      <c r="P256" s="3">
        <v>6.2620104999999997</v>
      </c>
      <c r="Q256" s="3">
        <v>-13.57081541638734</v>
      </c>
      <c r="R256" s="13">
        <f t="shared" si="12"/>
        <v>6.2620104999999997</v>
      </c>
      <c r="S256" s="42">
        <f t="shared" si="15"/>
        <v>94.751102817962661</v>
      </c>
      <c r="T256" s="13">
        <v>0</v>
      </c>
      <c r="U256" s="14">
        <f t="shared" si="13"/>
        <v>-13.57081541638734</v>
      </c>
      <c r="V256" s="15">
        <f t="shared" si="14"/>
        <v>593.33240073266177</v>
      </c>
    </row>
    <row r="257" spans="2:22" x14ac:dyDescent="0.3">
      <c r="B257" t="s">
        <v>1125</v>
      </c>
      <c r="C257" s="81">
        <v>2.4</v>
      </c>
      <c r="D257" s="78">
        <v>45956</v>
      </c>
      <c r="E257">
        <v>23</v>
      </c>
      <c r="F257" t="s">
        <v>921</v>
      </c>
      <c r="G257" t="s">
        <v>933</v>
      </c>
      <c r="H257">
        <v>97</v>
      </c>
      <c r="I257">
        <v>8</v>
      </c>
      <c r="J257" t="s">
        <v>908</v>
      </c>
      <c r="K257" t="s">
        <v>1163</v>
      </c>
      <c r="M257" s="4">
        <v>274</v>
      </c>
      <c r="N257" s="4" t="s">
        <v>288</v>
      </c>
      <c r="O257" s="12">
        <v>46030.943055555559</v>
      </c>
      <c r="P257" s="5">
        <v>6.3058744999999998</v>
      </c>
      <c r="Q257" s="5">
        <v>-14.138783399056814</v>
      </c>
      <c r="R257" s="13">
        <f t="shared" si="12"/>
        <v>6.3058744999999998</v>
      </c>
      <c r="S257" s="42">
        <f t="shared" si="15"/>
        <v>94.751102817962661</v>
      </c>
      <c r="T257" s="13">
        <v>0</v>
      </c>
      <c r="U257" s="14">
        <f t="shared" si="13"/>
        <v>-14.138783399056814</v>
      </c>
      <c r="V257" s="15">
        <f t="shared" si="14"/>
        <v>597.48856310666883</v>
      </c>
    </row>
    <row r="258" spans="2:22" x14ac:dyDescent="0.3">
      <c r="B258" t="s">
        <v>1125</v>
      </c>
      <c r="C258" s="81">
        <v>2.4</v>
      </c>
      <c r="D258" s="78">
        <v>45956</v>
      </c>
      <c r="E258">
        <v>20</v>
      </c>
      <c r="F258" t="s">
        <v>932</v>
      </c>
      <c r="G258" t="s">
        <v>907</v>
      </c>
      <c r="H258">
        <v>97</v>
      </c>
      <c r="I258">
        <v>9</v>
      </c>
      <c r="J258" t="s">
        <v>935</v>
      </c>
      <c r="K258" t="s">
        <v>1164</v>
      </c>
      <c r="M258" s="1">
        <v>275</v>
      </c>
      <c r="N258" s="1" t="s">
        <v>289</v>
      </c>
      <c r="O258" s="2">
        <v>46030.946782407409</v>
      </c>
      <c r="P258" s="3">
        <v>6.088927</v>
      </c>
      <c r="Q258" s="3">
        <v>22.289959537248041</v>
      </c>
      <c r="R258" s="13">
        <f t="shared" ref="R258:R321" si="16">P258</f>
        <v>6.088927</v>
      </c>
      <c r="S258" s="42">
        <f t="shared" si="15"/>
        <v>94.751102817962661</v>
      </c>
      <c r="T258" s="13">
        <v>0</v>
      </c>
      <c r="U258" s="14">
        <f t="shared" ref="U258:U321" si="17">Q258+T258</f>
        <v>22.289959537248041</v>
      </c>
      <c r="V258" s="15">
        <f t="shared" ref="V258:V321" si="18">R258*S258</f>
        <v>576.93254822806898</v>
      </c>
    </row>
    <row r="259" spans="2:22" x14ac:dyDescent="0.3">
      <c r="B259" t="s">
        <v>1125</v>
      </c>
      <c r="C259" s="81">
        <v>2.4</v>
      </c>
      <c r="D259" s="78">
        <v>45956</v>
      </c>
      <c r="E259">
        <v>19</v>
      </c>
      <c r="F259" t="s">
        <v>917</v>
      </c>
      <c r="G259" t="s">
        <v>15</v>
      </c>
      <c r="H259">
        <v>97</v>
      </c>
      <c r="I259">
        <v>10</v>
      </c>
      <c r="J259" t="s">
        <v>935</v>
      </c>
      <c r="K259" t="s">
        <v>1165</v>
      </c>
      <c r="M259" s="4">
        <v>276</v>
      </c>
      <c r="N259" s="4" t="s">
        <v>290</v>
      </c>
      <c r="O259" s="12">
        <v>46030.950497685182</v>
      </c>
      <c r="P259" s="5">
        <v>5.7963005000000001</v>
      </c>
      <c r="Q259" s="5">
        <v>32.507089311001891</v>
      </c>
      <c r="R259" s="13">
        <f t="shared" si="16"/>
        <v>5.7963005000000001</v>
      </c>
      <c r="S259" s="42">
        <f t="shared" ref="S259:S322" si="19">$S$890</f>
        <v>94.751102817962661</v>
      </c>
      <c r="T259" s="13">
        <v>0</v>
      </c>
      <c r="U259" s="14">
        <f t="shared" si="17"/>
        <v>32.507089311001891</v>
      </c>
      <c r="V259" s="15">
        <f t="shared" si="18"/>
        <v>549.2058646393084</v>
      </c>
    </row>
    <row r="260" spans="2:22" x14ac:dyDescent="0.3">
      <c r="B260" t="s">
        <v>1125</v>
      </c>
      <c r="C260" s="81">
        <v>2.4</v>
      </c>
      <c r="D260" s="78">
        <v>45956</v>
      </c>
      <c r="E260">
        <v>17</v>
      </c>
      <c r="F260" t="s">
        <v>913</v>
      </c>
      <c r="G260" t="s">
        <v>914</v>
      </c>
      <c r="H260">
        <v>97</v>
      </c>
      <c r="I260">
        <v>11</v>
      </c>
      <c r="J260" t="s">
        <v>935</v>
      </c>
      <c r="K260" t="s">
        <v>1166</v>
      </c>
      <c r="M260" s="1">
        <v>277</v>
      </c>
      <c r="N260" s="1" t="s">
        <v>291</v>
      </c>
      <c r="O260" s="2">
        <v>46030.954224537039</v>
      </c>
      <c r="P260" s="3">
        <v>6.0047965000000003</v>
      </c>
      <c r="Q260" s="3">
        <v>39.659604814837557</v>
      </c>
      <c r="R260" s="13">
        <f t="shared" si="16"/>
        <v>6.0047965000000003</v>
      </c>
      <c r="S260" s="42">
        <f t="shared" si="19"/>
        <v>94.751102817962661</v>
      </c>
      <c r="T260" s="13">
        <v>0</v>
      </c>
      <c r="U260" s="14">
        <f t="shared" si="17"/>
        <v>39.659604814837557</v>
      </c>
      <c r="V260" s="15">
        <f t="shared" si="18"/>
        <v>568.96109057244234</v>
      </c>
    </row>
    <row r="261" spans="2:22" x14ac:dyDescent="0.3">
      <c r="B261" t="s">
        <v>1125</v>
      </c>
      <c r="C261" s="81">
        <v>2.4</v>
      </c>
      <c r="D261" s="78">
        <v>45956</v>
      </c>
      <c r="E261">
        <v>22</v>
      </c>
      <c r="F261" t="s">
        <v>925</v>
      </c>
      <c r="G261" t="s">
        <v>918</v>
      </c>
      <c r="H261">
        <v>97</v>
      </c>
      <c r="I261">
        <v>12</v>
      </c>
      <c r="J261" t="s">
        <v>935</v>
      </c>
      <c r="K261" t="s">
        <v>1167</v>
      </c>
      <c r="M261" s="4">
        <v>278</v>
      </c>
      <c r="N261" s="4" t="s">
        <v>292</v>
      </c>
      <c r="O261" s="12">
        <v>46030.958055555559</v>
      </c>
      <c r="P261" s="5">
        <v>6.9262845000000004</v>
      </c>
      <c r="Q261" s="5">
        <v>18.150435186512752</v>
      </c>
      <c r="R261" s="13">
        <f t="shared" si="16"/>
        <v>6.9262845000000004</v>
      </c>
      <c r="S261" s="42">
        <f t="shared" si="19"/>
        <v>94.751102817962661</v>
      </c>
      <c r="T261" s="13">
        <v>0</v>
      </c>
      <c r="U261" s="14">
        <f t="shared" si="17"/>
        <v>18.150435186512752</v>
      </c>
      <c r="V261" s="15">
        <f t="shared" si="18"/>
        <v>656.27309480596114</v>
      </c>
    </row>
    <row r="262" spans="2:22" x14ac:dyDescent="0.3">
      <c r="B262" t="s">
        <v>1125</v>
      </c>
      <c r="C262" s="81">
        <v>2.4</v>
      </c>
      <c r="D262" s="78">
        <v>45956</v>
      </c>
      <c r="E262">
        <v>21</v>
      </c>
      <c r="F262" t="s">
        <v>906</v>
      </c>
      <c r="G262" t="s">
        <v>922</v>
      </c>
      <c r="H262">
        <v>97</v>
      </c>
      <c r="I262">
        <v>13</v>
      </c>
      <c r="J262" t="s">
        <v>935</v>
      </c>
      <c r="K262" t="s">
        <v>1168</v>
      </c>
      <c r="M262" s="1">
        <v>279</v>
      </c>
      <c r="N262" s="1" t="s">
        <v>293</v>
      </c>
      <c r="O262" s="2">
        <v>46030.961759259262</v>
      </c>
      <c r="P262" s="3">
        <v>6.6847669999999999</v>
      </c>
      <c r="Q262" s="3">
        <v>30.995032149326224</v>
      </c>
      <c r="R262" s="13">
        <f t="shared" si="16"/>
        <v>6.6847669999999999</v>
      </c>
      <c r="S262" s="42">
        <f t="shared" si="19"/>
        <v>94.751102817962661</v>
      </c>
      <c r="T262" s="13">
        <v>0</v>
      </c>
      <c r="U262" s="14">
        <f t="shared" si="17"/>
        <v>30.995032149326224</v>
      </c>
      <c r="V262" s="15">
        <f t="shared" si="18"/>
        <v>633.38904533112384</v>
      </c>
    </row>
    <row r="263" spans="2:22" x14ac:dyDescent="0.3">
      <c r="B263" t="s">
        <v>1125</v>
      </c>
      <c r="C263" s="81">
        <v>2.4</v>
      </c>
      <c r="D263" s="78">
        <v>45956</v>
      </c>
      <c r="E263">
        <v>24</v>
      </c>
      <c r="F263" t="s">
        <v>929</v>
      </c>
      <c r="G263" t="s">
        <v>926</v>
      </c>
      <c r="H263">
        <v>97</v>
      </c>
      <c r="I263">
        <v>14</v>
      </c>
      <c r="J263" t="s">
        <v>935</v>
      </c>
      <c r="K263" t="s">
        <v>1169</v>
      </c>
      <c r="M263" s="4">
        <v>280</v>
      </c>
      <c r="N263" s="4" t="s">
        <v>294</v>
      </c>
      <c r="O263" s="12">
        <v>46030.965486111112</v>
      </c>
      <c r="P263" s="5">
        <v>6.5371100000000002</v>
      </c>
      <c r="Q263" s="5">
        <v>17.927918087361103</v>
      </c>
      <c r="R263" s="13">
        <f t="shared" si="16"/>
        <v>6.5371100000000002</v>
      </c>
      <c r="S263" s="42">
        <f t="shared" si="19"/>
        <v>94.751102817962661</v>
      </c>
      <c r="T263" s="13">
        <v>0</v>
      </c>
      <c r="U263" s="14">
        <f t="shared" si="17"/>
        <v>17.927918087361103</v>
      </c>
      <c r="V263" s="15">
        <f t="shared" si="18"/>
        <v>619.39838174233194</v>
      </c>
    </row>
    <row r="264" spans="2:22" x14ac:dyDescent="0.3">
      <c r="B264" t="s">
        <v>1125</v>
      </c>
      <c r="C264" s="81">
        <v>2.4</v>
      </c>
      <c r="D264" s="78">
        <v>45956</v>
      </c>
      <c r="E264">
        <v>18</v>
      </c>
      <c r="F264" t="s">
        <v>910</v>
      </c>
      <c r="G264" t="s">
        <v>930</v>
      </c>
      <c r="H264">
        <v>97</v>
      </c>
      <c r="I264">
        <v>15</v>
      </c>
      <c r="J264" t="s">
        <v>935</v>
      </c>
      <c r="K264" t="s">
        <v>1170</v>
      </c>
      <c r="M264" s="1">
        <v>281</v>
      </c>
      <c r="N264" s="1" t="s">
        <v>295</v>
      </c>
      <c r="O264" s="2">
        <v>46030.969212962962</v>
      </c>
      <c r="P264" s="3">
        <v>6.623659</v>
      </c>
      <c r="Q264" s="3">
        <v>32.089086794091685</v>
      </c>
      <c r="R264" s="13">
        <f t="shared" si="16"/>
        <v>6.623659</v>
      </c>
      <c r="S264" s="42">
        <f t="shared" si="19"/>
        <v>94.751102817962661</v>
      </c>
      <c r="T264" s="13">
        <v>0</v>
      </c>
      <c r="U264" s="14">
        <f t="shared" si="17"/>
        <v>32.089086794091685</v>
      </c>
      <c r="V264" s="15">
        <f t="shared" si="18"/>
        <v>627.5989949401237</v>
      </c>
    </row>
    <row r="265" spans="2:22" x14ac:dyDescent="0.3">
      <c r="B265" t="s">
        <v>1125</v>
      </c>
      <c r="C265" s="81">
        <v>2.4</v>
      </c>
      <c r="D265" s="78">
        <v>45956</v>
      </c>
      <c r="E265">
        <v>23</v>
      </c>
      <c r="F265" t="s">
        <v>921</v>
      </c>
      <c r="G265" t="s">
        <v>933</v>
      </c>
      <c r="H265">
        <v>97</v>
      </c>
      <c r="I265">
        <v>16</v>
      </c>
      <c r="J265" t="s">
        <v>935</v>
      </c>
      <c r="K265" t="s">
        <v>1171</v>
      </c>
      <c r="M265" s="4">
        <v>282</v>
      </c>
      <c r="N265" s="4" t="s">
        <v>296</v>
      </c>
      <c r="O265" s="12">
        <v>46030.972939814812</v>
      </c>
      <c r="P265" s="5">
        <v>6.8147440000000001</v>
      </c>
      <c r="Q265" s="5">
        <v>22.680128080222296</v>
      </c>
      <c r="R265" s="13">
        <f t="shared" si="16"/>
        <v>6.8147440000000001</v>
      </c>
      <c r="S265" s="42">
        <f t="shared" si="19"/>
        <v>94.751102817962661</v>
      </c>
      <c r="T265" s="13">
        <v>0</v>
      </c>
      <c r="U265" s="14">
        <f t="shared" si="17"/>
        <v>22.680128080222296</v>
      </c>
      <c r="V265" s="15">
        <f t="shared" si="18"/>
        <v>645.70450942209413</v>
      </c>
    </row>
    <row r="266" spans="2:22" x14ac:dyDescent="0.3">
      <c r="B266" t="s">
        <v>1125</v>
      </c>
      <c r="C266" s="81">
        <v>2.4</v>
      </c>
      <c r="D266" s="78">
        <v>45956</v>
      </c>
      <c r="E266">
        <v>20</v>
      </c>
      <c r="F266" t="s">
        <v>932</v>
      </c>
      <c r="G266" t="s">
        <v>907</v>
      </c>
      <c r="H266">
        <v>97</v>
      </c>
      <c r="I266">
        <v>17</v>
      </c>
      <c r="J266" t="s">
        <v>24</v>
      </c>
      <c r="K266" t="s">
        <v>1172</v>
      </c>
      <c r="M266" s="1">
        <v>283</v>
      </c>
      <c r="N266" s="1" t="s">
        <v>297</v>
      </c>
      <c r="O266" s="2">
        <v>46030.976678240739</v>
      </c>
      <c r="P266" s="3">
        <v>5.6693385000000003</v>
      </c>
      <c r="Q266" s="3">
        <v>55.355917332546078</v>
      </c>
      <c r="R266" s="13">
        <f t="shared" si="16"/>
        <v>5.6693385000000003</v>
      </c>
      <c r="S266" s="42">
        <f t="shared" si="19"/>
        <v>94.751102817962661</v>
      </c>
      <c r="T266" s="13">
        <v>0</v>
      </c>
      <c r="U266" s="14">
        <f t="shared" si="17"/>
        <v>55.355917332546078</v>
      </c>
      <c r="V266" s="15">
        <f t="shared" si="18"/>
        <v>537.17607512333427</v>
      </c>
    </row>
    <row r="267" spans="2:22" x14ac:dyDescent="0.3">
      <c r="B267" t="s">
        <v>1125</v>
      </c>
      <c r="C267" s="81">
        <v>2.4</v>
      </c>
      <c r="D267" s="78">
        <v>45956</v>
      </c>
      <c r="E267">
        <v>19</v>
      </c>
      <c r="F267" t="s">
        <v>917</v>
      </c>
      <c r="G267" t="s">
        <v>15</v>
      </c>
      <c r="H267">
        <v>97</v>
      </c>
      <c r="I267">
        <v>18</v>
      </c>
      <c r="J267" t="s">
        <v>24</v>
      </c>
      <c r="K267" t="s">
        <v>1173</v>
      </c>
      <c r="M267" s="4">
        <v>284</v>
      </c>
      <c r="N267" s="4" t="s">
        <v>298</v>
      </c>
      <c r="O267" s="12">
        <v>46030.980416666665</v>
      </c>
      <c r="P267" s="5">
        <v>6.2884704999999999</v>
      </c>
      <c r="Q267" s="5">
        <v>57.977584231806198</v>
      </c>
      <c r="R267" s="13">
        <f t="shared" si="16"/>
        <v>6.2884704999999999</v>
      </c>
      <c r="S267" s="42">
        <f t="shared" si="19"/>
        <v>94.751102817962661</v>
      </c>
      <c r="T267" s="13">
        <v>0</v>
      </c>
      <c r="U267" s="14">
        <f t="shared" si="17"/>
        <v>57.977584231806198</v>
      </c>
      <c r="V267" s="15">
        <f t="shared" si="18"/>
        <v>595.839514913225</v>
      </c>
    </row>
    <row r="268" spans="2:22" x14ac:dyDescent="0.3">
      <c r="B268" t="s">
        <v>1125</v>
      </c>
      <c r="C268" s="81">
        <v>2.4</v>
      </c>
      <c r="D268" s="78">
        <v>45956</v>
      </c>
      <c r="E268">
        <v>17</v>
      </c>
      <c r="F268" t="s">
        <v>913</v>
      </c>
      <c r="G268" t="s">
        <v>914</v>
      </c>
      <c r="H268">
        <v>97</v>
      </c>
      <c r="I268">
        <v>19</v>
      </c>
      <c r="J268" t="s">
        <v>24</v>
      </c>
      <c r="K268" t="s">
        <v>1174</v>
      </c>
      <c r="M268" s="1">
        <v>285</v>
      </c>
      <c r="N268" s="1" t="s">
        <v>299</v>
      </c>
      <c r="O268" s="2">
        <v>46030.984143518515</v>
      </c>
      <c r="P268" s="3">
        <v>6.2332334999999999</v>
      </c>
      <c r="Q268" s="3">
        <v>74.892464644806324</v>
      </c>
      <c r="R268" s="13">
        <f t="shared" si="16"/>
        <v>6.2332334999999999</v>
      </c>
      <c r="S268" s="42">
        <f t="shared" si="19"/>
        <v>94.751102817962661</v>
      </c>
      <c r="T268" s="13">
        <v>0</v>
      </c>
      <c r="U268" s="14">
        <f t="shared" si="17"/>
        <v>74.892464644806324</v>
      </c>
      <c r="V268" s="15">
        <f t="shared" si="18"/>
        <v>590.60574824686921</v>
      </c>
    </row>
    <row r="269" spans="2:22" x14ac:dyDescent="0.3">
      <c r="B269" t="s">
        <v>1125</v>
      </c>
      <c r="C269" s="81">
        <v>2.4</v>
      </c>
      <c r="D269" s="78">
        <v>45956</v>
      </c>
      <c r="E269">
        <v>22</v>
      </c>
      <c r="F269" t="s">
        <v>925</v>
      </c>
      <c r="G269" t="s">
        <v>918</v>
      </c>
      <c r="H269">
        <v>97</v>
      </c>
      <c r="I269">
        <v>20</v>
      </c>
      <c r="J269" t="s">
        <v>24</v>
      </c>
      <c r="K269" t="s">
        <v>1175</v>
      </c>
      <c r="M269" s="4">
        <v>286</v>
      </c>
      <c r="N269" s="4" t="s">
        <v>300</v>
      </c>
      <c r="O269" s="12">
        <v>46030.987893518519</v>
      </c>
      <c r="P269" s="5">
        <v>6.8161199999999997</v>
      </c>
      <c r="Q269" s="5">
        <v>45.12579750347583</v>
      </c>
      <c r="R269" s="13">
        <f t="shared" si="16"/>
        <v>6.8161199999999997</v>
      </c>
      <c r="S269" s="42">
        <f t="shared" si="19"/>
        <v>94.751102817962661</v>
      </c>
      <c r="T269" s="13">
        <v>0</v>
      </c>
      <c r="U269" s="14">
        <f t="shared" si="17"/>
        <v>45.12579750347583</v>
      </c>
      <c r="V269" s="15">
        <f t="shared" si="18"/>
        <v>645.83488693957167</v>
      </c>
    </row>
    <row r="270" spans="2:22" x14ac:dyDescent="0.3">
      <c r="B270" t="s">
        <v>1176</v>
      </c>
      <c r="C270" s="81">
        <v>2.4</v>
      </c>
      <c r="D270" s="78">
        <v>45956</v>
      </c>
      <c r="E270">
        <v>21</v>
      </c>
      <c r="F270" t="s">
        <v>906</v>
      </c>
      <c r="G270" t="s">
        <v>922</v>
      </c>
      <c r="H270">
        <v>97</v>
      </c>
      <c r="I270">
        <v>21</v>
      </c>
      <c r="J270" t="s">
        <v>24</v>
      </c>
      <c r="K270" t="s">
        <v>1177</v>
      </c>
      <c r="M270" s="1">
        <v>287</v>
      </c>
      <c r="N270" s="1" t="s">
        <v>301</v>
      </c>
      <c r="O270" s="2">
        <v>46030.991620370369</v>
      </c>
      <c r="P270" s="3">
        <v>6.8087160000000004</v>
      </c>
      <c r="Q270" s="3">
        <v>64.202088762312528</v>
      </c>
      <c r="R270" s="13">
        <f t="shared" si="16"/>
        <v>6.8087160000000004</v>
      </c>
      <c r="S270" s="42">
        <f t="shared" si="19"/>
        <v>94.751102817962661</v>
      </c>
      <c r="T270" s="13">
        <v>0</v>
      </c>
      <c r="U270" s="14">
        <f t="shared" si="17"/>
        <v>64.202088762312528</v>
      </c>
      <c r="V270" s="15">
        <f t="shared" si="18"/>
        <v>645.13334977430748</v>
      </c>
    </row>
    <row r="271" spans="2:22" x14ac:dyDescent="0.3">
      <c r="B271" t="s">
        <v>1176</v>
      </c>
      <c r="C271" s="81">
        <v>2.4</v>
      </c>
      <c r="D271" s="78">
        <v>45956</v>
      </c>
      <c r="E271">
        <v>24</v>
      </c>
      <c r="F271" t="s">
        <v>929</v>
      </c>
      <c r="G271" t="s">
        <v>926</v>
      </c>
      <c r="H271">
        <v>97</v>
      </c>
      <c r="I271">
        <v>22</v>
      </c>
      <c r="J271" t="s">
        <v>24</v>
      </c>
      <c r="K271" t="s">
        <v>1178</v>
      </c>
      <c r="M271" s="4">
        <v>288</v>
      </c>
      <c r="N271" s="4" t="s">
        <v>302</v>
      </c>
      <c r="O271" s="12">
        <v>46030.995358796295</v>
      </c>
      <c r="P271" s="5">
        <v>6.7475335000000003</v>
      </c>
      <c r="Q271" s="5">
        <v>42.753617673841006</v>
      </c>
      <c r="R271" s="13">
        <f t="shared" si="16"/>
        <v>6.7475335000000003</v>
      </c>
      <c r="S271" s="42">
        <f t="shared" si="19"/>
        <v>94.751102817962661</v>
      </c>
      <c r="T271" s="13">
        <v>0</v>
      </c>
      <c r="U271" s="14">
        <f t="shared" si="17"/>
        <v>42.753617673841006</v>
      </c>
      <c r="V271" s="15">
        <f t="shared" si="18"/>
        <v>639.33624042614747</v>
      </c>
    </row>
    <row r="272" spans="2:22" x14ac:dyDescent="0.3">
      <c r="B272" t="s">
        <v>1176</v>
      </c>
      <c r="C272" s="81">
        <v>2.4</v>
      </c>
      <c r="D272" s="78">
        <v>45956</v>
      </c>
      <c r="E272">
        <v>18</v>
      </c>
      <c r="F272" t="s">
        <v>910</v>
      </c>
      <c r="G272" t="s">
        <v>930</v>
      </c>
      <c r="H272">
        <v>97</v>
      </c>
      <c r="I272">
        <v>23</v>
      </c>
      <c r="J272" t="s">
        <v>24</v>
      </c>
      <c r="K272" t="s">
        <v>1179</v>
      </c>
      <c r="M272" s="1">
        <v>289</v>
      </c>
      <c r="N272" s="1" t="s">
        <v>303</v>
      </c>
      <c r="O272" s="2">
        <v>46030.999097222222</v>
      </c>
      <c r="P272" s="3">
        <v>6.5599584999999996</v>
      </c>
      <c r="Q272" s="3">
        <v>64.089364643003506</v>
      </c>
      <c r="R272" s="13">
        <f t="shared" si="16"/>
        <v>6.5599584999999996</v>
      </c>
      <c r="S272" s="42">
        <f t="shared" si="19"/>
        <v>94.751102817962661</v>
      </c>
      <c r="T272" s="13">
        <v>0</v>
      </c>
      <c r="U272" s="14">
        <f t="shared" si="17"/>
        <v>64.089364643003506</v>
      </c>
      <c r="V272" s="15">
        <f t="shared" si="18"/>
        <v>621.56330231506809</v>
      </c>
    </row>
    <row r="273" spans="2:22" x14ac:dyDescent="0.3">
      <c r="B273" t="s">
        <v>1176</v>
      </c>
      <c r="C273" s="81">
        <v>2.4</v>
      </c>
      <c r="D273" s="78">
        <v>45956</v>
      </c>
      <c r="E273">
        <v>23</v>
      </c>
      <c r="F273" t="s">
        <v>921</v>
      </c>
      <c r="G273" t="s">
        <v>933</v>
      </c>
      <c r="H273">
        <v>97</v>
      </c>
      <c r="I273">
        <v>24</v>
      </c>
      <c r="J273" t="s">
        <v>24</v>
      </c>
      <c r="K273" t="s">
        <v>1180</v>
      </c>
      <c r="M273" s="4">
        <v>290</v>
      </c>
      <c r="N273" s="4" t="s">
        <v>304</v>
      </c>
      <c r="O273" s="12">
        <v>46031.002835648149</v>
      </c>
      <c r="P273" s="5">
        <v>7.3419790000000003</v>
      </c>
      <c r="Q273" s="5">
        <v>41.817087336116721</v>
      </c>
      <c r="R273" s="13">
        <f t="shared" si="16"/>
        <v>7.3419790000000003</v>
      </c>
      <c r="S273" s="42">
        <f t="shared" si="19"/>
        <v>94.751102817962661</v>
      </c>
      <c r="T273" s="13">
        <v>0</v>
      </c>
      <c r="U273" s="14">
        <f t="shared" si="17"/>
        <v>41.817087336116721</v>
      </c>
      <c r="V273" s="15">
        <f t="shared" si="18"/>
        <v>695.66060711632269</v>
      </c>
    </row>
    <row r="274" spans="2:22" x14ac:dyDescent="0.3">
      <c r="B274" t="s">
        <v>1176</v>
      </c>
      <c r="C274" s="81">
        <v>2.4</v>
      </c>
      <c r="D274" s="78">
        <v>45956</v>
      </c>
      <c r="E274">
        <v>20</v>
      </c>
      <c r="F274" t="s">
        <v>932</v>
      </c>
      <c r="G274" t="s">
        <v>907</v>
      </c>
      <c r="H274">
        <v>97</v>
      </c>
      <c r="I274">
        <v>25</v>
      </c>
      <c r="J274" t="s">
        <v>25</v>
      </c>
      <c r="K274" t="s">
        <v>1181</v>
      </c>
      <c r="M274" s="1">
        <v>291</v>
      </c>
      <c r="N274" s="1" t="s">
        <v>305</v>
      </c>
      <c r="O274" s="2">
        <v>46031.006550925929</v>
      </c>
      <c r="P274" s="3">
        <v>6.0159890000000003</v>
      </c>
      <c r="Q274" s="3">
        <v>74.663097032424758</v>
      </c>
      <c r="R274" s="13">
        <f t="shared" si="16"/>
        <v>6.0159890000000003</v>
      </c>
      <c r="S274" s="42">
        <f t="shared" si="19"/>
        <v>94.751102817962661</v>
      </c>
      <c r="T274" s="13">
        <v>0</v>
      </c>
      <c r="U274" s="14">
        <f t="shared" si="17"/>
        <v>74.663097032424758</v>
      </c>
      <c r="V274" s="15">
        <f t="shared" si="18"/>
        <v>570.02159229073243</v>
      </c>
    </row>
    <row r="275" spans="2:22" x14ac:dyDescent="0.3">
      <c r="B275" t="s">
        <v>1176</v>
      </c>
      <c r="C275" s="81">
        <v>2.4</v>
      </c>
      <c r="D275" s="78">
        <v>45956</v>
      </c>
      <c r="E275">
        <v>19</v>
      </c>
      <c r="F275" t="s">
        <v>917</v>
      </c>
      <c r="G275" t="s">
        <v>15</v>
      </c>
      <c r="H275">
        <v>97</v>
      </c>
      <c r="I275">
        <v>26</v>
      </c>
      <c r="J275" t="s">
        <v>25</v>
      </c>
      <c r="K275" t="s">
        <v>1182</v>
      </c>
      <c r="M275" s="4">
        <v>292</v>
      </c>
      <c r="N275" s="4" t="s">
        <v>306</v>
      </c>
      <c r="O275" s="12">
        <v>46031.010277777779</v>
      </c>
      <c r="P275" s="5">
        <v>6.1231885000000004</v>
      </c>
      <c r="Q275" s="5">
        <v>87.235337636235869</v>
      </c>
      <c r="R275" s="13">
        <f t="shared" si="16"/>
        <v>6.1231885000000004</v>
      </c>
      <c r="S275" s="42">
        <f t="shared" si="19"/>
        <v>94.751102817962661</v>
      </c>
      <c r="T275" s="13">
        <v>0</v>
      </c>
      <c r="U275" s="14">
        <f t="shared" si="17"/>
        <v>87.235337636235869</v>
      </c>
      <c r="V275" s="15">
        <f t="shared" si="18"/>
        <v>580.1788631372666</v>
      </c>
    </row>
    <row r="276" spans="2:22" x14ac:dyDescent="0.3">
      <c r="B276" t="s">
        <v>1176</v>
      </c>
      <c r="C276" s="81">
        <v>2.4</v>
      </c>
      <c r="D276" s="78">
        <v>45956</v>
      </c>
      <c r="E276">
        <v>17</v>
      </c>
      <c r="F276" t="s">
        <v>913</v>
      </c>
      <c r="G276" t="s">
        <v>914</v>
      </c>
      <c r="H276">
        <v>97</v>
      </c>
      <c r="I276">
        <v>27</v>
      </c>
      <c r="J276" t="s">
        <v>25</v>
      </c>
      <c r="K276" t="s">
        <v>1183</v>
      </c>
      <c r="M276" s="1">
        <v>293</v>
      </c>
      <c r="N276" s="1" t="s">
        <v>307</v>
      </c>
      <c r="O276" s="2">
        <v>46031.014016203706</v>
      </c>
      <c r="P276" s="3">
        <v>6.4664485000000003</v>
      </c>
      <c r="Q276" s="3">
        <v>104.35332317158309</v>
      </c>
      <c r="R276" s="13">
        <f t="shared" si="16"/>
        <v>6.4664485000000003</v>
      </c>
      <c r="S276" s="42">
        <f t="shared" si="19"/>
        <v>94.751102817962661</v>
      </c>
      <c r="T276" s="13">
        <v>0</v>
      </c>
      <c r="U276" s="14">
        <f t="shared" si="17"/>
        <v>104.35332317158309</v>
      </c>
      <c r="V276" s="15">
        <f t="shared" si="18"/>
        <v>612.70312669056045</v>
      </c>
    </row>
    <row r="277" spans="2:22" x14ac:dyDescent="0.3">
      <c r="B277" t="s">
        <v>1176</v>
      </c>
      <c r="C277" s="81">
        <v>2.4</v>
      </c>
      <c r="D277" s="78">
        <v>45956</v>
      </c>
      <c r="E277">
        <v>22</v>
      </c>
      <c r="F277" t="s">
        <v>925</v>
      </c>
      <c r="G277" t="s">
        <v>918</v>
      </c>
      <c r="H277">
        <v>97</v>
      </c>
      <c r="I277">
        <v>28</v>
      </c>
      <c r="J277" t="s">
        <v>25</v>
      </c>
      <c r="K277" t="s">
        <v>1184</v>
      </c>
      <c r="M277" s="4">
        <v>294</v>
      </c>
      <c r="N277" s="4" t="s">
        <v>308</v>
      </c>
      <c r="O277" s="12">
        <v>46031.017731481479</v>
      </c>
      <c r="P277" s="5">
        <v>7.2511634999999997</v>
      </c>
      <c r="Q277" s="5">
        <v>60.587372323427715</v>
      </c>
      <c r="R277" s="13">
        <f t="shared" si="16"/>
        <v>7.2511634999999997</v>
      </c>
      <c r="S277" s="42">
        <f t="shared" si="19"/>
        <v>94.751102817962661</v>
      </c>
      <c r="T277" s="13">
        <v>0</v>
      </c>
      <c r="U277" s="14">
        <f t="shared" si="17"/>
        <v>60.587372323427715</v>
      </c>
      <c r="V277" s="15">
        <f t="shared" si="18"/>
        <v>687.05573833835797</v>
      </c>
    </row>
    <row r="278" spans="2:22" x14ac:dyDescent="0.3">
      <c r="B278" t="s">
        <v>1176</v>
      </c>
      <c r="C278" s="81">
        <v>2.4</v>
      </c>
      <c r="D278" s="78">
        <v>45956</v>
      </c>
      <c r="E278">
        <v>21</v>
      </c>
      <c r="F278" t="s">
        <v>906</v>
      </c>
      <c r="G278" t="s">
        <v>922</v>
      </c>
      <c r="H278">
        <v>97</v>
      </c>
      <c r="I278">
        <v>29</v>
      </c>
      <c r="J278" t="s">
        <v>25</v>
      </c>
      <c r="K278" t="s">
        <v>1185</v>
      </c>
      <c r="M278" s="1">
        <v>295</v>
      </c>
      <c r="N278" s="1" t="s">
        <v>309</v>
      </c>
      <c r="O278" s="2">
        <v>46031.021458333336</v>
      </c>
      <c r="P278" s="3">
        <v>6.8670875000000002</v>
      </c>
      <c r="Q278" s="3">
        <v>90.255574437717627</v>
      </c>
      <c r="R278" s="13">
        <f t="shared" si="16"/>
        <v>6.8670875000000002</v>
      </c>
      <c r="S278" s="42">
        <f t="shared" si="19"/>
        <v>94.751102817962661</v>
      </c>
      <c r="T278" s="13">
        <v>0</v>
      </c>
      <c r="U278" s="14">
        <f t="shared" si="17"/>
        <v>90.255574437717627</v>
      </c>
      <c r="V278" s="15">
        <f t="shared" si="18"/>
        <v>650.66411377244617</v>
      </c>
    </row>
    <row r="279" spans="2:22" x14ac:dyDescent="0.3">
      <c r="B279" t="s">
        <v>1176</v>
      </c>
      <c r="C279" s="81">
        <v>2.4</v>
      </c>
      <c r="D279" s="78">
        <v>45956</v>
      </c>
      <c r="E279">
        <v>24</v>
      </c>
      <c r="F279" t="s">
        <v>929</v>
      </c>
      <c r="G279" t="s">
        <v>926</v>
      </c>
      <c r="H279">
        <v>97</v>
      </c>
      <c r="I279">
        <v>30</v>
      </c>
      <c r="J279" t="s">
        <v>25</v>
      </c>
      <c r="K279" t="s">
        <v>1186</v>
      </c>
      <c r="M279" s="4">
        <v>296</v>
      </c>
      <c r="N279" s="4" t="s">
        <v>310</v>
      </c>
      <c r="O279" s="12">
        <v>46031.025185185186</v>
      </c>
      <c r="P279" s="5">
        <v>7.0821370000000003</v>
      </c>
      <c r="Q279" s="5">
        <v>62.53452969842742</v>
      </c>
      <c r="R279" s="13">
        <f t="shared" si="16"/>
        <v>7.0821370000000003</v>
      </c>
      <c r="S279" s="42">
        <f t="shared" si="19"/>
        <v>94.751102817962661</v>
      </c>
      <c r="T279" s="13">
        <v>0</v>
      </c>
      <c r="U279" s="14">
        <f t="shared" si="17"/>
        <v>62.53452969842742</v>
      </c>
      <c r="V279" s="15">
        <f t="shared" si="18"/>
        <v>671.04029105789766</v>
      </c>
    </row>
    <row r="280" spans="2:22" x14ac:dyDescent="0.3">
      <c r="B280" t="s">
        <v>1176</v>
      </c>
      <c r="C280" s="81">
        <v>2.4</v>
      </c>
      <c r="D280" s="78">
        <v>45956</v>
      </c>
      <c r="E280">
        <v>18</v>
      </c>
      <c r="F280" t="s">
        <v>910</v>
      </c>
      <c r="G280" t="s">
        <v>930</v>
      </c>
      <c r="H280">
        <v>97</v>
      </c>
      <c r="I280">
        <v>31</v>
      </c>
      <c r="J280" t="s">
        <v>25</v>
      </c>
      <c r="K280" s="80" t="s">
        <v>1187</v>
      </c>
      <c r="M280" s="1">
        <v>297</v>
      </c>
      <c r="N280" s="1" t="s">
        <v>311</v>
      </c>
      <c r="O280" s="2">
        <v>46031.028923611113</v>
      </c>
      <c r="P280" s="3">
        <v>6.5404974999999999</v>
      </c>
      <c r="Q280" s="3">
        <v>97.754585010558742</v>
      </c>
      <c r="R280" s="13">
        <f t="shared" si="16"/>
        <v>6.5404974999999999</v>
      </c>
      <c r="S280" s="42">
        <f t="shared" si="19"/>
        <v>94.751102817962661</v>
      </c>
      <c r="T280" s="13">
        <v>0</v>
      </c>
      <c r="U280" s="14">
        <f t="shared" si="17"/>
        <v>97.754585010558742</v>
      </c>
      <c r="V280" s="15">
        <f t="shared" si="18"/>
        <v>619.71935110312768</v>
      </c>
    </row>
    <row r="281" spans="2:22" x14ac:dyDescent="0.3">
      <c r="B281" t="s">
        <v>1176</v>
      </c>
      <c r="C281" s="81">
        <v>2.4</v>
      </c>
      <c r="D281" s="78">
        <v>45956</v>
      </c>
      <c r="E281">
        <v>23</v>
      </c>
      <c r="F281" t="s">
        <v>921</v>
      </c>
      <c r="G281" t="s">
        <v>933</v>
      </c>
      <c r="H281">
        <v>97</v>
      </c>
      <c r="I281">
        <v>32</v>
      </c>
      <c r="J281" t="s">
        <v>25</v>
      </c>
      <c r="K281" t="s">
        <v>1188</v>
      </c>
      <c r="M281" s="4">
        <v>298</v>
      </c>
      <c r="N281" s="4" t="s">
        <v>312</v>
      </c>
      <c r="O281" s="12">
        <v>46031.03266203704</v>
      </c>
      <c r="P281" s="5">
        <v>7.7604575000000002</v>
      </c>
      <c r="Q281" s="5">
        <v>59.349593156976226</v>
      </c>
      <c r="R281" s="13">
        <f t="shared" si="16"/>
        <v>7.7604575000000002</v>
      </c>
      <c r="S281" s="42">
        <f t="shared" si="19"/>
        <v>94.751102817962661</v>
      </c>
      <c r="T281" s="13">
        <v>0</v>
      </c>
      <c r="U281" s="14">
        <f t="shared" si="17"/>
        <v>59.349593156976226</v>
      </c>
      <c r="V281" s="15">
        <f t="shared" si="18"/>
        <v>735.31190649692951</v>
      </c>
    </row>
    <row r="282" spans="2:22" x14ac:dyDescent="0.3">
      <c r="M282" s="1">
        <v>299</v>
      </c>
      <c r="N282" s="1" t="s">
        <v>313</v>
      </c>
      <c r="O282" s="2">
        <v>46031.036527777775</v>
      </c>
      <c r="P282" s="3">
        <v>21.063866000000001</v>
      </c>
      <c r="Q282" s="3">
        <v>-6.7699548695887479</v>
      </c>
      <c r="R282" s="13">
        <f t="shared" si="16"/>
        <v>21.063866000000001</v>
      </c>
      <c r="S282" s="42">
        <f t="shared" si="19"/>
        <v>94.751102817962661</v>
      </c>
      <c r="T282" s="13">
        <v>0</v>
      </c>
      <c r="U282" s="14">
        <f t="shared" si="17"/>
        <v>-6.7699548695887479</v>
      </c>
      <c r="V282" s="15">
        <f t="shared" si="18"/>
        <v>1995.824533109788</v>
      </c>
    </row>
    <row r="283" spans="2:22" x14ac:dyDescent="0.3">
      <c r="M283" s="4">
        <v>300</v>
      </c>
      <c r="N283" s="4" t="s">
        <v>314</v>
      </c>
      <c r="O283" s="12">
        <v>46031.040254629632</v>
      </c>
      <c r="P283" s="5">
        <v>9.3828530000000008</v>
      </c>
      <c r="Q283" s="5">
        <v>-9.1282343463199034</v>
      </c>
      <c r="R283" s="13">
        <f t="shared" si="16"/>
        <v>9.3828530000000008</v>
      </c>
      <c r="S283" s="42">
        <f t="shared" si="19"/>
        <v>94.751102817962661</v>
      </c>
      <c r="T283" s="13">
        <v>0</v>
      </c>
      <c r="U283" s="14">
        <f t="shared" si="17"/>
        <v>-9.1282343463199034</v>
      </c>
      <c r="V283" s="15">
        <f t="shared" si="18"/>
        <v>889.0356693288295</v>
      </c>
    </row>
    <row r="284" spans="2:22" x14ac:dyDescent="0.3">
      <c r="M284" s="1">
        <v>301</v>
      </c>
      <c r="N284" s="1" t="s">
        <v>315</v>
      </c>
      <c r="O284" s="2">
        <v>46031.043993055559</v>
      </c>
      <c r="P284" s="3">
        <v>6.1094745000000001</v>
      </c>
      <c r="Q284" s="3">
        <v>-11.972246537038425</v>
      </c>
      <c r="R284" s="13">
        <f t="shared" si="16"/>
        <v>6.1094745000000001</v>
      </c>
      <c r="S284" s="42">
        <f t="shared" si="19"/>
        <v>94.751102817962661</v>
      </c>
      <c r="T284" s="13">
        <v>0</v>
      </c>
      <c r="U284" s="14">
        <f t="shared" si="17"/>
        <v>-11.972246537038425</v>
      </c>
      <c r="V284" s="15">
        <f t="shared" si="18"/>
        <v>578.87944651322107</v>
      </c>
    </row>
    <row r="285" spans="2:22" x14ac:dyDescent="0.3">
      <c r="M285" s="4">
        <v>302</v>
      </c>
      <c r="N285" s="4" t="s">
        <v>316</v>
      </c>
      <c r="O285" s="12">
        <v>46031.047766203701</v>
      </c>
      <c r="P285" s="5">
        <v>3.816846</v>
      </c>
      <c r="Q285" s="5">
        <v>-14.589955242100432</v>
      </c>
      <c r="R285" s="13">
        <f t="shared" si="16"/>
        <v>3.816846</v>
      </c>
      <c r="S285" s="42">
        <f t="shared" si="19"/>
        <v>94.751102817962661</v>
      </c>
      <c r="T285" s="13">
        <v>0</v>
      </c>
      <c r="U285" s="14">
        <f t="shared" si="17"/>
        <v>-14.589955242100432</v>
      </c>
      <c r="V285" s="15">
        <f t="shared" si="18"/>
        <v>361.65036778632953</v>
      </c>
    </row>
    <row r="286" spans="2:22" x14ac:dyDescent="0.3">
      <c r="M286" s="1">
        <v>303</v>
      </c>
      <c r="N286" s="1" t="s">
        <v>317</v>
      </c>
      <c r="O286" s="2">
        <v>46031.051585648151</v>
      </c>
      <c r="P286" s="3">
        <v>2.4135469999999999</v>
      </c>
      <c r="Q286" s="3">
        <v>-16.68310315231026</v>
      </c>
      <c r="R286" s="13">
        <f t="shared" si="16"/>
        <v>2.4135469999999999</v>
      </c>
      <c r="S286" s="42">
        <f t="shared" si="19"/>
        <v>94.751102817962661</v>
      </c>
      <c r="T286" s="13">
        <v>0</v>
      </c>
      <c r="U286" s="14">
        <f t="shared" si="17"/>
        <v>-16.68310315231026</v>
      </c>
      <c r="V286" s="15">
        <f t="shared" si="18"/>
        <v>228.68623995298532</v>
      </c>
    </row>
    <row r="287" spans="2:22" x14ac:dyDescent="0.3">
      <c r="M287" s="4">
        <v>304</v>
      </c>
      <c r="N287" s="4" t="s">
        <v>318</v>
      </c>
      <c r="O287" s="12">
        <v>46031.055312500001</v>
      </c>
      <c r="P287" s="5">
        <v>23.026613999999999</v>
      </c>
      <c r="Q287" s="5">
        <v>-7.407609359284443</v>
      </c>
      <c r="R287" s="13">
        <f t="shared" si="16"/>
        <v>23.026613999999999</v>
      </c>
      <c r="S287" s="42">
        <f t="shared" si="19"/>
        <v>94.751102817962661</v>
      </c>
      <c r="T287" s="13">
        <v>0</v>
      </c>
      <c r="U287" s="14">
        <f t="shared" si="17"/>
        <v>-7.407609359284443</v>
      </c>
      <c r="V287" s="15">
        <f t="shared" si="18"/>
        <v>2181.7970706635383</v>
      </c>
    </row>
    <row r="288" spans="2:22" x14ac:dyDescent="0.3">
      <c r="M288" s="1">
        <v>305</v>
      </c>
      <c r="N288" s="1" t="s">
        <v>319</v>
      </c>
      <c r="O288" s="2">
        <v>46031.059074074074</v>
      </c>
      <c r="P288" s="3">
        <v>15.03167</v>
      </c>
      <c r="Q288" s="3">
        <v>-8.2005830021609434</v>
      </c>
      <c r="R288" s="13">
        <f t="shared" si="16"/>
        <v>15.03167</v>
      </c>
      <c r="S288" s="42">
        <f t="shared" si="19"/>
        <v>94.751102817962661</v>
      </c>
      <c r="T288" s="13">
        <v>0</v>
      </c>
      <c r="U288" s="14">
        <f t="shared" si="17"/>
        <v>-8.2005830021609434</v>
      </c>
      <c r="V288" s="15">
        <f t="shared" si="18"/>
        <v>1424.2673096956848</v>
      </c>
    </row>
    <row r="289" spans="1:22" x14ac:dyDescent="0.3">
      <c r="M289" s="4">
        <v>306</v>
      </c>
      <c r="N289" s="4" t="s">
        <v>320</v>
      </c>
      <c r="O289" s="12">
        <v>46031.0628125</v>
      </c>
      <c r="P289" s="5">
        <v>9.2054639999999992</v>
      </c>
      <c r="Q289" s="5">
        <v>-10.262808590891822</v>
      </c>
      <c r="R289" s="13">
        <f t="shared" si="16"/>
        <v>9.2054639999999992</v>
      </c>
      <c r="S289" s="42">
        <f t="shared" si="19"/>
        <v>94.751102817962661</v>
      </c>
      <c r="T289" s="13">
        <v>0</v>
      </c>
      <c r="U289" s="14">
        <f t="shared" si="17"/>
        <v>-10.262808590891822</v>
      </c>
      <c r="V289" s="15">
        <f t="shared" si="18"/>
        <v>872.22786595105379</v>
      </c>
    </row>
    <row r="290" spans="1:22" x14ac:dyDescent="0.3">
      <c r="M290" s="1">
        <v>307</v>
      </c>
      <c r="N290" s="1" t="s">
        <v>321</v>
      </c>
      <c r="O290" s="2">
        <v>46031.066550925927</v>
      </c>
      <c r="P290" s="3">
        <v>7.2925494999999998</v>
      </c>
      <c r="Q290" s="3">
        <v>-11.725878080355812</v>
      </c>
      <c r="R290" s="13">
        <f t="shared" si="16"/>
        <v>7.2925494999999998</v>
      </c>
      <c r="S290" s="42">
        <f t="shared" si="19"/>
        <v>94.751102817962661</v>
      </c>
      <c r="T290" s="13">
        <v>0</v>
      </c>
      <c r="U290" s="14">
        <f t="shared" si="17"/>
        <v>-11.725878080355812</v>
      </c>
      <c r="V290" s="15">
        <f t="shared" si="18"/>
        <v>690.97710747958217</v>
      </c>
    </row>
    <row r="291" spans="1:22" x14ac:dyDescent="0.3">
      <c r="M291" s="63">
        <v>308</v>
      </c>
      <c r="N291" s="63" t="s">
        <v>322</v>
      </c>
      <c r="O291" s="64">
        <v>46031.0703125</v>
      </c>
      <c r="P291" s="65">
        <v>3.01438125</v>
      </c>
      <c r="Q291" s="65">
        <v>-18.25746762172755</v>
      </c>
      <c r="R291" s="13">
        <f t="shared" si="16"/>
        <v>3.01438125</v>
      </c>
      <c r="S291" s="42">
        <f t="shared" si="19"/>
        <v>94.751102817962661</v>
      </c>
      <c r="T291" s="13">
        <v>0</v>
      </c>
      <c r="U291" s="14">
        <f t="shared" si="17"/>
        <v>-18.25746762172755</v>
      </c>
      <c r="V291" s="15">
        <f t="shared" si="18"/>
        <v>285.61594775128879</v>
      </c>
    </row>
    <row r="292" spans="1:22" x14ac:dyDescent="0.3">
      <c r="A292">
        <v>2</v>
      </c>
      <c r="B292" s="83">
        <v>3.1</v>
      </c>
      <c r="C292" s="78">
        <v>45961</v>
      </c>
      <c r="D292" s="78">
        <v>45963</v>
      </c>
      <c r="E292">
        <v>25</v>
      </c>
      <c r="F292" t="s">
        <v>917</v>
      </c>
      <c r="G292" t="s">
        <v>907</v>
      </c>
      <c r="H292">
        <v>7</v>
      </c>
      <c r="I292">
        <v>1</v>
      </c>
      <c r="J292" t="s">
        <v>908</v>
      </c>
      <c r="K292" t="s">
        <v>1189</v>
      </c>
      <c r="M292" s="66">
        <v>313</v>
      </c>
      <c r="N292" s="1" t="s">
        <v>323</v>
      </c>
      <c r="O292" s="2">
        <v>46031.410960648151</v>
      </c>
      <c r="P292" s="3">
        <v>6.2300190000000004</v>
      </c>
      <c r="Q292" s="3">
        <v>-15.419169156105916</v>
      </c>
      <c r="R292" s="13">
        <f t="shared" si="16"/>
        <v>6.2300190000000004</v>
      </c>
      <c r="S292" s="42">
        <f t="shared" si="19"/>
        <v>94.751102817962661</v>
      </c>
      <c r="T292" s="13">
        <v>0</v>
      </c>
      <c r="U292" s="14">
        <f t="shared" si="17"/>
        <v>-15.419169156105916</v>
      </c>
      <c r="V292" s="15">
        <f t="shared" si="18"/>
        <v>590.30117082686093</v>
      </c>
    </row>
    <row r="293" spans="1:22" x14ac:dyDescent="0.3">
      <c r="A293">
        <v>2</v>
      </c>
      <c r="B293" s="83">
        <v>3.1</v>
      </c>
      <c r="C293" s="78">
        <v>45961</v>
      </c>
      <c r="D293" s="78">
        <v>45963</v>
      </c>
      <c r="E293">
        <v>27</v>
      </c>
      <c r="F293" t="s">
        <v>913</v>
      </c>
      <c r="G293" t="s">
        <v>15</v>
      </c>
      <c r="H293">
        <v>7</v>
      </c>
      <c r="I293">
        <v>2</v>
      </c>
      <c r="J293" t="s">
        <v>908</v>
      </c>
      <c r="K293" t="s">
        <v>1190</v>
      </c>
      <c r="M293" s="4">
        <v>314</v>
      </c>
      <c r="N293" s="4" t="s">
        <v>324</v>
      </c>
      <c r="O293" s="12">
        <v>46031.414675925924</v>
      </c>
      <c r="P293" s="5">
        <v>6.2703205000000004</v>
      </c>
      <c r="Q293" s="5">
        <v>-14.807412741523192</v>
      </c>
      <c r="R293" s="13">
        <f t="shared" si="16"/>
        <v>6.2703205000000004</v>
      </c>
      <c r="S293" s="42">
        <f t="shared" si="19"/>
        <v>94.751102817962661</v>
      </c>
      <c r="T293" s="13">
        <v>0</v>
      </c>
      <c r="U293" s="14">
        <f t="shared" si="17"/>
        <v>-14.807412741523192</v>
      </c>
      <c r="V293" s="15">
        <f t="shared" si="18"/>
        <v>594.11978239707912</v>
      </c>
    </row>
    <row r="294" spans="1:22" x14ac:dyDescent="0.3">
      <c r="A294">
        <v>2</v>
      </c>
      <c r="B294" s="83">
        <v>3.1</v>
      </c>
      <c r="C294" s="78">
        <v>45961</v>
      </c>
      <c r="D294" s="78">
        <v>45963</v>
      </c>
      <c r="E294">
        <v>26</v>
      </c>
      <c r="F294" t="s">
        <v>932</v>
      </c>
      <c r="G294" t="s">
        <v>914</v>
      </c>
      <c r="H294">
        <v>7</v>
      </c>
      <c r="I294">
        <v>3</v>
      </c>
      <c r="J294" t="s">
        <v>908</v>
      </c>
      <c r="K294" t="s">
        <v>1191</v>
      </c>
      <c r="M294" s="1">
        <v>315</v>
      </c>
      <c r="N294" s="1" t="s">
        <v>325</v>
      </c>
      <c r="O294" s="2">
        <v>46031.418414351851</v>
      </c>
      <c r="P294" s="3">
        <v>7.1419544999999998</v>
      </c>
      <c r="Q294" s="3">
        <v>-16.826297007988927</v>
      </c>
      <c r="R294" s="13">
        <f t="shared" si="16"/>
        <v>7.1419544999999998</v>
      </c>
      <c r="S294" s="42">
        <f t="shared" si="19"/>
        <v>94.751102817962661</v>
      </c>
      <c r="T294" s="13">
        <v>0</v>
      </c>
      <c r="U294" s="14">
        <f t="shared" si="17"/>
        <v>-16.826297007988927</v>
      </c>
      <c r="V294" s="15">
        <f t="shared" si="18"/>
        <v>676.70806515071104</v>
      </c>
    </row>
    <row r="295" spans="1:22" x14ac:dyDescent="0.3">
      <c r="A295">
        <v>2</v>
      </c>
      <c r="B295" s="83">
        <v>3.1</v>
      </c>
      <c r="C295" s="78">
        <v>45961</v>
      </c>
      <c r="D295" s="78">
        <v>45963</v>
      </c>
      <c r="E295">
        <v>29</v>
      </c>
      <c r="F295" t="s">
        <v>921</v>
      </c>
      <c r="G295" t="s">
        <v>918</v>
      </c>
      <c r="H295">
        <v>7</v>
      </c>
      <c r="I295">
        <v>4</v>
      </c>
      <c r="J295" t="s">
        <v>908</v>
      </c>
      <c r="K295" t="s">
        <v>1192</v>
      </c>
      <c r="M295" s="4">
        <v>316</v>
      </c>
      <c r="N295" s="4" t="s">
        <v>326</v>
      </c>
      <c r="O295" s="12">
        <v>46031.422129629631</v>
      </c>
      <c r="P295" s="5">
        <v>6.4997505000000002</v>
      </c>
      <c r="Q295" s="5">
        <v>-15.318903403369564</v>
      </c>
      <c r="R295" s="13">
        <f t="shared" si="16"/>
        <v>6.4997505000000002</v>
      </c>
      <c r="S295" s="42">
        <f t="shared" si="19"/>
        <v>94.751102817962661</v>
      </c>
      <c r="T295" s="13">
        <v>0</v>
      </c>
      <c r="U295" s="14">
        <f t="shared" si="17"/>
        <v>-15.318903403369564</v>
      </c>
      <c r="V295" s="15">
        <f t="shared" si="18"/>
        <v>615.8585279166042</v>
      </c>
    </row>
    <row r="296" spans="1:22" x14ac:dyDescent="0.3">
      <c r="A296">
        <v>2</v>
      </c>
      <c r="B296" s="83">
        <v>3.1</v>
      </c>
      <c r="C296" s="78">
        <v>45961</v>
      </c>
      <c r="D296" s="78">
        <v>45963</v>
      </c>
      <c r="E296">
        <v>32</v>
      </c>
      <c r="F296" t="s">
        <v>925</v>
      </c>
      <c r="G296" t="s">
        <v>922</v>
      </c>
      <c r="H296">
        <v>7</v>
      </c>
      <c r="I296">
        <v>5</v>
      </c>
      <c r="J296" t="s">
        <v>908</v>
      </c>
      <c r="K296" t="s">
        <v>1193</v>
      </c>
      <c r="M296" s="1">
        <v>317</v>
      </c>
      <c r="N296" s="1" t="s">
        <v>327</v>
      </c>
      <c r="O296" s="2">
        <v>46031.425844907404</v>
      </c>
      <c r="P296" s="3">
        <v>6.8059275000000001</v>
      </c>
      <c r="Q296" s="3">
        <v>-16.518993142985629</v>
      </c>
      <c r="R296" s="13">
        <f t="shared" si="16"/>
        <v>6.8059275000000001</v>
      </c>
      <c r="S296" s="42">
        <f t="shared" si="19"/>
        <v>94.751102817962661</v>
      </c>
      <c r="T296" s="13">
        <v>0</v>
      </c>
      <c r="U296" s="14">
        <f t="shared" si="17"/>
        <v>-16.518993142985629</v>
      </c>
      <c r="V296" s="15">
        <f t="shared" si="18"/>
        <v>644.8691363240996</v>
      </c>
    </row>
    <row r="297" spans="1:22" x14ac:dyDescent="0.3">
      <c r="A297">
        <v>2</v>
      </c>
      <c r="B297" s="83">
        <v>3.1</v>
      </c>
      <c r="C297" s="78">
        <v>45961</v>
      </c>
      <c r="D297" s="78">
        <v>45963</v>
      </c>
      <c r="E297">
        <v>30</v>
      </c>
      <c r="F297" t="s">
        <v>929</v>
      </c>
      <c r="G297" t="s">
        <v>926</v>
      </c>
      <c r="H297">
        <v>7</v>
      </c>
      <c r="I297">
        <v>6</v>
      </c>
      <c r="J297" t="s">
        <v>908</v>
      </c>
      <c r="K297" t="s">
        <v>1194</v>
      </c>
      <c r="M297" s="4">
        <v>318</v>
      </c>
      <c r="N297" s="4" t="s">
        <v>328</v>
      </c>
      <c r="O297" s="12">
        <v>46031.429571759261</v>
      </c>
      <c r="P297" s="5">
        <v>6.6434759999999997</v>
      </c>
      <c r="Q297" s="5">
        <v>-15.730103648023903</v>
      </c>
      <c r="R297" s="13">
        <f t="shared" si="16"/>
        <v>6.6434759999999997</v>
      </c>
      <c r="S297" s="42">
        <f t="shared" si="19"/>
        <v>94.751102817962661</v>
      </c>
      <c r="T297" s="13">
        <v>0</v>
      </c>
      <c r="U297" s="14">
        <f t="shared" si="17"/>
        <v>-15.730103648023903</v>
      </c>
      <c r="V297" s="15">
        <f t="shared" si="18"/>
        <v>629.47667754466727</v>
      </c>
    </row>
    <row r="298" spans="1:22" x14ac:dyDescent="0.3">
      <c r="A298">
        <v>2</v>
      </c>
      <c r="B298" s="83">
        <v>3.1</v>
      </c>
      <c r="C298" s="78">
        <v>45961</v>
      </c>
      <c r="D298" s="78">
        <v>45963</v>
      </c>
      <c r="E298">
        <v>28</v>
      </c>
      <c r="F298" t="s">
        <v>910</v>
      </c>
      <c r="G298" t="s">
        <v>930</v>
      </c>
      <c r="H298">
        <v>7</v>
      </c>
      <c r="I298">
        <v>7</v>
      </c>
      <c r="J298" t="s">
        <v>908</v>
      </c>
      <c r="K298" t="s">
        <v>1195</v>
      </c>
      <c r="M298" s="1">
        <v>319</v>
      </c>
      <c r="N298" s="1" t="s">
        <v>329</v>
      </c>
      <c r="O298" s="2">
        <v>46031.433310185188</v>
      </c>
      <c r="P298" s="3">
        <v>6.6238964999999999</v>
      </c>
      <c r="Q298" s="3">
        <v>-15.722200062121567</v>
      </c>
      <c r="R298" s="13">
        <f t="shared" si="16"/>
        <v>6.6238964999999999</v>
      </c>
      <c r="S298" s="42">
        <f t="shared" si="19"/>
        <v>94.751102817962661</v>
      </c>
      <c r="T298" s="13">
        <v>0</v>
      </c>
      <c r="U298" s="14">
        <f t="shared" si="17"/>
        <v>-15.722200062121567</v>
      </c>
      <c r="V298" s="15">
        <f t="shared" si="18"/>
        <v>627.62149832704301</v>
      </c>
    </row>
    <row r="299" spans="1:22" x14ac:dyDescent="0.3">
      <c r="A299">
        <v>2</v>
      </c>
      <c r="B299" s="83">
        <v>3.1</v>
      </c>
      <c r="C299" s="78">
        <v>45961</v>
      </c>
      <c r="D299" s="78">
        <v>45963</v>
      </c>
      <c r="E299">
        <v>31</v>
      </c>
      <c r="F299" t="s">
        <v>906</v>
      </c>
      <c r="G299" t="s">
        <v>933</v>
      </c>
      <c r="H299">
        <v>7</v>
      </c>
      <c r="I299">
        <v>8</v>
      </c>
      <c r="J299" t="s">
        <v>908</v>
      </c>
      <c r="K299" t="s">
        <v>1196</v>
      </c>
      <c r="M299" s="4">
        <v>320</v>
      </c>
      <c r="N299" s="4" t="s">
        <v>330</v>
      </c>
      <c r="O299" s="12">
        <v>46031.437037037038</v>
      </c>
      <c r="P299" s="5">
        <v>6.527755</v>
      </c>
      <c r="Q299" s="5">
        <v>-16.614532491737972</v>
      </c>
      <c r="R299" s="13">
        <f t="shared" si="16"/>
        <v>6.527755</v>
      </c>
      <c r="S299" s="42">
        <f t="shared" si="19"/>
        <v>94.751102817962661</v>
      </c>
      <c r="T299" s="13">
        <v>0</v>
      </c>
      <c r="U299" s="14">
        <f t="shared" si="17"/>
        <v>-16.614532491737972</v>
      </c>
      <c r="V299" s="15">
        <f t="shared" si="18"/>
        <v>618.51198517546982</v>
      </c>
    </row>
    <row r="300" spans="1:22" x14ac:dyDescent="0.3">
      <c r="A300">
        <v>2</v>
      </c>
      <c r="B300" s="83">
        <v>3.1</v>
      </c>
      <c r="C300" s="78">
        <v>45961</v>
      </c>
      <c r="D300" s="78">
        <v>45963</v>
      </c>
      <c r="E300">
        <v>25</v>
      </c>
      <c r="F300" t="s">
        <v>917</v>
      </c>
      <c r="G300" t="s">
        <v>907</v>
      </c>
      <c r="H300">
        <v>7</v>
      </c>
      <c r="I300">
        <v>9</v>
      </c>
      <c r="J300" t="s">
        <v>935</v>
      </c>
      <c r="K300" t="s">
        <v>1197</v>
      </c>
      <c r="M300" s="1">
        <v>321</v>
      </c>
      <c r="N300" s="1" t="s">
        <v>331</v>
      </c>
      <c r="O300" s="2">
        <v>46031.440763888888</v>
      </c>
      <c r="P300" s="3">
        <v>6.0458695000000002</v>
      </c>
      <c r="Q300" s="3">
        <v>-8.9920502932354385</v>
      </c>
      <c r="R300" s="13">
        <f t="shared" si="16"/>
        <v>6.0458695000000002</v>
      </c>
      <c r="S300" s="42">
        <f t="shared" si="19"/>
        <v>94.751102817962661</v>
      </c>
      <c r="T300" s="13">
        <v>0</v>
      </c>
      <c r="U300" s="14">
        <f t="shared" si="17"/>
        <v>-8.9920502932354385</v>
      </c>
      <c r="V300" s="15">
        <f t="shared" si="18"/>
        <v>572.85280261848447</v>
      </c>
    </row>
    <row r="301" spans="1:22" x14ac:dyDescent="0.3">
      <c r="A301">
        <v>2</v>
      </c>
      <c r="B301" s="83">
        <v>3.1</v>
      </c>
      <c r="C301" s="78">
        <v>45961</v>
      </c>
      <c r="D301" s="78">
        <v>45963</v>
      </c>
      <c r="E301">
        <v>27</v>
      </c>
      <c r="F301" t="s">
        <v>913</v>
      </c>
      <c r="G301" t="s">
        <v>15</v>
      </c>
      <c r="H301">
        <v>7</v>
      </c>
      <c r="I301">
        <v>10</v>
      </c>
      <c r="J301" t="s">
        <v>935</v>
      </c>
      <c r="K301" t="s">
        <v>1198</v>
      </c>
      <c r="M301" s="4">
        <v>322</v>
      </c>
      <c r="N301" s="4" t="s">
        <v>332</v>
      </c>
      <c r="O301" s="12">
        <v>46031.444479166668</v>
      </c>
      <c r="P301" s="5">
        <v>6.3151085</v>
      </c>
      <c r="Q301" s="5">
        <v>0.35308548980528853</v>
      </c>
      <c r="R301" s="13">
        <f t="shared" si="16"/>
        <v>6.3151085</v>
      </c>
      <c r="S301" s="42">
        <f t="shared" si="19"/>
        <v>94.751102817962661</v>
      </c>
      <c r="T301" s="13">
        <v>0</v>
      </c>
      <c r="U301" s="14">
        <f t="shared" si="17"/>
        <v>0.35308548980528853</v>
      </c>
      <c r="V301" s="15">
        <f t="shared" si="18"/>
        <v>598.36349479008993</v>
      </c>
    </row>
    <row r="302" spans="1:22" x14ac:dyDescent="0.3">
      <c r="A302">
        <v>2</v>
      </c>
      <c r="B302" s="83">
        <v>3.1</v>
      </c>
      <c r="C302" s="78">
        <v>45961</v>
      </c>
      <c r="D302" s="78">
        <v>45963</v>
      </c>
      <c r="E302">
        <v>26</v>
      </c>
      <c r="F302" t="s">
        <v>932</v>
      </c>
      <c r="G302" t="s">
        <v>914</v>
      </c>
      <c r="H302">
        <v>7</v>
      </c>
      <c r="I302">
        <v>11</v>
      </c>
      <c r="J302" t="s">
        <v>935</v>
      </c>
      <c r="K302" t="s">
        <v>1199</v>
      </c>
      <c r="M302" s="1">
        <v>323</v>
      </c>
      <c r="N302" s="1" t="s">
        <v>333</v>
      </c>
      <c r="O302" s="2">
        <v>46031.448206018518</v>
      </c>
      <c r="P302" s="3">
        <v>6.3883355000000002</v>
      </c>
      <c r="Q302" s="3">
        <v>-3.1438698085278651</v>
      </c>
      <c r="R302" s="13">
        <f t="shared" si="16"/>
        <v>6.3883355000000002</v>
      </c>
      <c r="S302" s="42">
        <f t="shared" si="19"/>
        <v>94.751102817962661</v>
      </c>
      <c r="T302" s="13">
        <v>0</v>
      </c>
      <c r="U302" s="14">
        <f t="shared" si="17"/>
        <v>-3.1438698085278651</v>
      </c>
      <c r="V302" s="15">
        <f t="shared" si="18"/>
        <v>605.30183379614095</v>
      </c>
    </row>
    <row r="303" spans="1:22" x14ac:dyDescent="0.3">
      <c r="A303">
        <v>2</v>
      </c>
      <c r="B303" s="83">
        <v>3.1</v>
      </c>
      <c r="C303" s="78">
        <v>45961</v>
      </c>
      <c r="D303" s="78">
        <v>45963</v>
      </c>
      <c r="E303">
        <v>29</v>
      </c>
      <c r="F303" t="s">
        <v>921</v>
      </c>
      <c r="G303" t="s">
        <v>918</v>
      </c>
      <c r="H303">
        <v>7</v>
      </c>
      <c r="I303">
        <v>12</v>
      </c>
      <c r="J303" t="s">
        <v>935</v>
      </c>
      <c r="K303" t="s">
        <v>1200</v>
      </c>
      <c r="M303" s="4">
        <v>324</v>
      </c>
      <c r="N303" s="4" t="s">
        <v>334</v>
      </c>
      <c r="O303" s="12">
        <v>46031.451932870368</v>
      </c>
      <c r="P303" s="5">
        <v>6.5780599999999998</v>
      </c>
      <c r="Q303" s="5">
        <v>3.6195401620567469</v>
      </c>
      <c r="R303" s="13">
        <f t="shared" si="16"/>
        <v>6.5780599999999998</v>
      </c>
      <c r="S303" s="42">
        <f t="shared" si="19"/>
        <v>94.751102817962661</v>
      </c>
      <c r="T303" s="13">
        <v>0</v>
      </c>
      <c r="U303" s="14">
        <f t="shared" si="17"/>
        <v>3.6195401620567469</v>
      </c>
      <c r="V303" s="15">
        <f t="shared" si="18"/>
        <v>623.27843940272749</v>
      </c>
    </row>
    <row r="304" spans="1:22" x14ac:dyDescent="0.3">
      <c r="A304">
        <v>2</v>
      </c>
      <c r="B304" s="83">
        <v>3.1</v>
      </c>
      <c r="C304" s="78">
        <v>45961</v>
      </c>
      <c r="D304" s="78">
        <v>45963</v>
      </c>
      <c r="E304">
        <v>32</v>
      </c>
      <c r="F304" t="s">
        <v>925</v>
      </c>
      <c r="G304" t="s">
        <v>922</v>
      </c>
      <c r="H304">
        <v>7</v>
      </c>
      <c r="I304">
        <v>13</v>
      </c>
      <c r="J304" t="s">
        <v>935</v>
      </c>
      <c r="K304" s="78" t="s">
        <v>1201</v>
      </c>
      <c r="L304" s="78"/>
      <c r="M304" s="1">
        <v>325</v>
      </c>
      <c r="N304" s="1" t="s">
        <v>335</v>
      </c>
      <c r="O304" s="2">
        <v>46031.455659722225</v>
      </c>
      <c r="P304" s="3">
        <v>6.8068505000000004</v>
      </c>
      <c r="Q304" s="3">
        <v>-6.4837253745920274</v>
      </c>
      <c r="R304" s="13">
        <f t="shared" si="16"/>
        <v>6.8068505000000004</v>
      </c>
      <c r="S304" s="42">
        <f t="shared" si="19"/>
        <v>94.751102817962661</v>
      </c>
      <c r="T304" s="13">
        <v>0</v>
      </c>
      <c r="U304" s="14">
        <f t="shared" si="17"/>
        <v>-6.4837253745920274</v>
      </c>
      <c r="V304" s="15">
        <f t="shared" si="18"/>
        <v>644.95659159200056</v>
      </c>
    </row>
    <row r="305" spans="1:22" x14ac:dyDescent="0.3">
      <c r="A305">
        <v>2</v>
      </c>
      <c r="B305" s="83">
        <v>3.1</v>
      </c>
      <c r="C305" s="78">
        <v>45961</v>
      </c>
      <c r="D305" s="78">
        <v>45963</v>
      </c>
      <c r="E305">
        <v>30</v>
      </c>
      <c r="F305" t="s">
        <v>929</v>
      </c>
      <c r="G305" t="s">
        <v>926</v>
      </c>
      <c r="H305">
        <v>7</v>
      </c>
      <c r="I305">
        <v>14</v>
      </c>
      <c r="J305" t="s">
        <v>935</v>
      </c>
      <c r="K305" t="s">
        <v>1202</v>
      </c>
      <c r="M305" s="4">
        <v>326</v>
      </c>
      <c r="N305" s="4" t="s">
        <v>336</v>
      </c>
      <c r="O305" s="12">
        <v>46031.459386574075</v>
      </c>
      <c r="P305" s="5">
        <v>7.0099260000000001</v>
      </c>
      <c r="Q305" s="5">
        <v>-8.6375563769334605</v>
      </c>
      <c r="R305" s="13">
        <f t="shared" si="16"/>
        <v>7.0099260000000001</v>
      </c>
      <c r="S305" s="42">
        <f t="shared" si="19"/>
        <v>94.751102817962661</v>
      </c>
      <c r="T305" s="13">
        <v>0</v>
      </c>
      <c r="U305" s="14">
        <f t="shared" si="17"/>
        <v>-8.6375563769334605</v>
      </c>
      <c r="V305" s="15">
        <f t="shared" si="18"/>
        <v>664.19821917230968</v>
      </c>
    </row>
    <row r="306" spans="1:22" x14ac:dyDescent="0.3">
      <c r="A306">
        <v>2</v>
      </c>
      <c r="B306" s="83">
        <v>3.1</v>
      </c>
      <c r="C306" s="78">
        <v>45961</v>
      </c>
      <c r="D306" s="78">
        <v>45963</v>
      </c>
      <c r="E306">
        <v>28</v>
      </c>
      <c r="F306" t="s">
        <v>910</v>
      </c>
      <c r="G306" t="s">
        <v>930</v>
      </c>
      <c r="H306">
        <v>7</v>
      </c>
      <c r="I306">
        <v>15</v>
      </c>
      <c r="J306" t="s">
        <v>935</v>
      </c>
      <c r="K306" t="s">
        <v>1203</v>
      </c>
      <c r="M306" s="1">
        <v>327</v>
      </c>
      <c r="N306" s="1" t="s">
        <v>337</v>
      </c>
      <c r="O306" s="2">
        <v>46031.463125000002</v>
      </c>
      <c r="P306" s="3">
        <v>6.7376104999999997</v>
      </c>
      <c r="Q306" s="3">
        <v>-1.5237700063564417</v>
      </c>
      <c r="R306" s="13">
        <f t="shared" si="16"/>
        <v>6.7376104999999997</v>
      </c>
      <c r="S306" s="42">
        <f t="shared" si="19"/>
        <v>94.751102817962661</v>
      </c>
      <c r="T306" s="13">
        <v>0</v>
      </c>
      <c r="U306" s="14">
        <f t="shared" si="17"/>
        <v>-1.5237700063564417</v>
      </c>
      <c r="V306" s="15">
        <f t="shared" si="18"/>
        <v>638.39602523288477</v>
      </c>
    </row>
    <row r="307" spans="1:22" x14ac:dyDescent="0.3">
      <c r="A307">
        <v>2</v>
      </c>
      <c r="B307" s="83">
        <v>3.1</v>
      </c>
      <c r="C307" s="78">
        <v>45961</v>
      </c>
      <c r="D307" s="78">
        <v>45963</v>
      </c>
      <c r="E307">
        <v>31</v>
      </c>
      <c r="F307" t="s">
        <v>906</v>
      </c>
      <c r="G307" t="s">
        <v>933</v>
      </c>
      <c r="H307">
        <v>7</v>
      </c>
      <c r="I307">
        <v>16</v>
      </c>
      <c r="J307" t="s">
        <v>935</v>
      </c>
      <c r="K307" t="s">
        <v>1204</v>
      </c>
      <c r="M307" s="4">
        <v>328</v>
      </c>
      <c r="N307" s="4" t="s">
        <v>338</v>
      </c>
      <c r="O307" s="12">
        <v>46031.466863425929</v>
      </c>
      <c r="P307" s="5">
        <v>6.9858894999999999</v>
      </c>
      <c r="Q307" s="5">
        <v>-9.746555418002707</v>
      </c>
      <c r="R307" s="13">
        <f t="shared" si="16"/>
        <v>6.9858894999999999</v>
      </c>
      <c r="S307" s="42">
        <f t="shared" si="19"/>
        <v>94.751102817962661</v>
      </c>
      <c r="T307" s="13">
        <v>0</v>
      </c>
      <c r="U307" s="14">
        <f t="shared" si="17"/>
        <v>-9.746555418002707</v>
      </c>
      <c r="V307" s="15">
        <f t="shared" si="18"/>
        <v>661.9207342894257</v>
      </c>
    </row>
    <row r="308" spans="1:22" x14ac:dyDescent="0.3">
      <c r="A308">
        <v>2</v>
      </c>
      <c r="B308" s="83">
        <v>3.1</v>
      </c>
      <c r="C308" s="78">
        <v>45961</v>
      </c>
      <c r="D308" s="78">
        <v>45963</v>
      </c>
      <c r="E308">
        <v>25</v>
      </c>
      <c r="F308" t="s">
        <v>917</v>
      </c>
      <c r="G308" t="s">
        <v>907</v>
      </c>
      <c r="H308">
        <v>7</v>
      </c>
      <c r="I308">
        <v>17</v>
      </c>
      <c r="J308" t="s">
        <v>24</v>
      </c>
      <c r="K308" t="s">
        <v>1205</v>
      </c>
      <c r="M308" s="1">
        <v>329</v>
      </c>
      <c r="N308" s="1" t="s">
        <v>339</v>
      </c>
      <c r="O308" s="2">
        <v>46031.470601851855</v>
      </c>
      <c r="P308" s="3">
        <v>6.6179724999999996</v>
      </c>
      <c r="Q308" s="3">
        <v>-9.2114144635395139</v>
      </c>
      <c r="R308" s="13">
        <f t="shared" si="16"/>
        <v>6.6179724999999996</v>
      </c>
      <c r="S308" s="42">
        <f t="shared" si="19"/>
        <v>94.751102817962661</v>
      </c>
      <c r="T308" s="13">
        <v>0</v>
      </c>
      <c r="U308" s="14">
        <f t="shared" si="17"/>
        <v>-9.2114144635395139</v>
      </c>
      <c r="V308" s="15">
        <f t="shared" si="18"/>
        <v>627.06019279394934</v>
      </c>
    </row>
    <row r="309" spans="1:22" x14ac:dyDescent="0.3">
      <c r="A309">
        <v>2</v>
      </c>
      <c r="B309" s="83">
        <v>3.1</v>
      </c>
      <c r="C309" s="78">
        <v>45961</v>
      </c>
      <c r="D309" s="78">
        <v>45963</v>
      </c>
      <c r="E309">
        <v>27</v>
      </c>
      <c r="F309" t="s">
        <v>913</v>
      </c>
      <c r="G309" t="s">
        <v>15</v>
      </c>
      <c r="H309">
        <v>7</v>
      </c>
      <c r="I309">
        <v>18</v>
      </c>
      <c r="J309" t="s">
        <v>24</v>
      </c>
      <c r="K309" t="s">
        <v>1206</v>
      </c>
      <c r="M309" s="4">
        <v>330</v>
      </c>
      <c r="N309" s="4" t="s">
        <v>340</v>
      </c>
      <c r="O309" s="12">
        <v>46031.474328703705</v>
      </c>
      <c r="P309" s="5">
        <v>6.3471970000000004</v>
      </c>
      <c r="Q309" s="5">
        <v>12.862152552283126</v>
      </c>
      <c r="R309" s="13">
        <f t="shared" si="16"/>
        <v>6.3471970000000004</v>
      </c>
      <c r="S309" s="42">
        <f t="shared" si="19"/>
        <v>94.751102817962661</v>
      </c>
      <c r="T309" s="13">
        <v>0</v>
      </c>
      <c r="U309" s="14">
        <f t="shared" si="17"/>
        <v>12.862152552283126</v>
      </c>
      <c r="V309" s="15">
        <f t="shared" si="18"/>
        <v>601.40391555286419</v>
      </c>
    </row>
    <row r="310" spans="1:22" x14ac:dyDescent="0.3">
      <c r="A310">
        <v>2</v>
      </c>
      <c r="B310" s="83">
        <v>3.1</v>
      </c>
      <c r="C310" s="78">
        <v>45961</v>
      </c>
      <c r="D310" s="78">
        <v>45963</v>
      </c>
      <c r="E310">
        <v>26</v>
      </c>
      <c r="F310" t="s">
        <v>932</v>
      </c>
      <c r="G310" t="s">
        <v>914</v>
      </c>
      <c r="H310">
        <v>7</v>
      </c>
      <c r="I310">
        <v>19</v>
      </c>
      <c r="J310" t="s">
        <v>24</v>
      </c>
      <c r="K310" t="s">
        <v>1207</v>
      </c>
      <c r="M310" s="1">
        <v>331</v>
      </c>
      <c r="N310" s="1" t="s">
        <v>341</v>
      </c>
      <c r="O310" s="2">
        <v>46031.478055555555</v>
      </c>
      <c r="P310" s="3">
        <v>6.4719220000000002</v>
      </c>
      <c r="Q310" s="3">
        <v>4.4795959627159743</v>
      </c>
      <c r="R310" s="13">
        <f t="shared" si="16"/>
        <v>6.4719220000000002</v>
      </c>
      <c r="S310" s="42">
        <f t="shared" si="19"/>
        <v>94.751102817962661</v>
      </c>
      <c r="T310" s="13">
        <v>0</v>
      </c>
      <c r="U310" s="14">
        <f t="shared" si="17"/>
        <v>4.4795959627159743</v>
      </c>
      <c r="V310" s="15">
        <f t="shared" si="18"/>
        <v>613.22174685183461</v>
      </c>
    </row>
    <row r="311" spans="1:22" x14ac:dyDescent="0.3">
      <c r="A311">
        <v>2</v>
      </c>
      <c r="B311" s="83">
        <v>3.1</v>
      </c>
      <c r="C311" s="78">
        <v>45961</v>
      </c>
      <c r="D311" s="78">
        <v>45963</v>
      </c>
      <c r="E311">
        <v>29</v>
      </c>
      <c r="F311" t="s">
        <v>921</v>
      </c>
      <c r="G311" t="s">
        <v>918</v>
      </c>
      <c r="H311">
        <v>7</v>
      </c>
      <c r="I311">
        <v>20</v>
      </c>
      <c r="J311" t="s">
        <v>24</v>
      </c>
      <c r="K311" t="s">
        <v>1208</v>
      </c>
      <c r="M311" s="4">
        <v>332</v>
      </c>
      <c r="N311" s="4" t="s">
        <v>342</v>
      </c>
      <c r="O311" s="12">
        <v>46031.481793981482</v>
      </c>
      <c r="P311" s="5">
        <v>7.6479514999999996</v>
      </c>
      <c r="Q311" s="5">
        <v>8.7051043335613443</v>
      </c>
      <c r="R311" s="13">
        <f t="shared" si="16"/>
        <v>7.6479514999999996</v>
      </c>
      <c r="S311" s="42">
        <f t="shared" si="19"/>
        <v>94.751102817962661</v>
      </c>
      <c r="T311" s="13">
        <v>0</v>
      </c>
      <c r="U311" s="14">
        <f t="shared" si="17"/>
        <v>8.7051043335613443</v>
      </c>
      <c r="V311" s="15">
        <f t="shared" si="18"/>
        <v>724.65183892329173</v>
      </c>
    </row>
    <row r="312" spans="1:22" x14ac:dyDescent="0.3">
      <c r="A312">
        <v>2</v>
      </c>
      <c r="B312" s="83">
        <v>3.1</v>
      </c>
      <c r="C312" s="78">
        <v>45961</v>
      </c>
      <c r="D312" s="78">
        <v>45963</v>
      </c>
      <c r="E312">
        <v>32</v>
      </c>
      <c r="F312" t="s">
        <v>925</v>
      </c>
      <c r="G312" t="s">
        <v>922</v>
      </c>
      <c r="H312">
        <v>7</v>
      </c>
      <c r="I312">
        <v>21</v>
      </c>
      <c r="J312" t="s">
        <v>24</v>
      </c>
      <c r="K312" t="s">
        <v>1209</v>
      </c>
      <c r="M312" s="1">
        <v>333</v>
      </c>
      <c r="N312" s="1" t="s">
        <v>343</v>
      </c>
      <c r="O312" s="2">
        <v>46031.485532407409</v>
      </c>
      <c r="P312" s="3">
        <v>6.9763849999999996</v>
      </c>
      <c r="Q312" s="3">
        <v>2.6855507518786554</v>
      </c>
      <c r="R312" s="13">
        <f t="shared" si="16"/>
        <v>6.9763849999999996</v>
      </c>
      <c r="S312" s="42">
        <f t="shared" si="19"/>
        <v>94.751102817962661</v>
      </c>
      <c r="T312" s="13">
        <v>0</v>
      </c>
      <c r="U312" s="14">
        <f t="shared" si="17"/>
        <v>2.6855507518786554</v>
      </c>
      <c r="V312" s="15">
        <f t="shared" si="18"/>
        <v>661.02017243269245</v>
      </c>
    </row>
    <row r="313" spans="1:22" x14ac:dyDescent="0.3">
      <c r="A313">
        <v>2</v>
      </c>
      <c r="B313" s="83">
        <v>3.1</v>
      </c>
      <c r="C313" s="78">
        <v>45961</v>
      </c>
      <c r="D313" s="78">
        <v>45963</v>
      </c>
      <c r="E313">
        <v>30</v>
      </c>
      <c r="F313" t="s">
        <v>929</v>
      </c>
      <c r="G313" t="s">
        <v>926</v>
      </c>
      <c r="H313">
        <v>7</v>
      </c>
      <c r="I313">
        <v>22</v>
      </c>
      <c r="J313" t="s">
        <v>24</v>
      </c>
      <c r="K313" t="s">
        <v>1210</v>
      </c>
      <c r="M313" s="4">
        <v>334</v>
      </c>
      <c r="N313" s="4" t="s">
        <v>344</v>
      </c>
      <c r="O313" s="12">
        <v>46031.489270833335</v>
      </c>
      <c r="P313" s="5">
        <v>7.1340574999999999</v>
      </c>
      <c r="Q313" s="5">
        <v>-2.4099095350278281</v>
      </c>
      <c r="R313" s="13">
        <f t="shared" si="16"/>
        <v>7.1340574999999999</v>
      </c>
      <c r="S313" s="42">
        <f t="shared" si="19"/>
        <v>94.751102817962661</v>
      </c>
      <c r="T313" s="13">
        <v>0</v>
      </c>
      <c r="U313" s="14">
        <f t="shared" si="17"/>
        <v>-2.4099095350278281</v>
      </c>
      <c r="V313" s="15">
        <f t="shared" si="18"/>
        <v>675.95981569175763</v>
      </c>
    </row>
    <row r="314" spans="1:22" x14ac:dyDescent="0.3">
      <c r="A314">
        <v>2</v>
      </c>
      <c r="B314" s="83">
        <v>3.1</v>
      </c>
      <c r="C314" s="78">
        <v>45961</v>
      </c>
      <c r="D314" s="78">
        <v>45963</v>
      </c>
      <c r="E314">
        <v>28</v>
      </c>
      <c r="F314" t="s">
        <v>910</v>
      </c>
      <c r="G314" t="s">
        <v>930</v>
      </c>
      <c r="H314">
        <v>7</v>
      </c>
      <c r="I314">
        <v>23</v>
      </c>
      <c r="J314" t="s">
        <v>24</v>
      </c>
      <c r="K314" t="s">
        <v>1211</v>
      </c>
      <c r="M314" s="1">
        <v>335</v>
      </c>
      <c r="N314" s="1" t="s">
        <v>345</v>
      </c>
      <c r="O314" s="2">
        <v>46031.493009259262</v>
      </c>
      <c r="P314" s="3">
        <v>7.2158375000000001</v>
      </c>
      <c r="Q314" s="3">
        <v>9.8076309940283561</v>
      </c>
      <c r="R314" s="13">
        <f t="shared" si="16"/>
        <v>7.2158375000000001</v>
      </c>
      <c r="S314" s="42">
        <f t="shared" si="19"/>
        <v>94.751102817962661</v>
      </c>
      <c r="T314" s="13">
        <v>0</v>
      </c>
      <c r="U314" s="14">
        <f t="shared" si="17"/>
        <v>9.8076309940283561</v>
      </c>
      <c r="V314" s="15">
        <f t="shared" si="18"/>
        <v>683.7085608802106</v>
      </c>
    </row>
    <row r="315" spans="1:22" x14ac:dyDescent="0.3">
      <c r="A315">
        <v>2</v>
      </c>
      <c r="B315" s="83">
        <v>3.1</v>
      </c>
      <c r="C315" s="78">
        <v>45961</v>
      </c>
      <c r="D315" s="78">
        <v>45963</v>
      </c>
      <c r="E315">
        <v>31</v>
      </c>
      <c r="F315" t="s">
        <v>906</v>
      </c>
      <c r="G315" t="s">
        <v>933</v>
      </c>
      <c r="H315">
        <v>7</v>
      </c>
      <c r="I315">
        <v>24</v>
      </c>
      <c r="J315" t="s">
        <v>24</v>
      </c>
      <c r="K315" t="s">
        <v>1212</v>
      </c>
      <c r="M315" s="4">
        <v>336</v>
      </c>
      <c r="N315" s="4" t="s">
        <v>346</v>
      </c>
      <c r="O315" s="12">
        <v>46031.496736111112</v>
      </c>
      <c r="P315" s="5">
        <v>7.2848274999999996</v>
      </c>
      <c r="Q315" s="5">
        <v>-3.1984216599564586</v>
      </c>
      <c r="R315" s="13">
        <f t="shared" si="16"/>
        <v>7.2848274999999996</v>
      </c>
      <c r="S315" s="42">
        <f t="shared" si="19"/>
        <v>94.751102817962661</v>
      </c>
      <c r="T315" s="13">
        <v>0</v>
      </c>
      <c r="U315" s="14">
        <f t="shared" si="17"/>
        <v>-3.1984216599564586</v>
      </c>
      <c r="V315" s="15">
        <f t="shared" si="18"/>
        <v>690.24543946362189</v>
      </c>
    </row>
    <row r="316" spans="1:22" x14ac:dyDescent="0.3">
      <c r="A316">
        <v>2</v>
      </c>
      <c r="B316" s="83">
        <v>3.1</v>
      </c>
      <c r="C316" s="78">
        <v>45961</v>
      </c>
      <c r="D316" s="78">
        <v>45963</v>
      </c>
      <c r="E316">
        <v>25</v>
      </c>
      <c r="F316" t="s">
        <v>917</v>
      </c>
      <c r="G316" t="s">
        <v>907</v>
      </c>
      <c r="H316">
        <v>7</v>
      </c>
      <c r="I316">
        <v>25</v>
      </c>
      <c r="J316" t="s">
        <v>25</v>
      </c>
      <c r="K316" t="s">
        <v>1213</v>
      </c>
      <c r="M316" s="1">
        <v>337</v>
      </c>
      <c r="N316" s="1" t="s">
        <v>347</v>
      </c>
      <c r="O316" s="2">
        <v>46031.500462962962</v>
      </c>
      <c r="P316" s="3">
        <v>6.2010794999999996</v>
      </c>
      <c r="Q316" s="3">
        <v>1.8342634186060653</v>
      </c>
      <c r="R316" s="13">
        <f t="shared" si="16"/>
        <v>6.2010794999999996</v>
      </c>
      <c r="S316" s="42">
        <f t="shared" si="19"/>
        <v>94.751102817962661</v>
      </c>
      <c r="T316" s="13">
        <v>0</v>
      </c>
      <c r="U316" s="14">
        <f t="shared" si="17"/>
        <v>1.8342634186060653</v>
      </c>
      <c r="V316" s="15">
        <f t="shared" si="18"/>
        <v>587.55912128686043</v>
      </c>
    </row>
    <row r="317" spans="1:22" x14ac:dyDescent="0.3">
      <c r="A317">
        <v>2</v>
      </c>
      <c r="B317" s="83">
        <v>3.1</v>
      </c>
      <c r="C317" s="78">
        <v>45961</v>
      </c>
      <c r="D317" s="78">
        <v>45963</v>
      </c>
      <c r="E317">
        <v>27</v>
      </c>
      <c r="F317" t="s">
        <v>913</v>
      </c>
      <c r="G317" t="s">
        <v>15</v>
      </c>
      <c r="H317">
        <v>7</v>
      </c>
      <c r="I317">
        <v>26</v>
      </c>
      <c r="J317" t="s">
        <v>25</v>
      </c>
      <c r="K317" t="s">
        <v>1214</v>
      </c>
      <c r="M317" s="4">
        <v>338</v>
      </c>
      <c r="N317" s="4" t="s">
        <v>348</v>
      </c>
      <c r="O317" s="12">
        <v>46031.504189814812</v>
      </c>
      <c r="P317" s="5">
        <v>6.7160764999999998</v>
      </c>
      <c r="Q317" s="5">
        <v>14.556107330580943</v>
      </c>
      <c r="R317" s="13">
        <f t="shared" si="16"/>
        <v>6.7160764999999998</v>
      </c>
      <c r="S317" s="42">
        <f t="shared" si="19"/>
        <v>94.751102817962661</v>
      </c>
      <c r="T317" s="13">
        <v>0</v>
      </c>
      <c r="U317" s="14">
        <f t="shared" si="17"/>
        <v>14.556107330580943</v>
      </c>
      <c r="V317" s="15">
        <f t="shared" si="18"/>
        <v>636.35565498480275</v>
      </c>
    </row>
    <row r="318" spans="1:22" x14ac:dyDescent="0.3">
      <c r="A318">
        <v>2</v>
      </c>
      <c r="B318" s="83">
        <v>3.1</v>
      </c>
      <c r="C318" s="78">
        <v>45961</v>
      </c>
      <c r="D318" s="78">
        <v>45963</v>
      </c>
      <c r="E318">
        <v>26</v>
      </c>
      <c r="F318" t="s">
        <v>932</v>
      </c>
      <c r="G318" t="s">
        <v>914</v>
      </c>
      <c r="H318">
        <v>7</v>
      </c>
      <c r="I318">
        <v>27</v>
      </c>
      <c r="J318" t="s">
        <v>25</v>
      </c>
      <c r="K318" t="s">
        <v>1215</v>
      </c>
      <c r="M318" s="1">
        <v>339</v>
      </c>
      <c r="N318" s="1" t="s">
        <v>349</v>
      </c>
      <c r="O318" s="2">
        <v>46031.507928240739</v>
      </c>
      <c r="P318" s="3">
        <v>6.4382615000000003</v>
      </c>
      <c r="Q318" s="3">
        <v>11.03755244901828</v>
      </c>
      <c r="R318" s="13">
        <f t="shared" si="16"/>
        <v>6.4382615000000003</v>
      </c>
      <c r="S318" s="42">
        <f t="shared" si="19"/>
        <v>94.751102817962661</v>
      </c>
      <c r="T318" s="13">
        <v>0</v>
      </c>
      <c r="U318" s="14">
        <f t="shared" si="17"/>
        <v>11.03755244901828</v>
      </c>
      <c r="V318" s="15">
        <f t="shared" si="18"/>
        <v>610.03237735543053</v>
      </c>
    </row>
    <row r="319" spans="1:22" x14ac:dyDescent="0.3">
      <c r="A319">
        <v>2</v>
      </c>
      <c r="B319" s="83">
        <v>3.1</v>
      </c>
      <c r="C319" s="78">
        <v>45961</v>
      </c>
      <c r="D319" s="78">
        <v>45963</v>
      </c>
      <c r="E319">
        <v>29</v>
      </c>
      <c r="F319" t="s">
        <v>921</v>
      </c>
      <c r="G319" t="s">
        <v>918</v>
      </c>
      <c r="H319">
        <v>7</v>
      </c>
      <c r="I319">
        <v>28</v>
      </c>
      <c r="J319" t="s">
        <v>25</v>
      </c>
      <c r="K319" t="s">
        <v>1216</v>
      </c>
      <c r="M319" s="4">
        <v>340</v>
      </c>
      <c r="N319" s="4" t="s">
        <v>350</v>
      </c>
      <c r="O319" s="12">
        <v>46031.511666666665</v>
      </c>
      <c r="P319" s="5">
        <v>7.1763744999999997</v>
      </c>
      <c r="Q319" s="5">
        <v>23.129140993061956</v>
      </c>
      <c r="R319" s="13">
        <f t="shared" si="16"/>
        <v>7.1763744999999997</v>
      </c>
      <c r="S319" s="42">
        <f t="shared" si="19"/>
        <v>94.751102817962661</v>
      </c>
      <c r="T319" s="13">
        <v>0</v>
      </c>
      <c r="U319" s="14">
        <f t="shared" si="17"/>
        <v>23.129140993061956</v>
      </c>
      <c r="V319" s="15">
        <f t="shared" si="18"/>
        <v>679.96939810970537</v>
      </c>
    </row>
    <row r="320" spans="1:22" x14ac:dyDescent="0.3">
      <c r="A320">
        <v>2</v>
      </c>
      <c r="B320" s="83">
        <v>3.1</v>
      </c>
      <c r="C320" s="78">
        <v>45961</v>
      </c>
      <c r="D320" s="78">
        <v>45963</v>
      </c>
      <c r="E320">
        <v>32</v>
      </c>
      <c r="F320" t="s">
        <v>925</v>
      </c>
      <c r="G320" t="s">
        <v>922</v>
      </c>
      <c r="H320">
        <v>7</v>
      </c>
      <c r="I320">
        <v>29</v>
      </c>
      <c r="J320" t="s">
        <v>25</v>
      </c>
      <c r="K320" t="s">
        <v>1217</v>
      </c>
      <c r="M320" s="1">
        <v>341</v>
      </c>
      <c r="N320" s="1" t="s">
        <v>351</v>
      </c>
      <c r="O320" s="2">
        <v>46031.515416666669</v>
      </c>
      <c r="P320" s="3">
        <v>6.8576435</v>
      </c>
      <c r="Q320" s="3">
        <v>11.65147959299687</v>
      </c>
      <c r="R320" s="13">
        <f t="shared" si="16"/>
        <v>6.8576435</v>
      </c>
      <c r="S320" s="42">
        <f t="shared" si="19"/>
        <v>94.751102817962661</v>
      </c>
      <c r="T320" s="13">
        <v>0</v>
      </c>
      <c r="U320" s="14">
        <f t="shared" si="17"/>
        <v>11.65147959299687</v>
      </c>
      <c r="V320" s="15">
        <f t="shared" si="18"/>
        <v>649.76928435743332</v>
      </c>
    </row>
    <row r="321" spans="1:22" x14ac:dyDescent="0.3">
      <c r="A321">
        <v>2</v>
      </c>
      <c r="B321" s="83">
        <v>3.1</v>
      </c>
      <c r="C321" s="78">
        <v>45961</v>
      </c>
      <c r="D321" s="78">
        <v>45963</v>
      </c>
      <c r="E321">
        <v>30</v>
      </c>
      <c r="F321" t="s">
        <v>929</v>
      </c>
      <c r="G321" t="s">
        <v>926</v>
      </c>
      <c r="H321">
        <v>7</v>
      </c>
      <c r="I321">
        <v>30</v>
      </c>
      <c r="J321" t="s">
        <v>25</v>
      </c>
      <c r="K321" t="s">
        <v>1218</v>
      </c>
      <c r="M321" s="4">
        <v>342</v>
      </c>
      <c r="N321" s="4" t="s">
        <v>352</v>
      </c>
      <c r="O321" s="12">
        <v>46031.519143518519</v>
      </c>
      <c r="P321" s="5">
        <v>7.107615</v>
      </c>
      <c r="Q321" s="5">
        <v>3.421563941514532</v>
      </c>
      <c r="R321" s="13">
        <f t="shared" si="16"/>
        <v>7.107615</v>
      </c>
      <c r="S321" s="42">
        <f t="shared" si="19"/>
        <v>94.751102817962661</v>
      </c>
      <c r="T321" s="13">
        <v>0</v>
      </c>
      <c r="U321" s="14">
        <f t="shared" si="17"/>
        <v>3.421563941514532</v>
      </c>
      <c r="V321" s="15">
        <f t="shared" si="18"/>
        <v>673.4543596554937</v>
      </c>
    </row>
    <row r="322" spans="1:22" x14ac:dyDescent="0.3">
      <c r="A322">
        <v>2</v>
      </c>
      <c r="B322" s="83">
        <v>3.1</v>
      </c>
      <c r="C322" s="78">
        <v>45961</v>
      </c>
      <c r="D322" s="78">
        <v>45963</v>
      </c>
      <c r="E322">
        <v>28</v>
      </c>
      <c r="F322" t="s">
        <v>910</v>
      </c>
      <c r="G322" t="s">
        <v>930</v>
      </c>
      <c r="H322">
        <v>7</v>
      </c>
      <c r="I322">
        <v>31</v>
      </c>
      <c r="J322" t="s">
        <v>25</v>
      </c>
      <c r="K322" t="s">
        <v>1219</v>
      </c>
      <c r="M322" s="1">
        <v>343</v>
      </c>
      <c r="N322" s="1" t="s">
        <v>353</v>
      </c>
      <c r="O322" s="2">
        <v>46031.522881944446</v>
      </c>
      <c r="P322" s="3">
        <v>7.3587699999999998</v>
      </c>
      <c r="Q322" s="3">
        <v>18.486492533187054</v>
      </c>
      <c r="R322" s="13">
        <f t="shared" ref="R322:R385" si="20">P322</f>
        <v>7.3587699999999998</v>
      </c>
      <c r="S322" s="42">
        <f t="shared" si="19"/>
        <v>94.751102817962661</v>
      </c>
      <c r="T322" s="13">
        <v>0</v>
      </c>
      <c r="U322" s="14">
        <f t="shared" ref="U322:U385" si="21">Q322+T322</f>
        <v>18.486492533187054</v>
      </c>
      <c r="V322" s="15">
        <f t="shared" ref="V322:V385" si="22">R322*S322</f>
        <v>697.25157288373907</v>
      </c>
    </row>
    <row r="323" spans="1:22" x14ac:dyDescent="0.3">
      <c r="A323">
        <v>2</v>
      </c>
      <c r="B323" s="83">
        <v>3.1</v>
      </c>
      <c r="C323" s="78">
        <v>45961</v>
      </c>
      <c r="D323" s="78">
        <v>45963</v>
      </c>
      <c r="E323">
        <v>31</v>
      </c>
      <c r="F323" t="s">
        <v>906</v>
      </c>
      <c r="G323" t="s">
        <v>933</v>
      </c>
      <c r="H323">
        <v>7</v>
      </c>
      <c r="I323">
        <v>32</v>
      </c>
      <c r="J323" t="s">
        <v>25</v>
      </c>
      <c r="K323" t="s">
        <v>1220</v>
      </c>
      <c r="M323" s="4">
        <v>344</v>
      </c>
      <c r="N323" s="4" t="s">
        <v>354</v>
      </c>
      <c r="O323" s="12">
        <v>46031.526620370372</v>
      </c>
      <c r="P323" s="5">
        <v>7.5162424999999997</v>
      </c>
      <c r="Q323" s="5">
        <v>2.258910847854076</v>
      </c>
      <c r="R323" s="13">
        <f t="shared" si="20"/>
        <v>7.5162424999999997</v>
      </c>
      <c r="S323" s="42">
        <f t="shared" ref="S323:S386" si="23">$S$890</f>
        <v>94.751102817962661</v>
      </c>
      <c r="T323" s="13">
        <v>0</v>
      </c>
      <c r="U323" s="14">
        <f t="shared" si="21"/>
        <v>2.258910847854076</v>
      </c>
      <c r="V323" s="15">
        <f t="shared" si="22"/>
        <v>712.17226592224074</v>
      </c>
    </row>
    <row r="324" spans="1:22" x14ac:dyDescent="0.3">
      <c r="A324">
        <v>2</v>
      </c>
      <c r="B324" s="83">
        <v>3.2</v>
      </c>
      <c r="C324" s="78">
        <v>45992</v>
      </c>
      <c r="D324" s="78">
        <v>45964</v>
      </c>
      <c r="E324">
        <v>25</v>
      </c>
      <c r="F324" t="s">
        <v>917</v>
      </c>
      <c r="G324" t="s">
        <v>907</v>
      </c>
      <c r="H324">
        <v>25</v>
      </c>
      <c r="I324">
        <v>1</v>
      </c>
      <c r="J324" t="s">
        <v>908</v>
      </c>
      <c r="K324" t="s">
        <v>26</v>
      </c>
      <c r="M324" s="1">
        <v>345</v>
      </c>
      <c r="N324" s="1" t="s">
        <v>355</v>
      </c>
      <c r="O324" s="2">
        <v>46031.530370370368</v>
      </c>
      <c r="P324" s="3">
        <v>5.8294905000000004</v>
      </c>
      <c r="Q324" s="3">
        <v>-14.852744762192591</v>
      </c>
      <c r="R324" s="13">
        <f t="shared" si="20"/>
        <v>5.8294905000000004</v>
      </c>
      <c r="S324" s="42">
        <f t="shared" si="23"/>
        <v>94.751102817962661</v>
      </c>
      <c r="T324" s="13">
        <v>0</v>
      </c>
      <c r="U324" s="14">
        <f t="shared" si="21"/>
        <v>-14.852744762192591</v>
      </c>
      <c r="V324" s="15">
        <f t="shared" si="22"/>
        <v>552.3506537418366</v>
      </c>
    </row>
    <row r="325" spans="1:22" x14ac:dyDescent="0.3">
      <c r="A325">
        <v>2</v>
      </c>
      <c r="B325" s="83">
        <v>3.2</v>
      </c>
      <c r="C325" s="78">
        <v>45992</v>
      </c>
      <c r="D325" s="78">
        <v>45964</v>
      </c>
      <c r="E325">
        <v>27</v>
      </c>
      <c r="F325" t="s">
        <v>913</v>
      </c>
      <c r="G325" t="s">
        <v>15</v>
      </c>
      <c r="H325">
        <v>25</v>
      </c>
      <c r="I325">
        <v>2</v>
      </c>
      <c r="J325" t="s">
        <v>908</v>
      </c>
      <c r="K325" t="s">
        <v>1221</v>
      </c>
      <c r="M325" s="4">
        <v>346</v>
      </c>
      <c r="N325" s="4" t="s">
        <v>356</v>
      </c>
      <c r="O325" s="12">
        <v>46031.534097222226</v>
      </c>
      <c r="P325" s="5">
        <v>5.6655220000000002</v>
      </c>
      <c r="Q325" s="5">
        <v>-12.983343328123386</v>
      </c>
      <c r="R325" s="13">
        <f t="shared" si="20"/>
        <v>5.6655220000000002</v>
      </c>
      <c r="S325" s="42">
        <f t="shared" si="23"/>
        <v>94.751102817962661</v>
      </c>
      <c r="T325" s="13">
        <v>0</v>
      </c>
      <c r="U325" s="14">
        <f t="shared" si="21"/>
        <v>-12.983343328123386</v>
      </c>
      <c r="V325" s="15">
        <f t="shared" si="22"/>
        <v>536.81445753942944</v>
      </c>
    </row>
    <row r="326" spans="1:22" x14ac:dyDescent="0.3">
      <c r="A326">
        <v>2</v>
      </c>
      <c r="B326" s="83">
        <v>3.2</v>
      </c>
      <c r="C326" s="78">
        <v>45992</v>
      </c>
      <c r="D326" s="78">
        <v>45964</v>
      </c>
      <c r="E326">
        <v>26</v>
      </c>
      <c r="F326" t="s">
        <v>932</v>
      </c>
      <c r="G326" t="s">
        <v>914</v>
      </c>
      <c r="H326">
        <v>25</v>
      </c>
      <c r="I326">
        <v>3</v>
      </c>
      <c r="J326" t="s">
        <v>908</v>
      </c>
      <c r="K326" t="s">
        <v>1222</v>
      </c>
      <c r="M326" s="1">
        <v>347</v>
      </c>
      <c r="N326" s="1" t="s">
        <v>357</v>
      </c>
      <c r="O326" s="2">
        <v>46031.537835648145</v>
      </c>
      <c r="P326" s="3">
        <v>5.8109539999999997</v>
      </c>
      <c r="Q326" s="3">
        <v>-13.928029080022649</v>
      </c>
      <c r="R326" s="13">
        <f t="shared" si="20"/>
        <v>5.8109539999999997</v>
      </c>
      <c r="S326" s="42">
        <f t="shared" si="23"/>
        <v>94.751102817962661</v>
      </c>
      <c r="T326" s="13">
        <v>0</v>
      </c>
      <c r="U326" s="14">
        <f t="shared" si="21"/>
        <v>-13.928029080022649</v>
      </c>
      <c r="V326" s="15">
        <f t="shared" si="22"/>
        <v>550.59429992445132</v>
      </c>
    </row>
    <row r="327" spans="1:22" x14ac:dyDescent="0.3">
      <c r="A327">
        <v>2</v>
      </c>
      <c r="B327" s="83">
        <v>3.2</v>
      </c>
      <c r="C327" s="78">
        <v>45992</v>
      </c>
      <c r="D327" s="78">
        <v>45964</v>
      </c>
      <c r="E327">
        <v>29</v>
      </c>
      <c r="F327" t="s">
        <v>921</v>
      </c>
      <c r="G327" t="s">
        <v>918</v>
      </c>
      <c r="H327">
        <v>25</v>
      </c>
      <c r="I327">
        <v>4</v>
      </c>
      <c r="J327" t="s">
        <v>908</v>
      </c>
      <c r="K327" t="s">
        <v>1223</v>
      </c>
      <c r="M327" s="4">
        <v>348</v>
      </c>
      <c r="N327" s="4" t="s">
        <v>358</v>
      </c>
      <c r="O327" s="12">
        <v>46031.541585648149</v>
      </c>
      <c r="P327" s="5">
        <v>6.2612519999999998</v>
      </c>
      <c r="Q327" s="5">
        <v>-13.844706169851094</v>
      </c>
      <c r="R327" s="13">
        <f t="shared" si="20"/>
        <v>6.2612519999999998</v>
      </c>
      <c r="S327" s="42">
        <f t="shared" si="23"/>
        <v>94.751102817962661</v>
      </c>
      <c r="T327" s="13">
        <v>0</v>
      </c>
      <c r="U327" s="14">
        <f t="shared" si="21"/>
        <v>-13.844706169851094</v>
      </c>
      <c r="V327" s="15">
        <f t="shared" si="22"/>
        <v>593.2605320211743</v>
      </c>
    </row>
    <row r="328" spans="1:22" x14ac:dyDescent="0.3">
      <c r="A328">
        <v>2</v>
      </c>
      <c r="B328" s="83">
        <v>3.2</v>
      </c>
      <c r="C328" s="78">
        <v>45992</v>
      </c>
      <c r="D328" s="78">
        <v>45964</v>
      </c>
      <c r="E328">
        <v>32</v>
      </c>
      <c r="F328" t="s">
        <v>925</v>
      </c>
      <c r="G328" t="s">
        <v>922</v>
      </c>
      <c r="H328">
        <v>25</v>
      </c>
      <c r="I328">
        <v>5</v>
      </c>
      <c r="J328" t="s">
        <v>908</v>
      </c>
      <c r="K328" t="s">
        <v>1224</v>
      </c>
      <c r="M328" s="1">
        <v>349</v>
      </c>
      <c r="N328" s="1" t="s">
        <v>359</v>
      </c>
      <c r="O328" s="2">
        <v>46031.545312499999</v>
      </c>
      <c r="P328" s="3">
        <v>6.1639664999999999</v>
      </c>
      <c r="Q328" s="3">
        <v>-15.018299891611271</v>
      </c>
      <c r="R328" s="13">
        <f t="shared" si="20"/>
        <v>6.1639664999999999</v>
      </c>
      <c r="S328" s="42">
        <f t="shared" si="23"/>
        <v>94.751102817962661</v>
      </c>
      <c r="T328" s="13">
        <v>0</v>
      </c>
      <c r="U328" s="14">
        <f t="shared" si="21"/>
        <v>-15.018299891611271</v>
      </c>
      <c r="V328" s="15">
        <f t="shared" si="22"/>
        <v>584.04262360797748</v>
      </c>
    </row>
    <row r="329" spans="1:22" x14ac:dyDescent="0.3">
      <c r="A329">
        <v>2</v>
      </c>
      <c r="B329" s="83">
        <v>3.2</v>
      </c>
      <c r="C329" s="78">
        <v>45992</v>
      </c>
      <c r="D329" s="78">
        <v>45964</v>
      </c>
      <c r="E329">
        <v>30</v>
      </c>
      <c r="F329" t="s">
        <v>929</v>
      </c>
      <c r="G329" t="s">
        <v>926</v>
      </c>
      <c r="H329">
        <v>25</v>
      </c>
      <c r="I329">
        <v>6</v>
      </c>
      <c r="J329" t="s">
        <v>908</v>
      </c>
      <c r="K329" t="s">
        <v>1225</v>
      </c>
      <c r="M329" s="4">
        <v>350</v>
      </c>
      <c r="N329" s="4" t="s">
        <v>360</v>
      </c>
      <c r="O329" s="12">
        <v>46031.549050925925</v>
      </c>
      <c r="P329" s="5">
        <v>6.8130414999999998</v>
      </c>
      <c r="Q329" s="5">
        <v>-13.584299480782869</v>
      </c>
      <c r="R329" s="13">
        <f t="shared" si="20"/>
        <v>6.8130414999999998</v>
      </c>
      <c r="S329" s="42">
        <f t="shared" si="23"/>
        <v>94.751102817962661</v>
      </c>
      <c r="T329" s="13">
        <v>0</v>
      </c>
      <c r="U329" s="14">
        <f t="shared" si="21"/>
        <v>-13.584299480782869</v>
      </c>
      <c r="V329" s="15">
        <f t="shared" si="22"/>
        <v>645.54319566954655</v>
      </c>
    </row>
    <row r="330" spans="1:22" x14ac:dyDescent="0.3">
      <c r="A330">
        <v>3</v>
      </c>
      <c r="B330" s="83">
        <v>3.2</v>
      </c>
      <c r="C330" s="78">
        <v>45992</v>
      </c>
      <c r="D330" s="78">
        <v>45964</v>
      </c>
      <c r="E330">
        <v>28</v>
      </c>
      <c r="F330" t="s">
        <v>910</v>
      </c>
      <c r="G330" t="s">
        <v>930</v>
      </c>
      <c r="H330">
        <v>25</v>
      </c>
      <c r="I330">
        <v>7</v>
      </c>
      <c r="J330" t="s">
        <v>908</v>
      </c>
      <c r="K330" t="s">
        <v>1226</v>
      </c>
      <c r="M330" s="1">
        <v>351</v>
      </c>
      <c r="N330" s="1" t="s">
        <v>361</v>
      </c>
      <c r="O330" s="2">
        <v>46031.552777777775</v>
      </c>
      <c r="P330" s="3">
        <v>6.8709195000000003</v>
      </c>
      <c r="Q330" s="3">
        <v>-16.180140356038613</v>
      </c>
      <c r="R330" s="13">
        <f t="shared" si="20"/>
        <v>6.8709195000000003</v>
      </c>
      <c r="S330" s="42">
        <f t="shared" si="23"/>
        <v>94.751102817962661</v>
      </c>
      <c r="T330" s="13">
        <v>0</v>
      </c>
      <c r="U330" s="14">
        <f t="shared" si="21"/>
        <v>-16.180140356038613</v>
      </c>
      <c r="V330" s="15">
        <f t="shared" si="22"/>
        <v>651.02719999844464</v>
      </c>
    </row>
    <row r="331" spans="1:22" x14ac:dyDescent="0.3">
      <c r="A331">
        <v>3</v>
      </c>
      <c r="B331" s="83">
        <v>3.2</v>
      </c>
      <c r="C331" s="78">
        <v>45992</v>
      </c>
      <c r="D331" s="78">
        <v>45964</v>
      </c>
      <c r="E331">
        <v>31</v>
      </c>
      <c r="F331" t="s">
        <v>906</v>
      </c>
      <c r="G331" t="s">
        <v>933</v>
      </c>
      <c r="H331">
        <v>25</v>
      </c>
      <c r="I331">
        <v>8</v>
      </c>
      <c r="J331" t="s">
        <v>908</v>
      </c>
      <c r="K331" t="s">
        <v>1227</v>
      </c>
      <c r="M331" s="4">
        <v>352</v>
      </c>
      <c r="N331" s="4" t="s">
        <v>362</v>
      </c>
      <c r="O331" s="12">
        <v>46031.556527777779</v>
      </c>
      <c r="P331" s="5">
        <v>6.7470425000000001</v>
      </c>
      <c r="Q331" s="5">
        <v>-16.200221329402712</v>
      </c>
      <c r="R331" s="13">
        <f t="shared" si="20"/>
        <v>6.7470425000000001</v>
      </c>
      <c r="S331" s="42">
        <f t="shared" si="23"/>
        <v>94.751102817962661</v>
      </c>
      <c r="T331" s="13">
        <v>0</v>
      </c>
      <c r="U331" s="14">
        <f t="shared" si="21"/>
        <v>-16.200221329402712</v>
      </c>
      <c r="V331" s="15">
        <f t="shared" si="22"/>
        <v>639.28971763466382</v>
      </c>
    </row>
    <row r="332" spans="1:22" x14ac:dyDescent="0.3">
      <c r="A332">
        <v>3</v>
      </c>
      <c r="B332" s="83">
        <v>3.2</v>
      </c>
      <c r="C332" s="78">
        <v>45992</v>
      </c>
      <c r="D332" s="78">
        <v>45964</v>
      </c>
      <c r="E332">
        <v>25</v>
      </c>
      <c r="F332" t="s">
        <v>917</v>
      </c>
      <c r="G332" t="s">
        <v>907</v>
      </c>
      <c r="H332">
        <v>25</v>
      </c>
      <c r="I332">
        <v>9</v>
      </c>
      <c r="J332" t="s">
        <v>935</v>
      </c>
      <c r="K332" t="s">
        <v>1228</v>
      </c>
      <c r="M332" s="1">
        <v>353</v>
      </c>
      <c r="N332" s="1" t="s">
        <v>363</v>
      </c>
      <c r="O332" s="2">
        <v>46031.560254629629</v>
      </c>
      <c r="P332" s="3">
        <v>6.6647720000000001</v>
      </c>
      <c r="Q332" s="3">
        <v>-4.7564027480992879</v>
      </c>
      <c r="R332" s="13">
        <f t="shared" si="20"/>
        <v>6.6647720000000001</v>
      </c>
      <c r="S332" s="42">
        <f t="shared" si="23"/>
        <v>94.751102817962661</v>
      </c>
      <c r="T332" s="13">
        <v>0</v>
      </c>
      <c r="U332" s="14">
        <f t="shared" si="21"/>
        <v>-4.7564027480992879</v>
      </c>
      <c r="V332" s="15">
        <f t="shared" si="22"/>
        <v>631.49449703027869</v>
      </c>
    </row>
    <row r="333" spans="1:22" x14ac:dyDescent="0.3">
      <c r="A333">
        <v>3</v>
      </c>
      <c r="B333" s="83">
        <v>3.2</v>
      </c>
      <c r="C333" s="78">
        <v>45992</v>
      </c>
      <c r="D333" s="78">
        <v>45964</v>
      </c>
      <c r="E333">
        <v>27</v>
      </c>
      <c r="F333" t="s">
        <v>913</v>
      </c>
      <c r="G333" t="s">
        <v>15</v>
      </c>
      <c r="H333">
        <v>25</v>
      </c>
      <c r="I333">
        <v>10</v>
      </c>
      <c r="J333" t="s">
        <v>935</v>
      </c>
      <c r="K333" t="s">
        <v>1229</v>
      </c>
      <c r="M333" s="4">
        <v>354</v>
      </c>
      <c r="N333" s="4" t="s">
        <v>364</v>
      </c>
      <c r="O333" s="12">
        <v>46031.563993055555</v>
      </c>
      <c r="P333" s="5">
        <v>6.4075685</v>
      </c>
      <c r="Q333" s="5">
        <v>16.86926882699581</v>
      </c>
      <c r="R333" s="13">
        <f t="shared" si="20"/>
        <v>6.4075685</v>
      </c>
      <c r="S333" s="42">
        <f t="shared" si="23"/>
        <v>94.751102817962661</v>
      </c>
      <c r="T333" s="13">
        <v>0</v>
      </c>
      <c r="U333" s="14">
        <f t="shared" si="21"/>
        <v>16.86926882699581</v>
      </c>
      <c r="V333" s="15">
        <f t="shared" si="22"/>
        <v>607.12418175663879</v>
      </c>
    </row>
    <row r="334" spans="1:22" x14ac:dyDescent="0.3">
      <c r="A334">
        <v>3</v>
      </c>
      <c r="B334" s="83">
        <v>3.2</v>
      </c>
      <c r="C334" s="78">
        <v>45992</v>
      </c>
      <c r="D334" s="78">
        <v>45964</v>
      </c>
      <c r="E334">
        <v>26</v>
      </c>
      <c r="F334" t="s">
        <v>932</v>
      </c>
      <c r="G334" t="s">
        <v>914</v>
      </c>
      <c r="H334">
        <v>25</v>
      </c>
      <c r="I334">
        <v>11</v>
      </c>
      <c r="J334" t="s">
        <v>935</v>
      </c>
      <c r="K334" t="s">
        <v>1230</v>
      </c>
      <c r="M334" s="1">
        <v>355</v>
      </c>
      <c r="N334" s="1" t="s">
        <v>365</v>
      </c>
      <c r="O334" s="2">
        <v>46031.567731481482</v>
      </c>
      <c r="P334" s="3">
        <v>6.4212389999999999</v>
      </c>
      <c r="Q334" s="3">
        <v>1.9613785231009633</v>
      </c>
      <c r="R334" s="13">
        <f t="shared" si="20"/>
        <v>6.4212389999999999</v>
      </c>
      <c r="S334" s="42">
        <f t="shared" si="23"/>
        <v>94.751102817962661</v>
      </c>
      <c r="T334" s="13">
        <v>0</v>
      </c>
      <c r="U334" s="14">
        <f t="shared" si="21"/>
        <v>1.9613785231009633</v>
      </c>
      <c r="V334" s="15">
        <f t="shared" si="22"/>
        <v>608.41947670771174</v>
      </c>
    </row>
    <row r="335" spans="1:22" x14ac:dyDescent="0.3">
      <c r="A335">
        <v>3</v>
      </c>
      <c r="B335" s="83">
        <v>3.2</v>
      </c>
      <c r="C335" s="78">
        <v>45992</v>
      </c>
      <c r="D335" s="78">
        <v>45964</v>
      </c>
      <c r="E335">
        <v>29</v>
      </c>
      <c r="F335" t="s">
        <v>921</v>
      </c>
      <c r="G335" t="s">
        <v>918</v>
      </c>
      <c r="H335">
        <v>25</v>
      </c>
      <c r="I335">
        <v>12</v>
      </c>
      <c r="J335" t="s">
        <v>935</v>
      </c>
      <c r="K335" t="s">
        <v>1231</v>
      </c>
      <c r="M335" s="4">
        <v>356</v>
      </c>
      <c r="N335" s="4" t="s">
        <v>366</v>
      </c>
      <c r="O335" s="12">
        <v>46031.571469907409</v>
      </c>
      <c r="P335" s="5">
        <v>6.9584359999999998</v>
      </c>
      <c r="Q335" s="5">
        <v>14.194135085640777</v>
      </c>
      <c r="R335" s="13">
        <f t="shared" si="20"/>
        <v>6.9584359999999998</v>
      </c>
      <c r="S335" s="42">
        <f t="shared" si="23"/>
        <v>94.751102817962661</v>
      </c>
      <c r="T335" s="13">
        <v>0</v>
      </c>
      <c r="U335" s="14">
        <f t="shared" si="21"/>
        <v>14.194135085640777</v>
      </c>
      <c r="V335" s="15">
        <f t="shared" si="22"/>
        <v>659.31948488821286</v>
      </c>
    </row>
    <row r="336" spans="1:22" x14ac:dyDescent="0.3">
      <c r="A336">
        <v>3</v>
      </c>
      <c r="B336" s="83">
        <v>3.2</v>
      </c>
      <c r="C336" s="78">
        <v>45992</v>
      </c>
      <c r="D336" s="78">
        <v>45964</v>
      </c>
      <c r="E336">
        <v>32</v>
      </c>
      <c r="F336" t="s">
        <v>925</v>
      </c>
      <c r="G336" t="s">
        <v>922</v>
      </c>
      <c r="H336">
        <v>25</v>
      </c>
      <c r="I336">
        <v>13</v>
      </c>
      <c r="J336" t="s">
        <v>935</v>
      </c>
      <c r="K336" t="s">
        <v>1232</v>
      </c>
      <c r="M336" s="1">
        <v>357</v>
      </c>
      <c r="N336" s="1" t="s">
        <v>367</v>
      </c>
      <c r="O336" s="2">
        <v>46031.575208333335</v>
      </c>
      <c r="P336" s="3">
        <v>6.5631919999999999</v>
      </c>
      <c r="Q336" s="3">
        <v>3.324316885842447</v>
      </c>
      <c r="R336" s="13">
        <f t="shared" si="20"/>
        <v>6.5631919999999999</v>
      </c>
      <c r="S336" s="42">
        <f t="shared" si="23"/>
        <v>94.751102817962661</v>
      </c>
      <c r="T336" s="13">
        <v>0</v>
      </c>
      <c r="U336" s="14">
        <f t="shared" si="21"/>
        <v>3.324316885842447</v>
      </c>
      <c r="V336" s="15">
        <f t="shared" si="22"/>
        <v>621.86968000602997</v>
      </c>
    </row>
    <row r="337" spans="1:22" x14ac:dyDescent="0.3">
      <c r="A337">
        <v>3</v>
      </c>
      <c r="B337" s="83">
        <v>3.2</v>
      </c>
      <c r="C337" s="78">
        <v>45992</v>
      </c>
      <c r="D337" s="78">
        <v>45964</v>
      </c>
      <c r="E337">
        <v>30</v>
      </c>
      <c r="F337" t="s">
        <v>929</v>
      </c>
      <c r="G337" t="s">
        <v>926</v>
      </c>
      <c r="H337">
        <v>25</v>
      </c>
      <c r="I337">
        <v>14</v>
      </c>
      <c r="J337" t="s">
        <v>935</v>
      </c>
      <c r="K337" t="s">
        <v>1233</v>
      </c>
      <c r="M337" s="4">
        <v>358</v>
      </c>
      <c r="N337" s="4" t="s">
        <v>368</v>
      </c>
      <c r="O337" s="12">
        <v>46031.578946759262</v>
      </c>
      <c r="P337" s="5">
        <v>6.9826600000000001</v>
      </c>
      <c r="Q337" s="5">
        <v>4.7320916643409614</v>
      </c>
      <c r="R337" s="13">
        <f t="shared" si="20"/>
        <v>6.9826600000000001</v>
      </c>
      <c r="S337" s="42">
        <f t="shared" si="23"/>
        <v>94.751102817962661</v>
      </c>
      <c r="T337" s="13">
        <v>0</v>
      </c>
      <c r="U337" s="14">
        <f t="shared" si="21"/>
        <v>4.7320916643409614</v>
      </c>
      <c r="V337" s="15">
        <f t="shared" si="22"/>
        <v>661.61473560287516</v>
      </c>
    </row>
    <row r="338" spans="1:22" x14ac:dyDescent="0.3">
      <c r="A338">
        <v>3</v>
      </c>
      <c r="B338" s="83">
        <v>3.2</v>
      </c>
      <c r="C338" s="78">
        <v>45992</v>
      </c>
      <c r="D338" s="78">
        <v>45964</v>
      </c>
      <c r="E338">
        <v>28</v>
      </c>
      <c r="F338" t="s">
        <v>910</v>
      </c>
      <c r="G338" t="s">
        <v>930</v>
      </c>
      <c r="H338">
        <v>25</v>
      </c>
      <c r="I338">
        <v>15</v>
      </c>
      <c r="J338" t="s">
        <v>935</v>
      </c>
      <c r="K338" t="s">
        <v>1234</v>
      </c>
      <c r="M338" s="1">
        <v>359</v>
      </c>
      <c r="N338" s="1" t="s">
        <v>369</v>
      </c>
      <c r="O338" s="2">
        <v>46031.582685185182</v>
      </c>
      <c r="P338" s="3">
        <v>7.1193574999999996</v>
      </c>
      <c r="Q338" s="3">
        <v>2.7025030787603974</v>
      </c>
      <c r="R338" s="13">
        <f t="shared" si="20"/>
        <v>7.1193574999999996</v>
      </c>
      <c r="S338" s="42">
        <f t="shared" si="23"/>
        <v>94.751102817962661</v>
      </c>
      <c r="T338" s="13">
        <v>0</v>
      </c>
      <c r="U338" s="14">
        <f t="shared" si="21"/>
        <v>2.7025030787603974</v>
      </c>
      <c r="V338" s="15">
        <f t="shared" si="22"/>
        <v>674.56697448033356</v>
      </c>
    </row>
    <row r="339" spans="1:22" x14ac:dyDescent="0.3">
      <c r="A339">
        <v>3</v>
      </c>
      <c r="B339" s="83">
        <v>3.2</v>
      </c>
      <c r="C339" s="78">
        <v>45992</v>
      </c>
      <c r="D339" s="78">
        <v>45964</v>
      </c>
      <c r="E339">
        <v>31</v>
      </c>
      <c r="F339" t="s">
        <v>906</v>
      </c>
      <c r="G339" t="s">
        <v>933</v>
      </c>
      <c r="H339">
        <v>25</v>
      </c>
      <c r="I339">
        <v>16</v>
      </c>
      <c r="J339" t="s">
        <v>935</v>
      </c>
      <c r="K339" t="s">
        <v>1235</v>
      </c>
      <c r="M339" s="4">
        <v>360</v>
      </c>
      <c r="N339" s="4" t="s">
        <v>370</v>
      </c>
      <c r="O339" s="12">
        <v>46031.586423611108</v>
      </c>
      <c r="P339" s="5">
        <v>7.3848539999999998</v>
      </c>
      <c r="Q339" s="5">
        <v>-3.4962455835566235</v>
      </c>
      <c r="R339" s="13">
        <f t="shared" si="20"/>
        <v>7.3848539999999998</v>
      </c>
      <c r="S339" s="42">
        <f t="shared" si="23"/>
        <v>94.751102817962661</v>
      </c>
      <c r="T339" s="13">
        <v>0</v>
      </c>
      <c r="U339" s="14">
        <f t="shared" si="21"/>
        <v>-3.4962455835566235</v>
      </c>
      <c r="V339" s="15">
        <f t="shared" si="22"/>
        <v>699.72306064964278</v>
      </c>
    </row>
    <row r="340" spans="1:22" x14ac:dyDescent="0.3">
      <c r="A340">
        <v>3</v>
      </c>
      <c r="B340" s="83">
        <v>3.2</v>
      </c>
      <c r="C340" s="78">
        <v>45992</v>
      </c>
      <c r="D340" s="78">
        <v>45964</v>
      </c>
      <c r="E340">
        <v>25</v>
      </c>
      <c r="F340" t="s">
        <v>917</v>
      </c>
      <c r="G340" t="s">
        <v>907</v>
      </c>
      <c r="H340">
        <v>25</v>
      </c>
      <c r="I340">
        <v>17</v>
      </c>
      <c r="J340" t="s">
        <v>24</v>
      </c>
      <c r="K340" t="s">
        <v>1236</v>
      </c>
      <c r="M340" s="1">
        <v>361</v>
      </c>
      <c r="N340" s="1" t="s">
        <v>371</v>
      </c>
      <c r="O340" s="2">
        <v>46031.590173611112</v>
      </c>
      <c r="P340" s="3">
        <v>6.3559184999999996</v>
      </c>
      <c r="Q340" s="3">
        <v>3.968908516259213</v>
      </c>
      <c r="R340" s="13">
        <f t="shared" si="20"/>
        <v>6.3559184999999996</v>
      </c>
      <c r="S340" s="42">
        <f t="shared" si="23"/>
        <v>94.751102817962661</v>
      </c>
      <c r="T340" s="13">
        <v>0</v>
      </c>
      <c r="U340" s="14">
        <f t="shared" si="21"/>
        <v>3.968908516259213</v>
      </c>
      <c r="V340" s="15">
        <f t="shared" si="22"/>
        <v>602.23028729609098</v>
      </c>
    </row>
    <row r="341" spans="1:22" x14ac:dyDescent="0.3">
      <c r="A341">
        <v>3</v>
      </c>
      <c r="B341" s="83">
        <v>3.2</v>
      </c>
      <c r="C341" s="78">
        <v>45992</v>
      </c>
      <c r="D341" s="78">
        <v>45964</v>
      </c>
      <c r="E341">
        <v>27</v>
      </c>
      <c r="F341" t="s">
        <v>913</v>
      </c>
      <c r="G341" t="s">
        <v>15</v>
      </c>
      <c r="H341">
        <v>25</v>
      </c>
      <c r="I341">
        <v>18</v>
      </c>
      <c r="J341" t="s">
        <v>24</v>
      </c>
      <c r="K341" t="s">
        <v>1237</v>
      </c>
      <c r="M341" s="4">
        <v>362</v>
      </c>
      <c r="N341" s="4" t="s">
        <v>372</v>
      </c>
      <c r="O341" s="12">
        <v>46031.593923611108</v>
      </c>
      <c r="P341" s="5">
        <v>6.5699759999999996</v>
      </c>
      <c r="Q341" s="5">
        <v>37.167459771278352</v>
      </c>
      <c r="R341" s="13">
        <f t="shared" si="20"/>
        <v>6.5699759999999996</v>
      </c>
      <c r="S341" s="42">
        <f t="shared" si="23"/>
        <v>94.751102817962661</v>
      </c>
      <c r="T341" s="13">
        <v>0</v>
      </c>
      <c r="U341" s="14">
        <f t="shared" si="21"/>
        <v>37.167459771278352</v>
      </c>
      <c r="V341" s="15">
        <f t="shared" si="22"/>
        <v>622.51247148754703</v>
      </c>
    </row>
    <row r="342" spans="1:22" x14ac:dyDescent="0.3">
      <c r="A342">
        <v>3</v>
      </c>
      <c r="B342" s="83">
        <v>3.2</v>
      </c>
      <c r="C342" s="78">
        <v>45992</v>
      </c>
      <c r="D342" s="78">
        <v>45964</v>
      </c>
      <c r="E342">
        <v>26</v>
      </c>
      <c r="F342" t="s">
        <v>932</v>
      </c>
      <c r="G342" t="s">
        <v>914</v>
      </c>
      <c r="H342">
        <v>25</v>
      </c>
      <c r="I342">
        <v>19</v>
      </c>
      <c r="J342" t="s">
        <v>24</v>
      </c>
      <c r="K342" t="s">
        <v>1238</v>
      </c>
      <c r="M342" s="1">
        <v>363</v>
      </c>
      <c r="N342" s="1" t="s">
        <v>373</v>
      </c>
      <c r="O342" s="2">
        <v>46031.597662037035</v>
      </c>
      <c r="P342" s="3">
        <v>6.1872024999999997</v>
      </c>
      <c r="Q342" s="3">
        <v>13.498556340456178</v>
      </c>
      <c r="R342" s="13">
        <f t="shared" si="20"/>
        <v>6.1872024999999997</v>
      </c>
      <c r="S342" s="42">
        <f t="shared" si="23"/>
        <v>94.751102817962661</v>
      </c>
      <c r="T342" s="13">
        <v>0</v>
      </c>
      <c r="U342" s="14">
        <f t="shared" si="21"/>
        <v>13.498556340456178</v>
      </c>
      <c r="V342" s="15">
        <f t="shared" si="22"/>
        <v>586.24426023305557</v>
      </c>
    </row>
    <row r="343" spans="1:22" x14ac:dyDescent="0.3">
      <c r="A343">
        <v>3</v>
      </c>
      <c r="B343" s="83">
        <v>3.2</v>
      </c>
      <c r="C343" s="78">
        <v>45992</v>
      </c>
      <c r="D343" s="78">
        <v>45964</v>
      </c>
      <c r="E343">
        <v>29</v>
      </c>
      <c r="F343" t="s">
        <v>921</v>
      </c>
      <c r="G343" t="s">
        <v>918</v>
      </c>
      <c r="H343">
        <v>25</v>
      </c>
      <c r="I343">
        <v>20</v>
      </c>
      <c r="J343" t="s">
        <v>24</v>
      </c>
      <c r="K343" t="s">
        <v>1239</v>
      </c>
      <c r="M343" s="4">
        <v>364</v>
      </c>
      <c r="N343" s="4" t="s">
        <v>374</v>
      </c>
      <c r="O343" s="12">
        <v>46031.601400462961</v>
      </c>
      <c r="P343" s="5">
        <v>6.9746914999999996</v>
      </c>
      <c r="Q343" s="5">
        <v>32.985968416879217</v>
      </c>
      <c r="R343" s="13">
        <f t="shared" si="20"/>
        <v>6.9746914999999996</v>
      </c>
      <c r="S343" s="42">
        <f t="shared" si="23"/>
        <v>94.751102817962661</v>
      </c>
      <c r="T343" s="13">
        <v>0</v>
      </c>
      <c r="U343" s="14">
        <f t="shared" si="21"/>
        <v>32.985968416879217</v>
      </c>
      <c r="V343" s="15">
        <f t="shared" si="22"/>
        <v>660.85971144007021</v>
      </c>
    </row>
    <row r="344" spans="1:22" x14ac:dyDescent="0.3">
      <c r="A344">
        <v>3</v>
      </c>
      <c r="B344" s="83">
        <v>3.2</v>
      </c>
      <c r="C344" s="78">
        <v>45992</v>
      </c>
      <c r="D344" s="78">
        <v>45964</v>
      </c>
      <c r="E344">
        <v>32</v>
      </c>
      <c r="F344" t="s">
        <v>925</v>
      </c>
      <c r="G344" t="s">
        <v>922</v>
      </c>
      <c r="H344">
        <v>25</v>
      </c>
      <c r="I344">
        <v>21</v>
      </c>
      <c r="J344" t="s">
        <v>24</v>
      </c>
      <c r="K344" t="s">
        <v>1240</v>
      </c>
      <c r="M344" s="1">
        <v>365</v>
      </c>
      <c r="N344" s="1" t="s">
        <v>375</v>
      </c>
      <c r="O344" s="2">
        <v>46031.605196759258</v>
      </c>
      <c r="P344" s="3">
        <v>6.8355399999999999</v>
      </c>
      <c r="Q344" s="3">
        <v>18.420123563489383</v>
      </c>
      <c r="R344" s="13">
        <f t="shared" si="20"/>
        <v>6.8355399999999999</v>
      </c>
      <c r="S344" s="42">
        <f t="shared" si="23"/>
        <v>94.751102817962661</v>
      </c>
      <c r="T344" s="13">
        <v>0</v>
      </c>
      <c r="U344" s="14">
        <f t="shared" si="21"/>
        <v>18.420123563489383</v>
      </c>
      <c r="V344" s="15">
        <f t="shared" si="22"/>
        <v>647.67495335629644</v>
      </c>
    </row>
    <row r="345" spans="1:22" x14ac:dyDescent="0.3">
      <c r="A345">
        <v>3</v>
      </c>
      <c r="B345" s="83">
        <v>3.2</v>
      </c>
      <c r="C345" s="78">
        <v>45992</v>
      </c>
      <c r="D345" s="78">
        <v>45964</v>
      </c>
      <c r="E345">
        <v>30</v>
      </c>
      <c r="F345" t="s">
        <v>929</v>
      </c>
      <c r="G345" t="s">
        <v>926</v>
      </c>
      <c r="H345">
        <v>25</v>
      </c>
      <c r="I345">
        <v>22</v>
      </c>
      <c r="J345" t="s">
        <v>24</v>
      </c>
      <c r="K345" t="s">
        <v>1241</v>
      </c>
      <c r="M345" s="4">
        <v>366</v>
      </c>
      <c r="N345" s="4" t="s">
        <v>376</v>
      </c>
      <c r="O345" s="12">
        <v>46031.608923611115</v>
      </c>
      <c r="P345" s="5">
        <v>7.4505670000000004</v>
      </c>
      <c r="Q345" s="5">
        <v>15.015153720046177</v>
      </c>
      <c r="R345" s="13">
        <f t="shared" si="20"/>
        <v>7.4505670000000004</v>
      </c>
      <c r="S345" s="42">
        <f t="shared" si="23"/>
        <v>94.751102817962661</v>
      </c>
      <c r="T345" s="13">
        <v>0</v>
      </c>
      <c r="U345" s="14">
        <f t="shared" si="21"/>
        <v>15.015153720046177</v>
      </c>
      <c r="V345" s="15">
        <f t="shared" si="22"/>
        <v>705.9494398691196</v>
      </c>
    </row>
    <row r="346" spans="1:22" x14ac:dyDescent="0.3">
      <c r="A346">
        <v>3</v>
      </c>
      <c r="B346" s="83">
        <v>3.2</v>
      </c>
      <c r="C346" s="78">
        <v>45992</v>
      </c>
      <c r="D346" s="78">
        <v>45964</v>
      </c>
      <c r="E346">
        <v>28</v>
      </c>
      <c r="F346" t="s">
        <v>910</v>
      </c>
      <c r="G346" t="s">
        <v>930</v>
      </c>
      <c r="H346">
        <v>25</v>
      </c>
      <c r="I346">
        <v>23</v>
      </c>
      <c r="J346" t="s">
        <v>24</v>
      </c>
      <c r="K346" t="s">
        <v>1242</v>
      </c>
      <c r="M346" s="1">
        <v>367</v>
      </c>
      <c r="N346" s="1" t="s">
        <v>377</v>
      </c>
      <c r="O346" s="2">
        <v>46031.612662037034</v>
      </c>
      <c r="P346" s="3">
        <v>7.0547849999999999</v>
      </c>
      <c r="Q346" s="3">
        <v>19.728350203354015</v>
      </c>
      <c r="R346" s="13">
        <f t="shared" si="20"/>
        <v>7.0547849999999999</v>
      </c>
      <c r="S346" s="42">
        <f t="shared" si="23"/>
        <v>94.751102817962661</v>
      </c>
      <c r="T346" s="13">
        <v>0</v>
      </c>
      <c r="U346" s="14">
        <f t="shared" si="21"/>
        <v>19.728350203354015</v>
      </c>
      <c r="V346" s="15">
        <f t="shared" si="22"/>
        <v>668.44865889362075</v>
      </c>
    </row>
    <row r="347" spans="1:22" x14ac:dyDescent="0.3">
      <c r="A347">
        <v>3</v>
      </c>
      <c r="B347" s="83">
        <v>3.2</v>
      </c>
      <c r="C347" s="78">
        <v>45992</v>
      </c>
      <c r="D347" s="78">
        <v>45964</v>
      </c>
      <c r="E347">
        <v>31</v>
      </c>
      <c r="F347" t="s">
        <v>906</v>
      </c>
      <c r="G347" t="s">
        <v>933</v>
      </c>
      <c r="H347">
        <v>25</v>
      </c>
      <c r="I347">
        <v>24</v>
      </c>
      <c r="J347" t="s">
        <v>24</v>
      </c>
      <c r="K347" t="s">
        <v>1243</v>
      </c>
      <c r="M347" s="4">
        <v>368</v>
      </c>
      <c r="N347" s="4" t="s">
        <v>378</v>
      </c>
      <c r="O347" s="12">
        <v>46031.616400462961</v>
      </c>
      <c r="P347" s="5">
        <v>7.1361094999999999</v>
      </c>
      <c r="Q347" s="5">
        <v>8.4083316853490153</v>
      </c>
      <c r="R347" s="13">
        <f t="shared" si="20"/>
        <v>7.1361094999999999</v>
      </c>
      <c r="S347" s="42">
        <f t="shared" si="23"/>
        <v>94.751102817962661</v>
      </c>
      <c r="T347" s="13">
        <v>0</v>
      </c>
      <c r="U347" s="14">
        <f t="shared" si="21"/>
        <v>8.4083316853490153</v>
      </c>
      <c r="V347" s="15">
        <f t="shared" si="22"/>
        <v>676.15424495474008</v>
      </c>
    </row>
    <row r="348" spans="1:22" x14ac:dyDescent="0.3">
      <c r="A348">
        <v>3</v>
      </c>
      <c r="B348" s="83">
        <v>3.2</v>
      </c>
      <c r="C348" s="78">
        <v>45992</v>
      </c>
      <c r="D348" s="78">
        <v>45964</v>
      </c>
      <c r="E348">
        <v>25</v>
      </c>
      <c r="F348" t="s">
        <v>917</v>
      </c>
      <c r="G348" t="s">
        <v>907</v>
      </c>
      <c r="H348">
        <v>25</v>
      </c>
      <c r="I348">
        <v>25</v>
      </c>
      <c r="J348" t="s">
        <v>25</v>
      </c>
      <c r="K348" t="s">
        <v>1244</v>
      </c>
      <c r="M348" s="1">
        <v>369</v>
      </c>
      <c r="N348" s="1" t="s">
        <v>379</v>
      </c>
      <c r="O348" s="2">
        <v>46031.620138888888</v>
      </c>
      <c r="P348" s="3">
        <v>6.5258479999999999</v>
      </c>
      <c r="Q348" s="3">
        <v>10.361474112377577</v>
      </c>
      <c r="R348" s="13">
        <f t="shared" si="20"/>
        <v>6.5258479999999999</v>
      </c>
      <c r="S348" s="42">
        <f t="shared" si="23"/>
        <v>94.751102817962661</v>
      </c>
      <c r="T348" s="13">
        <v>0</v>
      </c>
      <c r="U348" s="14">
        <f t="shared" si="21"/>
        <v>10.361474112377577</v>
      </c>
      <c r="V348" s="15">
        <f t="shared" si="22"/>
        <v>618.33129482239599</v>
      </c>
    </row>
    <row r="349" spans="1:22" x14ac:dyDescent="0.3">
      <c r="A349">
        <v>3</v>
      </c>
      <c r="B349" s="83">
        <v>3.2</v>
      </c>
      <c r="C349" s="78">
        <v>45992</v>
      </c>
      <c r="D349" s="78">
        <v>45964</v>
      </c>
      <c r="E349">
        <v>27</v>
      </c>
      <c r="F349" t="s">
        <v>913</v>
      </c>
      <c r="G349" t="s">
        <v>15</v>
      </c>
      <c r="H349">
        <v>25</v>
      </c>
      <c r="I349">
        <v>26</v>
      </c>
      <c r="J349" t="s">
        <v>25</v>
      </c>
      <c r="K349" t="s">
        <v>1245</v>
      </c>
      <c r="M349" s="4">
        <v>370</v>
      </c>
      <c r="N349" s="4" t="s">
        <v>380</v>
      </c>
      <c r="O349" s="12">
        <v>46031.623877314814</v>
      </c>
      <c r="P349" s="5">
        <v>6.7876310000000002</v>
      </c>
      <c r="Q349" s="5">
        <v>52.483337010641677</v>
      </c>
      <c r="R349" s="13">
        <f t="shared" si="20"/>
        <v>6.7876310000000002</v>
      </c>
      <c r="S349" s="42">
        <f t="shared" si="23"/>
        <v>94.751102817962661</v>
      </c>
      <c r="T349" s="13">
        <v>0</v>
      </c>
      <c r="U349" s="14">
        <f t="shared" si="21"/>
        <v>52.483337010641677</v>
      </c>
      <c r="V349" s="15">
        <f t="shared" si="22"/>
        <v>643.1355227713907</v>
      </c>
    </row>
    <row r="350" spans="1:22" x14ac:dyDescent="0.3">
      <c r="A350">
        <v>3</v>
      </c>
      <c r="B350" s="83">
        <v>3.2</v>
      </c>
      <c r="C350" s="78">
        <v>45992</v>
      </c>
      <c r="D350" s="78">
        <v>45964</v>
      </c>
      <c r="E350">
        <v>26</v>
      </c>
      <c r="F350" t="s">
        <v>932</v>
      </c>
      <c r="G350" t="s">
        <v>914</v>
      </c>
      <c r="H350">
        <v>25</v>
      </c>
      <c r="I350">
        <v>27</v>
      </c>
      <c r="J350" t="s">
        <v>25</v>
      </c>
      <c r="K350" t="s">
        <v>1246</v>
      </c>
      <c r="M350" s="1">
        <v>371</v>
      </c>
      <c r="N350" s="1" t="s">
        <v>381</v>
      </c>
      <c r="O350" s="2">
        <v>46031.627615740741</v>
      </c>
      <c r="P350" s="3">
        <v>6.6705595000000004</v>
      </c>
      <c r="Q350" s="3">
        <v>21.014691818112492</v>
      </c>
      <c r="R350" s="13">
        <f t="shared" si="20"/>
        <v>6.6705595000000004</v>
      </c>
      <c r="S350" s="42">
        <f t="shared" si="23"/>
        <v>94.751102817962661</v>
      </c>
      <c r="T350" s="13">
        <v>0</v>
      </c>
      <c r="U350" s="14">
        <f t="shared" si="21"/>
        <v>21.014691818112492</v>
      </c>
      <c r="V350" s="15">
        <f t="shared" si="22"/>
        <v>632.04286903783759</v>
      </c>
    </row>
    <row r="351" spans="1:22" x14ac:dyDescent="0.3">
      <c r="A351">
        <v>3</v>
      </c>
      <c r="B351" s="83">
        <v>3.2</v>
      </c>
      <c r="C351" s="78">
        <v>45992</v>
      </c>
      <c r="D351" s="78">
        <v>45964</v>
      </c>
      <c r="E351">
        <v>29</v>
      </c>
      <c r="F351" t="s">
        <v>921</v>
      </c>
      <c r="G351" t="s">
        <v>918</v>
      </c>
      <c r="H351">
        <v>25</v>
      </c>
      <c r="I351">
        <v>28</v>
      </c>
      <c r="J351" t="s">
        <v>25</v>
      </c>
      <c r="K351" t="s">
        <v>1247</v>
      </c>
      <c r="M351" s="4">
        <v>372</v>
      </c>
      <c r="N351" s="4" t="s">
        <v>382</v>
      </c>
      <c r="O351" s="12">
        <v>46031.631354166668</v>
      </c>
      <c r="P351" s="5">
        <v>7.274375</v>
      </c>
      <c r="Q351" s="5">
        <v>49.27051162032982</v>
      </c>
      <c r="R351" s="13">
        <f t="shared" si="20"/>
        <v>7.274375</v>
      </c>
      <c r="S351" s="42">
        <f t="shared" si="23"/>
        <v>94.751102817962661</v>
      </c>
      <c r="T351" s="13">
        <v>0</v>
      </c>
      <c r="U351" s="14">
        <f t="shared" si="21"/>
        <v>49.27051162032982</v>
      </c>
      <c r="V351" s="15">
        <f t="shared" si="22"/>
        <v>689.25505356141718</v>
      </c>
    </row>
    <row r="352" spans="1:22" x14ac:dyDescent="0.3">
      <c r="A352">
        <v>3</v>
      </c>
      <c r="B352" s="83">
        <v>3.2</v>
      </c>
      <c r="C352" s="78">
        <v>45992</v>
      </c>
      <c r="D352" s="78">
        <v>45964</v>
      </c>
      <c r="E352">
        <v>32</v>
      </c>
      <c r="F352" t="s">
        <v>925</v>
      </c>
      <c r="G352" t="s">
        <v>922</v>
      </c>
      <c r="H352">
        <v>25</v>
      </c>
      <c r="I352">
        <v>29</v>
      </c>
      <c r="J352" t="s">
        <v>25</v>
      </c>
      <c r="K352" t="s">
        <v>1248</v>
      </c>
      <c r="M352" s="1">
        <v>373</v>
      </c>
      <c r="N352" s="1" t="s">
        <v>383</v>
      </c>
      <c r="O352" s="2">
        <v>46031.635104166664</v>
      </c>
      <c r="P352" s="3">
        <v>6.8031090000000001</v>
      </c>
      <c r="Q352" s="3">
        <v>31.073464759272252</v>
      </c>
      <c r="R352" s="13">
        <f t="shared" si="20"/>
        <v>6.8031090000000001</v>
      </c>
      <c r="S352" s="42">
        <f t="shared" si="23"/>
        <v>94.751102817962661</v>
      </c>
      <c r="T352" s="13">
        <v>0</v>
      </c>
      <c r="U352" s="14">
        <f t="shared" si="21"/>
        <v>31.073464759272252</v>
      </c>
      <c r="V352" s="15">
        <f t="shared" si="22"/>
        <v>644.60208034080711</v>
      </c>
    </row>
    <row r="353" spans="1:22" x14ac:dyDescent="0.3">
      <c r="A353">
        <v>3</v>
      </c>
      <c r="B353" s="83">
        <v>3.2</v>
      </c>
      <c r="C353" s="78">
        <v>45992</v>
      </c>
      <c r="D353" s="78">
        <v>45964</v>
      </c>
      <c r="E353">
        <v>30</v>
      </c>
      <c r="F353" t="s">
        <v>929</v>
      </c>
      <c r="G353" t="s">
        <v>926</v>
      </c>
      <c r="H353">
        <v>25</v>
      </c>
      <c r="I353">
        <v>30</v>
      </c>
      <c r="J353" t="s">
        <v>25</v>
      </c>
      <c r="K353" t="s">
        <v>1249</v>
      </c>
      <c r="M353" s="4">
        <v>374</v>
      </c>
      <c r="N353" s="4" t="s">
        <v>384</v>
      </c>
      <c r="O353" s="12">
        <v>46031.638831018521</v>
      </c>
      <c r="P353" s="5">
        <v>7.5642585000000002</v>
      </c>
      <c r="Q353" s="5">
        <v>24.340864047819604</v>
      </c>
      <c r="R353" s="13">
        <f t="shared" si="20"/>
        <v>7.5642585000000002</v>
      </c>
      <c r="S353" s="42">
        <f t="shared" si="23"/>
        <v>94.751102817962661</v>
      </c>
      <c r="T353" s="13">
        <v>0</v>
      </c>
      <c r="U353" s="14">
        <f t="shared" si="21"/>
        <v>24.340864047819604</v>
      </c>
      <c r="V353" s="15">
        <f t="shared" si="22"/>
        <v>716.72183487514803</v>
      </c>
    </row>
    <row r="354" spans="1:22" x14ac:dyDescent="0.3">
      <c r="A354">
        <v>3</v>
      </c>
      <c r="B354" s="83">
        <v>3.2</v>
      </c>
      <c r="C354" s="78">
        <v>45992</v>
      </c>
      <c r="D354" s="78">
        <v>45964</v>
      </c>
      <c r="E354">
        <v>28</v>
      </c>
      <c r="F354" t="s">
        <v>910</v>
      </c>
      <c r="G354" t="s">
        <v>930</v>
      </c>
      <c r="H354">
        <v>25</v>
      </c>
      <c r="I354">
        <v>31</v>
      </c>
      <c r="J354" t="s">
        <v>25</v>
      </c>
      <c r="K354" t="s">
        <v>1250</v>
      </c>
      <c r="M354" s="1">
        <v>375</v>
      </c>
      <c r="N354" s="1" t="s">
        <v>385</v>
      </c>
      <c r="O354" s="2">
        <v>46031.642569444448</v>
      </c>
      <c r="P354" s="3">
        <v>7.275684</v>
      </c>
      <c r="Q354" s="3">
        <v>30.988261299266746</v>
      </c>
      <c r="R354" s="13">
        <f t="shared" si="20"/>
        <v>7.275684</v>
      </c>
      <c r="S354" s="42">
        <f t="shared" si="23"/>
        <v>94.751102817962661</v>
      </c>
      <c r="T354" s="13">
        <v>0</v>
      </c>
      <c r="U354" s="14">
        <f t="shared" si="21"/>
        <v>30.988261299266746</v>
      </c>
      <c r="V354" s="15">
        <f t="shared" si="22"/>
        <v>689.37908275500581</v>
      </c>
    </row>
    <row r="355" spans="1:22" x14ac:dyDescent="0.3">
      <c r="A355">
        <v>3</v>
      </c>
      <c r="B355" s="83">
        <v>3.2</v>
      </c>
      <c r="C355" s="78">
        <v>45992</v>
      </c>
      <c r="D355" s="78">
        <v>45964</v>
      </c>
      <c r="E355">
        <v>31</v>
      </c>
      <c r="F355" t="s">
        <v>906</v>
      </c>
      <c r="G355" t="s">
        <v>933</v>
      </c>
      <c r="H355">
        <v>25</v>
      </c>
      <c r="I355">
        <v>32</v>
      </c>
      <c r="J355" t="s">
        <v>25</v>
      </c>
      <c r="K355" t="s">
        <v>1251</v>
      </c>
      <c r="M355" s="4">
        <v>376</v>
      </c>
      <c r="N355" s="4" t="s">
        <v>386</v>
      </c>
      <c r="O355" s="12">
        <v>46031.646307870367</v>
      </c>
      <c r="P355" s="5">
        <v>7.7841145000000003</v>
      </c>
      <c r="Q355" s="5">
        <v>14.812343717741943</v>
      </c>
      <c r="R355" s="13">
        <f t="shared" si="20"/>
        <v>7.7841145000000003</v>
      </c>
      <c r="S355" s="42">
        <f t="shared" si="23"/>
        <v>94.751102817962661</v>
      </c>
      <c r="T355" s="13">
        <v>0</v>
      </c>
      <c r="U355" s="14">
        <f t="shared" si="21"/>
        <v>14.812343717741943</v>
      </c>
      <c r="V355" s="15">
        <f t="shared" si="22"/>
        <v>737.55343333629401</v>
      </c>
    </row>
    <row r="356" spans="1:22" x14ac:dyDescent="0.3">
      <c r="M356" s="1">
        <v>377</v>
      </c>
      <c r="N356" s="1" t="s">
        <v>387</v>
      </c>
      <c r="O356" s="2">
        <v>46031.650057870371</v>
      </c>
      <c r="P356" s="3">
        <v>3.6145934999999998</v>
      </c>
      <c r="Q356" s="3">
        <v>-15.60478326384739</v>
      </c>
      <c r="R356" s="13">
        <f t="shared" si="20"/>
        <v>3.6145934999999998</v>
      </c>
      <c r="S356" s="42">
        <f t="shared" si="23"/>
        <v>94.751102817962661</v>
      </c>
      <c r="T356" s="13">
        <v>0</v>
      </c>
      <c r="U356" s="14">
        <f t="shared" si="21"/>
        <v>-15.60478326384739</v>
      </c>
      <c r="V356" s="15">
        <f t="shared" si="22"/>
        <v>342.48672036363951</v>
      </c>
    </row>
    <row r="357" spans="1:22" x14ac:dyDescent="0.3">
      <c r="M357" s="4">
        <v>378</v>
      </c>
      <c r="N357" s="4" t="s">
        <v>388</v>
      </c>
      <c r="O357" s="12">
        <v>46031.653796296298</v>
      </c>
      <c r="P357" s="5">
        <v>3.4112545000000001</v>
      </c>
      <c r="Q357" s="5">
        <v>-17.290585614349876</v>
      </c>
      <c r="R357" s="13">
        <f t="shared" si="20"/>
        <v>3.4112545000000001</v>
      </c>
      <c r="S357" s="42">
        <f t="shared" si="23"/>
        <v>94.751102817962661</v>
      </c>
      <c r="T357" s="13">
        <v>0</v>
      </c>
      <c r="U357" s="14">
        <f t="shared" si="21"/>
        <v>-17.290585614349876</v>
      </c>
      <c r="V357" s="15">
        <f t="shared" si="22"/>
        <v>323.22012586773781</v>
      </c>
    </row>
    <row r="358" spans="1:22" x14ac:dyDescent="0.3">
      <c r="A358">
        <v>3</v>
      </c>
      <c r="B358" s="83">
        <v>3.3</v>
      </c>
      <c r="C358" s="78">
        <v>45993</v>
      </c>
      <c r="D358" s="78">
        <v>45965</v>
      </c>
      <c r="E358">
        <v>25</v>
      </c>
      <c r="F358" t="s">
        <v>917</v>
      </c>
      <c r="G358" t="s">
        <v>907</v>
      </c>
      <c r="H358">
        <v>49</v>
      </c>
      <c r="I358">
        <v>1</v>
      </c>
      <c r="J358" t="s">
        <v>908</v>
      </c>
      <c r="K358" s="82" t="s">
        <v>1252</v>
      </c>
      <c r="L358" s="82"/>
      <c r="M358" s="1">
        <v>379</v>
      </c>
      <c r="N358" s="1" t="s">
        <v>389</v>
      </c>
      <c r="O358" s="2">
        <v>46031.657511574071</v>
      </c>
      <c r="P358" s="3">
        <v>7.3264250000000004</v>
      </c>
      <c r="Q358" s="3">
        <v>-17.514510729212066</v>
      </c>
      <c r="R358" s="13">
        <f t="shared" si="20"/>
        <v>7.3264250000000004</v>
      </c>
      <c r="S358" s="42">
        <f t="shared" si="23"/>
        <v>94.751102817962661</v>
      </c>
      <c r="T358" s="13">
        <v>0</v>
      </c>
      <c r="U358" s="14">
        <f t="shared" si="21"/>
        <v>-17.514510729212066</v>
      </c>
      <c r="V358" s="15">
        <f t="shared" si="22"/>
        <v>694.18684846309213</v>
      </c>
    </row>
    <row r="359" spans="1:22" x14ac:dyDescent="0.3">
      <c r="A359">
        <v>3</v>
      </c>
      <c r="B359" s="83">
        <v>3.3</v>
      </c>
      <c r="C359" s="78">
        <v>45993</v>
      </c>
      <c r="D359" s="78">
        <v>45965</v>
      </c>
      <c r="E359">
        <v>27</v>
      </c>
      <c r="F359" t="s">
        <v>913</v>
      </c>
      <c r="G359" t="s">
        <v>15</v>
      </c>
      <c r="H359">
        <v>49</v>
      </c>
      <c r="I359">
        <v>2</v>
      </c>
      <c r="J359" t="s">
        <v>908</v>
      </c>
      <c r="K359" t="s">
        <v>1253</v>
      </c>
      <c r="M359" s="4">
        <v>380</v>
      </c>
      <c r="N359" s="4" t="s">
        <v>390</v>
      </c>
      <c r="O359" s="12">
        <v>46031.661249999997</v>
      </c>
      <c r="P359" s="5">
        <v>7.2567765</v>
      </c>
      <c r="Q359" s="5">
        <v>-16.077055063559783</v>
      </c>
      <c r="R359" s="13">
        <f t="shared" si="20"/>
        <v>7.2567765</v>
      </c>
      <c r="S359" s="42">
        <f t="shared" si="23"/>
        <v>94.751102817962661</v>
      </c>
      <c r="T359" s="13">
        <v>0</v>
      </c>
      <c r="U359" s="14">
        <f t="shared" si="21"/>
        <v>-16.077055063559783</v>
      </c>
      <c r="V359" s="15">
        <f t="shared" si="22"/>
        <v>687.58757627847524</v>
      </c>
    </row>
    <row r="360" spans="1:22" x14ac:dyDescent="0.3">
      <c r="A360">
        <v>3</v>
      </c>
      <c r="B360" s="83">
        <v>3.3</v>
      </c>
      <c r="C360" s="78">
        <v>45993</v>
      </c>
      <c r="D360" s="78">
        <v>45965</v>
      </c>
      <c r="E360">
        <v>26</v>
      </c>
      <c r="F360" t="s">
        <v>932</v>
      </c>
      <c r="G360" t="s">
        <v>914</v>
      </c>
      <c r="H360">
        <v>49</v>
      </c>
      <c r="I360">
        <v>3</v>
      </c>
      <c r="J360" t="s">
        <v>908</v>
      </c>
      <c r="K360" t="s">
        <v>1254</v>
      </c>
      <c r="M360" s="1">
        <v>381</v>
      </c>
      <c r="N360" s="1" t="s">
        <v>391</v>
      </c>
      <c r="O360" s="2">
        <v>46031.665000000001</v>
      </c>
      <c r="P360" s="3">
        <v>6.8589564999999997</v>
      </c>
      <c r="Q360" s="3">
        <v>-16.788144582334407</v>
      </c>
      <c r="R360" s="13">
        <f t="shared" si="20"/>
        <v>6.8589564999999997</v>
      </c>
      <c r="S360" s="42">
        <f t="shared" si="23"/>
        <v>94.751102817962661</v>
      </c>
      <c r="T360" s="13">
        <v>0</v>
      </c>
      <c r="U360" s="14">
        <f t="shared" si="21"/>
        <v>-16.788144582334407</v>
      </c>
      <c r="V360" s="15">
        <f t="shared" si="22"/>
        <v>649.89369255543329</v>
      </c>
    </row>
    <row r="361" spans="1:22" x14ac:dyDescent="0.3">
      <c r="A361">
        <v>3</v>
      </c>
      <c r="B361" s="83">
        <v>3.3</v>
      </c>
      <c r="C361" s="78">
        <v>45993</v>
      </c>
      <c r="D361" s="78">
        <v>45965</v>
      </c>
      <c r="E361">
        <v>29</v>
      </c>
      <c r="F361" t="s">
        <v>921</v>
      </c>
      <c r="G361" t="s">
        <v>918</v>
      </c>
      <c r="H361">
        <v>49</v>
      </c>
      <c r="I361">
        <v>4</v>
      </c>
      <c r="J361" t="s">
        <v>908</v>
      </c>
      <c r="K361" t="s">
        <v>1255</v>
      </c>
      <c r="M361" s="4">
        <v>382</v>
      </c>
      <c r="N361" s="4" t="s">
        <v>392</v>
      </c>
      <c r="O361" s="12">
        <v>46031.668726851851</v>
      </c>
      <c r="P361" s="5">
        <v>7.2084140000000003</v>
      </c>
      <c r="Q361" s="5">
        <v>-15.540987587341002</v>
      </c>
      <c r="R361" s="13">
        <f t="shared" si="20"/>
        <v>7.2084140000000003</v>
      </c>
      <c r="S361" s="42">
        <f t="shared" si="23"/>
        <v>94.751102817962661</v>
      </c>
      <c r="T361" s="13">
        <v>0</v>
      </c>
      <c r="U361" s="14">
        <f t="shared" si="21"/>
        <v>-15.540987587341002</v>
      </c>
      <c r="V361" s="15">
        <f t="shared" si="22"/>
        <v>683.00517606844153</v>
      </c>
    </row>
    <row r="362" spans="1:22" x14ac:dyDescent="0.3">
      <c r="A362">
        <v>3</v>
      </c>
      <c r="B362" s="83">
        <v>3.3</v>
      </c>
      <c r="C362" s="78">
        <v>45993</v>
      </c>
      <c r="D362" s="78">
        <v>45965</v>
      </c>
      <c r="E362">
        <v>32</v>
      </c>
      <c r="F362" t="s">
        <v>925</v>
      </c>
      <c r="G362" t="s">
        <v>922</v>
      </c>
      <c r="H362">
        <v>49</v>
      </c>
      <c r="I362">
        <v>5</v>
      </c>
      <c r="J362" t="s">
        <v>908</v>
      </c>
      <c r="K362" t="s">
        <v>1256</v>
      </c>
      <c r="M362" s="1">
        <v>383</v>
      </c>
      <c r="N362" s="1" t="s">
        <v>393</v>
      </c>
      <c r="O362" s="2">
        <v>46031.672488425924</v>
      </c>
      <c r="P362" s="3">
        <v>7.4094775000000004</v>
      </c>
      <c r="Q362" s="3">
        <v>-16.711996262566682</v>
      </c>
      <c r="R362" s="13">
        <f t="shared" si="20"/>
        <v>7.4094775000000004</v>
      </c>
      <c r="S362" s="42">
        <f t="shared" si="23"/>
        <v>94.751102817962661</v>
      </c>
      <c r="T362" s="13">
        <v>0</v>
      </c>
      <c r="U362" s="14">
        <f t="shared" si="21"/>
        <v>-16.711996262566682</v>
      </c>
      <c r="V362" s="15">
        <f t="shared" si="22"/>
        <v>702.05616442988094</v>
      </c>
    </row>
    <row r="363" spans="1:22" x14ac:dyDescent="0.3">
      <c r="A363">
        <v>3</v>
      </c>
      <c r="B363" s="83">
        <v>3.3</v>
      </c>
      <c r="C363" s="78">
        <v>45993</v>
      </c>
      <c r="D363" s="78">
        <v>45965</v>
      </c>
      <c r="E363">
        <v>30</v>
      </c>
      <c r="F363" t="s">
        <v>929</v>
      </c>
      <c r="G363" t="s">
        <v>926</v>
      </c>
      <c r="H363">
        <v>49</v>
      </c>
      <c r="I363">
        <v>6</v>
      </c>
      <c r="J363" t="s">
        <v>908</v>
      </c>
      <c r="K363" t="s">
        <v>1257</v>
      </c>
      <c r="M363" s="4">
        <v>384</v>
      </c>
      <c r="N363" s="4" t="s">
        <v>394</v>
      </c>
      <c r="O363" s="12">
        <v>46031.676238425927</v>
      </c>
      <c r="P363" s="5">
        <v>7.3782730000000001</v>
      </c>
      <c r="Q363" s="5">
        <v>-13.945666566115932</v>
      </c>
      <c r="R363" s="13">
        <f t="shared" si="20"/>
        <v>7.3782730000000001</v>
      </c>
      <c r="S363" s="42">
        <f t="shared" si="23"/>
        <v>94.751102817962661</v>
      </c>
      <c r="T363" s="13">
        <v>0</v>
      </c>
      <c r="U363" s="14">
        <f t="shared" si="21"/>
        <v>-13.945666566115932</v>
      </c>
      <c r="V363" s="15">
        <f t="shared" si="22"/>
        <v>699.09950364199779</v>
      </c>
    </row>
    <row r="364" spans="1:22" x14ac:dyDescent="0.3">
      <c r="A364">
        <v>3</v>
      </c>
      <c r="B364" s="83">
        <v>3.3</v>
      </c>
      <c r="C364" s="78">
        <v>45993</v>
      </c>
      <c r="D364" s="78">
        <v>45965</v>
      </c>
      <c r="E364">
        <v>28</v>
      </c>
      <c r="F364" t="s">
        <v>910</v>
      </c>
      <c r="G364" t="s">
        <v>930</v>
      </c>
      <c r="H364">
        <v>49</v>
      </c>
      <c r="I364">
        <v>7</v>
      </c>
      <c r="J364" t="s">
        <v>908</v>
      </c>
      <c r="K364" t="s">
        <v>1258</v>
      </c>
      <c r="M364" s="1">
        <v>385</v>
      </c>
      <c r="N364" s="1" t="s">
        <v>395</v>
      </c>
      <c r="O364" s="2">
        <v>46031.679976851854</v>
      </c>
      <c r="P364" s="3">
        <v>6.9081574999999997</v>
      </c>
      <c r="Q364" s="3">
        <v>-16.655742982909636</v>
      </c>
      <c r="R364" s="13">
        <f t="shared" si="20"/>
        <v>6.9081574999999997</v>
      </c>
      <c r="S364" s="42">
        <f t="shared" si="23"/>
        <v>94.751102817962661</v>
      </c>
      <c r="T364" s="13">
        <v>0</v>
      </c>
      <c r="U364" s="14">
        <f t="shared" si="21"/>
        <v>-16.655742982909636</v>
      </c>
      <c r="V364" s="15">
        <f t="shared" si="22"/>
        <v>654.55554156517985</v>
      </c>
    </row>
    <row r="365" spans="1:22" x14ac:dyDescent="0.3">
      <c r="A365">
        <v>3</v>
      </c>
      <c r="B365" s="83">
        <v>3.3</v>
      </c>
      <c r="C365" s="78">
        <v>45993</v>
      </c>
      <c r="D365" s="78">
        <v>45965</v>
      </c>
      <c r="E365">
        <v>31</v>
      </c>
      <c r="F365" t="s">
        <v>906</v>
      </c>
      <c r="G365" t="s">
        <v>933</v>
      </c>
      <c r="H365">
        <v>49</v>
      </c>
      <c r="I365">
        <v>8</v>
      </c>
      <c r="J365" t="s">
        <v>908</v>
      </c>
      <c r="K365" t="s">
        <v>1259</v>
      </c>
      <c r="M365" s="4">
        <v>386</v>
      </c>
      <c r="N365" s="4" t="s">
        <v>396</v>
      </c>
      <c r="O365" s="12">
        <v>46031.683703703704</v>
      </c>
      <c r="P365" s="5">
        <v>7.1221315000000001</v>
      </c>
      <c r="Q365" s="5">
        <v>-15.979468071893292</v>
      </c>
      <c r="R365" s="13">
        <f t="shared" si="20"/>
        <v>7.1221315000000001</v>
      </c>
      <c r="S365" s="42">
        <f t="shared" si="23"/>
        <v>94.751102817962661</v>
      </c>
      <c r="T365" s="13">
        <v>0</v>
      </c>
      <c r="U365" s="14">
        <f t="shared" si="21"/>
        <v>-15.979468071893292</v>
      </c>
      <c r="V365" s="15">
        <f t="shared" si="22"/>
        <v>674.82981403955068</v>
      </c>
    </row>
    <row r="366" spans="1:22" x14ac:dyDescent="0.3">
      <c r="A366">
        <v>3</v>
      </c>
      <c r="B366" s="83">
        <v>3.3</v>
      </c>
      <c r="C366" s="78">
        <v>45993</v>
      </c>
      <c r="D366" s="78">
        <v>45965</v>
      </c>
      <c r="E366">
        <v>25</v>
      </c>
      <c r="F366" t="s">
        <v>917</v>
      </c>
      <c r="G366" t="s">
        <v>907</v>
      </c>
      <c r="H366">
        <v>49</v>
      </c>
      <c r="I366">
        <v>9</v>
      </c>
      <c r="J366" t="s">
        <v>935</v>
      </c>
      <c r="K366" t="s">
        <v>1260</v>
      </c>
      <c r="M366" s="1">
        <v>387</v>
      </c>
      <c r="N366" s="1" t="s">
        <v>397</v>
      </c>
      <c r="O366" s="2">
        <v>46031.6874537037</v>
      </c>
      <c r="P366" s="3">
        <v>6.8708505000000004</v>
      </c>
      <c r="Q366" s="3">
        <v>1.835263640365542</v>
      </c>
      <c r="R366" s="13">
        <f t="shared" si="20"/>
        <v>6.8708505000000004</v>
      </c>
      <c r="S366" s="42">
        <f t="shared" si="23"/>
        <v>94.751102817962661</v>
      </c>
      <c r="T366" s="13">
        <v>0</v>
      </c>
      <c r="U366" s="14">
        <f t="shared" si="21"/>
        <v>1.835263640365542</v>
      </c>
      <c r="V366" s="15">
        <f t="shared" si="22"/>
        <v>651.02066217235017</v>
      </c>
    </row>
    <row r="367" spans="1:22" x14ac:dyDescent="0.3">
      <c r="A367">
        <v>3</v>
      </c>
      <c r="B367" s="83">
        <v>3.3</v>
      </c>
      <c r="C367" s="78">
        <v>45993</v>
      </c>
      <c r="D367" s="78">
        <v>45965</v>
      </c>
      <c r="E367">
        <v>27</v>
      </c>
      <c r="F367" t="s">
        <v>913</v>
      </c>
      <c r="G367" t="s">
        <v>15</v>
      </c>
      <c r="H367">
        <v>49</v>
      </c>
      <c r="I367">
        <v>10</v>
      </c>
      <c r="J367" t="s">
        <v>935</v>
      </c>
      <c r="K367" t="s">
        <v>1261</v>
      </c>
      <c r="M367" s="4">
        <v>388</v>
      </c>
      <c r="N367" s="4" t="s">
        <v>398</v>
      </c>
      <c r="O367" s="12">
        <v>46031.691192129627</v>
      </c>
      <c r="P367" s="5">
        <v>6.9690574999999999</v>
      </c>
      <c r="Q367" s="5">
        <v>25.866842052234482</v>
      </c>
      <c r="R367" s="13">
        <f t="shared" si="20"/>
        <v>6.9690574999999999</v>
      </c>
      <c r="S367" s="42">
        <f t="shared" si="23"/>
        <v>94.751102817962661</v>
      </c>
      <c r="T367" s="13">
        <v>0</v>
      </c>
      <c r="U367" s="14">
        <f t="shared" si="21"/>
        <v>25.866842052234482</v>
      </c>
      <c r="V367" s="15">
        <f t="shared" si="22"/>
        <v>660.32588372679379</v>
      </c>
    </row>
    <row r="368" spans="1:22" x14ac:dyDescent="0.3">
      <c r="A368">
        <v>3</v>
      </c>
      <c r="B368" s="83">
        <v>3.3</v>
      </c>
      <c r="C368" s="78">
        <v>45993</v>
      </c>
      <c r="D368" s="78">
        <v>45965</v>
      </c>
      <c r="E368">
        <v>26</v>
      </c>
      <c r="F368" t="s">
        <v>932</v>
      </c>
      <c r="G368" t="s">
        <v>914</v>
      </c>
      <c r="H368">
        <v>49</v>
      </c>
      <c r="I368">
        <v>11</v>
      </c>
      <c r="J368" t="s">
        <v>935</v>
      </c>
      <c r="K368" t="s">
        <v>1262</v>
      </c>
      <c r="M368" s="1">
        <v>389</v>
      </c>
      <c r="N368" s="1" t="s">
        <v>399</v>
      </c>
      <c r="O368" s="2">
        <v>46031.69494212963</v>
      </c>
      <c r="P368" s="3">
        <v>6.9701050000000002</v>
      </c>
      <c r="Q368" s="3">
        <v>3.7845522615051377</v>
      </c>
      <c r="R368" s="13">
        <f t="shared" si="20"/>
        <v>6.9701050000000002</v>
      </c>
      <c r="S368" s="42">
        <f t="shared" si="23"/>
        <v>94.751102817962661</v>
      </c>
      <c r="T368" s="13">
        <v>0</v>
      </c>
      <c r="U368" s="14">
        <f t="shared" si="21"/>
        <v>3.7845522615051377</v>
      </c>
      <c r="V368" s="15">
        <f t="shared" si="22"/>
        <v>660.42513550699562</v>
      </c>
    </row>
    <row r="369" spans="1:22" x14ac:dyDescent="0.3">
      <c r="A369">
        <v>3</v>
      </c>
      <c r="B369" s="83">
        <v>3.3</v>
      </c>
      <c r="C369" s="78">
        <v>45993</v>
      </c>
      <c r="D369" s="78">
        <v>45965</v>
      </c>
      <c r="E369">
        <v>29</v>
      </c>
      <c r="F369" t="s">
        <v>921</v>
      </c>
      <c r="G369" t="s">
        <v>918</v>
      </c>
      <c r="H369">
        <v>49</v>
      </c>
      <c r="I369">
        <v>12</v>
      </c>
      <c r="J369" t="s">
        <v>935</v>
      </c>
      <c r="K369" t="s">
        <v>1263</v>
      </c>
      <c r="M369" s="4">
        <v>390</v>
      </c>
      <c r="N369" s="4" t="s">
        <v>400</v>
      </c>
      <c r="O369" s="12">
        <v>46031.69866898148</v>
      </c>
      <c r="P369" s="5">
        <v>7.4106920000000001</v>
      </c>
      <c r="Q369" s="5">
        <v>18.50459476717727</v>
      </c>
      <c r="R369" s="13">
        <f t="shared" si="20"/>
        <v>7.4106920000000001</v>
      </c>
      <c r="S369" s="42">
        <f t="shared" si="23"/>
        <v>94.751102817962661</v>
      </c>
      <c r="T369" s="13">
        <v>0</v>
      </c>
      <c r="U369" s="14">
        <f t="shared" si="21"/>
        <v>18.50459476717727</v>
      </c>
      <c r="V369" s="15">
        <f t="shared" si="22"/>
        <v>702.17123964425332</v>
      </c>
    </row>
    <row r="370" spans="1:22" x14ac:dyDescent="0.3">
      <c r="A370">
        <v>3</v>
      </c>
      <c r="B370" s="83">
        <v>3.3</v>
      </c>
      <c r="C370" s="78">
        <v>45993</v>
      </c>
      <c r="D370" s="78">
        <v>45965</v>
      </c>
      <c r="E370">
        <v>32</v>
      </c>
      <c r="F370" t="s">
        <v>925</v>
      </c>
      <c r="G370" t="s">
        <v>922</v>
      </c>
      <c r="H370">
        <v>49</v>
      </c>
      <c r="I370">
        <v>13</v>
      </c>
      <c r="J370" t="s">
        <v>935</v>
      </c>
      <c r="K370" t="s">
        <v>1264</v>
      </c>
      <c r="M370" s="1">
        <v>391</v>
      </c>
      <c r="N370" s="1" t="s">
        <v>401</v>
      </c>
      <c r="O370" s="2">
        <v>46031.702407407407</v>
      </c>
      <c r="P370" s="3">
        <v>6.8943180000000002</v>
      </c>
      <c r="Q370" s="3">
        <v>15.929762888108838</v>
      </c>
      <c r="R370" s="13">
        <f t="shared" si="20"/>
        <v>6.8943180000000002</v>
      </c>
      <c r="S370" s="42">
        <f t="shared" si="23"/>
        <v>94.751102817962661</v>
      </c>
      <c r="T370" s="13">
        <v>0</v>
      </c>
      <c r="U370" s="14">
        <f t="shared" si="21"/>
        <v>15.929762888108838</v>
      </c>
      <c r="V370" s="15">
        <f t="shared" si="22"/>
        <v>653.24423367773068</v>
      </c>
    </row>
    <row r="371" spans="1:22" x14ac:dyDescent="0.3">
      <c r="A371">
        <v>3</v>
      </c>
      <c r="B371" s="83">
        <v>3.3</v>
      </c>
      <c r="C371" s="78">
        <v>45993</v>
      </c>
      <c r="D371" s="78">
        <v>45965</v>
      </c>
      <c r="E371">
        <v>30</v>
      </c>
      <c r="F371" t="s">
        <v>929</v>
      </c>
      <c r="G371" t="s">
        <v>926</v>
      </c>
      <c r="H371">
        <v>49</v>
      </c>
      <c r="I371">
        <v>14</v>
      </c>
      <c r="J371" t="s">
        <v>935</v>
      </c>
      <c r="K371" t="s">
        <v>1265</v>
      </c>
      <c r="M371" s="4">
        <v>392</v>
      </c>
      <c r="N371" s="4" t="s">
        <v>402</v>
      </c>
      <c r="O371" s="12">
        <v>46031.706157407411</v>
      </c>
      <c r="P371" s="5">
        <v>7.8109054999999996</v>
      </c>
      <c r="Q371" s="5">
        <v>13.618862725639714</v>
      </c>
      <c r="R371" s="13">
        <f t="shared" si="20"/>
        <v>7.8109054999999996</v>
      </c>
      <c r="S371" s="42">
        <f t="shared" si="23"/>
        <v>94.751102817962661</v>
      </c>
      <c r="T371" s="13">
        <v>0</v>
      </c>
      <c r="U371" s="14">
        <f t="shared" si="21"/>
        <v>13.618862725639714</v>
      </c>
      <c r="V371" s="15">
        <f t="shared" si="22"/>
        <v>740.09191013189002</v>
      </c>
    </row>
    <row r="372" spans="1:22" x14ac:dyDescent="0.3">
      <c r="A372">
        <v>3</v>
      </c>
      <c r="B372" s="83">
        <v>3.3</v>
      </c>
      <c r="C372" s="78">
        <v>45993</v>
      </c>
      <c r="D372" s="78">
        <v>45965</v>
      </c>
      <c r="E372">
        <v>28</v>
      </c>
      <c r="F372" t="s">
        <v>910</v>
      </c>
      <c r="G372" t="s">
        <v>930</v>
      </c>
      <c r="H372">
        <v>49</v>
      </c>
      <c r="I372">
        <v>15</v>
      </c>
      <c r="J372" t="s">
        <v>935</v>
      </c>
      <c r="K372" t="s">
        <v>1266</v>
      </c>
      <c r="M372" s="1">
        <v>393</v>
      </c>
      <c r="N372" s="1" t="s">
        <v>403</v>
      </c>
      <c r="O372" s="2">
        <v>46031.709907407407</v>
      </c>
      <c r="P372" s="3">
        <v>7.3461325000000004</v>
      </c>
      <c r="Q372" s="3">
        <v>10.124185084766657</v>
      </c>
      <c r="R372" s="13">
        <f t="shared" si="20"/>
        <v>7.3461325000000004</v>
      </c>
      <c r="S372" s="42">
        <f t="shared" si="23"/>
        <v>94.751102817962661</v>
      </c>
      <c r="T372" s="13">
        <v>0</v>
      </c>
      <c r="U372" s="14">
        <f t="shared" si="21"/>
        <v>10.124185084766657</v>
      </c>
      <c r="V372" s="15">
        <f t="shared" si="22"/>
        <v>696.05415582187709</v>
      </c>
    </row>
    <row r="373" spans="1:22" x14ac:dyDescent="0.3">
      <c r="A373">
        <v>3</v>
      </c>
      <c r="B373" s="83">
        <v>3.3</v>
      </c>
      <c r="C373" s="78">
        <v>45993</v>
      </c>
      <c r="D373" s="78">
        <v>45965</v>
      </c>
      <c r="E373">
        <v>31</v>
      </c>
      <c r="F373" t="s">
        <v>906</v>
      </c>
      <c r="G373" t="s">
        <v>933</v>
      </c>
      <c r="H373">
        <v>49</v>
      </c>
      <c r="I373">
        <v>16</v>
      </c>
      <c r="J373" t="s">
        <v>935</v>
      </c>
      <c r="K373" t="s">
        <v>1267</v>
      </c>
      <c r="M373" s="4">
        <v>394</v>
      </c>
      <c r="N373" s="4" t="s">
        <v>404</v>
      </c>
      <c r="O373" s="12">
        <v>46031.713680555556</v>
      </c>
      <c r="P373" s="5">
        <v>7.6513419999999996</v>
      </c>
      <c r="Q373" s="5">
        <v>5.065276396780205</v>
      </c>
      <c r="R373" s="13">
        <f t="shared" si="20"/>
        <v>7.6513419999999996</v>
      </c>
      <c r="S373" s="42">
        <f t="shared" si="23"/>
        <v>94.751102817962661</v>
      </c>
      <c r="T373" s="13">
        <v>0</v>
      </c>
      <c r="U373" s="14">
        <f t="shared" si="21"/>
        <v>5.065276396780205</v>
      </c>
      <c r="V373" s="15">
        <f t="shared" si="22"/>
        <v>724.97309253739604</v>
      </c>
    </row>
    <row r="374" spans="1:22" x14ac:dyDescent="0.3">
      <c r="A374">
        <v>3</v>
      </c>
      <c r="B374" s="83">
        <v>3.3</v>
      </c>
      <c r="C374" s="78">
        <v>45993</v>
      </c>
      <c r="D374" s="78">
        <v>45965</v>
      </c>
      <c r="E374">
        <v>25</v>
      </c>
      <c r="F374" t="s">
        <v>917</v>
      </c>
      <c r="G374" t="s">
        <v>907</v>
      </c>
      <c r="H374">
        <v>49</v>
      </c>
      <c r="I374">
        <v>17</v>
      </c>
      <c r="J374" t="s">
        <v>24</v>
      </c>
      <c r="K374" t="s">
        <v>1268</v>
      </c>
      <c r="M374" s="1">
        <v>395</v>
      </c>
      <c r="N374" s="1" t="s">
        <v>405</v>
      </c>
      <c r="O374" s="2">
        <v>46031.717418981483</v>
      </c>
      <c r="P374" s="3">
        <v>7.2742405000000003</v>
      </c>
      <c r="Q374" s="3">
        <v>14.017765209809713</v>
      </c>
      <c r="R374" s="13">
        <f t="shared" si="20"/>
        <v>7.2742405000000003</v>
      </c>
      <c r="S374" s="42">
        <f t="shared" si="23"/>
        <v>94.751102817962661</v>
      </c>
      <c r="T374" s="13">
        <v>0</v>
      </c>
      <c r="U374" s="14">
        <f t="shared" si="21"/>
        <v>14.017765209809713</v>
      </c>
      <c r="V374" s="15">
        <f t="shared" si="22"/>
        <v>689.24230953808819</v>
      </c>
    </row>
    <row r="375" spans="1:22" x14ac:dyDescent="0.3">
      <c r="A375">
        <v>3</v>
      </c>
      <c r="B375" s="83">
        <v>3.3</v>
      </c>
      <c r="C375" s="78">
        <v>45993</v>
      </c>
      <c r="D375" s="78">
        <v>45965</v>
      </c>
      <c r="E375">
        <v>27</v>
      </c>
      <c r="F375" t="s">
        <v>913</v>
      </c>
      <c r="G375" t="s">
        <v>15</v>
      </c>
      <c r="H375">
        <v>49</v>
      </c>
      <c r="I375">
        <v>18</v>
      </c>
      <c r="J375" t="s">
        <v>24</v>
      </c>
      <c r="K375" t="s">
        <v>1269</v>
      </c>
      <c r="M375" s="4">
        <v>396</v>
      </c>
      <c r="N375" s="4" t="s">
        <v>406</v>
      </c>
      <c r="O375" s="12">
        <v>46031.72115740741</v>
      </c>
      <c r="P375" s="5">
        <v>7.1898900000000001</v>
      </c>
      <c r="Q375" s="5">
        <v>52.776696181628012</v>
      </c>
      <c r="R375" s="13">
        <f t="shared" si="20"/>
        <v>7.1898900000000001</v>
      </c>
      <c r="S375" s="42">
        <f t="shared" si="23"/>
        <v>94.751102817962661</v>
      </c>
      <c r="T375" s="13">
        <v>0</v>
      </c>
      <c r="U375" s="14">
        <f t="shared" si="21"/>
        <v>52.776696181628012</v>
      </c>
      <c r="V375" s="15">
        <f t="shared" si="22"/>
        <v>681.25000663984156</v>
      </c>
    </row>
    <row r="376" spans="1:22" x14ac:dyDescent="0.3">
      <c r="A376">
        <v>3</v>
      </c>
      <c r="B376" s="83">
        <v>3.3</v>
      </c>
      <c r="C376" s="78">
        <v>45993</v>
      </c>
      <c r="D376" s="78">
        <v>45965</v>
      </c>
      <c r="E376">
        <v>26</v>
      </c>
      <c r="F376" t="s">
        <v>932</v>
      </c>
      <c r="G376" t="s">
        <v>914</v>
      </c>
      <c r="H376">
        <v>49</v>
      </c>
      <c r="I376">
        <v>19</v>
      </c>
      <c r="J376" t="s">
        <v>24</v>
      </c>
      <c r="K376" t="s">
        <v>1270</v>
      </c>
      <c r="M376" s="1">
        <v>397</v>
      </c>
      <c r="N376" s="1" t="s">
        <v>407</v>
      </c>
      <c r="O376" s="2">
        <v>46031.724907407406</v>
      </c>
      <c r="P376" s="3">
        <v>7.4068494999999999</v>
      </c>
      <c r="Q376" s="3">
        <v>15.7696058143231</v>
      </c>
      <c r="R376" s="13">
        <f t="shared" si="20"/>
        <v>7.4068494999999999</v>
      </c>
      <c r="S376" s="42">
        <f t="shared" si="23"/>
        <v>94.751102817962661</v>
      </c>
      <c r="T376" s="13">
        <v>0</v>
      </c>
      <c r="U376" s="14">
        <f t="shared" si="21"/>
        <v>15.7696058143231</v>
      </c>
      <c r="V376" s="15">
        <f t="shared" si="22"/>
        <v>701.80715853167533</v>
      </c>
    </row>
    <row r="377" spans="1:22" x14ac:dyDescent="0.3">
      <c r="A377">
        <v>3</v>
      </c>
      <c r="B377" s="83">
        <v>3.3</v>
      </c>
      <c r="C377" s="78">
        <v>45993</v>
      </c>
      <c r="D377" s="78">
        <v>45965</v>
      </c>
      <c r="E377">
        <v>29</v>
      </c>
      <c r="F377" t="s">
        <v>921</v>
      </c>
      <c r="G377" t="s">
        <v>918</v>
      </c>
      <c r="H377">
        <v>49</v>
      </c>
      <c r="I377">
        <v>20</v>
      </c>
      <c r="J377" t="s">
        <v>24</v>
      </c>
      <c r="K377" t="s">
        <v>1271</v>
      </c>
      <c r="M377" s="4">
        <v>398</v>
      </c>
      <c r="N377" s="4" t="s">
        <v>408</v>
      </c>
      <c r="O377" s="12">
        <v>46031.72865740741</v>
      </c>
      <c r="P377" s="5">
        <v>8.1936579999999992</v>
      </c>
      <c r="Q377" s="5">
        <v>38.241160342035066</v>
      </c>
      <c r="R377" s="13">
        <f t="shared" si="20"/>
        <v>8.1936579999999992</v>
      </c>
      <c r="S377" s="42">
        <f t="shared" si="23"/>
        <v>94.751102817962661</v>
      </c>
      <c r="T377" s="13">
        <v>0</v>
      </c>
      <c r="U377" s="14">
        <f t="shared" si="21"/>
        <v>38.241160342035066</v>
      </c>
      <c r="V377" s="15">
        <f t="shared" si="22"/>
        <v>776.35813161322221</v>
      </c>
    </row>
    <row r="378" spans="1:22" x14ac:dyDescent="0.3">
      <c r="A378">
        <v>3</v>
      </c>
      <c r="B378" s="83">
        <v>3.3</v>
      </c>
      <c r="C378" s="78">
        <v>45993</v>
      </c>
      <c r="D378" s="78">
        <v>45965</v>
      </c>
      <c r="E378">
        <v>32</v>
      </c>
      <c r="F378" t="s">
        <v>925</v>
      </c>
      <c r="G378" t="s">
        <v>922</v>
      </c>
      <c r="H378">
        <v>49</v>
      </c>
      <c r="I378">
        <v>21</v>
      </c>
      <c r="J378" t="s">
        <v>24</v>
      </c>
      <c r="K378" t="s">
        <v>1272</v>
      </c>
      <c r="M378" s="1">
        <v>399</v>
      </c>
      <c r="N378" s="1" t="s">
        <v>409</v>
      </c>
      <c r="O378" s="2">
        <v>46031.732407407406</v>
      </c>
      <c r="P378" s="3">
        <v>7.4911029999999998</v>
      </c>
      <c r="Q378" s="3">
        <v>34.447544877054526</v>
      </c>
      <c r="R378" s="13">
        <f t="shared" si="20"/>
        <v>7.4911029999999998</v>
      </c>
      <c r="S378" s="42">
        <f t="shared" si="23"/>
        <v>94.751102817962661</v>
      </c>
      <c r="T378" s="13">
        <v>0</v>
      </c>
      <c r="U378" s="14">
        <f t="shared" si="21"/>
        <v>34.447544877054526</v>
      </c>
      <c r="V378" s="15">
        <f t="shared" si="22"/>
        <v>709.79027057294854</v>
      </c>
    </row>
    <row r="379" spans="1:22" x14ac:dyDescent="0.3">
      <c r="A379">
        <v>3</v>
      </c>
      <c r="B379" s="83">
        <v>3.3</v>
      </c>
      <c r="C379" s="78">
        <v>45993</v>
      </c>
      <c r="D379" s="78">
        <v>45965</v>
      </c>
      <c r="E379">
        <v>30</v>
      </c>
      <c r="F379" t="s">
        <v>929</v>
      </c>
      <c r="G379" t="s">
        <v>926</v>
      </c>
      <c r="H379">
        <v>49</v>
      </c>
      <c r="I379">
        <v>22</v>
      </c>
      <c r="J379" t="s">
        <v>24</v>
      </c>
      <c r="K379" t="s">
        <v>1273</v>
      </c>
      <c r="M379" s="4">
        <v>400</v>
      </c>
      <c r="N379" s="4" t="s">
        <v>410</v>
      </c>
      <c r="O379" s="12">
        <v>46031.736145833333</v>
      </c>
      <c r="P379" s="5">
        <v>7.8407749999999998</v>
      </c>
      <c r="Q379" s="5">
        <v>37.744307514860594</v>
      </c>
      <c r="R379" s="13">
        <f t="shared" si="20"/>
        <v>7.8407749999999998</v>
      </c>
      <c r="S379" s="42">
        <f t="shared" si="23"/>
        <v>94.751102817962661</v>
      </c>
      <c r="T379" s="13">
        <v>0</v>
      </c>
      <c r="U379" s="14">
        <f t="shared" si="21"/>
        <v>37.744307514860594</v>
      </c>
      <c r="V379" s="15">
        <f t="shared" si="22"/>
        <v>742.92207819751115</v>
      </c>
    </row>
    <row r="380" spans="1:22" x14ac:dyDescent="0.3">
      <c r="A380">
        <v>3</v>
      </c>
      <c r="B380" s="83">
        <v>3.3</v>
      </c>
      <c r="C380" s="78">
        <v>45993</v>
      </c>
      <c r="D380" s="78">
        <v>45965</v>
      </c>
      <c r="E380">
        <v>28</v>
      </c>
      <c r="F380" t="s">
        <v>910</v>
      </c>
      <c r="G380" t="s">
        <v>930</v>
      </c>
      <c r="H380">
        <v>49</v>
      </c>
      <c r="I380">
        <v>23</v>
      </c>
      <c r="J380" t="s">
        <v>24</v>
      </c>
      <c r="K380" t="s">
        <v>1274</v>
      </c>
      <c r="M380" s="1">
        <v>401</v>
      </c>
      <c r="N380" s="1" t="s">
        <v>411</v>
      </c>
      <c r="O380" s="2">
        <v>46031.739884259259</v>
      </c>
      <c r="P380" s="3">
        <v>7.7943179999999996</v>
      </c>
      <c r="Q380" s="3">
        <v>28.435544973402727</v>
      </c>
      <c r="R380" s="13">
        <f t="shared" si="20"/>
        <v>7.7943179999999996</v>
      </c>
      <c r="S380" s="42">
        <f t="shared" si="23"/>
        <v>94.751102817962661</v>
      </c>
      <c r="T380" s="13">
        <v>0</v>
      </c>
      <c r="U380" s="14">
        <f t="shared" si="21"/>
        <v>28.435544973402727</v>
      </c>
      <c r="V380" s="15">
        <f t="shared" si="22"/>
        <v>738.5202262138971</v>
      </c>
    </row>
    <row r="381" spans="1:22" x14ac:dyDescent="0.3">
      <c r="A381">
        <v>3</v>
      </c>
      <c r="B381" s="83">
        <v>3.3</v>
      </c>
      <c r="C381" s="78">
        <v>45993</v>
      </c>
      <c r="D381" s="78">
        <v>45965</v>
      </c>
      <c r="E381">
        <v>31</v>
      </c>
      <c r="F381" t="s">
        <v>906</v>
      </c>
      <c r="G381" t="s">
        <v>933</v>
      </c>
      <c r="H381">
        <v>49</v>
      </c>
      <c r="I381">
        <v>24</v>
      </c>
      <c r="J381" t="s">
        <v>24</v>
      </c>
      <c r="K381" t="s">
        <v>1275</v>
      </c>
      <c r="M381" s="4">
        <v>402</v>
      </c>
      <c r="N381" s="4" t="s">
        <v>412</v>
      </c>
      <c r="O381" s="12">
        <v>46031.743634259263</v>
      </c>
      <c r="P381" s="5">
        <v>8.1120695000000005</v>
      </c>
      <c r="Q381" s="5">
        <v>22.678686271675875</v>
      </c>
      <c r="R381" s="13">
        <f t="shared" si="20"/>
        <v>8.1120695000000005</v>
      </c>
      <c r="S381" s="42">
        <f t="shared" si="23"/>
        <v>94.751102817962661</v>
      </c>
      <c r="T381" s="13">
        <v>0</v>
      </c>
      <c r="U381" s="14">
        <f t="shared" si="21"/>
        <v>22.678686271675875</v>
      </c>
      <c r="V381" s="15">
        <f t="shared" si="22"/>
        <v>768.62753126095902</v>
      </c>
    </row>
    <row r="382" spans="1:22" x14ac:dyDescent="0.3">
      <c r="A382">
        <v>4</v>
      </c>
      <c r="B382" s="83">
        <v>3.3</v>
      </c>
      <c r="C382" s="78">
        <v>45993</v>
      </c>
      <c r="D382" s="78">
        <v>45965</v>
      </c>
      <c r="E382">
        <v>25</v>
      </c>
      <c r="F382" t="s">
        <v>917</v>
      </c>
      <c r="G382" t="s">
        <v>907</v>
      </c>
      <c r="H382">
        <v>49</v>
      </c>
      <c r="I382">
        <v>25</v>
      </c>
      <c r="J382" t="s">
        <v>25</v>
      </c>
      <c r="K382" t="s">
        <v>1276</v>
      </c>
      <c r="M382" s="1">
        <v>403</v>
      </c>
      <c r="N382" s="1" t="s">
        <v>413</v>
      </c>
      <c r="O382" s="2">
        <v>46031.747361111113</v>
      </c>
      <c r="P382" s="3">
        <v>7.2099419999999999</v>
      </c>
      <c r="Q382" s="3">
        <v>23.843707129935552</v>
      </c>
      <c r="R382" s="13">
        <f t="shared" si="20"/>
        <v>7.2099419999999999</v>
      </c>
      <c r="S382" s="42">
        <f t="shared" si="23"/>
        <v>94.751102817962661</v>
      </c>
      <c r="T382" s="13">
        <v>0</v>
      </c>
      <c r="U382" s="14">
        <f t="shared" si="21"/>
        <v>23.843707129935552</v>
      </c>
      <c r="V382" s="15">
        <f t="shared" si="22"/>
        <v>683.14995575354737</v>
      </c>
    </row>
    <row r="383" spans="1:22" x14ac:dyDescent="0.3">
      <c r="A383">
        <v>4</v>
      </c>
      <c r="B383" s="83">
        <v>3.3</v>
      </c>
      <c r="C383" s="78">
        <v>45993</v>
      </c>
      <c r="D383" s="78">
        <v>45965</v>
      </c>
      <c r="E383">
        <v>27</v>
      </c>
      <c r="F383" t="s">
        <v>913</v>
      </c>
      <c r="G383" t="s">
        <v>15</v>
      </c>
      <c r="H383">
        <v>49</v>
      </c>
      <c r="I383">
        <v>26</v>
      </c>
      <c r="J383" t="s">
        <v>25</v>
      </c>
      <c r="K383" t="s">
        <v>1277</v>
      </c>
      <c r="M383" s="4">
        <v>404</v>
      </c>
      <c r="N383" s="4" t="s">
        <v>414</v>
      </c>
      <c r="O383" s="12">
        <v>46031.751111111109</v>
      </c>
      <c r="P383" s="5">
        <v>7.4963689999999996</v>
      </c>
      <c r="Q383" s="5">
        <v>73.146169026591679</v>
      </c>
      <c r="R383" s="13">
        <f t="shared" si="20"/>
        <v>7.4963689999999996</v>
      </c>
      <c r="S383" s="42">
        <f t="shared" si="23"/>
        <v>94.751102817962661</v>
      </c>
      <c r="T383" s="13">
        <v>0</v>
      </c>
      <c r="U383" s="14">
        <f t="shared" si="21"/>
        <v>73.146169026591679</v>
      </c>
      <c r="V383" s="15">
        <f t="shared" si="22"/>
        <v>710.28922988038789</v>
      </c>
    </row>
    <row r="384" spans="1:22" x14ac:dyDescent="0.3">
      <c r="A384">
        <v>4</v>
      </c>
      <c r="B384" s="83">
        <v>3.3</v>
      </c>
      <c r="C384" s="78">
        <v>45993</v>
      </c>
      <c r="D384" s="78">
        <v>45965</v>
      </c>
      <c r="E384">
        <v>26</v>
      </c>
      <c r="F384" t="s">
        <v>932</v>
      </c>
      <c r="G384" t="s">
        <v>914</v>
      </c>
      <c r="H384">
        <v>49</v>
      </c>
      <c r="I384">
        <v>27</v>
      </c>
      <c r="J384" t="s">
        <v>25</v>
      </c>
      <c r="K384" t="s">
        <v>1278</v>
      </c>
      <c r="M384" s="1">
        <v>405</v>
      </c>
      <c r="N384" s="1" t="s">
        <v>415</v>
      </c>
      <c r="O384" s="2">
        <v>46031.754837962966</v>
      </c>
      <c r="P384" s="3">
        <v>7.0632979999999996</v>
      </c>
      <c r="Q384" s="3">
        <v>32.969787564024422</v>
      </c>
      <c r="R384" s="13">
        <f t="shared" si="20"/>
        <v>7.0632979999999996</v>
      </c>
      <c r="S384" s="42">
        <f t="shared" si="23"/>
        <v>94.751102817962661</v>
      </c>
      <c r="T384" s="13">
        <v>0</v>
      </c>
      <c r="U384" s="14">
        <f t="shared" si="21"/>
        <v>32.969787564024422</v>
      </c>
      <c r="V384" s="15">
        <f t="shared" si="22"/>
        <v>669.25527503190995</v>
      </c>
    </row>
    <row r="385" spans="1:22" x14ac:dyDescent="0.3">
      <c r="A385">
        <v>4</v>
      </c>
      <c r="B385" s="83">
        <v>3.3</v>
      </c>
      <c r="C385" s="78">
        <v>45993</v>
      </c>
      <c r="D385" s="78">
        <v>45965</v>
      </c>
      <c r="E385">
        <v>29</v>
      </c>
      <c r="F385" t="s">
        <v>921</v>
      </c>
      <c r="G385" t="s">
        <v>918</v>
      </c>
      <c r="H385">
        <v>49</v>
      </c>
      <c r="I385">
        <v>28</v>
      </c>
      <c r="J385" t="s">
        <v>25</v>
      </c>
      <c r="K385" t="s">
        <v>1279</v>
      </c>
      <c r="M385" s="4">
        <v>406</v>
      </c>
      <c r="N385" s="4" t="s">
        <v>416</v>
      </c>
      <c r="O385" s="12">
        <v>46031.758587962962</v>
      </c>
      <c r="P385" s="5">
        <v>8.5022079999999995</v>
      </c>
      <c r="Q385" s="5">
        <v>56.499162376518655</v>
      </c>
      <c r="R385" s="13">
        <f t="shared" si="20"/>
        <v>8.5022079999999995</v>
      </c>
      <c r="S385" s="42">
        <f t="shared" si="23"/>
        <v>94.751102817962661</v>
      </c>
      <c r="T385" s="13">
        <v>0</v>
      </c>
      <c r="U385" s="14">
        <f t="shared" si="21"/>
        <v>56.499162376518655</v>
      </c>
      <c r="V385" s="15">
        <f t="shared" si="22"/>
        <v>805.5935843877046</v>
      </c>
    </row>
    <row r="386" spans="1:22" x14ac:dyDescent="0.3">
      <c r="A386">
        <v>4</v>
      </c>
      <c r="B386" s="83">
        <v>3.3</v>
      </c>
      <c r="C386" s="78">
        <v>45993</v>
      </c>
      <c r="D386" s="78">
        <v>45965</v>
      </c>
      <c r="E386">
        <v>32</v>
      </c>
      <c r="F386" t="s">
        <v>925</v>
      </c>
      <c r="G386" t="s">
        <v>922</v>
      </c>
      <c r="H386">
        <v>49</v>
      </c>
      <c r="I386">
        <v>29</v>
      </c>
      <c r="J386" t="s">
        <v>25</v>
      </c>
      <c r="K386" t="s">
        <v>1280</v>
      </c>
      <c r="M386" s="1">
        <v>407</v>
      </c>
      <c r="N386" s="1" t="s">
        <v>417</v>
      </c>
      <c r="O386" s="2">
        <v>46031.762314814812</v>
      </c>
      <c r="P386" s="3">
        <v>8.0375584999999994</v>
      </c>
      <c r="Q386" s="3">
        <v>44.981928515147693</v>
      </c>
      <c r="R386" s="13">
        <f t="shared" ref="R386:R439" si="24">P386</f>
        <v>8.0375584999999994</v>
      </c>
      <c r="S386" s="42">
        <f t="shared" si="23"/>
        <v>94.751102817962661</v>
      </c>
      <c r="T386" s="13">
        <v>0</v>
      </c>
      <c r="U386" s="14">
        <f t="shared" ref="U386:U439" si="25">Q386+T386</f>
        <v>44.981928515147693</v>
      </c>
      <c r="V386" s="15">
        <f t="shared" ref="V386:V439" si="26">R386*S386</f>
        <v>761.56753183888964</v>
      </c>
    </row>
    <row r="387" spans="1:22" x14ac:dyDescent="0.3">
      <c r="A387">
        <v>4</v>
      </c>
      <c r="B387" s="83">
        <v>3.3</v>
      </c>
      <c r="C387" s="78">
        <v>45993</v>
      </c>
      <c r="D387" s="78">
        <v>45965</v>
      </c>
      <c r="E387">
        <v>30</v>
      </c>
      <c r="F387" t="s">
        <v>929</v>
      </c>
      <c r="G387" t="s">
        <v>926</v>
      </c>
      <c r="H387">
        <v>49</v>
      </c>
      <c r="I387">
        <v>30</v>
      </c>
      <c r="J387" t="s">
        <v>25</v>
      </c>
      <c r="K387" t="s">
        <v>1281</v>
      </c>
      <c r="M387" s="4">
        <v>408</v>
      </c>
      <c r="N387" s="4" t="s">
        <v>418</v>
      </c>
      <c r="O387" s="12">
        <v>46031.766053240739</v>
      </c>
      <c r="P387" s="5">
        <v>8.6257459999999995</v>
      </c>
      <c r="Q387" s="5">
        <v>49.799038180580467</v>
      </c>
      <c r="R387" s="13">
        <f t="shared" si="24"/>
        <v>8.6257459999999995</v>
      </c>
      <c r="S387" s="42">
        <f t="shared" ref="S387:S450" si="27">$S$890</f>
        <v>94.751102817962661</v>
      </c>
      <c r="T387" s="13">
        <v>0</v>
      </c>
      <c r="U387" s="14">
        <f t="shared" si="25"/>
        <v>49.799038180580467</v>
      </c>
      <c r="V387" s="15">
        <f t="shared" si="26"/>
        <v>817.29894612763007</v>
      </c>
    </row>
    <row r="388" spans="1:22" x14ac:dyDescent="0.3">
      <c r="A388">
        <v>4</v>
      </c>
      <c r="B388" s="83">
        <v>3.3</v>
      </c>
      <c r="C388" s="78">
        <v>45993</v>
      </c>
      <c r="D388" s="78">
        <v>45965</v>
      </c>
      <c r="E388">
        <v>28</v>
      </c>
      <c r="F388" t="s">
        <v>910</v>
      </c>
      <c r="G388" t="s">
        <v>930</v>
      </c>
      <c r="H388">
        <v>49</v>
      </c>
      <c r="I388">
        <v>31</v>
      </c>
      <c r="J388" t="s">
        <v>25</v>
      </c>
      <c r="K388" t="s">
        <v>1282</v>
      </c>
      <c r="M388" s="1">
        <v>409</v>
      </c>
      <c r="N388" s="1" t="s">
        <v>419</v>
      </c>
      <c r="O388" s="2">
        <v>46031.769803240742</v>
      </c>
      <c r="P388" s="3">
        <v>6.6971755000000002</v>
      </c>
      <c r="Q388" s="3">
        <v>36.392416902188643</v>
      </c>
      <c r="R388" s="13">
        <f t="shared" si="24"/>
        <v>6.6971755000000002</v>
      </c>
      <c r="S388" s="42">
        <f t="shared" si="27"/>
        <v>94.751102817962661</v>
      </c>
      <c r="T388" s="13">
        <v>0</v>
      </c>
      <c r="U388" s="14">
        <f t="shared" si="25"/>
        <v>36.392416902188643</v>
      </c>
      <c r="V388" s="15">
        <f t="shared" si="26"/>
        <v>634.56476439044047</v>
      </c>
    </row>
    <row r="389" spans="1:22" x14ac:dyDescent="0.3">
      <c r="A389">
        <v>4</v>
      </c>
      <c r="B389" s="83">
        <v>3.3</v>
      </c>
      <c r="C389" s="78">
        <v>45993</v>
      </c>
      <c r="D389" s="78">
        <v>45965</v>
      </c>
      <c r="E389">
        <v>31</v>
      </c>
      <c r="F389" t="s">
        <v>906</v>
      </c>
      <c r="G389" t="s">
        <v>933</v>
      </c>
      <c r="H389">
        <v>49</v>
      </c>
      <c r="I389">
        <v>32</v>
      </c>
      <c r="J389" t="s">
        <v>25</v>
      </c>
      <c r="K389" t="s">
        <v>1283</v>
      </c>
      <c r="M389" s="4">
        <v>410</v>
      </c>
      <c r="N389" s="4" t="s">
        <v>420</v>
      </c>
      <c r="O389" s="12">
        <v>46031.773541666669</v>
      </c>
      <c r="P389" s="5">
        <v>8.2617729999999998</v>
      </c>
      <c r="Q389" s="5">
        <v>39.715648110979281</v>
      </c>
      <c r="R389" s="13">
        <f t="shared" si="24"/>
        <v>8.2617729999999998</v>
      </c>
      <c r="S389" s="42">
        <f t="shared" si="27"/>
        <v>94.751102817962661</v>
      </c>
      <c r="T389" s="13">
        <v>0</v>
      </c>
      <c r="U389" s="14">
        <f t="shared" si="25"/>
        <v>39.715648110979281</v>
      </c>
      <c r="V389" s="15">
        <f t="shared" si="26"/>
        <v>782.81210298166786</v>
      </c>
    </row>
    <row r="390" spans="1:22" x14ac:dyDescent="0.3">
      <c r="M390" s="1">
        <v>411</v>
      </c>
      <c r="N390" s="1" t="s">
        <v>421</v>
      </c>
      <c r="O390" s="2">
        <v>46031.777280092596</v>
      </c>
      <c r="P390" s="3">
        <v>22.315525999999998</v>
      </c>
      <c r="Q390" s="3">
        <v>-6.6599011839066353</v>
      </c>
      <c r="R390" s="13">
        <f t="shared" si="24"/>
        <v>22.315525999999998</v>
      </c>
      <c r="S390" s="42">
        <f t="shared" si="27"/>
        <v>94.751102817962661</v>
      </c>
      <c r="T390" s="13">
        <v>0</v>
      </c>
      <c r="U390" s="14">
        <f t="shared" si="25"/>
        <v>-6.6599011839066353</v>
      </c>
      <c r="V390" s="15">
        <f t="shared" si="26"/>
        <v>2114.4206984629191</v>
      </c>
    </row>
    <row r="391" spans="1:22" x14ac:dyDescent="0.3">
      <c r="M391" s="4">
        <v>412</v>
      </c>
      <c r="N391" s="4" t="s">
        <v>422</v>
      </c>
      <c r="O391" s="12">
        <v>46031.781006944446</v>
      </c>
      <c r="P391" s="5">
        <v>9.5743840000000002</v>
      </c>
      <c r="Q391" s="5">
        <v>-8.5371963822796992</v>
      </c>
      <c r="R391" s="13">
        <f t="shared" si="24"/>
        <v>9.5743840000000002</v>
      </c>
      <c r="S391" s="42">
        <f t="shared" si="27"/>
        <v>94.751102817962661</v>
      </c>
      <c r="T391" s="13">
        <v>0</v>
      </c>
      <c r="U391" s="14">
        <f t="shared" si="25"/>
        <v>-8.5371963822796992</v>
      </c>
      <c r="V391" s="15">
        <f t="shared" si="26"/>
        <v>907.1834428026566</v>
      </c>
    </row>
    <row r="392" spans="1:22" x14ac:dyDescent="0.3">
      <c r="M392" s="1">
        <v>413</v>
      </c>
      <c r="N392" s="1" t="s">
        <v>423</v>
      </c>
      <c r="O392" s="2">
        <v>46031.784745370373</v>
      </c>
      <c r="P392" s="3">
        <v>6.3214224999999997</v>
      </c>
      <c r="Q392" s="3">
        <v>-11.726022623732531</v>
      </c>
      <c r="R392" s="13">
        <f t="shared" si="24"/>
        <v>6.3214224999999997</v>
      </c>
      <c r="S392" s="42">
        <f t="shared" si="27"/>
        <v>94.751102817962661</v>
      </c>
      <c r="T392" s="13">
        <v>0</v>
      </c>
      <c r="U392" s="14">
        <f t="shared" si="25"/>
        <v>-11.726022623732531</v>
      </c>
      <c r="V392" s="15">
        <f t="shared" si="26"/>
        <v>598.9617532532825</v>
      </c>
    </row>
    <row r="393" spans="1:22" x14ac:dyDescent="0.3">
      <c r="M393" s="4">
        <v>414</v>
      </c>
      <c r="N393" s="4" t="s">
        <v>424</v>
      </c>
      <c r="O393" s="12">
        <v>46031.788483796299</v>
      </c>
      <c r="P393" s="5">
        <v>3.6471119999999999</v>
      </c>
      <c r="Q393" s="5">
        <v>-14.546378148870717</v>
      </c>
      <c r="R393" s="13">
        <f t="shared" si="24"/>
        <v>3.6471119999999999</v>
      </c>
      <c r="S393" s="42">
        <f t="shared" si="27"/>
        <v>94.751102817962661</v>
      </c>
      <c r="T393" s="13">
        <v>0</v>
      </c>
      <c r="U393" s="14">
        <f t="shared" si="25"/>
        <v>-14.546378148870717</v>
      </c>
      <c r="V393" s="15">
        <f t="shared" si="26"/>
        <v>345.56788410062541</v>
      </c>
    </row>
    <row r="394" spans="1:22" x14ac:dyDescent="0.3">
      <c r="M394" s="1">
        <v>415</v>
      </c>
      <c r="N394" s="1" t="s">
        <v>425</v>
      </c>
      <c r="O394" s="2">
        <v>46031.792222222219</v>
      </c>
      <c r="P394" s="3">
        <v>2.9481897500000001</v>
      </c>
      <c r="Q394" s="3">
        <v>-17.649384221147326</v>
      </c>
      <c r="R394" s="13">
        <f t="shared" si="24"/>
        <v>2.9481897500000001</v>
      </c>
      <c r="S394" s="42">
        <f t="shared" si="27"/>
        <v>94.751102817962661</v>
      </c>
      <c r="T394" s="13">
        <v>0</v>
      </c>
      <c r="U394" s="14">
        <f t="shared" si="25"/>
        <v>-17.649384221147326</v>
      </c>
      <c r="V394" s="15">
        <f t="shared" si="26"/>
        <v>279.34423012911361</v>
      </c>
    </row>
    <row r="395" spans="1:22" x14ac:dyDescent="0.3">
      <c r="M395" s="4">
        <v>416</v>
      </c>
      <c r="N395" s="4" t="s">
        <v>426</v>
      </c>
      <c r="O395" s="12">
        <v>46031.795960648145</v>
      </c>
      <c r="P395" s="5">
        <v>23.597377999999999</v>
      </c>
      <c r="Q395" s="5">
        <v>-7.6287831746271291</v>
      </c>
      <c r="R395" s="13">
        <f t="shared" si="24"/>
        <v>23.597377999999999</v>
      </c>
      <c r="S395" s="42">
        <f t="shared" si="27"/>
        <v>94.751102817962661</v>
      </c>
      <c r="T395" s="13">
        <v>0</v>
      </c>
      <c r="U395" s="14">
        <f t="shared" si="25"/>
        <v>-7.6287831746271291</v>
      </c>
      <c r="V395" s="15">
        <f t="shared" si="26"/>
        <v>2235.87758911233</v>
      </c>
    </row>
    <row r="396" spans="1:22" x14ac:dyDescent="0.3">
      <c r="M396" s="1">
        <v>417</v>
      </c>
      <c r="N396" s="1" t="s">
        <v>427</v>
      </c>
      <c r="O396" s="2">
        <v>46031.799710648149</v>
      </c>
      <c r="P396" s="3">
        <v>15.874136</v>
      </c>
      <c r="Q396" s="3">
        <v>-8.7923028215712282</v>
      </c>
      <c r="R396" s="13">
        <f t="shared" si="24"/>
        <v>15.874136</v>
      </c>
      <c r="S396" s="42">
        <f t="shared" si="27"/>
        <v>94.751102817962661</v>
      </c>
      <c r="T396" s="13">
        <v>0</v>
      </c>
      <c r="U396" s="14">
        <f t="shared" si="25"/>
        <v>-8.7923028215712282</v>
      </c>
      <c r="V396" s="15">
        <f t="shared" si="26"/>
        <v>1504.0918922823225</v>
      </c>
    </row>
    <row r="397" spans="1:22" x14ac:dyDescent="0.3">
      <c r="M397" s="4">
        <v>418</v>
      </c>
      <c r="N397" s="4" t="s">
        <v>428</v>
      </c>
      <c r="O397" s="12">
        <v>46031.803460648145</v>
      </c>
      <c r="P397" s="5">
        <v>9.7330579999999998</v>
      </c>
      <c r="Q397" s="5">
        <v>-11.317942235370968</v>
      </c>
      <c r="R397" s="13">
        <f t="shared" si="24"/>
        <v>9.7330579999999998</v>
      </c>
      <c r="S397" s="42">
        <f t="shared" si="27"/>
        <v>94.751102817962661</v>
      </c>
      <c r="T397" s="13">
        <v>0</v>
      </c>
      <c r="U397" s="14">
        <f t="shared" si="25"/>
        <v>-11.317942235370968</v>
      </c>
      <c r="V397" s="15">
        <f t="shared" si="26"/>
        <v>922.21797929119396</v>
      </c>
    </row>
    <row r="398" spans="1:22" x14ac:dyDescent="0.3">
      <c r="M398" s="1">
        <v>419</v>
      </c>
      <c r="N398" s="1" t="s">
        <v>429</v>
      </c>
      <c r="O398" s="2">
        <v>46031.807222222225</v>
      </c>
      <c r="P398" s="3">
        <v>7.8532935000000004</v>
      </c>
      <c r="Q398" s="3">
        <v>-12.706492910661627</v>
      </c>
      <c r="R398" s="13">
        <f t="shared" si="24"/>
        <v>7.8532935000000004</v>
      </c>
      <c r="S398" s="42">
        <f t="shared" si="27"/>
        <v>94.751102817962661</v>
      </c>
      <c r="T398" s="13">
        <v>0</v>
      </c>
      <c r="U398" s="14">
        <f t="shared" si="25"/>
        <v>-12.706492910661627</v>
      </c>
      <c r="V398" s="15">
        <f t="shared" si="26"/>
        <v>744.1082198781379</v>
      </c>
    </row>
    <row r="399" spans="1:22" x14ac:dyDescent="0.3">
      <c r="M399" s="63">
        <v>420</v>
      </c>
      <c r="N399" s="63" t="s">
        <v>430</v>
      </c>
      <c r="O399" s="64">
        <v>46031.810972222222</v>
      </c>
      <c r="P399" s="65">
        <v>2.2748597500000001</v>
      </c>
      <c r="Q399" s="65">
        <v>-15.800179599960162</v>
      </c>
      <c r="R399" s="13">
        <f t="shared" si="24"/>
        <v>2.2748597500000001</v>
      </c>
      <c r="S399" s="42">
        <f t="shared" si="27"/>
        <v>94.751102817962661</v>
      </c>
      <c r="T399" s="13">
        <v>0</v>
      </c>
      <c r="U399" s="14">
        <f t="shared" si="25"/>
        <v>-15.800179599960162</v>
      </c>
      <c r="V399" s="15">
        <f t="shared" si="26"/>
        <v>215.54547006869484</v>
      </c>
    </row>
    <row r="400" spans="1:22" x14ac:dyDescent="0.3">
      <c r="A400">
        <v>4</v>
      </c>
      <c r="B400" s="83">
        <v>3.4</v>
      </c>
      <c r="C400" s="78">
        <v>45965</v>
      </c>
      <c r="D400" s="78">
        <v>45967</v>
      </c>
      <c r="E400">
        <v>25</v>
      </c>
      <c r="F400" t="s">
        <v>917</v>
      </c>
      <c r="G400" t="s">
        <v>907</v>
      </c>
      <c r="H400">
        <v>97</v>
      </c>
      <c r="I400">
        <v>1</v>
      </c>
      <c r="J400" t="s">
        <v>908</v>
      </c>
      <c r="K400" t="s">
        <v>1284</v>
      </c>
      <c r="M400" s="66">
        <v>425</v>
      </c>
      <c r="N400" s="1" t="s">
        <v>431</v>
      </c>
      <c r="O400" s="2">
        <v>46031.816990740743</v>
      </c>
      <c r="P400" s="3">
        <v>6.1169539999999998</v>
      </c>
      <c r="Q400" s="3">
        <v>-11.970261470942011</v>
      </c>
      <c r="R400" s="13">
        <f t="shared" si="24"/>
        <v>6.1169539999999998</v>
      </c>
      <c r="S400" s="42">
        <f t="shared" si="27"/>
        <v>94.751102817962661</v>
      </c>
      <c r="T400" s="13">
        <v>0</v>
      </c>
      <c r="U400" s="14">
        <f t="shared" si="25"/>
        <v>-11.970261470942011</v>
      </c>
      <c r="V400" s="15">
        <f t="shared" si="26"/>
        <v>579.58813738674792</v>
      </c>
    </row>
    <row r="401" spans="1:22" x14ac:dyDescent="0.3">
      <c r="A401">
        <v>4</v>
      </c>
      <c r="B401" s="83">
        <v>3.4</v>
      </c>
      <c r="C401" s="78">
        <v>45965</v>
      </c>
      <c r="D401" s="78">
        <v>45967</v>
      </c>
      <c r="E401">
        <v>27</v>
      </c>
      <c r="F401" t="s">
        <v>913</v>
      </c>
      <c r="G401" t="s">
        <v>15</v>
      </c>
      <c r="H401">
        <v>97</v>
      </c>
      <c r="I401">
        <v>2</v>
      </c>
      <c r="J401" t="s">
        <v>908</v>
      </c>
      <c r="K401" t="s">
        <v>1285</v>
      </c>
      <c r="M401" s="4">
        <v>426</v>
      </c>
      <c r="N401" s="4" t="s">
        <v>432</v>
      </c>
      <c r="O401" s="12">
        <v>46031.820752314816</v>
      </c>
      <c r="P401" s="5">
        <v>6.5991470000000003</v>
      </c>
      <c r="Q401" s="5">
        <v>-13.120277069482102</v>
      </c>
      <c r="R401" s="13">
        <f t="shared" si="24"/>
        <v>6.5991470000000003</v>
      </c>
      <c r="S401" s="42">
        <f t="shared" si="27"/>
        <v>94.751102817962661</v>
      </c>
      <c r="T401" s="13">
        <v>0</v>
      </c>
      <c r="U401" s="14">
        <f t="shared" si="25"/>
        <v>-13.120277069482102</v>
      </c>
      <c r="V401" s="15">
        <f t="shared" si="26"/>
        <v>625.27645590784982</v>
      </c>
    </row>
    <row r="402" spans="1:22" x14ac:dyDescent="0.3">
      <c r="A402">
        <v>4</v>
      </c>
      <c r="B402" s="83">
        <v>3.4</v>
      </c>
      <c r="C402" s="78">
        <v>45965</v>
      </c>
      <c r="D402" s="78">
        <v>45967</v>
      </c>
      <c r="E402">
        <v>26</v>
      </c>
      <c r="F402" t="s">
        <v>932</v>
      </c>
      <c r="G402" t="s">
        <v>914</v>
      </c>
      <c r="H402">
        <v>97</v>
      </c>
      <c r="I402">
        <v>3</v>
      </c>
      <c r="J402" t="s">
        <v>908</v>
      </c>
      <c r="K402" t="s">
        <v>1286</v>
      </c>
      <c r="M402" s="1">
        <v>427</v>
      </c>
      <c r="N402" s="1" t="s">
        <v>433</v>
      </c>
      <c r="O402" s="2">
        <v>46031.824525462966</v>
      </c>
      <c r="P402" s="3">
        <v>7.3196064999999999</v>
      </c>
      <c r="Q402" s="3">
        <v>-10.301653558659501</v>
      </c>
      <c r="R402" s="13">
        <f t="shared" si="24"/>
        <v>7.3196064999999999</v>
      </c>
      <c r="S402" s="42">
        <f t="shared" si="27"/>
        <v>94.751102817962661</v>
      </c>
      <c r="T402" s="13">
        <v>0</v>
      </c>
      <c r="U402" s="14">
        <f t="shared" si="25"/>
        <v>-10.301653558659501</v>
      </c>
      <c r="V402" s="15">
        <f t="shared" si="26"/>
        <v>693.54078806852783</v>
      </c>
    </row>
    <row r="403" spans="1:22" x14ac:dyDescent="0.3">
      <c r="A403">
        <v>4</v>
      </c>
      <c r="B403" s="83">
        <v>3.4</v>
      </c>
      <c r="C403" s="78">
        <v>45965</v>
      </c>
      <c r="D403" s="78">
        <v>45967</v>
      </c>
      <c r="E403">
        <v>29</v>
      </c>
      <c r="F403" t="s">
        <v>921</v>
      </c>
      <c r="G403" t="s">
        <v>918</v>
      </c>
      <c r="H403">
        <v>97</v>
      </c>
      <c r="I403">
        <v>4</v>
      </c>
      <c r="J403" t="s">
        <v>908</v>
      </c>
      <c r="K403" t="s">
        <v>1287</v>
      </c>
      <c r="M403" s="4">
        <v>428</v>
      </c>
      <c r="N403" s="4" t="s">
        <v>434</v>
      </c>
      <c r="O403" s="12">
        <v>46031.828263888892</v>
      </c>
      <c r="P403" s="5">
        <v>7.1443669999999999</v>
      </c>
      <c r="Q403" s="5">
        <v>-12.813291227595606</v>
      </c>
      <c r="R403" s="13">
        <f t="shared" si="24"/>
        <v>7.1443669999999999</v>
      </c>
      <c r="S403" s="42">
        <f t="shared" si="27"/>
        <v>94.751102817962661</v>
      </c>
      <c r="T403" s="13">
        <v>0</v>
      </c>
      <c r="U403" s="14">
        <f t="shared" si="25"/>
        <v>-12.813291227595606</v>
      </c>
      <c r="V403" s="15">
        <f t="shared" si="26"/>
        <v>676.93665218625938</v>
      </c>
    </row>
    <row r="404" spans="1:22" x14ac:dyDescent="0.3">
      <c r="A404">
        <v>4</v>
      </c>
      <c r="B404" s="83">
        <v>3.4</v>
      </c>
      <c r="C404" s="78">
        <v>45965</v>
      </c>
      <c r="D404" s="78">
        <v>45967</v>
      </c>
      <c r="E404">
        <v>32</v>
      </c>
      <c r="F404" t="s">
        <v>925</v>
      </c>
      <c r="G404" t="s">
        <v>922</v>
      </c>
      <c r="H404">
        <v>97</v>
      </c>
      <c r="I404">
        <v>5</v>
      </c>
      <c r="J404" t="s">
        <v>908</v>
      </c>
      <c r="K404" t="s">
        <v>1288</v>
      </c>
      <c r="M404" s="1">
        <v>429</v>
      </c>
      <c r="N404" s="1" t="s">
        <v>435</v>
      </c>
      <c r="O404" s="2">
        <v>46031.831990740742</v>
      </c>
      <c r="P404" s="3">
        <v>6.9302134999999998</v>
      </c>
      <c r="Q404" s="3">
        <v>-12.997854477793515</v>
      </c>
      <c r="R404" s="13">
        <f t="shared" si="24"/>
        <v>6.9302134999999998</v>
      </c>
      <c r="S404" s="42">
        <f t="shared" si="27"/>
        <v>94.751102817962661</v>
      </c>
      <c r="T404" s="13">
        <v>0</v>
      </c>
      <c r="U404" s="14">
        <f t="shared" si="25"/>
        <v>-12.997854477793515</v>
      </c>
      <c r="V404" s="15">
        <f t="shared" si="26"/>
        <v>656.6453718889328</v>
      </c>
    </row>
    <row r="405" spans="1:22" x14ac:dyDescent="0.3">
      <c r="A405">
        <v>4</v>
      </c>
      <c r="B405" s="83">
        <v>3.4</v>
      </c>
      <c r="C405" s="78">
        <v>45965</v>
      </c>
      <c r="D405" s="78">
        <v>45967</v>
      </c>
      <c r="E405">
        <v>30</v>
      </c>
      <c r="F405" t="s">
        <v>929</v>
      </c>
      <c r="G405" t="s">
        <v>926</v>
      </c>
      <c r="H405">
        <v>97</v>
      </c>
      <c r="I405">
        <v>6</v>
      </c>
      <c r="J405" t="s">
        <v>908</v>
      </c>
      <c r="K405" t="s">
        <v>1289</v>
      </c>
      <c r="M405" s="4">
        <v>430</v>
      </c>
      <c r="N405" s="4" t="s">
        <v>436</v>
      </c>
      <c r="O405" s="12">
        <v>46031.835717592592</v>
      </c>
      <c r="P405" s="5">
        <v>7.0590335</v>
      </c>
      <c r="Q405" s="5">
        <v>-12.008021547535661</v>
      </c>
      <c r="R405" s="13">
        <f t="shared" si="24"/>
        <v>7.0590335</v>
      </c>
      <c r="S405" s="42">
        <f t="shared" si="27"/>
        <v>94.751102817962661</v>
      </c>
      <c r="T405" s="13">
        <v>0</v>
      </c>
      <c r="U405" s="14">
        <f t="shared" si="25"/>
        <v>-12.008021547535661</v>
      </c>
      <c r="V405" s="15">
        <f t="shared" si="26"/>
        <v>668.85120895394277</v>
      </c>
    </row>
    <row r="406" spans="1:22" x14ac:dyDescent="0.3">
      <c r="A406">
        <v>4</v>
      </c>
      <c r="B406" s="83">
        <v>3.4</v>
      </c>
      <c r="C406" s="78">
        <v>45965</v>
      </c>
      <c r="D406" s="78">
        <v>45967</v>
      </c>
      <c r="E406">
        <v>28</v>
      </c>
      <c r="F406" t="s">
        <v>910</v>
      </c>
      <c r="G406" t="s">
        <v>930</v>
      </c>
      <c r="H406">
        <v>97</v>
      </c>
      <c r="I406">
        <v>7</v>
      </c>
      <c r="J406" t="s">
        <v>908</v>
      </c>
      <c r="K406" t="s">
        <v>1290</v>
      </c>
      <c r="M406" s="1">
        <v>431</v>
      </c>
      <c r="N406" s="1" t="s">
        <v>437</v>
      </c>
      <c r="O406" s="2">
        <v>46031.839444444442</v>
      </c>
      <c r="P406" s="3">
        <v>7.4814354999999999</v>
      </c>
      <c r="Q406" s="3">
        <v>-10.329790327566817</v>
      </c>
      <c r="R406" s="13">
        <f t="shared" si="24"/>
        <v>7.4814354999999999</v>
      </c>
      <c r="S406" s="42">
        <f t="shared" si="27"/>
        <v>94.751102817962661</v>
      </c>
      <c r="T406" s="13">
        <v>0</v>
      </c>
      <c r="U406" s="14">
        <f t="shared" si="25"/>
        <v>-10.329790327566817</v>
      </c>
      <c r="V406" s="15">
        <f t="shared" si="26"/>
        <v>708.87426428645585</v>
      </c>
    </row>
    <row r="407" spans="1:22" x14ac:dyDescent="0.3">
      <c r="A407">
        <v>4</v>
      </c>
      <c r="B407" s="83">
        <v>3.4</v>
      </c>
      <c r="C407" s="78">
        <v>45965</v>
      </c>
      <c r="D407" s="78">
        <v>45967</v>
      </c>
      <c r="E407">
        <v>31</v>
      </c>
      <c r="F407" t="s">
        <v>906</v>
      </c>
      <c r="G407" t="s">
        <v>933</v>
      </c>
      <c r="H407">
        <v>97</v>
      </c>
      <c r="I407">
        <v>8</v>
      </c>
      <c r="J407" t="s">
        <v>908</v>
      </c>
      <c r="K407" t="s">
        <v>1291</v>
      </c>
      <c r="M407" s="4">
        <v>432</v>
      </c>
      <c r="N407" s="4" t="s">
        <v>438</v>
      </c>
      <c r="O407" s="12">
        <v>46031.843171296299</v>
      </c>
      <c r="P407" s="5">
        <v>7.8732875</v>
      </c>
      <c r="Q407" s="5">
        <v>-16.302189097859497</v>
      </c>
      <c r="R407" s="13">
        <f t="shared" si="24"/>
        <v>7.8732875</v>
      </c>
      <c r="S407" s="42">
        <f t="shared" si="27"/>
        <v>94.751102817962661</v>
      </c>
      <c r="T407" s="13">
        <v>0</v>
      </c>
      <c r="U407" s="14">
        <f t="shared" si="25"/>
        <v>-16.302189097859497</v>
      </c>
      <c r="V407" s="15">
        <f t="shared" si="26"/>
        <v>746.00267342788015</v>
      </c>
    </row>
    <row r="408" spans="1:22" x14ac:dyDescent="0.3">
      <c r="A408">
        <v>4</v>
      </c>
      <c r="B408" s="83">
        <v>3.4</v>
      </c>
      <c r="C408" s="78">
        <v>45965</v>
      </c>
      <c r="D408" s="78">
        <v>45967</v>
      </c>
      <c r="E408">
        <v>25</v>
      </c>
      <c r="F408" t="s">
        <v>917</v>
      </c>
      <c r="G408" t="s">
        <v>907</v>
      </c>
      <c r="H408">
        <v>97</v>
      </c>
      <c r="I408">
        <v>9</v>
      </c>
      <c r="J408" t="s">
        <v>935</v>
      </c>
      <c r="K408" t="s">
        <v>1292</v>
      </c>
      <c r="M408" s="1">
        <v>433</v>
      </c>
      <c r="N408" s="1" t="s">
        <v>439</v>
      </c>
      <c r="O408" s="2">
        <v>46031.846909722219</v>
      </c>
      <c r="P408" s="3">
        <v>6.9741344999999999</v>
      </c>
      <c r="Q408" s="3">
        <v>32.512800870873157</v>
      </c>
      <c r="R408" s="13">
        <f t="shared" si="24"/>
        <v>6.9741344999999999</v>
      </c>
      <c r="S408" s="42">
        <f t="shared" si="27"/>
        <v>94.751102817962661</v>
      </c>
      <c r="T408" s="13">
        <v>0</v>
      </c>
      <c r="U408" s="14">
        <f t="shared" si="25"/>
        <v>32.512800870873157</v>
      </c>
      <c r="V408" s="15">
        <f t="shared" si="26"/>
        <v>660.80693507580065</v>
      </c>
    </row>
    <row r="409" spans="1:22" x14ac:dyDescent="0.3">
      <c r="A409">
        <v>4</v>
      </c>
      <c r="B409" s="83">
        <v>3.4</v>
      </c>
      <c r="C409" s="78">
        <v>45965</v>
      </c>
      <c r="D409" s="78">
        <v>45967</v>
      </c>
      <c r="E409">
        <v>27</v>
      </c>
      <c r="F409" t="s">
        <v>913</v>
      </c>
      <c r="G409" t="s">
        <v>15</v>
      </c>
      <c r="H409">
        <v>97</v>
      </c>
      <c r="I409">
        <v>10</v>
      </c>
      <c r="J409" t="s">
        <v>935</v>
      </c>
      <c r="K409" t="s">
        <v>1293</v>
      </c>
      <c r="M409" s="4">
        <v>434</v>
      </c>
      <c r="N409" s="4" t="s">
        <v>440</v>
      </c>
      <c r="O409" s="12">
        <v>46031.850636574076</v>
      </c>
      <c r="P409" s="5">
        <v>7.5495669999999997</v>
      </c>
      <c r="Q409" s="5">
        <v>41.245052292213707</v>
      </c>
      <c r="R409" s="13">
        <f t="shared" si="24"/>
        <v>7.5495669999999997</v>
      </c>
      <c r="S409" s="42">
        <f t="shared" si="27"/>
        <v>94.751102817962661</v>
      </c>
      <c r="T409" s="13">
        <v>0</v>
      </c>
      <c r="U409" s="14">
        <f t="shared" si="25"/>
        <v>41.245052292213707</v>
      </c>
      <c r="V409" s="15">
        <f t="shared" si="26"/>
        <v>715.32979904809793</v>
      </c>
    </row>
    <row r="410" spans="1:22" x14ac:dyDescent="0.3">
      <c r="A410">
        <v>4</v>
      </c>
      <c r="B410" s="83">
        <v>3.4</v>
      </c>
      <c r="C410" s="78">
        <v>45965</v>
      </c>
      <c r="D410" s="78">
        <v>45967</v>
      </c>
      <c r="E410">
        <v>26</v>
      </c>
      <c r="F410" t="s">
        <v>932</v>
      </c>
      <c r="G410" t="s">
        <v>914</v>
      </c>
      <c r="H410">
        <v>97</v>
      </c>
      <c r="I410">
        <v>11</v>
      </c>
      <c r="J410" t="s">
        <v>935</v>
      </c>
      <c r="K410" t="s">
        <v>1294</v>
      </c>
      <c r="M410" s="1">
        <v>435</v>
      </c>
      <c r="N410" s="1" t="s">
        <v>441</v>
      </c>
      <c r="O410" s="2">
        <v>46031.854375000003</v>
      </c>
      <c r="P410" s="3">
        <v>7.1853024999999997</v>
      </c>
      <c r="Q410" s="3">
        <v>45.983066664278581</v>
      </c>
      <c r="R410" s="13">
        <f t="shared" si="24"/>
        <v>7.1853024999999997</v>
      </c>
      <c r="S410" s="42">
        <f t="shared" si="27"/>
        <v>94.751102817962661</v>
      </c>
      <c r="T410" s="13">
        <v>0</v>
      </c>
      <c r="U410" s="14">
        <f t="shared" si="25"/>
        <v>45.983066664278581</v>
      </c>
      <c r="V410" s="15">
        <f t="shared" si="26"/>
        <v>680.81533595566407</v>
      </c>
    </row>
    <row r="411" spans="1:22" x14ac:dyDescent="0.3">
      <c r="A411">
        <v>4</v>
      </c>
      <c r="B411" s="83">
        <v>3.4</v>
      </c>
      <c r="C411" s="78">
        <v>45965</v>
      </c>
      <c r="D411" s="78">
        <v>45967</v>
      </c>
      <c r="E411">
        <v>29</v>
      </c>
      <c r="F411" t="s">
        <v>921</v>
      </c>
      <c r="G411" t="s">
        <v>918</v>
      </c>
      <c r="H411">
        <v>97</v>
      </c>
      <c r="I411">
        <v>12</v>
      </c>
      <c r="J411" t="s">
        <v>935</v>
      </c>
      <c r="K411" t="s">
        <v>1295</v>
      </c>
      <c r="M411" s="4">
        <v>436</v>
      </c>
      <c r="N411" s="4" t="s">
        <v>442</v>
      </c>
      <c r="O411" s="12">
        <v>46031.858101851853</v>
      </c>
      <c r="P411" s="5">
        <v>7.6485269999999996</v>
      </c>
      <c r="Q411" s="5">
        <v>31.70842341726814</v>
      </c>
      <c r="R411" s="13">
        <f t="shared" si="24"/>
        <v>7.6485269999999996</v>
      </c>
      <c r="S411" s="42">
        <f t="shared" si="27"/>
        <v>94.751102817962661</v>
      </c>
      <c r="T411" s="13">
        <v>0</v>
      </c>
      <c r="U411" s="14">
        <f t="shared" si="25"/>
        <v>31.70842341726814</v>
      </c>
      <c r="V411" s="15">
        <f t="shared" si="26"/>
        <v>724.7063681829635</v>
      </c>
    </row>
    <row r="412" spans="1:22" x14ac:dyDescent="0.3">
      <c r="A412">
        <v>4</v>
      </c>
      <c r="B412" s="83">
        <v>3.4</v>
      </c>
      <c r="C412" s="78">
        <v>45965</v>
      </c>
      <c r="D412" s="78">
        <v>45967</v>
      </c>
      <c r="E412">
        <v>32</v>
      </c>
      <c r="F412" t="s">
        <v>925</v>
      </c>
      <c r="G412" t="s">
        <v>922</v>
      </c>
      <c r="H412">
        <v>97</v>
      </c>
      <c r="I412">
        <v>13</v>
      </c>
      <c r="J412" t="s">
        <v>935</v>
      </c>
      <c r="K412" t="s">
        <v>1296</v>
      </c>
      <c r="M412" s="1">
        <v>437</v>
      </c>
      <c r="N412" s="1" t="s">
        <v>443</v>
      </c>
      <c r="O412" s="2">
        <v>46031.861817129633</v>
      </c>
      <c r="P412" s="3">
        <v>7.1370835000000001</v>
      </c>
      <c r="Q412" s="3">
        <v>41.776282043334881</v>
      </c>
      <c r="R412" s="13">
        <f t="shared" si="24"/>
        <v>7.1370835000000001</v>
      </c>
      <c r="S412" s="42">
        <f t="shared" si="27"/>
        <v>94.751102817962661</v>
      </c>
      <c r="T412" s="13">
        <v>0</v>
      </c>
      <c r="U412" s="14">
        <f t="shared" si="25"/>
        <v>41.776282043334881</v>
      </c>
      <c r="V412" s="15">
        <f t="shared" si="26"/>
        <v>676.24653252888481</v>
      </c>
    </row>
    <row r="413" spans="1:22" x14ac:dyDescent="0.3">
      <c r="A413">
        <v>4</v>
      </c>
      <c r="B413" s="83">
        <v>3.4</v>
      </c>
      <c r="C413" s="78">
        <v>45965</v>
      </c>
      <c r="D413" s="78">
        <v>45967</v>
      </c>
      <c r="E413">
        <v>30</v>
      </c>
      <c r="F413" t="s">
        <v>929</v>
      </c>
      <c r="G413" t="s">
        <v>926</v>
      </c>
      <c r="H413">
        <v>97</v>
      </c>
      <c r="I413">
        <v>14</v>
      </c>
      <c r="J413" t="s">
        <v>935</v>
      </c>
      <c r="K413" t="s">
        <v>1297</v>
      </c>
      <c r="M413" s="4">
        <v>438</v>
      </c>
      <c r="N413" s="4" t="s">
        <v>444</v>
      </c>
      <c r="O413" s="12">
        <v>46031.865555555552</v>
      </c>
      <c r="P413" s="5">
        <v>8.1909445000000005</v>
      </c>
      <c r="Q413" s="5">
        <v>30.211204554752442</v>
      </c>
      <c r="R413" s="13">
        <f t="shared" si="24"/>
        <v>8.1909445000000005</v>
      </c>
      <c r="S413" s="42">
        <f t="shared" si="27"/>
        <v>94.751102817962661</v>
      </c>
      <c r="T413" s="13">
        <v>0</v>
      </c>
      <c r="U413" s="14">
        <f t="shared" si="25"/>
        <v>30.211204554752442</v>
      </c>
      <c r="V413" s="15">
        <f t="shared" si="26"/>
        <v>776.10102449572582</v>
      </c>
    </row>
    <row r="414" spans="1:22" x14ac:dyDescent="0.3">
      <c r="A414">
        <v>4</v>
      </c>
      <c r="B414" s="83">
        <v>3.4</v>
      </c>
      <c r="C414" s="78">
        <v>45965</v>
      </c>
      <c r="D414" s="78">
        <v>45967</v>
      </c>
      <c r="E414">
        <v>28</v>
      </c>
      <c r="F414" t="s">
        <v>910</v>
      </c>
      <c r="G414" t="s">
        <v>930</v>
      </c>
      <c r="H414">
        <v>97</v>
      </c>
      <c r="I414">
        <v>15</v>
      </c>
      <c r="J414" t="s">
        <v>935</v>
      </c>
      <c r="K414" t="s">
        <v>1298</v>
      </c>
      <c r="M414" s="1">
        <v>439</v>
      </c>
      <c r="N414" s="1" t="s">
        <v>445</v>
      </c>
      <c r="O414" s="2">
        <v>46031.86928240741</v>
      </c>
      <c r="P414" s="3">
        <v>8.2355284999999991</v>
      </c>
      <c r="Q414" s="3">
        <v>30.888485869377838</v>
      </c>
      <c r="R414" s="13">
        <f t="shared" si="24"/>
        <v>8.2355284999999991</v>
      </c>
      <c r="S414" s="42">
        <f t="shared" si="27"/>
        <v>94.751102817962661</v>
      </c>
      <c r="T414" s="13">
        <v>0</v>
      </c>
      <c r="U414" s="14">
        <f t="shared" si="25"/>
        <v>30.888485869377838</v>
      </c>
      <c r="V414" s="15">
        <f t="shared" si="26"/>
        <v>780.32540766376167</v>
      </c>
    </row>
    <row r="415" spans="1:22" x14ac:dyDescent="0.3">
      <c r="A415">
        <v>4</v>
      </c>
      <c r="B415" s="83">
        <v>3.4</v>
      </c>
      <c r="C415" s="78">
        <v>45965</v>
      </c>
      <c r="D415" s="78">
        <v>45967</v>
      </c>
      <c r="E415">
        <v>31</v>
      </c>
      <c r="F415" t="s">
        <v>906</v>
      </c>
      <c r="G415" t="s">
        <v>933</v>
      </c>
      <c r="H415">
        <v>97</v>
      </c>
      <c r="I415">
        <v>16</v>
      </c>
      <c r="J415" t="s">
        <v>935</v>
      </c>
      <c r="K415" t="s">
        <v>1299</v>
      </c>
      <c r="M415" s="4">
        <v>440</v>
      </c>
      <c r="N415" s="4" t="s">
        <v>446</v>
      </c>
      <c r="O415" s="12">
        <v>46031.872997685183</v>
      </c>
      <c r="P415" s="5">
        <v>7.8121239999999998</v>
      </c>
      <c r="Q415" s="5">
        <v>12.448108214029267</v>
      </c>
      <c r="R415" s="13">
        <f t="shared" si="24"/>
        <v>7.8121239999999998</v>
      </c>
      <c r="S415" s="42">
        <f t="shared" si="27"/>
        <v>94.751102817962661</v>
      </c>
      <c r="T415" s="13">
        <v>0</v>
      </c>
      <c r="U415" s="14">
        <f t="shared" si="25"/>
        <v>12.448108214029267</v>
      </c>
      <c r="V415" s="15">
        <f t="shared" si="26"/>
        <v>740.20736435067374</v>
      </c>
    </row>
    <row r="416" spans="1:22" x14ac:dyDescent="0.3">
      <c r="A416">
        <v>4</v>
      </c>
      <c r="B416" s="83">
        <v>3.4</v>
      </c>
      <c r="C416" s="78">
        <v>45965</v>
      </c>
      <c r="D416" s="78">
        <v>45967</v>
      </c>
      <c r="E416">
        <v>25</v>
      </c>
      <c r="F416" t="s">
        <v>917</v>
      </c>
      <c r="G416" t="s">
        <v>907</v>
      </c>
      <c r="H416">
        <v>97</v>
      </c>
      <c r="I416">
        <v>17</v>
      </c>
      <c r="J416" t="s">
        <v>24</v>
      </c>
      <c r="K416" t="s">
        <v>1300</v>
      </c>
      <c r="M416" s="1">
        <v>441</v>
      </c>
      <c r="N416" s="1" t="s">
        <v>447</v>
      </c>
      <c r="O416" s="2">
        <v>46031.876736111109</v>
      </c>
      <c r="P416" s="3">
        <v>7.4057025000000003</v>
      </c>
      <c r="Q416" s="3">
        <v>61.348407389049548</v>
      </c>
      <c r="R416" s="13">
        <f t="shared" si="24"/>
        <v>7.4057025000000003</v>
      </c>
      <c r="S416" s="42">
        <f t="shared" si="27"/>
        <v>94.751102817962661</v>
      </c>
      <c r="T416" s="13">
        <v>0</v>
      </c>
      <c r="U416" s="14">
        <f t="shared" si="25"/>
        <v>61.348407389049548</v>
      </c>
      <c r="V416" s="15">
        <f t="shared" si="26"/>
        <v>701.69847901674314</v>
      </c>
    </row>
    <row r="417" spans="1:22" x14ac:dyDescent="0.3">
      <c r="A417">
        <v>4</v>
      </c>
      <c r="B417" s="83">
        <v>3.4</v>
      </c>
      <c r="C417" s="78">
        <v>45965</v>
      </c>
      <c r="D417" s="78">
        <v>45967</v>
      </c>
      <c r="E417">
        <v>27</v>
      </c>
      <c r="F417" t="s">
        <v>913</v>
      </c>
      <c r="G417" t="s">
        <v>15</v>
      </c>
      <c r="H417">
        <v>97</v>
      </c>
      <c r="I417">
        <v>18</v>
      </c>
      <c r="J417" t="s">
        <v>24</v>
      </c>
      <c r="K417" t="s">
        <v>1301</v>
      </c>
      <c r="M417" s="4">
        <v>442</v>
      </c>
      <c r="N417" s="4" t="s">
        <v>448</v>
      </c>
      <c r="O417" s="12">
        <v>46031.88045138889</v>
      </c>
      <c r="P417" s="5">
        <v>7.4203999999999999</v>
      </c>
      <c r="Q417" s="5">
        <v>79.500221807854842</v>
      </c>
      <c r="R417" s="13">
        <f t="shared" si="24"/>
        <v>7.4203999999999999</v>
      </c>
      <c r="S417" s="42">
        <f t="shared" si="27"/>
        <v>94.751102817962661</v>
      </c>
      <c r="T417" s="13">
        <v>0</v>
      </c>
      <c r="U417" s="14">
        <f t="shared" si="25"/>
        <v>79.500221807854842</v>
      </c>
      <c r="V417" s="15">
        <f t="shared" si="26"/>
        <v>703.09108335041014</v>
      </c>
    </row>
    <row r="418" spans="1:22" x14ac:dyDescent="0.3">
      <c r="A418">
        <v>4</v>
      </c>
      <c r="B418" s="83">
        <v>3.4</v>
      </c>
      <c r="C418" s="78">
        <v>45965</v>
      </c>
      <c r="D418" s="78">
        <v>45967</v>
      </c>
      <c r="E418">
        <v>26</v>
      </c>
      <c r="F418" t="s">
        <v>932</v>
      </c>
      <c r="G418" t="s">
        <v>914</v>
      </c>
      <c r="H418">
        <v>97</v>
      </c>
      <c r="I418">
        <v>19</v>
      </c>
      <c r="J418" t="s">
        <v>24</v>
      </c>
      <c r="K418" t="s">
        <v>1302</v>
      </c>
      <c r="M418" s="1">
        <v>443</v>
      </c>
      <c r="N418" s="1" t="s">
        <v>449</v>
      </c>
      <c r="O418" s="2">
        <v>46031.88417824074</v>
      </c>
      <c r="P418" s="3">
        <v>7.6627130000000001</v>
      </c>
      <c r="Q418" s="3">
        <v>79.517528308111977</v>
      </c>
      <c r="R418" s="13">
        <f t="shared" si="24"/>
        <v>7.6627130000000001</v>
      </c>
      <c r="S418" s="42">
        <f t="shared" si="27"/>
        <v>94.751102817962661</v>
      </c>
      <c r="T418" s="13">
        <v>0</v>
      </c>
      <c r="U418" s="14">
        <f t="shared" si="25"/>
        <v>79.517528308111977</v>
      </c>
      <c r="V418" s="15">
        <f t="shared" si="26"/>
        <v>726.05050732753909</v>
      </c>
    </row>
    <row r="419" spans="1:22" x14ac:dyDescent="0.3">
      <c r="A419">
        <v>4</v>
      </c>
      <c r="B419" s="83">
        <v>3.4</v>
      </c>
      <c r="C419" s="78">
        <v>45965</v>
      </c>
      <c r="D419" s="78">
        <v>45967</v>
      </c>
      <c r="E419">
        <v>29</v>
      </c>
      <c r="F419" t="s">
        <v>921</v>
      </c>
      <c r="G419" t="s">
        <v>918</v>
      </c>
      <c r="H419">
        <v>97</v>
      </c>
      <c r="I419">
        <v>20</v>
      </c>
      <c r="J419" t="s">
        <v>24</v>
      </c>
      <c r="K419" t="s">
        <v>1303</v>
      </c>
      <c r="M419" s="4">
        <v>444</v>
      </c>
      <c r="N419" s="4" t="s">
        <v>450</v>
      </c>
      <c r="O419" s="12">
        <v>46031.887916666667</v>
      </c>
      <c r="P419" s="5">
        <v>8.674588</v>
      </c>
      <c r="Q419" s="5">
        <v>54.707581735144338</v>
      </c>
      <c r="R419" s="13">
        <f t="shared" si="24"/>
        <v>8.674588</v>
      </c>
      <c r="S419" s="42">
        <f t="shared" si="27"/>
        <v>94.751102817962661</v>
      </c>
      <c r="T419" s="13">
        <v>0</v>
      </c>
      <c r="U419" s="14">
        <f t="shared" si="25"/>
        <v>54.707581735144338</v>
      </c>
      <c r="V419" s="15">
        <f t="shared" si="26"/>
        <v>821.92677949146503</v>
      </c>
    </row>
    <row r="420" spans="1:22" x14ac:dyDescent="0.3">
      <c r="A420">
        <v>4</v>
      </c>
      <c r="B420" s="83">
        <v>3.4</v>
      </c>
      <c r="C420" s="78">
        <v>45965</v>
      </c>
      <c r="D420" s="78">
        <v>45967</v>
      </c>
      <c r="E420">
        <v>32</v>
      </c>
      <c r="F420" t="s">
        <v>925</v>
      </c>
      <c r="G420" t="s">
        <v>922</v>
      </c>
      <c r="H420">
        <v>97</v>
      </c>
      <c r="I420">
        <v>21</v>
      </c>
      <c r="J420" t="s">
        <v>24</v>
      </c>
      <c r="K420" t="s">
        <v>1304</v>
      </c>
      <c r="M420" s="1">
        <v>445</v>
      </c>
      <c r="N420" s="1" t="s">
        <v>451</v>
      </c>
      <c r="O420" s="2">
        <v>46031.89166666667</v>
      </c>
      <c r="P420" s="3">
        <v>7.2929705</v>
      </c>
      <c r="Q420" s="3">
        <v>80.350340426976544</v>
      </c>
      <c r="R420" s="13">
        <f t="shared" si="24"/>
        <v>7.2929705</v>
      </c>
      <c r="S420" s="42">
        <f t="shared" si="27"/>
        <v>94.751102817962661</v>
      </c>
      <c r="T420" s="13">
        <v>0</v>
      </c>
      <c r="U420" s="14">
        <f t="shared" si="25"/>
        <v>80.350340426976544</v>
      </c>
      <c r="V420" s="15">
        <f t="shared" si="26"/>
        <v>691.01699769386857</v>
      </c>
    </row>
    <row r="421" spans="1:22" x14ac:dyDescent="0.3">
      <c r="A421">
        <v>4</v>
      </c>
      <c r="B421" s="83">
        <v>3.4</v>
      </c>
      <c r="C421" s="78">
        <v>45965</v>
      </c>
      <c r="D421" s="78">
        <v>45967</v>
      </c>
      <c r="E421">
        <v>30</v>
      </c>
      <c r="F421" t="s">
        <v>929</v>
      </c>
      <c r="G421" t="s">
        <v>926</v>
      </c>
      <c r="H421">
        <v>97</v>
      </c>
      <c r="I421">
        <v>22</v>
      </c>
      <c r="J421" t="s">
        <v>24</v>
      </c>
      <c r="K421" t="s">
        <v>1305</v>
      </c>
      <c r="M421" s="4">
        <v>446</v>
      </c>
      <c r="N421" s="4" t="s">
        <v>452</v>
      </c>
      <c r="O421" s="12">
        <v>46031.89539351852</v>
      </c>
      <c r="P421" s="5">
        <v>8.2519504999999995</v>
      </c>
      <c r="Q421" s="5">
        <v>61.271603569855067</v>
      </c>
      <c r="R421" s="13">
        <f t="shared" si="24"/>
        <v>8.2519504999999995</v>
      </c>
      <c r="S421" s="42">
        <f t="shared" si="27"/>
        <v>94.751102817962661</v>
      </c>
      <c r="T421" s="13">
        <v>0</v>
      </c>
      <c r="U421" s="14">
        <f t="shared" si="25"/>
        <v>61.271603569855067</v>
      </c>
      <c r="V421" s="15">
        <f t="shared" si="26"/>
        <v>781.88141027423831</v>
      </c>
    </row>
    <row r="422" spans="1:22" x14ac:dyDescent="0.3">
      <c r="A422">
        <v>4</v>
      </c>
      <c r="B422" s="83">
        <v>3.4</v>
      </c>
      <c r="C422" s="78">
        <v>45965</v>
      </c>
      <c r="D422" s="78">
        <v>45967</v>
      </c>
      <c r="E422">
        <v>28</v>
      </c>
      <c r="F422" t="s">
        <v>910</v>
      </c>
      <c r="G422" t="s">
        <v>930</v>
      </c>
      <c r="H422">
        <v>97</v>
      </c>
      <c r="I422">
        <v>23</v>
      </c>
      <c r="J422" t="s">
        <v>24</v>
      </c>
      <c r="K422" t="s">
        <v>1306</v>
      </c>
      <c r="M422" s="1">
        <v>447</v>
      </c>
      <c r="N422" s="1" t="s">
        <v>453</v>
      </c>
      <c r="O422" s="2">
        <v>46031.899143518516</v>
      </c>
      <c r="P422" s="3">
        <v>8.4229780000000005</v>
      </c>
      <c r="Q422" s="3">
        <v>60.421470751505211</v>
      </c>
      <c r="R422" s="13">
        <f t="shared" si="24"/>
        <v>8.4229780000000005</v>
      </c>
      <c r="S422" s="42">
        <f t="shared" si="27"/>
        <v>94.751102817962661</v>
      </c>
      <c r="T422" s="13">
        <v>0</v>
      </c>
      <c r="U422" s="14">
        <f t="shared" si="25"/>
        <v>60.421470751505211</v>
      </c>
      <c r="V422" s="15">
        <f t="shared" si="26"/>
        <v>798.08645451143752</v>
      </c>
    </row>
    <row r="423" spans="1:22" x14ac:dyDescent="0.3">
      <c r="A423">
        <v>4</v>
      </c>
      <c r="B423" s="83">
        <v>3.4</v>
      </c>
      <c r="C423" s="78">
        <v>45965</v>
      </c>
      <c r="D423" s="78">
        <v>45967</v>
      </c>
      <c r="E423">
        <v>31</v>
      </c>
      <c r="F423" t="s">
        <v>906</v>
      </c>
      <c r="G423" t="s">
        <v>933</v>
      </c>
      <c r="H423">
        <v>97</v>
      </c>
      <c r="I423">
        <v>24</v>
      </c>
      <c r="J423" t="s">
        <v>24</v>
      </c>
      <c r="K423" t="s">
        <v>1307</v>
      </c>
      <c r="M423" s="4">
        <v>448</v>
      </c>
      <c r="N423" s="4" t="s">
        <v>454</v>
      </c>
      <c r="O423" s="12">
        <v>46031.902858796297</v>
      </c>
      <c r="P423" s="5">
        <v>8.6110319999999998</v>
      </c>
      <c r="Q423" s="5">
        <v>28.121642166003021</v>
      </c>
      <c r="R423" s="13">
        <f t="shared" si="24"/>
        <v>8.6110319999999998</v>
      </c>
      <c r="S423" s="42">
        <f t="shared" si="27"/>
        <v>94.751102817962661</v>
      </c>
      <c r="T423" s="13">
        <v>0</v>
      </c>
      <c r="U423" s="14">
        <f t="shared" si="25"/>
        <v>28.121642166003021</v>
      </c>
      <c r="V423" s="15">
        <f t="shared" si="26"/>
        <v>815.90477840076665</v>
      </c>
    </row>
    <row r="424" spans="1:22" x14ac:dyDescent="0.3">
      <c r="A424">
        <v>4</v>
      </c>
      <c r="B424" s="83">
        <v>3.4</v>
      </c>
      <c r="C424" s="78">
        <v>45965</v>
      </c>
      <c r="D424" s="78">
        <v>45967</v>
      </c>
      <c r="E424">
        <v>25</v>
      </c>
      <c r="F424" t="s">
        <v>917</v>
      </c>
      <c r="G424" t="s">
        <v>907</v>
      </c>
      <c r="H424">
        <v>97</v>
      </c>
      <c r="I424">
        <v>25</v>
      </c>
      <c r="J424" t="s">
        <v>25</v>
      </c>
      <c r="K424" t="s">
        <v>1308</v>
      </c>
      <c r="M424" s="1">
        <v>449</v>
      </c>
      <c r="N424" s="1" t="s">
        <v>455</v>
      </c>
      <c r="O424" s="2">
        <v>46031.906585648147</v>
      </c>
      <c r="P424" s="3">
        <v>7.8280240000000001</v>
      </c>
      <c r="Q424" s="3">
        <v>83.267332802256334</v>
      </c>
      <c r="R424" s="13">
        <f t="shared" si="24"/>
        <v>7.8280240000000001</v>
      </c>
      <c r="S424" s="42">
        <f t="shared" si="27"/>
        <v>94.751102817962661</v>
      </c>
      <c r="T424" s="13">
        <v>0</v>
      </c>
      <c r="U424" s="14">
        <f t="shared" si="25"/>
        <v>83.267332802256334</v>
      </c>
      <c r="V424" s="15">
        <f t="shared" si="26"/>
        <v>741.71390688547933</v>
      </c>
    </row>
    <row r="425" spans="1:22" x14ac:dyDescent="0.3">
      <c r="A425">
        <v>4</v>
      </c>
      <c r="B425" s="83">
        <v>3.4</v>
      </c>
      <c r="C425" s="78">
        <v>45965</v>
      </c>
      <c r="D425" s="78">
        <v>45967</v>
      </c>
      <c r="E425">
        <v>27</v>
      </c>
      <c r="F425" t="s">
        <v>913</v>
      </c>
      <c r="G425" t="s">
        <v>15</v>
      </c>
      <c r="H425">
        <v>97</v>
      </c>
      <c r="I425">
        <v>26</v>
      </c>
      <c r="J425" t="s">
        <v>25</v>
      </c>
      <c r="K425" t="s">
        <v>1309</v>
      </c>
      <c r="M425" s="4">
        <v>450</v>
      </c>
      <c r="N425" s="4" t="s">
        <v>456</v>
      </c>
      <c r="O425" s="12">
        <v>46031.910324074073</v>
      </c>
      <c r="P425" s="5">
        <v>7.9037410000000001</v>
      </c>
      <c r="Q425" s="5">
        <v>102.34849318737156</v>
      </c>
      <c r="R425" s="13">
        <f t="shared" si="24"/>
        <v>7.9037410000000001</v>
      </c>
      <c r="S425" s="42">
        <f t="shared" si="27"/>
        <v>94.751102817962661</v>
      </c>
      <c r="T425" s="13">
        <v>0</v>
      </c>
      <c r="U425" s="14">
        <f t="shared" si="25"/>
        <v>102.34849318737156</v>
      </c>
      <c r="V425" s="15">
        <f t="shared" si="26"/>
        <v>748.88817613754702</v>
      </c>
    </row>
    <row r="426" spans="1:22" x14ac:dyDescent="0.3">
      <c r="A426">
        <v>4</v>
      </c>
      <c r="B426" s="83">
        <v>3.4</v>
      </c>
      <c r="C426" s="78">
        <v>45965</v>
      </c>
      <c r="D426" s="78">
        <v>45967</v>
      </c>
      <c r="E426">
        <v>26</v>
      </c>
      <c r="F426" t="s">
        <v>932</v>
      </c>
      <c r="G426" t="s">
        <v>914</v>
      </c>
      <c r="H426">
        <v>97</v>
      </c>
      <c r="I426">
        <v>27</v>
      </c>
      <c r="J426" t="s">
        <v>25</v>
      </c>
      <c r="K426" t="s">
        <v>1310</v>
      </c>
      <c r="M426" s="1">
        <v>451</v>
      </c>
      <c r="N426" s="1" t="s">
        <v>457</v>
      </c>
      <c r="O426" s="2">
        <v>46031.914050925923</v>
      </c>
      <c r="P426" s="3">
        <v>7.7056984999999996</v>
      </c>
      <c r="Q426" s="3">
        <v>114.84020546579866</v>
      </c>
      <c r="R426" s="13">
        <f t="shared" si="24"/>
        <v>7.7056984999999996</v>
      </c>
      <c r="S426" s="42">
        <f t="shared" si="27"/>
        <v>94.751102817962661</v>
      </c>
      <c r="T426" s="13">
        <v>0</v>
      </c>
      <c r="U426" s="14">
        <f t="shared" si="25"/>
        <v>114.84020546579866</v>
      </c>
      <c r="V426" s="15">
        <f t="shared" si="26"/>
        <v>730.12343085772056</v>
      </c>
    </row>
    <row r="427" spans="1:22" x14ac:dyDescent="0.3">
      <c r="A427">
        <v>4</v>
      </c>
      <c r="B427" s="83">
        <v>3.4</v>
      </c>
      <c r="C427" s="78">
        <v>45965</v>
      </c>
      <c r="D427" s="78">
        <v>45967</v>
      </c>
      <c r="E427">
        <v>29</v>
      </c>
      <c r="F427" t="s">
        <v>921</v>
      </c>
      <c r="G427" t="s">
        <v>918</v>
      </c>
      <c r="H427">
        <v>97</v>
      </c>
      <c r="I427">
        <v>28</v>
      </c>
      <c r="J427" t="s">
        <v>25</v>
      </c>
      <c r="K427" t="s">
        <v>1311</v>
      </c>
      <c r="M427" s="4">
        <v>452</v>
      </c>
      <c r="N427" s="4" t="s">
        <v>458</v>
      </c>
      <c r="O427" s="12">
        <v>46031.917766203704</v>
      </c>
      <c r="P427" s="5">
        <v>8.7298670000000005</v>
      </c>
      <c r="Q427" s="5">
        <v>80.122993894524171</v>
      </c>
      <c r="R427" s="13">
        <f t="shared" si="24"/>
        <v>8.7298670000000005</v>
      </c>
      <c r="S427" s="42">
        <f t="shared" si="27"/>
        <v>94.751102817962661</v>
      </c>
      <c r="T427" s="13">
        <v>0</v>
      </c>
      <c r="U427" s="14">
        <f t="shared" si="25"/>
        <v>80.122993894524171</v>
      </c>
      <c r="V427" s="15">
        <f t="shared" si="26"/>
        <v>827.16452570413924</v>
      </c>
    </row>
    <row r="428" spans="1:22" x14ac:dyDescent="0.3">
      <c r="A428">
        <v>4</v>
      </c>
      <c r="B428" s="83">
        <v>3.4</v>
      </c>
      <c r="C428" s="78">
        <v>45965</v>
      </c>
      <c r="D428" s="78">
        <v>45967</v>
      </c>
      <c r="E428">
        <v>32</v>
      </c>
      <c r="F428" t="s">
        <v>925</v>
      </c>
      <c r="G428" t="s">
        <v>922</v>
      </c>
      <c r="H428">
        <v>97</v>
      </c>
      <c r="I428">
        <v>29</v>
      </c>
      <c r="J428" t="s">
        <v>25</v>
      </c>
      <c r="K428" t="s">
        <v>1312</v>
      </c>
      <c r="M428" s="1">
        <v>453</v>
      </c>
      <c r="N428" s="1" t="s">
        <v>459</v>
      </c>
      <c r="O428" s="2">
        <v>46031.921493055554</v>
      </c>
      <c r="P428" s="3">
        <v>7.8884850000000002</v>
      </c>
      <c r="Q428" s="3">
        <v>103.68524257139264</v>
      </c>
      <c r="R428" s="13">
        <f t="shared" si="24"/>
        <v>7.8884850000000002</v>
      </c>
      <c r="S428" s="42">
        <f t="shared" si="27"/>
        <v>94.751102817962661</v>
      </c>
      <c r="T428" s="13">
        <v>0</v>
      </c>
      <c r="U428" s="14">
        <f t="shared" si="25"/>
        <v>103.68524257139264</v>
      </c>
      <c r="V428" s="15">
        <f t="shared" si="26"/>
        <v>747.44265331295617</v>
      </c>
    </row>
    <row r="429" spans="1:22" x14ac:dyDescent="0.3">
      <c r="A429">
        <v>4</v>
      </c>
      <c r="B429" s="83">
        <v>3.4</v>
      </c>
      <c r="C429" s="78">
        <v>45965</v>
      </c>
      <c r="D429" s="78">
        <v>45967</v>
      </c>
      <c r="E429">
        <v>30</v>
      </c>
      <c r="F429" t="s">
        <v>929</v>
      </c>
      <c r="G429" t="s">
        <v>926</v>
      </c>
      <c r="H429">
        <v>97</v>
      </c>
      <c r="I429">
        <v>30</v>
      </c>
      <c r="J429" t="s">
        <v>25</v>
      </c>
      <c r="K429" t="s">
        <v>1313</v>
      </c>
      <c r="M429" s="4">
        <v>454</v>
      </c>
      <c r="N429" s="4" t="s">
        <v>460</v>
      </c>
      <c r="O429" s="12">
        <v>46031.925219907411</v>
      </c>
      <c r="P429" s="5">
        <v>8.4795789999999993</v>
      </c>
      <c r="Q429" s="5">
        <v>83.683747254732438</v>
      </c>
      <c r="R429" s="13">
        <f t="shared" si="24"/>
        <v>8.4795789999999993</v>
      </c>
      <c r="S429" s="42">
        <f t="shared" si="27"/>
        <v>94.751102817962661</v>
      </c>
      <c r="T429" s="13">
        <v>0</v>
      </c>
      <c r="U429" s="14">
        <f t="shared" si="25"/>
        <v>83.683747254732438</v>
      </c>
      <c r="V429" s="15">
        <f t="shared" si="26"/>
        <v>803.44946168203694</v>
      </c>
    </row>
    <row r="430" spans="1:22" x14ac:dyDescent="0.3">
      <c r="A430">
        <v>4</v>
      </c>
      <c r="B430" s="83">
        <v>3.4</v>
      </c>
      <c r="C430" s="78">
        <v>45965</v>
      </c>
      <c r="D430" s="78">
        <v>45967</v>
      </c>
      <c r="E430">
        <v>28</v>
      </c>
      <c r="F430" t="s">
        <v>910</v>
      </c>
      <c r="G430" t="s">
        <v>930</v>
      </c>
      <c r="H430">
        <v>97</v>
      </c>
      <c r="I430">
        <v>31</v>
      </c>
      <c r="J430" t="s">
        <v>25</v>
      </c>
      <c r="K430" t="s">
        <v>1314</v>
      </c>
      <c r="M430" s="1">
        <v>455</v>
      </c>
      <c r="N430" s="1" t="s">
        <v>461</v>
      </c>
      <c r="O430" s="2">
        <v>46031.92895833333</v>
      </c>
      <c r="P430" s="3">
        <v>8.8097770000000004</v>
      </c>
      <c r="Q430" s="3">
        <v>82.348388142622824</v>
      </c>
      <c r="R430" s="13">
        <f t="shared" si="24"/>
        <v>8.8097770000000004</v>
      </c>
      <c r="S430" s="42">
        <f t="shared" si="27"/>
        <v>94.751102817962661</v>
      </c>
      <c r="T430" s="13">
        <v>0</v>
      </c>
      <c r="U430" s="14">
        <f t="shared" si="25"/>
        <v>82.348388142622824</v>
      </c>
      <c r="V430" s="15">
        <f t="shared" si="26"/>
        <v>834.73608633032268</v>
      </c>
    </row>
    <row r="431" spans="1:22" x14ac:dyDescent="0.3">
      <c r="A431">
        <v>4</v>
      </c>
      <c r="B431" s="83">
        <v>3.4</v>
      </c>
      <c r="C431" s="78">
        <v>45965</v>
      </c>
      <c r="D431" s="78">
        <v>45967</v>
      </c>
      <c r="E431">
        <v>31</v>
      </c>
      <c r="F431" t="s">
        <v>906</v>
      </c>
      <c r="G431" t="s">
        <v>933</v>
      </c>
      <c r="H431">
        <v>97</v>
      </c>
      <c r="I431">
        <v>32</v>
      </c>
      <c r="J431" t="s">
        <v>25</v>
      </c>
      <c r="K431" t="s">
        <v>1315</v>
      </c>
      <c r="M431" s="4">
        <v>456</v>
      </c>
      <c r="N431" s="4" t="s">
        <v>462</v>
      </c>
      <c r="O431" s="12">
        <v>46031.932696759257</v>
      </c>
      <c r="P431" s="5">
        <v>9.2132170000000002</v>
      </c>
      <c r="Q431" s="5">
        <v>40.538008738438279</v>
      </c>
      <c r="R431" s="13">
        <f t="shared" si="24"/>
        <v>9.2132170000000002</v>
      </c>
      <c r="S431" s="42">
        <f t="shared" si="27"/>
        <v>94.751102817962661</v>
      </c>
      <c r="T431" s="13">
        <v>0</v>
      </c>
      <c r="U431" s="14">
        <f t="shared" si="25"/>
        <v>40.538008738438279</v>
      </c>
      <c r="V431" s="15">
        <f t="shared" si="26"/>
        <v>872.96247125120146</v>
      </c>
    </row>
    <row r="432" spans="1:22" x14ac:dyDescent="0.3">
      <c r="A432">
        <v>4</v>
      </c>
      <c r="B432" s="84">
        <v>4.0999999999999996</v>
      </c>
      <c r="C432" s="78">
        <v>45970</v>
      </c>
      <c r="D432" s="78">
        <v>45972</v>
      </c>
      <c r="E432">
        <v>35</v>
      </c>
      <c r="F432" t="s">
        <v>913</v>
      </c>
      <c r="G432" t="s">
        <v>907</v>
      </c>
      <c r="H432">
        <v>7</v>
      </c>
      <c r="I432">
        <v>1</v>
      </c>
      <c r="J432" t="s">
        <v>908</v>
      </c>
      <c r="K432" t="s">
        <v>1316</v>
      </c>
      <c r="M432" s="1">
        <v>457</v>
      </c>
      <c r="N432" s="1" t="s">
        <v>463</v>
      </c>
      <c r="O432" s="2">
        <v>46031.93644675926</v>
      </c>
      <c r="P432" s="3">
        <v>6.3387314999999997</v>
      </c>
      <c r="Q432" s="3">
        <v>-14.881910841419002</v>
      </c>
      <c r="R432" s="13">
        <f t="shared" si="24"/>
        <v>6.3387314999999997</v>
      </c>
      <c r="S432" s="42">
        <f t="shared" si="27"/>
        <v>94.751102817962661</v>
      </c>
      <c r="T432" s="13">
        <v>0</v>
      </c>
      <c r="U432" s="14">
        <f t="shared" si="25"/>
        <v>-14.881910841419002</v>
      </c>
      <c r="V432" s="15">
        <f t="shared" si="26"/>
        <v>600.60180009195869</v>
      </c>
    </row>
    <row r="433" spans="1:22" x14ac:dyDescent="0.3">
      <c r="A433">
        <v>4</v>
      </c>
      <c r="B433" s="84">
        <v>4.0999999999999996</v>
      </c>
      <c r="C433" s="78">
        <v>45970</v>
      </c>
      <c r="D433" s="78">
        <v>45972</v>
      </c>
      <c r="E433">
        <v>40</v>
      </c>
      <c r="F433" t="s">
        <v>906</v>
      </c>
      <c r="G433" t="s">
        <v>15</v>
      </c>
      <c r="H433">
        <v>7</v>
      </c>
      <c r="I433">
        <v>2</v>
      </c>
      <c r="J433" t="s">
        <v>908</v>
      </c>
      <c r="K433" t="s">
        <v>1317</v>
      </c>
      <c r="M433" s="4">
        <v>458</v>
      </c>
      <c r="N433" s="4" t="s">
        <v>464</v>
      </c>
      <c r="O433" s="12">
        <v>46031.940185185187</v>
      </c>
      <c r="P433" s="5">
        <v>6.3304315000000004</v>
      </c>
      <c r="Q433" s="5">
        <v>-14.450486334382296</v>
      </c>
      <c r="R433" s="13">
        <f t="shared" si="24"/>
        <v>6.3304315000000004</v>
      </c>
      <c r="S433" s="42">
        <f t="shared" si="27"/>
        <v>94.751102817962661</v>
      </c>
      <c r="T433" s="13">
        <v>0</v>
      </c>
      <c r="U433" s="14">
        <f t="shared" si="25"/>
        <v>-14.450486334382296</v>
      </c>
      <c r="V433" s="15">
        <f t="shared" si="26"/>
        <v>599.81536593856958</v>
      </c>
    </row>
    <row r="434" spans="1:22" x14ac:dyDescent="0.3">
      <c r="A434">
        <v>4</v>
      </c>
      <c r="B434" s="84">
        <v>4.0999999999999996</v>
      </c>
      <c r="C434" s="78">
        <v>45970</v>
      </c>
      <c r="D434" s="78">
        <v>45972</v>
      </c>
      <c r="E434">
        <v>36</v>
      </c>
      <c r="F434" t="s">
        <v>917</v>
      </c>
      <c r="G434" t="s">
        <v>914</v>
      </c>
      <c r="H434">
        <v>7</v>
      </c>
      <c r="I434">
        <v>3</v>
      </c>
      <c r="J434" t="s">
        <v>908</v>
      </c>
      <c r="K434" t="s">
        <v>1318</v>
      </c>
      <c r="M434" s="1">
        <v>459</v>
      </c>
      <c r="N434" s="1" t="s">
        <v>465</v>
      </c>
      <c r="O434" s="2">
        <v>46031.943923611114</v>
      </c>
      <c r="P434" s="3">
        <v>6.6190484999999999</v>
      </c>
      <c r="Q434" s="3">
        <v>-15.837475228424845</v>
      </c>
      <c r="R434" s="13">
        <f t="shared" si="24"/>
        <v>6.6190484999999999</v>
      </c>
      <c r="S434" s="42">
        <f t="shared" si="27"/>
        <v>94.751102817962661</v>
      </c>
      <c r="T434" s="13">
        <v>0</v>
      </c>
      <c r="U434" s="14">
        <f t="shared" si="25"/>
        <v>-15.837475228424845</v>
      </c>
      <c r="V434" s="15">
        <f t="shared" si="26"/>
        <v>627.1621449805815</v>
      </c>
    </row>
    <row r="435" spans="1:22" x14ac:dyDescent="0.3">
      <c r="A435">
        <v>4</v>
      </c>
      <c r="B435" s="84">
        <v>4.0999999999999996</v>
      </c>
      <c r="C435" s="78">
        <v>45970</v>
      </c>
      <c r="D435" s="78">
        <v>45972</v>
      </c>
      <c r="E435">
        <v>39</v>
      </c>
      <c r="F435" t="s">
        <v>929</v>
      </c>
      <c r="G435" t="s">
        <v>918</v>
      </c>
      <c r="H435">
        <v>7</v>
      </c>
      <c r="I435">
        <v>4</v>
      </c>
      <c r="J435" t="s">
        <v>908</v>
      </c>
      <c r="K435" t="s">
        <v>1319</v>
      </c>
      <c r="M435" s="4">
        <v>460</v>
      </c>
      <c r="N435" s="4" t="s">
        <v>466</v>
      </c>
      <c r="O435" s="12">
        <v>46031.947662037041</v>
      </c>
      <c r="P435" s="5">
        <v>7.5347315000000004</v>
      </c>
      <c r="Q435" s="5">
        <v>-16.538351977410681</v>
      </c>
      <c r="R435" s="13">
        <f t="shared" si="24"/>
        <v>7.5347315000000004</v>
      </c>
      <c r="S435" s="42">
        <f t="shared" si="27"/>
        <v>94.751102817962661</v>
      </c>
      <c r="T435" s="13">
        <v>0</v>
      </c>
      <c r="U435" s="14">
        <f t="shared" si="25"/>
        <v>-16.538351977410681</v>
      </c>
      <c r="V435" s="15">
        <f t="shared" si="26"/>
        <v>713.92411906224208</v>
      </c>
    </row>
    <row r="436" spans="1:22" x14ac:dyDescent="0.3">
      <c r="A436">
        <v>4</v>
      </c>
      <c r="B436" s="84">
        <v>4.0999999999999996</v>
      </c>
      <c r="C436" s="78">
        <v>45970</v>
      </c>
      <c r="D436" s="78">
        <v>45972</v>
      </c>
      <c r="E436">
        <v>33</v>
      </c>
      <c r="F436" t="s">
        <v>910</v>
      </c>
      <c r="G436" t="s">
        <v>922</v>
      </c>
      <c r="H436">
        <v>7</v>
      </c>
      <c r="I436">
        <v>5</v>
      </c>
      <c r="J436" t="s">
        <v>908</v>
      </c>
      <c r="K436" t="s">
        <v>1320</v>
      </c>
      <c r="M436" s="1">
        <v>461</v>
      </c>
      <c r="N436" s="1" t="s">
        <v>467</v>
      </c>
      <c r="O436" s="2">
        <v>46031.951388888891</v>
      </c>
      <c r="P436" s="3">
        <v>7.4998829999999996</v>
      </c>
      <c r="Q436" s="3">
        <v>-15.255625340489628</v>
      </c>
      <c r="R436" s="13">
        <f t="shared" si="24"/>
        <v>7.4998829999999996</v>
      </c>
      <c r="S436" s="42">
        <f t="shared" si="27"/>
        <v>94.751102817962661</v>
      </c>
      <c r="T436" s="13">
        <v>0</v>
      </c>
      <c r="U436" s="14">
        <f t="shared" si="25"/>
        <v>-15.255625340489628</v>
      </c>
      <c r="V436" s="15">
        <f t="shared" si="26"/>
        <v>710.62218525569017</v>
      </c>
    </row>
    <row r="437" spans="1:22" x14ac:dyDescent="0.3">
      <c r="A437">
        <v>4</v>
      </c>
      <c r="B437" s="84">
        <v>4.0999999999999996</v>
      </c>
      <c r="C437" s="78">
        <v>45970</v>
      </c>
      <c r="D437" s="78">
        <v>45972</v>
      </c>
      <c r="E437">
        <v>37</v>
      </c>
      <c r="F437" t="s">
        <v>921</v>
      </c>
      <c r="G437" t="s">
        <v>926</v>
      </c>
      <c r="H437">
        <v>7</v>
      </c>
      <c r="I437">
        <v>6</v>
      </c>
      <c r="J437" t="s">
        <v>908</v>
      </c>
      <c r="K437" t="s">
        <v>1321</v>
      </c>
      <c r="M437" s="4">
        <v>462</v>
      </c>
      <c r="N437" s="4" t="s">
        <v>468</v>
      </c>
      <c r="O437" s="12">
        <v>46031.955138888887</v>
      </c>
      <c r="P437" s="5">
        <v>6.9405925000000002</v>
      </c>
      <c r="Q437" s="5">
        <v>-16.037552807397212</v>
      </c>
      <c r="R437" s="13">
        <f t="shared" si="24"/>
        <v>6.9405925000000002</v>
      </c>
      <c r="S437" s="42">
        <f t="shared" si="27"/>
        <v>94.751102817962661</v>
      </c>
      <c r="T437" s="13">
        <v>0</v>
      </c>
      <c r="U437" s="14">
        <f t="shared" si="25"/>
        <v>-16.037552807397212</v>
      </c>
      <c r="V437" s="15">
        <f t="shared" si="26"/>
        <v>657.62879358508053</v>
      </c>
    </row>
    <row r="438" spans="1:22" x14ac:dyDescent="0.3">
      <c r="A438">
        <v>4</v>
      </c>
      <c r="B438" s="84">
        <v>4.0999999999999996</v>
      </c>
      <c r="C438" s="78">
        <v>45970</v>
      </c>
      <c r="D438" s="78">
        <v>45972</v>
      </c>
      <c r="E438">
        <v>34</v>
      </c>
      <c r="F438" t="s">
        <v>932</v>
      </c>
      <c r="G438" t="s">
        <v>930</v>
      </c>
      <c r="H438">
        <v>7</v>
      </c>
      <c r="I438">
        <v>7</v>
      </c>
      <c r="J438" t="s">
        <v>908</v>
      </c>
      <c r="K438" t="s">
        <v>1322</v>
      </c>
      <c r="M438" s="1">
        <v>463</v>
      </c>
      <c r="N438" s="1" t="s">
        <v>469</v>
      </c>
      <c r="O438" s="2">
        <v>46031.958865740744</v>
      </c>
      <c r="P438" s="3">
        <v>7.8938940000000004</v>
      </c>
      <c r="Q438" s="3">
        <v>-16.855079509108378</v>
      </c>
      <c r="R438" s="13">
        <f t="shared" si="24"/>
        <v>7.8938940000000004</v>
      </c>
      <c r="S438" s="42">
        <f t="shared" si="27"/>
        <v>94.751102817962661</v>
      </c>
      <c r="T438" s="13">
        <v>0</v>
      </c>
      <c r="U438" s="14">
        <f t="shared" si="25"/>
        <v>-16.855079509108378</v>
      </c>
      <c r="V438" s="15">
        <f t="shared" si="26"/>
        <v>747.95516202809858</v>
      </c>
    </row>
    <row r="439" spans="1:22" x14ac:dyDescent="0.3">
      <c r="A439">
        <v>4</v>
      </c>
      <c r="B439" s="84">
        <v>4.0999999999999996</v>
      </c>
      <c r="C439" s="78">
        <v>45970</v>
      </c>
      <c r="D439" s="78">
        <v>45972</v>
      </c>
      <c r="E439">
        <v>38</v>
      </c>
      <c r="F439" t="s">
        <v>925</v>
      </c>
      <c r="G439" t="s">
        <v>933</v>
      </c>
      <c r="H439">
        <v>7</v>
      </c>
      <c r="I439">
        <v>8</v>
      </c>
      <c r="J439" t="s">
        <v>908</v>
      </c>
      <c r="K439" t="s">
        <v>1323</v>
      </c>
      <c r="M439" s="4">
        <v>464</v>
      </c>
      <c r="N439" s="4" t="s">
        <v>470</v>
      </c>
      <c r="O439" s="12">
        <v>46031.962604166663</v>
      </c>
      <c r="P439" s="5">
        <v>7.1283399999999997</v>
      </c>
      <c r="Q439" s="5">
        <v>-15.971876078727796</v>
      </c>
      <c r="R439" s="13">
        <f t="shared" si="24"/>
        <v>7.1283399999999997</v>
      </c>
      <c r="S439" s="42">
        <f t="shared" si="27"/>
        <v>94.751102817962661</v>
      </c>
      <c r="T439" s="13">
        <v>0</v>
      </c>
      <c r="U439" s="14">
        <f t="shared" si="25"/>
        <v>-15.971876078727796</v>
      </c>
      <c r="V439" s="15">
        <f t="shared" si="26"/>
        <v>675.41807626139587</v>
      </c>
    </row>
    <row r="440" spans="1:22" x14ac:dyDescent="0.3">
      <c r="A440">
        <v>4</v>
      </c>
      <c r="B440" s="84">
        <v>4.0999999999999996</v>
      </c>
      <c r="C440" s="78">
        <v>45970</v>
      </c>
      <c r="D440" s="78">
        <v>45972</v>
      </c>
      <c r="E440">
        <v>35</v>
      </c>
      <c r="F440" t="s">
        <v>913</v>
      </c>
      <c r="G440" t="s">
        <v>907</v>
      </c>
      <c r="H440">
        <v>7</v>
      </c>
      <c r="I440">
        <v>9</v>
      </c>
      <c r="J440" t="s">
        <v>935</v>
      </c>
      <c r="K440" t="s">
        <v>1324</v>
      </c>
      <c r="M440" s="1">
        <v>465</v>
      </c>
      <c r="N440" s="1" t="s">
        <v>471</v>
      </c>
      <c r="O440" s="2">
        <v>46031.966354166667</v>
      </c>
      <c r="P440" s="3">
        <v>6.5405414999999998</v>
      </c>
      <c r="Q440" s="3">
        <v>-10.525415579173666</v>
      </c>
      <c r="R440" s="13">
        <f t="shared" ref="R440:R503" si="28">P440</f>
        <v>6.5405414999999998</v>
      </c>
      <c r="S440" s="42">
        <f t="shared" si="27"/>
        <v>94.751102817962661</v>
      </c>
      <c r="T440" s="13">
        <v>0</v>
      </c>
      <c r="U440" s="14">
        <f t="shared" ref="U440:U503" si="29">Q440+T440</f>
        <v>-10.525415579173666</v>
      </c>
      <c r="V440" s="15">
        <f t="shared" ref="V440:V503" si="30">R440*S440</f>
        <v>619.72352015165166</v>
      </c>
    </row>
    <row r="441" spans="1:22" x14ac:dyDescent="0.3">
      <c r="A441">
        <v>4</v>
      </c>
      <c r="B441" s="84">
        <v>4.0999999999999996</v>
      </c>
      <c r="C441" s="78">
        <v>45970</v>
      </c>
      <c r="D441" s="78">
        <v>45972</v>
      </c>
      <c r="E441">
        <v>40</v>
      </c>
      <c r="F441" t="s">
        <v>906</v>
      </c>
      <c r="G441" t="s">
        <v>15</v>
      </c>
      <c r="H441">
        <v>7</v>
      </c>
      <c r="I441">
        <v>10</v>
      </c>
      <c r="J441" t="s">
        <v>935</v>
      </c>
      <c r="K441" t="s">
        <v>1325</v>
      </c>
      <c r="M441" s="4">
        <v>466</v>
      </c>
      <c r="N441" s="4" t="s">
        <v>472</v>
      </c>
      <c r="O441" s="12">
        <v>46031.970138888886</v>
      </c>
      <c r="P441" s="5">
        <v>7.0704549999999999</v>
      </c>
      <c r="Q441" s="5">
        <v>-0.50278812519081573</v>
      </c>
      <c r="R441" s="13">
        <f t="shared" si="28"/>
        <v>7.0704549999999999</v>
      </c>
      <c r="S441" s="42">
        <f t="shared" si="27"/>
        <v>94.751102817962661</v>
      </c>
      <c r="T441" s="13">
        <v>0</v>
      </c>
      <c r="U441" s="14">
        <f t="shared" si="29"/>
        <v>-0.50278812519081573</v>
      </c>
      <c r="V441" s="15">
        <f t="shared" si="30"/>
        <v>669.93340867477821</v>
      </c>
    </row>
    <row r="442" spans="1:22" x14ac:dyDescent="0.3">
      <c r="A442">
        <v>5</v>
      </c>
      <c r="B442" s="84">
        <v>4.0999999999999996</v>
      </c>
      <c r="C442" s="78">
        <v>45970</v>
      </c>
      <c r="D442" s="78">
        <v>45972</v>
      </c>
      <c r="E442">
        <v>36</v>
      </c>
      <c r="F442" t="s">
        <v>917</v>
      </c>
      <c r="G442" t="s">
        <v>914</v>
      </c>
      <c r="H442">
        <v>7</v>
      </c>
      <c r="I442">
        <v>11</v>
      </c>
      <c r="J442" t="s">
        <v>935</v>
      </c>
      <c r="K442" t="s">
        <v>1326</v>
      </c>
      <c r="M442" s="1">
        <v>467</v>
      </c>
      <c r="N442" s="1" t="s">
        <v>473</v>
      </c>
      <c r="O442" s="2">
        <v>46031.973854166667</v>
      </c>
      <c r="P442" s="3">
        <v>6.8280405000000002</v>
      </c>
      <c r="Q442" s="3">
        <v>-8.1422840598042736</v>
      </c>
      <c r="R442" s="13">
        <f t="shared" si="28"/>
        <v>6.8280405000000002</v>
      </c>
      <c r="S442" s="42">
        <f t="shared" si="27"/>
        <v>94.751102817962661</v>
      </c>
      <c r="T442" s="13">
        <v>0</v>
      </c>
      <c r="U442" s="14">
        <f t="shared" si="29"/>
        <v>-8.1422840598042736</v>
      </c>
      <c r="V442" s="15">
        <f t="shared" si="30"/>
        <v>646.96436746071322</v>
      </c>
    </row>
    <row r="443" spans="1:22" x14ac:dyDescent="0.3">
      <c r="A443">
        <v>5</v>
      </c>
      <c r="B443" s="84">
        <v>4.0999999999999996</v>
      </c>
      <c r="C443" s="78">
        <v>45970</v>
      </c>
      <c r="D443" s="78">
        <v>45972</v>
      </c>
      <c r="E443">
        <v>39</v>
      </c>
      <c r="F443" t="s">
        <v>929</v>
      </c>
      <c r="G443" t="s">
        <v>918</v>
      </c>
      <c r="H443">
        <v>7</v>
      </c>
      <c r="I443">
        <v>12</v>
      </c>
      <c r="J443" t="s">
        <v>935</v>
      </c>
      <c r="K443" t="s">
        <v>1327</v>
      </c>
      <c r="M443" s="4">
        <v>468</v>
      </c>
      <c r="N443" s="4" t="s">
        <v>474</v>
      </c>
      <c r="O443" s="12">
        <v>46031.977592592593</v>
      </c>
      <c r="P443" s="5">
        <v>7.2362950000000001</v>
      </c>
      <c r="Q443" s="5">
        <v>-11.328650375796807</v>
      </c>
      <c r="R443" s="13">
        <f t="shared" si="28"/>
        <v>7.2362950000000001</v>
      </c>
      <c r="S443" s="42">
        <f t="shared" si="27"/>
        <v>94.751102817962661</v>
      </c>
      <c r="T443" s="13">
        <v>0</v>
      </c>
      <c r="U443" s="14">
        <f t="shared" si="29"/>
        <v>-11.328650375796807</v>
      </c>
      <c r="V443" s="15">
        <f t="shared" si="30"/>
        <v>685.64693156610917</v>
      </c>
    </row>
    <row r="444" spans="1:22" x14ac:dyDescent="0.3">
      <c r="A444">
        <v>5</v>
      </c>
      <c r="B444" s="84">
        <v>4.0999999999999996</v>
      </c>
      <c r="C444" s="78">
        <v>45970</v>
      </c>
      <c r="D444" s="78">
        <v>45972</v>
      </c>
      <c r="E444">
        <v>33</v>
      </c>
      <c r="F444" t="s">
        <v>910</v>
      </c>
      <c r="G444" t="s">
        <v>922</v>
      </c>
      <c r="H444">
        <v>7</v>
      </c>
      <c r="I444">
        <v>13</v>
      </c>
      <c r="J444" t="s">
        <v>935</v>
      </c>
      <c r="K444" t="s">
        <v>1328</v>
      </c>
      <c r="M444" s="1">
        <v>469</v>
      </c>
      <c r="N444" s="1" t="s">
        <v>475</v>
      </c>
      <c r="O444" s="2">
        <v>46031.981342592589</v>
      </c>
      <c r="P444" s="3">
        <v>7.0401724999999997</v>
      </c>
      <c r="Q444" s="3">
        <v>-4.4389641389047361</v>
      </c>
      <c r="R444" s="13">
        <f t="shared" si="28"/>
        <v>7.0401724999999997</v>
      </c>
      <c r="S444" s="42">
        <f t="shared" si="27"/>
        <v>94.751102817962661</v>
      </c>
      <c r="T444" s="13">
        <v>0</v>
      </c>
      <c r="U444" s="14">
        <f t="shared" si="29"/>
        <v>-4.4389641389047361</v>
      </c>
      <c r="V444" s="15">
        <f t="shared" si="30"/>
        <v>667.06410840369324</v>
      </c>
    </row>
    <row r="445" spans="1:22" x14ac:dyDescent="0.3">
      <c r="A445">
        <v>5</v>
      </c>
      <c r="B445" s="84">
        <v>4.0999999999999996</v>
      </c>
      <c r="C445" s="78">
        <v>45970</v>
      </c>
      <c r="D445" s="78">
        <v>45972</v>
      </c>
      <c r="E445">
        <v>37</v>
      </c>
      <c r="F445" t="s">
        <v>921</v>
      </c>
      <c r="G445" t="s">
        <v>926</v>
      </c>
      <c r="H445">
        <v>7</v>
      </c>
      <c r="I445">
        <v>14</v>
      </c>
      <c r="J445" t="s">
        <v>935</v>
      </c>
      <c r="K445" t="s">
        <v>1329</v>
      </c>
      <c r="M445" s="4">
        <v>470</v>
      </c>
      <c r="N445" s="4" t="s">
        <v>476</v>
      </c>
      <c r="O445" s="12">
        <v>46031.985081018516</v>
      </c>
      <c r="P445" s="5">
        <v>7.7493955000000003</v>
      </c>
      <c r="Q445" s="5">
        <v>-6.1623883385934208</v>
      </c>
      <c r="R445" s="13">
        <f t="shared" si="28"/>
        <v>7.7493955000000003</v>
      </c>
      <c r="S445" s="42">
        <f t="shared" si="27"/>
        <v>94.751102817962661</v>
      </c>
      <c r="T445" s="13">
        <v>0</v>
      </c>
      <c r="U445" s="14">
        <f t="shared" si="29"/>
        <v>-6.1623883385934208</v>
      </c>
      <c r="V445" s="15">
        <f t="shared" si="30"/>
        <v>734.26376979755719</v>
      </c>
    </row>
    <row r="446" spans="1:22" x14ac:dyDescent="0.3">
      <c r="A446">
        <v>5</v>
      </c>
      <c r="B446" s="84">
        <v>4.0999999999999996</v>
      </c>
      <c r="C446" s="78">
        <v>45970</v>
      </c>
      <c r="D446" s="78">
        <v>45972</v>
      </c>
      <c r="E446">
        <v>34</v>
      </c>
      <c r="F446" t="s">
        <v>932</v>
      </c>
      <c r="G446" t="s">
        <v>930</v>
      </c>
      <c r="H446">
        <v>7</v>
      </c>
      <c r="I446">
        <v>15</v>
      </c>
      <c r="J446" t="s">
        <v>935</v>
      </c>
      <c r="K446" t="s">
        <v>1330</v>
      </c>
      <c r="M446" s="1">
        <v>471</v>
      </c>
      <c r="N446" s="1" t="s">
        <v>477</v>
      </c>
      <c r="O446" s="2">
        <v>46031.988819444443</v>
      </c>
      <c r="P446" s="3">
        <v>7.1851564999999997</v>
      </c>
      <c r="Q446" s="3">
        <v>-9.2264259815034642</v>
      </c>
      <c r="R446" s="13">
        <f t="shared" si="28"/>
        <v>7.1851564999999997</v>
      </c>
      <c r="S446" s="42">
        <f t="shared" si="27"/>
        <v>94.751102817962661</v>
      </c>
      <c r="T446" s="13">
        <v>0</v>
      </c>
      <c r="U446" s="14">
        <f t="shared" si="29"/>
        <v>-9.2264259815034642</v>
      </c>
      <c r="V446" s="15">
        <f t="shared" si="30"/>
        <v>680.80150229465266</v>
      </c>
    </row>
    <row r="447" spans="1:22" x14ac:dyDescent="0.3">
      <c r="A447">
        <v>5</v>
      </c>
      <c r="B447" s="84">
        <v>4.0999999999999996</v>
      </c>
      <c r="C447" s="78">
        <v>45970</v>
      </c>
      <c r="D447" s="78">
        <v>45972</v>
      </c>
      <c r="E447">
        <v>38</v>
      </c>
      <c r="F447" t="s">
        <v>925</v>
      </c>
      <c r="G447" t="s">
        <v>933</v>
      </c>
      <c r="H447">
        <v>7</v>
      </c>
      <c r="I447">
        <v>16</v>
      </c>
      <c r="J447" t="s">
        <v>935</v>
      </c>
      <c r="K447" t="s">
        <v>1331</v>
      </c>
      <c r="M447" s="4">
        <v>472</v>
      </c>
      <c r="N447" s="4" t="s">
        <v>478</v>
      </c>
      <c r="O447" s="12">
        <v>46031.99255787037</v>
      </c>
      <c r="P447" s="5">
        <v>7.805129</v>
      </c>
      <c r="Q447" s="5">
        <v>-6.6625476520293248</v>
      </c>
      <c r="R447" s="13">
        <f t="shared" si="28"/>
        <v>7.805129</v>
      </c>
      <c r="S447" s="42">
        <f t="shared" si="27"/>
        <v>94.751102817962661</v>
      </c>
      <c r="T447" s="13">
        <v>0</v>
      </c>
      <c r="U447" s="14">
        <f t="shared" si="29"/>
        <v>-6.6625476520293248</v>
      </c>
      <c r="V447" s="15">
        <f t="shared" si="30"/>
        <v>739.54458038646203</v>
      </c>
    </row>
    <row r="448" spans="1:22" x14ac:dyDescent="0.3">
      <c r="A448">
        <v>5</v>
      </c>
      <c r="B448" s="84">
        <v>4.0999999999999996</v>
      </c>
      <c r="C448" s="78">
        <v>45970</v>
      </c>
      <c r="D448" s="78">
        <v>45972</v>
      </c>
      <c r="E448">
        <v>35</v>
      </c>
      <c r="F448" t="s">
        <v>913</v>
      </c>
      <c r="G448" t="s">
        <v>907</v>
      </c>
      <c r="H448">
        <v>7</v>
      </c>
      <c r="I448">
        <v>17</v>
      </c>
      <c r="J448" t="s">
        <v>24</v>
      </c>
      <c r="K448" t="s">
        <v>1332</v>
      </c>
      <c r="M448" s="1">
        <v>473</v>
      </c>
      <c r="N448" s="1" t="s">
        <v>479</v>
      </c>
      <c r="O448" s="2">
        <v>46031.99628472222</v>
      </c>
      <c r="P448" s="3">
        <v>6.3222405000000004</v>
      </c>
      <c r="Q448" s="3">
        <v>-5.1255250036722106</v>
      </c>
      <c r="R448" s="13">
        <f t="shared" si="28"/>
        <v>6.3222405000000004</v>
      </c>
      <c r="S448" s="42">
        <f t="shared" si="27"/>
        <v>94.751102817962661</v>
      </c>
      <c r="T448" s="13">
        <v>0</v>
      </c>
      <c r="U448" s="14">
        <f t="shared" si="29"/>
        <v>-5.1255250036722106</v>
      </c>
      <c r="V448" s="15">
        <f t="shared" si="30"/>
        <v>599.0392596553877</v>
      </c>
    </row>
    <row r="449" spans="1:22" x14ac:dyDescent="0.3">
      <c r="A449">
        <v>5</v>
      </c>
      <c r="B449" s="84">
        <v>4.0999999999999996</v>
      </c>
      <c r="C449" s="78">
        <v>45970</v>
      </c>
      <c r="D449" s="78">
        <v>45972</v>
      </c>
      <c r="E449">
        <v>40</v>
      </c>
      <c r="F449" t="s">
        <v>906</v>
      </c>
      <c r="G449" t="s">
        <v>15</v>
      </c>
      <c r="H449">
        <v>7</v>
      </c>
      <c r="I449">
        <v>18</v>
      </c>
      <c r="J449" t="s">
        <v>24</v>
      </c>
      <c r="K449" t="s">
        <v>1333</v>
      </c>
      <c r="M449" s="4">
        <v>474</v>
      </c>
      <c r="N449" s="4" t="s">
        <v>480</v>
      </c>
      <c r="O449" s="12">
        <v>46032.000034722223</v>
      </c>
      <c r="P449" s="5">
        <v>7.7472395000000001</v>
      </c>
      <c r="Q449" s="5">
        <v>7.576322024177899</v>
      </c>
      <c r="R449" s="13">
        <f t="shared" si="28"/>
        <v>7.7472395000000001</v>
      </c>
      <c r="S449" s="42">
        <f t="shared" si="27"/>
        <v>94.751102817962661</v>
      </c>
      <c r="T449" s="13">
        <v>0</v>
      </c>
      <c r="U449" s="14">
        <f t="shared" si="29"/>
        <v>7.576322024177899</v>
      </c>
      <c r="V449" s="15">
        <f t="shared" si="30"/>
        <v>734.05948641988164</v>
      </c>
    </row>
    <row r="450" spans="1:22" x14ac:dyDescent="0.3">
      <c r="A450">
        <v>5</v>
      </c>
      <c r="B450" s="84">
        <v>4.0999999999999996</v>
      </c>
      <c r="C450" s="78">
        <v>45970</v>
      </c>
      <c r="D450" s="78">
        <v>45972</v>
      </c>
      <c r="E450">
        <v>36</v>
      </c>
      <c r="F450" t="s">
        <v>917</v>
      </c>
      <c r="G450" t="s">
        <v>914</v>
      </c>
      <c r="H450">
        <v>7</v>
      </c>
      <c r="I450">
        <v>19</v>
      </c>
      <c r="J450" t="s">
        <v>24</v>
      </c>
      <c r="K450" t="s">
        <v>1334</v>
      </c>
      <c r="M450" s="1">
        <v>475</v>
      </c>
      <c r="N450" s="1" t="s">
        <v>481</v>
      </c>
      <c r="O450" s="2">
        <v>46032.003784722219</v>
      </c>
      <c r="P450" s="3">
        <v>7.1622374999999998</v>
      </c>
      <c r="Q450" s="3">
        <v>-3.9615085357969093</v>
      </c>
      <c r="R450" s="13">
        <f t="shared" si="28"/>
        <v>7.1622374999999998</v>
      </c>
      <c r="S450" s="42">
        <f t="shared" si="27"/>
        <v>94.751102817962661</v>
      </c>
      <c r="T450" s="13">
        <v>0</v>
      </c>
      <c r="U450" s="14">
        <f t="shared" si="29"/>
        <v>-3.9615085357969093</v>
      </c>
      <c r="V450" s="15">
        <f t="shared" si="30"/>
        <v>678.62990176916787</v>
      </c>
    </row>
    <row r="451" spans="1:22" x14ac:dyDescent="0.3">
      <c r="A451">
        <v>5</v>
      </c>
      <c r="B451" s="84">
        <v>4.0999999999999996</v>
      </c>
      <c r="C451" s="78">
        <v>45970</v>
      </c>
      <c r="D451" s="78">
        <v>45972</v>
      </c>
      <c r="E451">
        <v>39</v>
      </c>
      <c r="F451" t="s">
        <v>929</v>
      </c>
      <c r="G451" t="s">
        <v>918</v>
      </c>
      <c r="H451">
        <v>7</v>
      </c>
      <c r="I451">
        <v>20</v>
      </c>
      <c r="J451" t="s">
        <v>24</v>
      </c>
      <c r="K451" t="s">
        <v>1335</v>
      </c>
      <c r="M451" s="4">
        <v>476</v>
      </c>
      <c r="N451" s="4" t="s">
        <v>482</v>
      </c>
      <c r="O451" s="12">
        <v>46032.007523148146</v>
      </c>
      <c r="P451" s="5">
        <v>7.5314550000000002</v>
      </c>
      <c r="Q451" s="5">
        <v>-8.078014149821664</v>
      </c>
      <c r="R451" s="13">
        <f t="shared" si="28"/>
        <v>7.5314550000000002</v>
      </c>
      <c r="S451" s="42">
        <f t="shared" ref="S451:S514" si="31">$S$890</f>
        <v>94.751102817962661</v>
      </c>
      <c r="T451" s="13">
        <v>0</v>
      </c>
      <c r="U451" s="14">
        <f t="shared" si="29"/>
        <v>-8.078014149821664</v>
      </c>
      <c r="V451" s="15">
        <f t="shared" si="30"/>
        <v>713.61366707385901</v>
      </c>
    </row>
    <row r="452" spans="1:22" x14ac:dyDescent="0.3">
      <c r="A452">
        <v>5</v>
      </c>
      <c r="B452" s="84">
        <v>4.0999999999999996</v>
      </c>
      <c r="C452" s="78">
        <v>45970</v>
      </c>
      <c r="D452" s="78">
        <v>45972</v>
      </c>
      <c r="E452">
        <v>33</v>
      </c>
      <c r="F452" t="s">
        <v>910</v>
      </c>
      <c r="G452" t="s">
        <v>922</v>
      </c>
      <c r="H452">
        <v>7</v>
      </c>
      <c r="I452">
        <v>21</v>
      </c>
      <c r="J452" t="s">
        <v>24</v>
      </c>
      <c r="K452" t="s">
        <v>1336</v>
      </c>
      <c r="M452" s="1">
        <v>477</v>
      </c>
      <c r="N452" s="1" t="s">
        <v>483</v>
      </c>
      <c r="O452" s="2">
        <v>46032.011250000003</v>
      </c>
      <c r="P452" s="3">
        <v>7.5688880000000003</v>
      </c>
      <c r="Q452" s="3">
        <v>1.6371755457801556</v>
      </c>
      <c r="R452" s="13">
        <f t="shared" si="28"/>
        <v>7.5688880000000003</v>
      </c>
      <c r="S452" s="42">
        <f t="shared" si="31"/>
        <v>94.751102817962661</v>
      </c>
      <c r="T452" s="13">
        <v>0</v>
      </c>
      <c r="U452" s="14">
        <f t="shared" si="29"/>
        <v>1.6371755457801556</v>
      </c>
      <c r="V452" s="15">
        <f t="shared" si="30"/>
        <v>717.16048510564383</v>
      </c>
    </row>
    <row r="453" spans="1:22" x14ac:dyDescent="0.3">
      <c r="A453">
        <v>5</v>
      </c>
      <c r="B453" s="84">
        <v>4.0999999999999996</v>
      </c>
      <c r="C453" s="78">
        <v>45970</v>
      </c>
      <c r="D453" s="78">
        <v>45972</v>
      </c>
      <c r="E453">
        <v>37</v>
      </c>
      <c r="F453" t="s">
        <v>921</v>
      </c>
      <c r="G453" t="s">
        <v>926</v>
      </c>
      <c r="H453">
        <v>7</v>
      </c>
      <c r="I453">
        <v>22</v>
      </c>
      <c r="J453" t="s">
        <v>24</v>
      </c>
      <c r="K453" t="s">
        <v>1337</v>
      </c>
      <c r="M453" s="4">
        <v>478</v>
      </c>
      <c r="N453" s="4" t="s">
        <v>484</v>
      </c>
      <c r="O453" s="12">
        <v>46032.014999999999</v>
      </c>
      <c r="P453" s="5">
        <v>7.5796679999999999</v>
      </c>
      <c r="Q453" s="5">
        <v>3.3967786936865396</v>
      </c>
      <c r="R453" s="13">
        <f t="shared" si="28"/>
        <v>7.5796679999999999</v>
      </c>
      <c r="S453" s="42">
        <f t="shared" si="31"/>
        <v>94.751102817962661</v>
      </c>
      <c r="T453" s="13">
        <v>0</v>
      </c>
      <c r="U453" s="14">
        <f t="shared" si="29"/>
        <v>3.3967786936865396</v>
      </c>
      <c r="V453" s="15">
        <f t="shared" si="30"/>
        <v>718.18190199402136</v>
      </c>
    </row>
    <row r="454" spans="1:22" x14ac:dyDescent="0.3">
      <c r="A454">
        <v>5</v>
      </c>
      <c r="B454" s="84">
        <v>4.0999999999999996</v>
      </c>
      <c r="C454" s="78">
        <v>45970</v>
      </c>
      <c r="D454" s="78">
        <v>45972</v>
      </c>
      <c r="E454">
        <v>34</v>
      </c>
      <c r="F454" t="s">
        <v>932</v>
      </c>
      <c r="G454" t="s">
        <v>930</v>
      </c>
      <c r="H454">
        <v>7</v>
      </c>
      <c r="I454">
        <v>23</v>
      </c>
      <c r="J454" t="s">
        <v>24</v>
      </c>
      <c r="K454" t="s">
        <v>1338</v>
      </c>
      <c r="M454" s="1">
        <v>479</v>
      </c>
      <c r="N454" s="1" t="s">
        <v>485</v>
      </c>
      <c r="O454" s="2">
        <v>46032.018726851849</v>
      </c>
      <c r="P454" s="3">
        <v>7.6280634999999997</v>
      </c>
      <c r="Q454" s="3">
        <v>-5.5342763488986968</v>
      </c>
      <c r="R454" s="13">
        <f t="shared" si="28"/>
        <v>7.6280634999999997</v>
      </c>
      <c r="S454" s="42">
        <f t="shared" si="31"/>
        <v>94.751102817962661</v>
      </c>
      <c r="T454" s="13">
        <v>0</v>
      </c>
      <c r="U454" s="14">
        <f t="shared" si="29"/>
        <v>-5.5342763488986968</v>
      </c>
      <c r="V454" s="15">
        <f t="shared" si="30"/>
        <v>722.76742899044814</v>
      </c>
    </row>
    <row r="455" spans="1:22" x14ac:dyDescent="0.3">
      <c r="A455">
        <v>5</v>
      </c>
      <c r="B455" s="84">
        <v>4.0999999999999996</v>
      </c>
      <c r="C455" s="78">
        <v>45970</v>
      </c>
      <c r="D455" s="78">
        <v>45972</v>
      </c>
      <c r="E455">
        <v>38</v>
      </c>
      <c r="F455" t="s">
        <v>925</v>
      </c>
      <c r="G455" t="s">
        <v>933</v>
      </c>
      <c r="H455">
        <v>7</v>
      </c>
      <c r="I455">
        <v>24</v>
      </c>
      <c r="J455" t="s">
        <v>24</v>
      </c>
      <c r="K455" t="s">
        <v>1339</v>
      </c>
      <c r="M455" s="4">
        <v>480</v>
      </c>
      <c r="N455" s="4" t="s">
        <v>486</v>
      </c>
      <c r="O455" s="12">
        <v>46032.022465277776</v>
      </c>
      <c r="P455" s="5">
        <v>7.8035245</v>
      </c>
      <c r="Q455" s="5">
        <v>-0.31143017167790066</v>
      </c>
      <c r="R455" s="13">
        <f t="shared" si="28"/>
        <v>7.8035245</v>
      </c>
      <c r="S455" s="42">
        <f t="shared" si="31"/>
        <v>94.751102817962661</v>
      </c>
      <c r="T455" s="13">
        <v>0</v>
      </c>
      <c r="U455" s="14">
        <f t="shared" si="29"/>
        <v>-0.31143017167790066</v>
      </c>
      <c r="V455" s="15">
        <f t="shared" si="30"/>
        <v>739.39255224199064</v>
      </c>
    </row>
    <row r="456" spans="1:22" x14ac:dyDescent="0.3">
      <c r="A456">
        <v>5</v>
      </c>
      <c r="B456" s="84">
        <v>4.0999999999999996</v>
      </c>
      <c r="C456" s="78">
        <v>45970</v>
      </c>
      <c r="D456" s="78">
        <v>45972</v>
      </c>
      <c r="E456">
        <v>35</v>
      </c>
      <c r="F456" t="s">
        <v>913</v>
      </c>
      <c r="G456" t="s">
        <v>907</v>
      </c>
      <c r="H456">
        <v>7</v>
      </c>
      <c r="I456">
        <v>25</v>
      </c>
      <c r="J456" t="s">
        <v>25</v>
      </c>
      <c r="K456" t="s">
        <v>1340</v>
      </c>
      <c r="M456" s="1">
        <v>481</v>
      </c>
      <c r="N456" s="1" t="s">
        <v>487</v>
      </c>
      <c r="O456" s="2">
        <v>46032.026203703703</v>
      </c>
      <c r="P456" s="3">
        <v>7.0099985</v>
      </c>
      <c r="Q456" s="3">
        <v>-3.8575690343909215</v>
      </c>
      <c r="R456" s="13">
        <f t="shared" si="28"/>
        <v>7.0099985</v>
      </c>
      <c r="S456" s="42">
        <f t="shared" si="31"/>
        <v>94.751102817962661</v>
      </c>
      <c r="T456" s="13">
        <v>0</v>
      </c>
      <c r="U456" s="14">
        <f t="shared" si="29"/>
        <v>-3.8575690343909215</v>
      </c>
      <c r="V456" s="15">
        <f t="shared" si="30"/>
        <v>664.20508862726399</v>
      </c>
    </row>
    <row r="457" spans="1:22" x14ac:dyDescent="0.3">
      <c r="A457">
        <v>5</v>
      </c>
      <c r="B457" s="84">
        <v>4.0999999999999996</v>
      </c>
      <c r="C457" s="78">
        <v>45970</v>
      </c>
      <c r="D457" s="78">
        <v>45972</v>
      </c>
      <c r="E457">
        <v>40</v>
      </c>
      <c r="F457" t="s">
        <v>906</v>
      </c>
      <c r="G457" t="s">
        <v>15</v>
      </c>
      <c r="H457">
        <v>7</v>
      </c>
      <c r="I457">
        <v>26</v>
      </c>
      <c r="J457" t="s">
        <v>25</v>
      </c>
      <c r="K457" t="s">
        <v>1341</v>
      </c>
      <c r="M457" s="4">
        <v>482</v>
      </c>
      <c r="N457" s="4" t="s">
        <v>488</v>
      </c>
      <c r="O457" s="12">
        <v>46032.029942129629</v>
      </c>
      <c r="P457" s="5">
        <v>7.8506830000000001</v>
      </c>
      <c r="Q457" s="5">
        <v>17.583500372791381</v>
      </c>
      <c r="R457" s="13">
        <f t="shared" si="28"/>
        <v>7.8506830000000001</v>
      </c>
      <c r="S457" s="42">
        <f t="shared" si="31"/>
        <v>94.751102817962661</v>
      </c>
      <c r="T457" s="13">
        <v>0</v>
      </c>
      <c r="U457" s="14">
        <f t="shared" si="29"/>
        <v>17.583500372791381</v>
      </c>
      <c r="V457" s="15">
        <f t="shared" si="30"/>
        <v>743.86087212423161</v>
      </c>
    </row>
    <row r="458" spans="1:22" x14ac:dyDescent="0.3">
      <c r="A458">
        <v>5</v>
      </c>
      <c r="B458" s="84">
        <v>4.0999999999999996</v>
      </c>
      <c r="C458" s="78">
        <v>45970</v>
      </c>
      <c r="D458" s="78">
        <v>45972</v>
      </c>
      <c r="E458">
        <v>36</v>
      </c>
      <c r="F458" t="s">
        <v>917</v>
      </c>
      <c r="G458" t="s">
        <v>914</v>
      </c>
      <c r="H458">
        <v>7</v>
      </c>
      <c r="I458">
        <v>27</v>
      </c>
      <c r="J458" t="s">
        <v>25</v>
      </c>
      <c r="K458" t="s">
        <v>1342</v>
      </c>
      <c r="M458" s="1">
        <v>483</v>
      </c>
      <c r="N458" s="1" t="s">
        <v>489</v>
      </c>
      <c r="O458" s="2">
        <v>46032.033680555556</v>
      </c>
      <c r="P458" s="3">
        <v>7.2009365000000001</v>
      </c>
      <c r="Q458" s="3">
        <v>0.68299470732636303</v>
      </c>
      <c r="R458" s="13">
        <f t="shared" si="28"/>
        <v>7.2009365000000001</v>
      </c>
      <c r="S458" s="42">
        <f t="shared" si="31"/>
        <v>94.751102817962661</v>
      </c>
      <c r="T458" s="13">
        <v>0</v>
      </c>
      <c r="U458" s="14">
        <f t="shared" si="29"/>
        <v>0.68299470732636303</v>
      </c>
      <c r="V458" s="15">
        <f t="shared" si="30"/>
        <v>682.29667469712024</v>
      </c>
    </row>
    <row r="459" spans="1:22" x14ac:dyDescent="0.3">
      <c r="A459">
        <v>5</v>
      </c>
      <c r="B459" s="84">
        <v>4.0999999999999996</v>
      </c>
      <c r="C459" s="78">
        <v>45970</v>
      </c>
      <c r="D459" s="78">
        <v>45972</v>
      </c>
      <c r="E459">
        <v>39</v>
      </c>
      <c r="F459" t="s">
        <v>929</v>
      </c>
      <c r="G459" t="s">
        <v>918</v>
      </c>
      <c r="H459">
        <v>7</v>
      </c>
      <c r="I459">
        <v>28</v>
      </c>
      <c r="J459" t="s">
        <v>25</v>
      </c>
      <c r="K459" t="s">
        <v>1343</v>
      </c>
      <c r="M459" s="4">
        <v>484</v>
      </c>
      <c r="N459" s="4" t="s">
        <v>490</v>
      </c>
      <c r="O459" s="12">
        <v>46032.037418981483</v>
      </c>
      <c r="P459" s="5">
        <v>6.9000874999999997</v>
      </c>
      <c r="Q459" s="5">
        <v>-1.2110263681775404</v>
      </c>
      <c r="R459" s="13">
        <f t="shared" si="28"/>
        <v>6.9000874999999997</v>
      </c>
      <c r="S459" s="42">
        <f t="shared" si="31"/>
        <v>94.751102817962661</v>
      </c>
      <c r="T459" s="13">
        <v>0</v>
      </c>
      <c r="U459" s="14">
        <f t="shared" si="29"/>
        <v>-1.2110263681775404</v>
      </c>
      <c r="V459" s="15">
        <f t="shared" si="30"/>
        <v>653.79090016543887</v>
      </c>
    </row>
    <row r="460" spans="1:22" x14ac:dyDescent="0.3">
      <c r="A460">
        <v>5</v>
      </c>
      <c r="B460" s="84">
        <v>4.0999999999999996</v>
      </c>
      <c r="C460" s="78">
        <v>45970</v>
      </c>
      <c r="D460" s="78">
        <v>45972</v>
      </c>
      <c r="E460">
        <v>33</v>
      </c>
      <c r="F460" t="s">
        <v>910</v>
      </c>
      <c r="G460" t="s">
        <v>922</v>
      </c>
      <c r="H460">
        <v>7</v>
      </c>
      <c r="I460">
        <v>29</v>
      </c>
      <c r="J460" t="s">
        <v>25</v>
      </c>
      <c r="K460" t="s">
        <v>1344</v>
      </c>
      <c r="M460" s="1">
        <v>485</v>
      </c>
      <c r="N460" s="1" t="s">
        <v>491</v>
      </c>
      <c r="O460" s="2">
        <v>46032.04115740741</v>
      </c>
      <c r="P460" s="3">
        <v>8.0235979999999998</v>
      </c>
      <c r="Q460" s="3">
        <v>6.7196913730465218</v>
      </c>
      <c r="R460" s="13">
        <f t="shared" si="28"/>
        <v>8.0235979999999998</v>
      </c>
      <c r="S460" s="42">
        <f t="shared" si="31"/>
        <v>94.751102817962661</v>
      </c>
      <c r="T460" s="13">
        <v>0</v>
      </c>
      <c r="U460" s="14">
        <f t="shared" si="29"/>
        <v>6.7196913730465218</v>
      </c>
      <c r="V460" s="15">
        <f t="shared" si="30"/>
        <v>760.24475906799955</v>
      </c>
    </row>
    <row r="461" spans="1:22" x14ac:dyDescent="0.3">
      <c r="A461">
        <v>5</v>
      </c>
      <c r="B461" s="84">
        <v>4.0999999999999996</v>
      </c>
      <c r="C461" s="78">
        <v>45970</v>
      </c>
      <c r="D461" s="78">
        <v>45972</v>
      </c>
      <c r="E461">
        <v>37</v>
      </c>
      <c r="F461" t="s">
        <v>921</v>
      </c>
      <c r="G461" t="s">
        <v>926</v>
      </c>
      <c r="H461">
        <v>7</v>
      </c>
      <c r="I461">
        <v>30</v>
      </c>
      <c r="J461" t="s">
        <v>25</v>
      </c>
      <c r="K461" t="s">
        <v>1345</v>
      </c>
      <c r="M461" s="4">
        <v>486</v>
      </c>
      <c r="N461" s="4" t="s">
        <v>492</v>
      </c>
      <c r="O461" s="12">
        <v>46032.044895833336</v>
      </c>
      <c r="P461" s="5">
        <v>8.0673630000000003</v>
      </c>
      <c r="Q461" s="5">
        <v>8.0635004162796466</v>
      </c>
      <c r="R461" s="13">
        <f t="shared" si="28"/>
        <v>8.0673630000000003</v>
      </c>
      <c r="S461" s="42">
        <f t="shared" si="31"/>
        <v>94.751102817962661</v>
      </c>
      <c r="T461" s="13">
        <v>0</v>
      </c>
      <c r="U461" s="14">
        <f t="shared" si="29"/>
        <v>8.0635004162796466</v>
      </c>
      <c r="V461" s="15">
        <f t="shared" si="30"/>
        <v>764.39154108282776</v>
      </c>
    </row>
    <row r="462" spans="1:22" x14ac:dyDescent="0.3">
      <c r="A462">
        <v>5</v>
      </c>
      <c r="B462" s="84">
        <v>4.0999999999999996</v>
      </c>
      <c r="C462" s="78">
        <v>45970</v>
      </c>
      <c r="D462" s="78">
        <v>45972</v>
      </c>
      <c r="E462">
        <v>34</v>
      </c>
      <c r="F462" t="s">
        <v>932</v>
      </c>
      <c r="G462" t="s">
        <v>930</v>
      </c>
      <c r="H462">
        <v>7</v>
      </c>
      <c r="I462">
        <v>31</v>
      </c>
      <c r="J462" t="s">
        <v>25</v>
      </c>
      <c r="K462" t="s">
        <v>1346</v>
      </c>
      <c r="M462" s="1">
        <v>487</v>
      </c>
      <c r="N462" s="1" t="s">
        <v>493</v>
      </c>
      <c r="O462" s="2">
        <v>46032.048645833333</v>
      </c>
      <c r="P462" s="3">
        <v>7.5513899999999996</v>
      </c>
      <c r="Q462" s="3">
        <v>-1.7748053665031973</v>
      </c>
      <c r="R462" s="13">
        <f t="shared" si="28"/>
        <v>7.5513899999999996</v>
      </c>
      <c r="S462" s="42">
        <f t="shared" si="31"/>
        <v>94.751102817962661</v>
      </c>
      <c r="T462" s="13">
        <v>0</v>
      </c>
      <c r="U462" s="14">
        <f t="shared" si="29"/>
        <v>-1.7748053665031973</v>
      </c>
      <c r="V462" s="15">
        <f t="shared" si="30"/>
        <v>715.50253030853503</v>
      </c>
    </row>
    <row r="463" spans="1:22" x14ac:dyDescent="0.3">
      <c r="A463">
        <v>5</v>
      </c>
      <c r="B463" s="84">
        <v>4.0999999999999996</v>
      </c>
      <c r="C463" s="78">
        <v>45970</v>
      </c>
      <c r="D463" s="78">
        <v>45972</v>
      </c>
      <c r="E463">
        <v>38</v>
      </c>
      <c r="F463" t="s">
        <v>925</v>
      </c>
      <c r="G463" t="s">
        <v>933</v>
      </c>
      <c r="H463">
        <v>7</v>
      </c>
      <c r="I463">
        <v>32</v>
      </c>
      <c r="J463" t="s">
        <v>25</v>
      </c>
      <c r="K463" t="s">
        <v>1347</v>
      </c>
      <c r="M463" s="4">
        <v>488</v>
      </c>
      <c r="N463" s="4" t="s">
        <v>494</v>
      </c>
      <c r="O463" s="12">
        <v>46032.052372685182</v>
      </c>
      <c r="P463" s="5">
        <v>8.9123459999999994</v>
      </c>
      <c r="Q463" s="5">
        <v>1.1091895143548167</v>
      </c>
      <c r="R463" s="13">
        <f t="shared" si="28"/>
        <v>8.9123459999999994</v>
      </c>
      <c r="S463" s="42">
        <f t="shared" si="31"/>
        <v>94.751102817962661</v>
      </c>
      <c r="T463" s="13">
        <v>0</v>
      </c>
      <c r="U463" s="14">
        <f t="shared" si="29"/>
        <v>1.1091895143548167</v>
      </c>
      <c r="V463" s="15">
        <f t="shared" si="30"/>
        <v>844.45461219525816</v>
      </c>
    </row>
    <row r="464" spans="1:22" x14ac:dyDescent="0.3">
      <c r="M464" s="1">
        <v>489</v>
      </c>
      <c r="N464" s="1" t="s">
        <v>495</v>
      </c>
      <c r="O464" s="2">
        <v>46032.056134259263</v>
      </c>
      <c r="P464" s="3">
        <v>4.0155687499999999</v>
      </c>
      <c r="Q464" s="3">
        <v>-14.600447594108401</v>
      </c>
      <c r="R464" s="13">
        <f t="shared" si="28"/>
        <v>4.0155687499999999</v>
      </c>
      <c r="S464" s="42">
        <f t="shared" si="31"/>
        <v>94.751102817962661</v>
      </c>
      <c r="T464" s="13">
        <v>0</v>
      </c>
      <c r="U464" s="14">
        <f t="shared" si="29"/>
        <v>-14.600447594108401</v>
      </c>
      <c r="V464" s="15">
        <f t="shared" si="30"/>
        <v>380.47956750384782</v>
      </c>
    </row>
    <row r="465" spans="1:22" x14ac:dyDescent="0.3">
      <c r="M465" s="4">
        <v>490</v>
      </c>
      <c r="N465" s="4" t="s">
        <v>496</v>
      </c>
      <c r="O465" s="12">
        <v>46032.059872685182</v>
      </c>
      <c r="P465" s="5">
        <v>2.7369465000000002</v>
      </c>
      <c r="Q465" s="5">
        <v>-16.946354656606054</v>
      </c>
      <c r="R465" s="13">
        <f t="shared" si="28"/>
        <v>2.7369465000000002</v>
      </c>
      <c r="S465" s="42">
        <f t="shared" si="31"/>
        <v>94.751102817962661</v>
      </c>
      <c r="T465" s="13">
        <v>0</v>
      </c>
      <c r="U465" s="14">
        <f t="shared" si="29"/>
        <v>-16.946354656606054</v>
      </c>
      <c r="V465" s="15">
        <f t="shared" si="30"/>
        <v>259.32869922876307</v>
      </c>
    </row>
    <row r="466" spans="1:22" x14ac:dyDescent="0.3">
      <c r="A466">
        <v>5</v>
      </c>
      <c r="B466" s="84">
        <v>4.2</v>
      </c>
      <c r="C466" s="78">
        <v>45971</v>
      </c>
      <c r="D466" s="78">
        <v>45973</v>
      </c>
      <c r="E466">
        <v>35</v>
      </c>
      <c r="F466" t="s">
        <v>913</v>
      </c>
      <c r="G466" t="s">
        <v>907</v>
      </c>
      <c r="H466">
        <v>25</v>
      </c>
      <c r="I466">
        <v>1</v>
      </c>
      <c r="J466" t="s">
        <v>908</v>
      </c>
      <c r="K466" t="s">
        <v>1348</v>
      </c>
      <c r="M466" s="1">
        <v>491</v>
      </c>
      <c r="N466" s="1" t="s">
        <v>497</v>
      </c>
      <c r="O466" s="2">
        <v>46032.063634259262</v>
      </c>
      <c r="P466" s="3">
        <v>7.1586829999999999</v>
      </c>
      <c r="Q466" s="3">
        <v>-15.991865902574999</v>
      </c>
      <c r="R466" s="13">
        <f t="shared" si="28"/>
        <v>7.1586829999999999</v>
      </c>
      <c r="S466" s="42">
        <f t="shared" si="31"/>
        <v>94.751102817962661</v>
      </c>
      <c r="T466" s="13">
        <v>0</v>
      </c>
      <c r="U466" s="14">
        <f t="shared" si="29"/>
        <v>-15.991865902574999</v>
      </c>
      <c r="V466" s="15">
        <f t="shared" si="30"/>
        <v>678.29310897420135</v>
      </c>
    </row>
    <row r="467" spans="1:22" x14ac:dyDescent="0.3">
      <c r="A467">
        <v>5</v>
      </c>
      <c r="B467" s="84">
        <v>4.2</v>
      </c>
      <c r="C467" s="78">
        <v>45971</v>
      </c>
      <c r="D467" s="78">
        <v>45973</v>
      </c>
      <c r="E467">
        <v>40</v>
      </c>
      <c r="F467" t="s">
        <v>906</v>
      </c>
      <c r="G467" t="s">
        <v>15</v>
      </c>
      <c r="H467">
        <v>25</v>
      </c>
      <c r="I467">
        <v>2</v>
      </c>
      <c r="J467" t="s">
        <v>908</v>
      </c>
      <c r="K467" t="s">
        <v>1349</v>
      </c>
      <c r="M467" s="4">
        <v>492</v>
      </c>
      <c r="N467" s="4" t="s">
        <v>498</v>
      </c>
      <c r="O467" s="12">
        <v>46032.067361111112</v>
      </c>
      <c r="P467" s="5">
        <v>7.5392805000000003</v>
      </c>
      <c r="Q467" s="5">
        <v>-14.568153353015093</v>
      </c>
      <c r="R467" s="13">
        <f t="shared" si="28"/>
        <v>7.5392805000000003</v>
      </c>
      <c r="S467" s="42">
        <f t="shared" si="31"/>
        <v>94.751102817962661</v>
      </c>
      <c r="T467" s="13">
        <v>0</v>
      </c>
      <c r="U467" s="14">
        <f t="shared" si="29"/>
        <v>-14.568153353015093</v>
      </c>
      <c r="V467" s="15">
        <f t="shared" si="30"/>
        <v>714.355141828961</v>
      </c>
    </row>
    <row r="468" spans="1:22" x14ac:dyDescent="0.3">
      <c r="A468">
        <v>5</v>
      </c>
      <c r="B468" s="84">
        <v>4.2</v>
      </c>
      <c r="C468" s="78">
        <v>45971</v>
      </c>
      <c r="D468" s="78">
        <v>45973</v>
      </c>
      <c r="E468">
        <v>36</v>
      </c>
      <c r="F468" t="s">
        <v>917</v>
      </c>
      <c r="G468" t="s">
        <v>914</v>
      </c>
      <c r="H468">
        <v>25</v>
      </c>
      <c r="I468">
        <v>3</v>
      </c>
      <c r="J468" t="s">
        <v>908</v>
      </c>
      <c r="K468" t="s">
        <v>1350</v>
      </c>
      <c r="M468" s="1">
        <v>493</v>
      </c>
      <c r="N468" s="1" t="s">
        <v>499</v>
      </c>
      <c r="O468" s="2">
        <v>46032.071111111109</v>
      </c>
      <c r="P468" s="3">
        <v>6.8955954999999998</v>
      </c>
      <c r="Q468" s="3">
        <v>-15.843228910690899</v>
      </c>
      <c r="R468" s="13">
        <f t="shared" si="28"/>
        <v>6.8955954999999998</v>
      </c>
      <c r="S468" s="42">
        <f t="shared" si="31"/>
        <v>94.751102817962661</v>
      </c>
      <c r="T468" s="13">
        <v>0</v>
      </c>
      <c r="U468" s="14">
        <f t="shared" si="29"/>
        <v>-15.843228910690899</v>
      </c>
      <c r="V468" s="15">
        <f t="shared" si="30"/>
        <v>653.36527821158063</v>
      </c>
    </row>
    <row r="469" spans="1:22" x14ac:dyDescent="0.3">
      <c r="A469">
        <v>5</v>
      </c>
      <c r="B469" s="84">
        <v>4.2</v>
      </c>
      <c r="C469" s="78">
        <v>45971</v>
      </c>
      <c r="D469" s="78">
        <v>45973</v>
      </c>
      <c r="E469">
        <v>39</v>
      </c>
      <c r="F469" t="s">
        <v>929</v>
      </c>
      <c r="G469" t="s">
        <v>918</v>
      </c>
      <c r="H469">
        <v>25</v>
      </c>
      <c r="I469">
        <v>4</v>
      </c>
      <c r="J469" t="s">
        <v>908</v>
      </c>
      <c r="K469" t="s">
        <v>1351</v>
      </c>
      <c r="M469" s="4">
        <v>494</v>
      </c>
      <c r="N469" s="4" t="s">
        <v>500</v>
      </c>
      <c r="O469" s="12">
        <v>46032.074849537035</v>
      </c>
      <c r="P469" s="5">
        <v>7.1954969999999996</v>
      </c>
      <c r="Q469" s="5">
        <v>-16.766308607704964</v>
      </c>
      <c r="R469" s="13">
        <f t="shared" si="28"/>
        <v>7.1954969999999996</v>
      </c>
      <c r="S469" s="42">
        <f t="shared" si="31"/>
        <v>94.751102817962661</v>
      </c>
      <c r="T469" s="13">
        <v>0</v>
      </c>
      <c r="U469" s="14">
        <f t="shared" si="29"/>
        <v>-16.766308607704964</v>
      </c>
      <c r="V469" s="15">
        <f t="shared" si="30"/>
        <v>681.78127607334181</v>
      </c>
    </row>
    <row r="470" spans="1:22" x14ac:dyDescent="0.3">
      <c r="A470">
        <v>5</v>
      </c>
      <c r="B470" s="84">
        <v>4.2</v>
      </c>
      <c r="C470" s="78">
        <v>45971</v>
      </c>
      <c r="D470" s="78">
        <v>45973</v>
      </c>
      <c r="E470">
        <v>33</v>
      </c>
      <c r="F470" t="s">
        <v>910</v>
      </c>
      <c r="G470" t="s">
        <v>922</v>
      </c>
      <c r="H470">
        <v>25</v>
      </c>
      <c r="I470">
        <v>5</v>
      </c>
      <c r="J470" t="s">
        <v>908</v>
      </c>
      <c r="K470" t="s">
        <v>1352</v>
      </c>
      <c r="M470" s="1">
        <v>495</v>
      </c>
      <c r="N470" s="1" t="s">
        <v>501</v>
      </c>
      <c r="O470" s="2">
        <v>46032.078587962962</v>
      </c>
      <c r="P470" s="3">
        <v>7.5935965000000003</v>
      </c>
      <c r="Q470" s="3">
        <v>-16.104291820980109</v>
      </c>
      <c r="R470" s="13">
        <f t="shared" si="28"/>
        <v>7.5935965000000003</v>
      </c>
      <c r="S470" s="42">
        <f t="shared" si="31"/>
        <v>94.751102817962661</v>
      </c>
      <c r="T470" s="13">
        <v>0</v>
      </c>
      <c r="U470" s="14">
        <f t="shared" si="29"/>
        <v>-16.104291820980109</v>
      </c>
      <c r="V470" s="15">
        <f t="shared" si="30"/>
        <v>719.50164272962138</v>
      </c>
    </row>
    <row r="471" spans="1:22" x14ac:dyDescent="0.3">
      <c r="A471">
        <v>5</v>
      </c>
      <c r="B471" s="84">
        <v>4.2</v>
      </c>
      <c r="C471" s="78">
        <v>45971</v>
      </c>
      <c r="D471" s="78">
        <v>45973</v>
      </c>
      <c r="E471">
        <v>37</v>
      </c>
      <c r="F471" t="s">
        <v>921</v>
      </c>
      <c r="G471" t="s">
        <v>926</v>
      </c>
      <c r="H471">
        <v>25</v>
      </c>
      <c r="I471">
        <v>6</v>
      </c>
      <c r="J471" t="s">
        <v>908</v>
      </c>
      <c r="K471" t="s">
        <v>1353</v>
      </c>
      <c r="M471" s="4">
        <v>496</v>
      </c>
      <c r="N471" s="4" t="s">
        <v>502</v>
      </c>
      <c r="O471" s="12">
        <v>46032.082326388889</v>
      </c>
      <c r="P471" s="5">
        <v>7.8584414999999996</v>
      </c>
      <c r="Q471" s="5">
        <v>-14.646207325612158</v>
      </c>
      <c r="R471" s="13">
        <f t="shared" si="28"/>
        <v>7.8584414999999996</v>
      </c>
      <c r="S471" s="42">
        <f t="shared" si="31"/>
        <v>94.751102817962661</v>
      </c>
      <c r="T471" s="13">
        <v>0</v>
      </c>
      <c r="U471" s="14">
        <f t="shared" si="29"/>
        <v>-14.646207325612158</v>
      </c>
      <c r="V471" s="15">
        <f t="shared" si="30"/>
        <v>744.59599855544468</v>
      </c>
    </row>
    <row r="472" spans="1:22" x14ac:dyDescent="0.3">
      <c r="A472">
        <v>5</v>
      </c>
      <c r="B472" s="84">
        <v>4.2</v>
      </c>
      <c r="C472" s="78">
        <v>45971</v>
      </c>
      <c r="D472" s="78">
        <v>45973</v>
      </c>
      <c r="E472">
        <v>34</v>
      </c>
      <c r="F472" t="s">
        <v>932</v>
      </c>
      <c r="G472" t="s">
        <v>930</v>
      </c>
      <c r="H472">
        <v>25</v>
      </c>
      <c r="I472">
        <v>7</v>
      </c>
      <c r="J472" t="s">
        <v>908</v>
      </c>
      <c r="K472" t="s">
        <v>1354</v>
      </c>
      <c r="M472" s="1">
        <v>497</v>
      </c>
      <c r="N472" s="1" t="s">
        <v>503</v>
      </c>
      <c r="O472" s="2">
        <v>46032.086076388892</v>
      </c>
      <c r="P472" s="3">
        <v>7.2985445000000002</v>
      </c>
      <c r="Q472" s="3">
        <v>-13.661964224910156</v>
      </c>
      <c r="R472" s="13">
        <f t="shared" si="28"/>
        <v>7.2985445000000002</v>
      </c>
      <c r="S472" s="42">
        <f t="shared" si="31"/>
        <v>94.751102817962661</v>
      </c>
      <c r="T472" s="13">
        <v>0</v>
      </c>
      <c r="U472" s="14">
        <f t="shared" si="29"/>
        <v>-13.661964224910156</v>
      </c>
      <c r="V472" s="15">
        <f t="shared" si="30"/>
        <v>691.54514034097588</v>
      </c>
    </row>
    <row r="473" spans="1:22" x14ac:dyDescent="0.3">
      <c r="A473">
        <v>5</v>
      </c>
      <c r="B473" s="84">
        <v>4.2</v>
      </c>
      <c r="C473" s="78">
        <v>45971</v>
      </c>
      <c r="D473" s="78">
        <v>45973</v>
      </c>
      <c r="E473">
        <v>38</v>
      </c>
      <c r="F473" t="s">
        <v>925</v>
      </c>
      <c r="G473" t="s">
        <v>933</v>
      </c>
      <c r="H473">
        <v>25</v>
      </c>
      <c r="I473">
        <v>8</v>
      </c>
      <c r="J473" t="s">
        <v>908</v>
      </c>
      <c r="K473" t="s">
        <v>1355</v>
      </c>
      <c r="M473" s="4">
        <v>498</v>
      </c>
      <c r="N473" s="4" t="s">
        <v>504</v>
      </c>
      <c r="O473" s="12">
        <v>46032.089826388888</v>
      </c>
      <c r="P473" s="5">
        <v>7.1338629999999998</v>
      </c>
      <c r="Q473" s="5">
        <v>-14.648609180832256</v>
      </c>
      <c r="R473" s="13">
        <f t="shared" si="28"/>
        <v>7.1338629999999998</v>
      </c>
      <c r="S473" s="42">
        <f t="shared" si="31"/>
        <v>94.751102817962661</v>
      </c>
      <c r="T473" s="13">
        <v>0</v>
      </c>
      <c r="U473" s="14">
        <f t="shared" si="29"/>
        <v>-14.648609180832256</v>
      </c>
      <c r="V473" s="15">
        <f t="shared" si="30"/>
        <v>675.94138660225951</v>
      </c>
    </row>
    <row r="474" spans="1:22" x14ac:dyDescent="0.3">
      <c r="A474">
        <v>5</v>
      </c>
      <c r="B474" s="84">
        <v>4.2</v>
      </c>
      <c r="C474" s="78">
        <v>45971</v>
      </c>
      <c r="D474" s="78">
        <v>45973</v>
      </c>
      <c r="E474">
        <v>35</v>
      </c>
      <c r="F474" t="s">
        <v>913</v>
      </c>
      <c r="G474" t="s">
        <v>907</v>
      </c>
      <c r="H474">
        <v>25</v>
      </c>
      <c r="I474">
        <v>9</v>
      </c>
      <c r="J474" t="s">
        <v>935</v>
      </c>
      <c r="K474" t="s">
        <v>1356</v>
      </c>
      <c r="M474" s="1">
        <v>499</v>
      </c>
      <c r="N474" s="1" t="s">
        <v>505</v>
      </c>
      <c r="O474" s="2">
        <v>46032.093553240738</v>
      </c>
      <c r="P474" s="3">
        <v>6.9855185000000004</v>
      </c>
      <c r="Q474" s="3">
        <v>-0.58008938175044311</v>
      </c>
      <c r="R474" s="13">
        <f t="shared" si="28"/>
        <v>6.9855185000000004</v>
      </c>
      <c r="S474" s="42">
        <f t="shared" si="31"/>
        <v>94.751102817962661</v>
      </c>
      <c r="T474" s="13">
        <v>0</v>
      </c>
      <c r="U474" s="14">
        <f t="shared" si="29"/>
        <v>-0.58008938175044311</v>
      </c>
      <c r="V474" s="15">
        <f t="shared" si="30"/>
        <v>661.88558163028029</v>
      </c>
    </row>
    <row r="475" spans="1:22" x14ac:dyDescent="0.3">
      <c r="A475">
        <v>5</v>
      </c>
      <c r="B475" s="84">
        <v>4.2</v>
      </c>
      <c r="C475" s="78">
        <v>45971</v>
      </c>
      <c r="D475" s="78">
        <v>45973</v>
      </c>
      <c r="E475">
        <v>40</v>
      </c>
      <c r="F475" t="s">
        <v>906</v>
      </c>
      <c r="G475" t="s">
        <v>15</v>
      </c>
      <c r="H475">
        <v>25</v>
      </c>
      <c r="I475">
        <v>10</v>
      </c>
      <c r="J475" t="s">
        <v>935</v>
      </c>
      <c r="K475" t="s">
        <v>1357</v>
      </c>
      <c r="M475" s="4">
        <v>500</v>
      </c>
      <c r="N475" s="4" t="s">
        <v>506</v>
      </c>
      <c r="O475" s="12">
        <v>46032.097280092596</v>
      </c>
      <c r="P475" s="5">
        <v>7.5350659999999996</v>
      </c>
      <c r="Q475" s="5">
        <v>15.032824233155925</v>
      </c>
      <c r="R475" s="13">
        <f t="shared" si="28"/>
        <v>7.5350659999999996</v>
      </c>
      <c r="S475" s="42">
        <f t="shared" si="31"/>
        <v>94.751102817962661</v>
      </c>
      <c r="T475" s="13">
        <v>0</v>
      </c>
      <c r="U475" s="14">
        <f t="shared" si="29"/>
        <v>15.032824233155925</v>
      </c>
      <c r="V475" s="15">
        <f t="shared" si="30"/>
        <v>713.95581330613459</v>
      </c>
    </row>
    <row r="476" spans="1:22" x14ac:dyDescent="0.3">
      <c r="A476">
        <v>5</v>
      </c>
      <c r="B476" s="84">
        <v>4.2</v>
      </c>
      <c r="C476" s="78">
        <v>45971</v>
      </c>
      <c r="D476" s="78">
        <v>45973</v>
      </c>
      <c r="E476">
        <v>36</v>
      </c>
      <c r="F476" t="s">
        <v>917</v>
      </c>
      <c r="G476" t="s">
        <v>914</v>
      </c>
      <c r="H476">
        <v>25</v>
      </c>
      <c r="I476">
        <v>11</v>
      </c>
      <c r="J476" t="s">
        <v>935</v>
      </c>
      <c r="K476" t="s">
        <v>1358</v>
      </c>
      <c r="M476" s="1">
        <v>501</v>
      </c>
      <c r="N476" s="1" t="s">
        <v>507</v>
      </c>
      <c r="O476" s="2">
        <v>46032.101018518515</v>
      </c>
      <c r="P476" s="3">
        <v>7.2236960000000003</v>
      </c>
      <c r="Q476" s="3">
        <v>2.9210902691747531</v>
      </c>
      <c r="R476" s="13">
        <f t="shared" si="28"/>
        <v>7.2236960000000003</v>
      </c>
      <c r="S476" s="42">
        <f t="shared" si="31"/>
        <v>94.751102817962661</v>
      </c>
      <c r="T476" s="13">
        <v>0</v>
      </c>
      <c r="U476" s="14">
        <f t="shared" si="29"/>
        <v>2.9210902691747531</v>
      </c>
      <c r="V476" s="15">
        <f t="shared" si="30"/>
        <v>684.45316242170566</v>
      </c>
    </row>
    <row r="477" spans="1:22" x14ac:dyDescent="0.3">
      <c r="A477">
        <v>5</v>
      </c>
      <c r="B477" s="84">
        <v>4.2</v>
      </c>
      <c r="C477" s="78">
        <v>45971</v>
      </c>
      <c r="D477" s="78">
        <v>45973</v>
      </c>
      <c r="E477">
        <v>39</v>
      </c>
      <c r="F477" t="s">
        <v>929</v>
      </c>
      <c r="G477" t="s">
        <v>918</v>
      </c>
      <c r="H477">
        <v>25</v>
      </c>
      <c r="I477">
        <v>12</v>
      </c>
      <c r="J477" t="s">
        <v>935</v>
      </c>
      <c r="K477" t="s">
        <v>1359</v>
      </c>
      <c r="M477" s="4">
        <v>502</v>
      </c>
      <c r="N477" s="4" t="s">
        <v>508</v>
      </c>
      <c r="O477" s="12">
        <v>46032.104756944442</v>
      </c>
      <c r="P477" s="5">
        <v>7.5163760000000002</v>
      </c>
      <c r="Q477" s="5">
        <v>-3.1799007706106357</v>
      </c>
      <c r="R477" s="13">
        <f t="shared" si="28"/>
        <v>7.5163760000000002</v>
      </c>
      <c r="S477" s="42">
        <f t="shared" si="31"/>
        <v>94.751102817962661</v>
      </c>
      <c r="T477" s="13">
        <v>0</v>
      </c>
      <c r="U477" s="14">
        <f t="shared" si="29"/>
        <v>-3.1799007706106357</v>
      </c>
      <c r="V477" s="15">
        <f t="shared" si="30"/>
        <v>712.18491519446695</v>
      </c>
    </row>
    <row r="478" spans="1:22" x14ac:dyDescent="0.3">
      <c r="A478">
        <v>5</v>
      </c>
      <c r="B478" s="84">
        <v>4.2</v>
      </c>
      <c r="C478" s="78">
        <v>45971</v>
      </c>
      <c r="D478" s="78">
        <v>45973</v>
      </c>
      <c r="E478">
        <v>33</v>
      </c>
      <c r="F478" t="s">
        <v>910</v>
      </c>
      <c r="G478" t="s">
        <v>922</v>
      </c>
      <c r="H478">
        <v>25</v>
      </c>
      <c r="I478">
        <v>13</v>
      </c>
      <c r="J478" t="s">
        <v>935</v>
      </c>
      <c r="K478" t="s">
        <v>1360</v>
      </c>
      <c r="M478" s="1">
        <v>503</v>
      </c>
      <c r="N478" s="1" t="s">
        <v>509</v>
      </c>
      <c r="O478" s="2">
        <v>46032.108506944445</v>
      </c>
      <c r="P478" s="3">
        <v>7.7627579999999998</v>
      </c>
      <c r="Q478" s="3">
        <v>6.0872314855938532</v>
      </c>
      <c r="R478" s="13">
        <f t="shared" si="28"/>
        <v>7.7627579999999998</v>
      </c>
      <c r="S478" s="42">
        <f t="shared" si="31"/>
        <v>94.751102817962661</v>
      </c>
      <c r="T478" s="13">
        <v>0</v>
      </c>
      <c r="U478" s="14">
        <f t="shared" si="29"/>
        <v>6.0872314855938532</v>
      </c>
      <c r="V478" s="15">
        <f t="shared" si="30"/>
        <v>735.52988140896218</v>
      </c>
    </row>
    <row r="479" spans="1:22" x14ac:dyDescent="0.3">
      <c r="A479">
        <v>5</v>
      </c>
      <c r="B479" s="84">
        <v>4.2</v>
      </c>
      <c r="C479" s="78">
        <v>45971</v>
      </c>
      <c r="D479" s="78">
        <v>45973</v>
      </c>
      <c r="E479">
        <v>37</v>
      </c>
      <c r="F479" t="s">
        <v>921</v>
      </c>
      <c r="G479" t="s">
        <v>926</v>
      </c>
      <c r="H479">
        <v>25</v>
      </c>
      <c r="I479">
        <v>14</v>
      </c>
      <c r="J479" t="s">
        <v>935</v>
      </c>
      <c r="K479" t="s">
        <v>1361</v>
      </c>
      <c r="M479" s="4">
        <v>504</v>
      </c>
      <c r="N479" s="4" t="s">
        <v>510</v>
      </c>
      <c r="O479" s="12">
        <v>46032.112233796295</v>
      </c>
      <c r="P479" s="5">
        <v>8.2054290000000005</v>
      </c>
      <c r="Q479" s="5">
        <v>15.051952877183199</v>
      </c>
      <c r="R479" s="13">
        <f t="shared" si="28"/>
        <v>8.2054290000000005</v>
      </c>
      <c r="S479" s="42">
        <f t="shared" si="31"/>
        <v>94.751102817962661</v>
      </c>
      <c r="T479" s="13">
        <v>0</v>
      </c>
      <c r="U479" s="14">
        <f t="shared" si="29"/>
        <v>15.051952877183199</v>
      </c>
      <c r="V479" s="15">
        <f t="shared" si="30"/>
        <v>777.47344684449263</v>
      </c>
    </row>
    <row r="480" spans="1:22" x14ac:dyDescent="0.3">
      <c r="A480">
        <v>5</v>
      </c>
      <c r="B480" s="84">
        <v>4.2</v>
      </c>
      <c r="C480" s="78">
        <v>45971</v>
      </c>
      <c r="D480" s="78">
        <v>45973</v>
      </c>
      <c r="E480">
        <v>34</v>
      </c>
      <c r="F480" t="s">
        <v>932</v>
      </c>
      <c r="G480" t="s">
        <v>930</v>
      </c>
      <c r="H480">
        <v>25</v>
      </c>
      <c r="I480">
        <v>15</v>
      </c>
      <c r="J480" t="s">
        <v>935</v>
      </c>
      <c r="K480" t="s">
        <v>1362</v>
      </c>
      <c r="M480" s="1">
        <v>505</v>
      </c>
      <c r="N480" s="1" t="s">
        <v>511</v>
      </c>
      <c r="O480" s="2">
        <v>46032.115972222222</v>
      </c>
      <c r="P480" s="3">
        <v>7.8052625000000004</v>
      </c>
      <c r="Q480" s="3">
        <v>4.9540555809806399</v>
      </c>
      <c r="R480" s="13">
        <f t="shared" si="28"/>
        <v>7.8052625000000004</v>
      </c>
      <c r="S480" s="42">
        <f t="shared" si="31"/>
        <v>94.751102817962661</v>
      </c>
      <c r="T480" s="13">
        <v>0</v>
      </c>
      <c r="U480" s="14">
        <f t="shared" si="29"/>
        <v>4.9540555809806399</v>
      </c>
      <c r="V480" s="15">
        <f t="shared" si="30"/>
        <v>739.55722965868836</v>
      </c>
    </row>
    <row r="481" spans="1:22" x14ac:dyDescent="0.3">
      <c r="A481">
        <v>5</v>
      </c>
      <c r="B481" s="84">
        <v>4.2</v>
      </c>
      <c r="C481" s="78">
        <v>45971</v>
      </c>
      <c r="D481" s="78">
        <v>45973</v>
      </c>
      <c r="E481">
        <v>38</v>
      </c>
      <c r="F481" t="s">
        <v>925</v>
      </c>
      <c r="G481" t="s">
        <v>933</v>
      </c>
      <c r="H481">
        <v>25</v>
      </c>
      <c r="I481">
        <v>16</v>
      </c>
      <c r="J481" t="s">
        <v>935</v>
      </c>
      <c r="K481" t="s">
        <v>1363</v>
      </c>
      <c r="M481" s="4">
        <v>506</v>
      </c>
      <c r="N481" s="4" t="s">
        <v>512</v>
      </c>
      <c r="O481" s="12">
        <v>46032.119699074072</v>
      </c>
      <c r="P481" s="5">
        <v>8.3344439999999995</v>
      </c>
      <c r="Q481" s="5">
        <v>4.385374993415871</v>
      </c>
      <c r="R481" s="13">
        <f t="shared" si="28"/>
        <v>8.3344439999999995</v>
      </c>
      <c r="S481" s="42">
        <f t="shared" si="31"/>
        <v>94.751102817962661</v>
      </c>
      <c r="T481" s="13">
        <v>0</v>
      </c>
      <c r="U481" s="14">
        <f t="shared" si="29"/>
        <v>4.385374993415871</v>
      </c>
      <c r="V481" s="15">
        <f t="shared" si="30"/>
        <v>789.69776037455199</v>
      </c>
    </row>
    <row r="482" spans="1:22" x14ac:dyDescent="0.3">
      <c r="A482">
        <v>5</v>
      </c>
      <c r="B482" s="84">
        <v>4.2</v>
      </c>
      <c r="C482" s="78">
        <v>45971</v>
      </c>
      <c r="D482" s="78">
        <v>45973</v>
      </c>
      <c r="E482">
        <v>35</v>
      </c>
      <c r="F482" t="s">
        <v>913</v>
      </c>
      <c r="G482" t="s">
        <v>907</v>
      </c>
      <c r="H482">
        <v>25</v>
      </c>
      <c r="I482">
        <v>17</v>
      </c>
      <c r="J482" t="s">
        <v>24</v>
      </c>
      <c r="K482" t="s">
        <v>1364</v>
      </c>
      <c r="M482" s="1">
        <v>507</v>
      </c>
      <c r="N482" s="1" t="s">
        <v>513</v>
      </c>
      <c r="O482" s="2">
        <v>46032.123437499999</v>
      </c>
      <c r="P482" s="3">
        <v>7.0813059999999997</v>
      </c>
      <c r="Q482" s="3">
        <v>10.533436652375967</v>
      </c>
      <c r="R482" s="13">
        <f t="shared" si="28"/>
        <v>7.0813059999999997</v>
      </c>
      <c r="S482" s="42">
        <f t="shared" si="31"/>
        <v>94.751102817962661</v>
      </c>
      <c r="T482" s="13">
        <v>0</v>
      </c>
      <c r="U482" s="14">
        <f t="shared" si="29"/>
        <v>10.533436652375967</v>
      </c>
      <c r="V482" s="15">
        <f t="shared" si="30"/>
        <v>670.96155289145588</v>
      </c>
    </row>
    <row r="483" spans="1:22" x14ac:dyDescent="0.3">
      <c r="A483">
        <v>5</v>
      </c>
      <c r="B483" s="84">
        <v>4.2</v>
      </c>
      <c r="C483" s="78">
        <v>45971</v>
      </c>
      <c r="D483" s="78">
        <v>45973</v>
      </c>
      <c r="E483">
        <v>40</v>
      </c>
      <c r="F483" t="s">
        <v>906</v>
      </c>
      <c r="G483" t="s">
        <v>15</v>
      </c>
      <c r="H483">
        <v>25</v>
      </c>
      <c r="I483">
        <v>18</v>
      </c>
      <c r="J483" t="s">
        <v>24</v>
      </c>
      <c r="K483" t="s">
        <v>1365</v>
      </c>
      <c r="M483" s="4">
        <v>508</v>
      </c>
      <c r="N483" s="4" t="s">
        <v>514</v>
      </c>
      <c r="O483" s="12">
        <v>46032.127175925925</v>
      </c>
      <c r="P483" s="5">
        <v>8.9038590000000006</v>
      </c>
      <c r="Q483" s="5">
        <v>28.420248424257903</v>
      </c>
      <c r="R483" s="13">
        <f t="shared" si="28"/>
        <v>8.9038590000000006</v>
      </c>
      <c r="S483" s="42">
        <f t="shared" si="31"/>
        <v>94.751102817962661</v>
      </c>
      <c r="T483" s="13">
        <v>0</v>
      </c>
      <c r="U483" s="14">
        <f t="shared" si="29"/>
        <v>28.420248424257903</v>
      </c>
      <c r="V483" s="15">
        <f t="shared" si="30"/>
        <v>843.65045958564224</v>
      </c>
    </row>
    <row r="484" spans="1:22" x14ac:dyDescent="0.3">
      <c r="A484">
        <v>5</v>
      </c>
      <c r="B484" s="84">
        <v>4.2</v>
      </c>
      <c r="C484" s="78">
        <v>45971</v>
      </c>
      <c r="D484" s="78">
        <v>45973</v>
      </c>
      <c r="E484">
        <v>36</v>
      </c>
      <c r="F484" t="s">
        <v>917</v>
      </c>
      <c r="G484" t="s">
        <v>914</v>
      </c>
      <c r="H484">
        <v>25</v>
      </c>
      <c r="I484">
        <v>19</v>
      </c>
      <c r="J484" t="s">
        <v>24</v>
      </c>
      <c r="K484" t="s">
        <v>1366</v>
      </c>
      <c r="M484" s="1">
        <v>509</v>
      </c>
      <c r="N484" s="1" t="s">
        <v>515</v>
      </c>
      <c r="O484" s="2">
        <v>46032.130925925929</v>
      </c>
      <c r="P484" s="3">
        <v>7.8677655</v>
      </c>
      <c r="Q484" s="3">
        <v>13.913928335014313</v>
      </c>
      <c r="R484" s="13">
        <f t="shared" si="28"/>
        <v>7.8677655</v>
      </c>
      <c r="S484" s="42">
        <f t="shared" si="31"/>
        <v>94.751102817962661</v>
      </c>
      <c r="T484" s="13">
        <v>0</v>
      </c>
      <c r="U484" s="14">
        <f t="shared" si="29"/>
        <v>13.913928335014313</v>
      </c>
      <c r="V484" s="15">
        <f t="shared" si="30"/>
        <v>745.4794578381194</v>
      </c>
    </row>
    <row r="485" spans="1:22" x14ac:dyDescent="0.3">
      <c r="A485">
        <v>5</v>
      </c>
      <c r="B485" s="84">
        <v>4.2</v>
      </c>
      <c r="C485" s="78">
        <v>45971</v>
      </c>
      <c r="D485" s="78">
        <v>45973</v>
      </c>
      <c r="E485">
        <v>39</v>
      </c>
      <c r="F485" t="s">
        <v>929</v>
      </c>
      <c r="G485" t="s">
        <v>918</v>
      </c>
      <c r="H485">
        <v>25</v>
      </c>
      <c r="I485">
        <v>20</v>
      </c>
      <c r="J485" t="s">
        <v>24</v>
      </c>
      <c r="K485" t="s">
        <v>1367</v>
      </c>
      <c r="M485" s="4">
        <v>510</v>
      </c>
      <c r="N485" s="4" t="s">
        <v>516</v>
      </c>
      <c r="O485" s="12">
        <v>46032.134664351855</v>
      </c>
      <c r="P485" s="5">
        <v>7.9201594999999996</v>
      </c>
      <c r="Q485" s="5">
        <v>5.5548680359983491</v>
      </c>
      <c r="R485" s="13">
        <f t="shared" si="28"/>
        <v>7.9201594999999996</v>
      </c>
      <c r="S485" s="42">
        <f t="shared" si="31"/>
        <v>94.751102817962661</v>
      </c>
      <c r="T485" s="13">
        <v>0</v>
      </c>
      <c r="U485" s="14">
        <f t="shared" si="29"/>
        <v>5.5548680359983491</v>
      </c>
      <c r="V485" s="15">
        <f t="shared" si="30"/>
        <v>750.44384711916371</v>
      </c>
    </row>
    <row r="486" spans="1:22" x14ac:dyDescent="0.3">
      <c r="A486">
        <v>5</v>
      </c>
      <c r="B486" s="84">
        <v>4.2</v>
      </c>
      <c r="C486" s="78">
        <v>45971</v>
      </c>
      <c r="D486" s="78">
        <v>45973</v>
      </c>
      <c r="E486">
        <v>33</v>
      </c>
      <c r="F486" t="s">
        <v>910</v>
      </c>
      <c r="G486" t="s">
        <v>922</v>
      </c>
      <c r="H486">
        <v>25</v>
      </c>
      <c r="I486">
        <v>21</v>
      </c>
      <c r="J486" t="s">
        <v>24</v>
      </c>
      <c r="K486" t="s">
        <v>1368</v>
      </c>
      <c r="M486" s="1">
        <v>511</v>
      </c>
      <c r="N486" s="1" t="s">
        <v>517</v>
      </c>
      <c r="O486" s="2">
        <v>46032.138391203705</v>
      </c>
      <c r="P486" s="3">
        <v>8.2516960000000008</v>
      </c>
      <c r="Q486" s="3">
        <v>23.927981753387776</v>
      </c>
      <c r="R486" s="13">
        <f t="shared" si="28"/>
        <v>8.2516960000000008</v>
      </c>
      <c r="S486" s="42">
        <f t="shared" si="31"/>
        <v>94.751102817962661</v>
      </c>
      <c r="T486" s="13">
        <v>0</v>
      </c>
      <c r="U486" s="14">
        <f t="shared" si="29"/>
        <v>23.927981753387776</v>
      </c>
      <c r="V486" s="15">
        <f t="shared" si="30"/>
        <v>781.8572961185713</v>
      </c>
    </row>
    <row r="487" spans="1:22" x14ac:dyDescent="0.3">
      <c r="A487">
        <v>5</v>
      </c>
      <c r="B487" s="84">
        <v>4.2</v>
      </c>
      <c r="C487" s="78">
        <v>45971</v>
      </c>
      <c r="D487" s="78">
        <v>45973</v>
      </c>
      <c r="E487">
        <v>37</v>
      </c>
      <c r="F487" t="s">
        <v>921</v>
      </c>
      <c r="G487" t="s">
        <v>926</v>
      </c>
      <c r="H487">
        <v>25</v>
      </c>
      <c r="I487">
        <v>22</v>
      </c>
      <c r="J487" t="s">
        <v>24</v>
      </c>
      <c r="K487" t="s">
        <v>1369</v>
      </c>
      <c r="M487" s="4">
        <v>512</v>
      </c>
      <c r="N487" s="4" t="s">
        <v>518</v>
      </c>
      <c r="O487" s="12">
        <v>46032.142141203702</v>
      </c>
      <c r="P487" s="5">
        <v>9.1143699999999992</v>
      </c>
      <c r="Q487" s="5">
        <v>32.704428119818353</v>
      </c>
      <c r="R487" s="13">
        <f t="shared" si="28"/>
        <v>9.1143699999999992</v>
      </c>
      <c r="S487" s="42">
        <f t="shared" si="31"/>
        <v>94.751102817962661</v>
      </c>
      <c r="T487" s="13">
        <v>0</v>
      </c>
      <c r="U487" s="14">
        <f t="shared" si="29"/>
        <v>32.704428119818353</v>
      </c>
      <c r="V487" s="15">
        <f t="shared" si="30"/>
        <v>863.59660899095422</v>
      </c>
    </row>
    <row r="488" spans="1:22" x14ac:dyDescent="0.3">
      <c r="A488">
        <v>5</v>
      </c>
      <c r="B488" s="84">
        <v>4.2</v>
      </c>
      <c r="C488" s="78">
        <v>45971</v>
      </c>
      <c r="D488" s="78">
        <v>45973</v>
      </c>
      <c r="E488">
        <v>34</v>
      </c>
      <c r="F488" t="s">
        <v>932</v>
      </c>
      <c r="G488" t="s">
        <v>930</v>
      </c>
      <c r="H488">
        <v>25</v>
      </c>
      <c r="I488">
        <v>23</v>
      </c>
      <c r="J488" t="s">
        <v>24</v>
      </c>
      <c r="K488" t="s">
        <v>1370</v>
      </c>
      <c r="M488" s="1">
        <v>513</v>
      </c>
      <c r="N488" s="1" t="s">
        <v>519</v>
      </c>
      <c r="O488" s="2">
        <v>46032.145879629628</v>
      </c>
      <c r="P488" s="3">
        <v>8.6658480000000004</v>
      </c>
      <c r="Q488" s="3">
        <v>14.493505313586819</v>
      </c>
      <c r="R488" s="13">
        <f t="shared" si="28"/>
        <v>8.6658480000000004</v>
      </c>
      <c r="S488" s="42">
        <f t="shared" si="31"/>
        <v>94.751102817962661</v>
      </c>
      <c r="T488" s="13">
        <v>0</v>
      </c>
      <c r="U488" s="14">
        <f t="shared" si="29"/>
        <v>14.493505313586819</v>
      </c>
      <c r="V488" s="15">
        <f t="shared" si="30"/>
        <v>821.09865485283615</v>
      </c>
    </row>
    <row r="489" spans="1:22" x14ac:dyDescent="0.3">
      <c r="A489">
        <v>5</v>
      </c>
      <c r="B489" s="84">
        <v>4.2</v>
      </c>
      <c r="C489" s="78">
        <v>45971</v>
      </c>
      <c r="D489" s="78">
        <v>45973</v>
      </c>
      <c r="E489">
        <v>38</v>
      </c>
      <c r="F489" t="s">
        <v>925</v>
      </c>
      <c r="G489" t="s">
        <v>933</v>
      </c>
      <c r="H489">
        <v>25</v>
      </c>
      <c r="I489">
        <v>24</v>
      </c>
      <c r="J489" t="s">
        <v>24</v>
      </c>
      <c r="K489" t="s">
        <v>1371</v>
      </c>
      <c r="M489" s="4">
        <v>514</v>
      </c>
      <c r="N489" s="4" t="s">
        <v>520</v>
      </c>
      <c r="O489" s="12">
        <v>46032.149629629632</v>
      </c>
      <c r="P489" s="5">
        <v>8.4887610000000002</v>
      </c>
      <c r="Q489" s="5">
        <v>17.39537012646247</v>
      </c>
      <c r="R489" s="13">
        <f t="shared" si="28"/>
        <v>8.4887610000000002</v>
      </c>
      <c r="S489" s="42">
        <f t="shared" si="31"/>
        <v>94.751102817962661</v>
      </c>
      <c r="T489" s="13">
        <v>0</v>
      </c>
      <c r="U489" s="14">
        <f t="shared" si="29"/>
        <v>17.39537012646247</v>
      </c>
      <c r="V489" s="15">
        <f t="shared" si="30"/>
        <v>804.3194663081116</v>
      </c>
    </row>
    <row r="490" spans="1:22" x14ac:dyDescent="0.3">
      <c r="A490">
        <v>5</v>
      </c>
      <c r="B490" s="84">
        <v>4.2</v>
      </c>
      <c r="C490" s="78">
        <v>45971</v>
      </c>
      <c r="D490" s="78">
        <v>45973</v>
      </c>
      <c r="E490">
        <v>35</v>
      </c>
      <c r="F490" t="s">
        <v>913</v>
      </c>
      <c r="G490" t="s">
        <v>907</v>
      </c>
      <c r="H490">
        <v>25</v>
      </c>
      <c r="I490">
        <v>25</v>
      </c>
      <c r="J490" t="s">
        <v>25</v>
      </c>
      <c r="K490" t="s">
        <v>1372</v>
      </c>
      <c r="M490" s="1">
        <v>515</v>
      </c>
      <c r="N490" s="1" t="s">
        <v>521</v>
      </c>
      <c r="O490" s="2">
        <v>46032.153368055559</v>
      </c>
      <c r="P490" s="3">
        <v>7.5512940000000004</v>
      </c>
      <c r="Q490" s="3">
        <v>17.333269857072537</v>
      </c>
      <c r="R490" s="13">
        <f t="shared" si="28"/>
        <v>7.5512940000000004</v>
      </c>
      <c r="S490" s="42">
        <f t="shared" si="31"/>
        <v>94.751102817962661</v>
      </c>
      <c r="T490" s="13">
        <v>0</v>
      </c>
      <c r="U490" s="14">
        <f t="shared" si="29"/>
        <v>17.333269857072537</v>
      </c>
      <c r="V490" s="15">
        <f t="shared" si="30"/>
        <v>715.49343420266462</v>
      </c>
    </row>
    <row r="491" spans="1:22" x14ac:dyDescent="0.3">
      <c r="A491">
        <v>5</v>
      </c>
      <c r="B491" s="84">
        <v>4.2</v>
      </c>
      <c r="C491" s="78">
        <v>45971</v>
      </c>
      <c r="D491" s="78">
        <v>45973</v>
      </c>
      <c r="E491">
        <v>40</v>
      </c>
      <c r="F491" t="s">
        <v>906</v>
      </c>
      <c r="G491" t="s">
        <v>15</v>
      </c>
      <c r="H491">
        <v>25</v>
      </c>
      <c r="I491">
        <v>26</v>
      </c>
      <c r="J491" t="s">
        <v>25</v>
      </c>
      <c r="K491" t="s">
        <v>1373</v>
      </c>
      <c r="M491" s="4">
        <v>516</v>
      </c>
      <c r="N491" s="4" t="s">
        <v>522</v>
      </c>
      <c r="O491" s="12">
        <v>46032.157106481478</v>
      </c>
      <c r="P491" s="5">
        <v>8.9895999999999994</v>
      </c>
      <c r="Q491" s="5">
        <v>44.917675030342224</v>
      </c>
      <c r="R491" s="13">
        <f t="shared" si="28"/>
        <v>8.9895999999999994</v>
      </c>
      <c r="S491" s="42">
        <f t="shared" si="31"/>
        <v>94.751102817962661</v>
      </c>
      <c r="T491" s="13">
        <v>0</v>
      </c>
      <c r="U491" s="14">
        <f t="shared" si="29"/>
        <v>44.917675030342224</v>
      </c>
      <c r="V491" s="15">
        <f t="shared" si="30"/>
        <v>851.77451389235705</v>
      </c>
    </row>
    <row r="492" spans="1:22" x14ac:dyDescent="0.3">
      <c r="A492">
        <v>5</v>
      </c>
      <c r="B492" s="84">
        <v>4.2</v>
      </c>
      <c r="C492" s="78">
        <v>45971</v>
      </c>
      <c r="D492" s="78">
        <v>45973</v>
      </c>
      <c r="E492">
        <v>36</v>
      </c>
      <c r="F492" t="s">
        <v>917</v>
      </c>
      <c r="G492" t="s">
        <v>914</v>
      </c>
      <c r="H492">
        <v>25</v>
      </c>
      <c r="I492">
        <v>27</v>
      </c>
      <c r="J492" t="s">
        <v>25</v>
      </c>
      <c r="K492" t="s">
        <v>1374</v>
      </c>
      <c r="M492" s="1">
        <v>517</v>
      </c>
      <c r="N492" s="1" t="s">
        <v>523</v>
      </c>
      <c r="O492" s="2">
        <v>46032.160844907405</v>
      </c>
      <c r="P492" s="3">
        <v>7.4101635000000003</v>
      </c>
      <c r="Q492" s="3">
        <v>28.349520000195248</v>
      </c>
      <c r="R492" s="13">
        <f t="shared" si="28"/>
        <v>7.4101635000000003</v>
      </c>
      <c r="S492" s="42">
        <f t="shared" si="31"/>
        <v>94.751102817962661</v>
      </c>
      <c r="T492" s="13">
        <v>0</v>
      </c>
      <c r="U492" s="14">
        <f t="shared" si="29"/>
        <v>28.349520000195248</v>
      </c>
      <c r="V492" s="15">
        <f t="shared" si="30"/>
        <v>702.12116368641409</v>
      </c>
    </row>
    <row r="493" spans="1:22" x14ac:dyDescent="0.3">
      <c r="A493">
        <v>5</v>
      </c>
      <c r="B493" s="84">
        <v>4.2</v>
      </c>
      <c r="C493" s="78">
        <v>45971</v>
      </c>
      <c r="D493" s="78">
        <v>45973</v>
      </c>
      <c r="E493">
        <v>39</v>
      </c>
      <c r="F493" t="s">
        <v>929</v>
      </c>
      <c r="G493" t="s">
        <v>918</v>
      </c>
      <c r="H493">
        <v>25</v>
      </c>
      <c r="I493">
        <v>28</v>
      </c>
      <c r="J493" t="s">
        <v>25</v>
      </c>
      <c r="K493" t="s">
        <v>1375</v>
      </c>
      <c r="M493" s="63">
        <v>518</v>
      </c>
      <c r="N493" s="63" t="s">
        <v>524</v>
      </c>
      <c r="O493" s="64">
        <v>46032.164675925924</v>
      </c>
      <c r="P493" s="65">
        <v>8.2055745000000009</v>
      </c>
      <c r="Q493" s="65">
        <v>14.153513681635028</v>
      </c>
      <c r="R493" s="13">
        <f t="shared" si="28"/>
        <v>8.2055745000000009</v>
      </c>
      <c r="S493" s="42">
        <f t="shared" si="31"/>
        <v>94.751102817962661</v>
      </c>
      <c r="T493" s="13">
        <v>0</v>
      </c>
      <c r="U493" s="14">
        <f t="shared" si="29"/>
        <v>14.153513681635028</v>
      </c>
      <c r="V493" s="15">
        <f t="shared" si="30"/>
        <v>777.48723312995264</v>
      </c>
    </row>
    <row r="494" spans="1:22" x14ac:dyDescent="0.3">
      <c r="M494" s="66">
        <v>522</v>
      </c>
      <c r="N494" s="1" t="s">
        <v>525</v>
      </c>
      <c r="O494" s="2">
        <v>46033.549432870372</v>
      </c>
      <c r="P494" s="3">
        <v>26.034877999999999</v>
      </c>
      <c r="Q494" s="3">
        <v>-6.1899438841931973</v>
      </c>
      <c r="R494" s="13">
        <f t="shared" si="28"/>
        <v>26.034877999999999</v>
      </c>
      <c r="S494" s="42">
        <f t="shared" si="31"/>
        <v>94.751102817962661</v>
      </c>
      <c r="T494" s="13">
        <v>0</v>
      </c>
      <c r="U494" s="14">
        <f t="shared" si="29"/>
        <v>-6.1899438841931973</v>
      </c>
      <c r="V494" s="15">
        <f t="shared" si="30"/>
        <v>2466.8334022311142</v>
      </c>
    </row>
    <row r="495" spans="1:22" x14ac:dyDescent="0.3">
      <c r="M495" s="4">
        <v>523</v>
      </c>
      <c r="N495" s="4" t="s">
        <v>526</v>
      </c>
      <c r="O495" s="12">
        <v>46033.553159722222</v>
      </c>
      <c r="P495" s="5">
        <v>10.175119</v>
      </c>
      <c r="Q495" s="5">
        <v>-7.2000280518412447</v>
      </c>
      <c r="R495" s="13">
        <f t="shared" si="28"/>
        <v>10.175119</v>
      </c>
      <c r="S495" s="42">
        <f t="shared" si="31"/>
        <v>94.751102817962661</v>
      </c>
      <c r="T495" s="13">
        <v>0</v>
      </c>
      <c r="U495" s="14">
        <f t="shared" si="29"/>
        <v>-7.2000280518412447</v>
      </c>
      <c r="V495" s="15">
        <f t="shared" si="30"/>
        <v>964.10374655400551</v>
      </c>
    </row>
    <row r="496" spans="1:22" x14ac:dyDescent="0.3">
      <c r="M496" s="1">
        <v>524</v>
      </c>
      <c r="N496" s="1" t="s">
        <v>527</v>
      </c>
      <c r="O496" s="2">
        <v>46033.556875000002</v>
      </c>
      <c r="P496" s="3">
        <v>6.3349270000000004</v>
      </c>
      <c r="Q496" s="3">
        <v>-8.5219422099060989</v>
      </c>
      <c r="R496" s="13">
        <f t="shared" si="28"/>
        <v>6.3349270000000004</v>
      </c>
      <c r="S496" s="42">
        <f t="shared" si="31"/>
        <v>94.751102817962661</v>
      </c>
      <c r="T496" s="13">
        <v>0</v>
      </c>
      <c r="U496" s="14">
        <f t="shared" si="29"/>
        <v>-8.5219422099060989</v>
      </c>
      <c r="V496" s="15">
        <f t="shared" si="30"/>
        <v>600.24131952128778</v>
      </c>
    </row>
    <row r="497" spans="1:22" x14ac:dyDescent="0.3">
      <c r="M497" s="4">
        <v>525</v>
      </c>
      <c r="N497" s="4" t="s">
        <v>528</v>
      </c>
      <c r="O497" s="12">
        <v>46033.560601851852</v>
      </c>
      <c r="P497" s="5">
        <v>3.8301017499999999</v>
      </c>
      <c r="Q497" s="5">
        <v>-11.467820147971345</v>
      </c>
      <c r="R497" s="13">
        <f t="shared" si="28"/>
        <v>3.8301017499999999</v>
      </c>
      <c r="S497" s="42">
        <f t="shared" si="31"/>
        <v>94.751102817962661</v>
      </c>
      <c r="T497" s="13">
        <v>0</v>
      </c>
      <c r="U497" s="14">
        <f t="shared" si="29"/>
        <v>-11.467820147971345</v>
      </c>
      <c r="V497" s="15">
        <f t="shared" si="30"/>
        <v>362.90636471750872</v>
      </c>
    </row>
    <row r="498" spans="1:22" x14ac:dyDescent="0.3">
      <c r="M498" s="1">
        <v>526</v>
      </c>
      <c r="N498" s="1" t="s">
        <v>529</v>
      </c>
      <c r="O498" s="2">
        <v>46033.564328703702</v>
      </c>
      <c r="P498" s="3">
        <v>2.7317102499999999</v>
      </c>
      <c r="Q498" s="3">
        <v>-12.619675245083361</v>
      </c>
      <c r="R498" s="13">
        <f t="shared" si="28"/>
        <v>2.7317102499999999</v>
      </c>
      <c r="S498" s="42">
        <f t="shared" si="31"/>
        <v>94.751102817962661</v>
      </c>
      <c r="T498" s="13">
        <v>0</v>
      </c>
      <c r="U498" s="14">
        <f t="shared" si="29"/>
        <v>-12.619675245083361</v>
      </c>
      <c r="V498" s="15">
        <f t="shared" si="30"/>
        <v>258.83255876663247</v>
      </c>
    </row>
    <row r="499" spans="1:22" x14ac:dyDescent="0.3">
      <c r="M499" s="4">
        <v>527</v>
      </c>
      <c r="N499" s="4" t="s">
        <v>530</v>
      </c>
      <c r="O499" s="12">
        <v>46033.568067129629</v>
      </c>
      <c r="P499" s="5">
        <v>26.802882</v>
      </c>
      <c r="Q499" s="5">
        <v>-6.9605202044985699</v>
      </c>
      <c r="R499" s="13">
        <f t="shared" si="28"/>
        <v>26.802882</v>
      </c>
      <c r="S499" s="42">
        <f t="shared" si="31"/>
        <v>94.751102817962661</v>
      </c>
      <c r="T499" s="13">
        <v>0</v>
      </c>
      <c r="U499" s="14">
        <f t="shared" si="29"/>
        <v>-6.9605202044985699</v>
      </c>
      <c r="V499" s="15">
        <f t="shared" si="30"/>
        <v>2539.6026281997206</v>
      </c>
    </row>
    <row r="500" spans="1:22" x14ac:dyDescent="0.3">
      <c r="M500" s="1">
        <v>528</v>
      </c>
      <c r="N500" s="1" t="s">
        <v>531</v>
      </c>
      <c r="O500" s="2">
        <v>46033.571782407409</v>
      </c>
      <c r="P500" s="3">
        <v>17.952244</v>
      </c>
      <c r="Q500" s="3">
        <v>-7.9628158775615203</v>
      </c>
      <c r="R500" s="13">
        <f t="shared" si="28"/>
        <v>17.952244</v>
      </c>
      <c r="S500" s="42">
        <f t="shared" si="31"/>
        <v>94.751102817962661</v>
      </c>
      <c r="T500" s="13">
        <v>0</v>
      </c>
      <c r="U500" s="14">
        <f t="shared" si="29"/>
        <v>-7.9628158775615203</v>
      </c>
      <c r="V500" s="15">
        <f t="shared" si="30"/>
        <v>1700.9949170571533</v>
      </c>
    </row>
    <row r="501" spans="1:22" x14ac:dyDescent="0.3">
      <c r="M501" s="4">
        <v>529</v>
      </c>
      <c r="N501" s="4" t="s">
        <v>532</v>
      </c>
      <c r="O501" s="12">
        <v>46033.575520833336</v>
      </c>
      <c r="P501" s="5">
        <v>10.712659</v>
      </c>
      <c r="Q501" s="5">
        <v>-9.9071640510691985</v>
      </c>
      <c r="R501" s="13">
        <f t="shared" si="28"/>
        <v>10.712659</v>
      </c>
      <c r="S501" s="42">
        <f t="shared" si="31"/>
        <v>94.751102817962661</v>
      </c>
      <c r="T501" s="13">
        <v>0</v>
      </c>
      <c r="U501" s="14">
        <f t="shared" si="29"/>
        <v>-9.9071640510691985</v>
      </c>
      <c r="V501" s="15">
        <f t="shared" si="30"/>
        <v>1015.0362543627731</v>
      </c>
    </row>
    <row r="502" spans="1:22" x14ac:dyDescent="0.3">
      <c r="M502" s="1">
        <v>530</v>
      </c>
      <c r="N502" s="1" t="s">
        <v>533</v>
      </c>
      <c r="O502" s="2">
        <v>46033.579236111109</v>
      </c>
      <c r="P502" s="3">
        <v>8.5137359999999997</v>
      </c>
      <c r="Q502" s="3">
        <v>-11.369978414250419</v>
      </c>
      <c r="R502" s="13">
        <f t="shared" si="28"/>
        <v>8.5137359999999997</v>
      </c>
      <c r="S502" s="42">
        <f t="shared" si="31"/>
        <v>94.751102817962661</v>
      </c>
      <c r="T502" s="13">
        <v>0</v>
      </c>
      <c r="U502" s="14">
        <f t="shared" si="29"/>
        <v>-11.369978414250419</v>
      </c>
      <c r="V502" s="15">
        <f t="shared" si="30"/>
        <v>806.68587510099007</v>
      </c>
    </row>
    <row r="503" spans="1:22" x14ac:dyDescent="0.3">
      <c r="M503" s="4">
        <v>531</v>
      </c>
      <c r="N503" s="4" t="s">
        <v>534</v>
      </c>
      <c r="O503" s="12">
        <v>46033.582962962966</v>
      </c>
      <c r="P503" s="5">
        <v>2.7514097500000001</v>
      </c>
      <c r="Q503" s="5">
        <v>-12.912170720180081</v>
      </c>
      <c r="R503" s="13">
        <f t="shared" si="28"/>
        <v>2.7514097500000001</v>
      </c>
      <c r="S503" s="42">
        <f t="shared" si="31"/>
        <v>94.751102817962661</v>
      </c>
      <c r="T503" s="13">
        <v>0</v>
      </c>
      <c r="U503" s="14">
        <f t="shared" si="29"/>
        <v>-12.912170720180081</v>
      </c>
      <c r="V503" s="15">
        <f t="shared" si="30"/>
        <v>260.69910811659497</v>
      </c>
    </row>
    <row r="504" spans="1:22" x14ac:dyDescent="0.3">
      <c r="A504">
        <v>6</v>
      </c>
      <c r="B504" s="84">
        <v>4.2</v>
      </c>
      <c r="C504" s="78">
        <v>45971</v>
      </c>
      <c r="D504" s="78">
        <v>45973</v>
      </c>
      <c r="E504">
        <v>33</v>
      </c>
      <c r="F504" t="s">
        <v>910</v>
      </c>
      <c r="G504" t="s">
        <v>922</v>
      </c>
      <c r="H504">
        <v>25</v>
      </c>
      <c r="I504">
        <v>29</v>
      </c>
      <c r="J504" t="s">
        <v>25</v>
      </c>
      <c r="K504" t="s">
        <v>1376</v>
      </c>
      <c r="M504" s="1">
        <v>532</v>
      </c>
      <c r="N504" s="1" t="s">
        <v>535</v>
      </c>
      <c r="O504" s="2">
        <v>46033.586689814816</v>
      </c>
      <c r="P504" s="3">
        <v>9.4476019999999998</v>
      </c>
      <c r="Q504" s="3">
        <v>30.445482234628649</v>
      </c>
      <c r="R504" s="13">
        <f t="shared" ref="R504:R567" si="32">P504</f>
        <v>9.4476019999999998</v>
      </c>
      <c r="S504" s="42">
        <f t="shared" si="31"/>
        <v>94.751102817962661</v>
      </c>
      <c r="T504" s="13">
        <v>0</v>
      </c>
      <c r="U504" s="14">
        <f t="shared" ref="U504:U567" si="33">Q504+T504</f>
        <v>30.445482234628649</v>
      </c>
      <c r="V504" s="15">
        <f t="shared" ref="V504:V567" si="34">R504*S504</f>
        <v>895.17070848518961</v>
      </c>
    </row>
    <row r="505" spans="1:22" x14ac:dyDescent="0.3">
      <c r="A505">
        <v>6</v>
      </c>
      <c r="B505" s="84">
        <v>4.2</v>
      </c>
      <c r="C505" s="78">
        <v>45971</v>
      </c>
      <c r="D505" s="78">
        <v>45973</v>
      </c>
      <c r="E505">
        <v>37</v>
      </c>
      <c r="F505" t="s">
        <v>921</v>
      </c>
      <c r="G505" t="s">
        <v>926</v>
      </c>
      <c r="H505">
        <v>25</v>
      </c>
      <c r="I505">
        <v>30</v>
      </c>
      <c r="J505" t="s">
        <v>25</v>
      </c>
      <c r="K505" t="s">
        <v>1377</v>
      </c>
      <c r="M505" s="4">
        <v>533</v>
      </c>
      <c r="N505" s="4" t="s">
        <v>536</v>
      </c>
      <c r="O505" s="12">
        <v>46033.590416666666</v>
      </c>
      <c r="P505" s="5">
        <v>10.446337</v>
      </c>
      <c r="Q505" s="5">
        <v>42.928907942107905</v>
      </c>
      <c r="R505" s="13">
        <f t="shared" si="32"/>
        <v>10.446337</v>
      </c>
      <c r="S505" s="42">
        <f t="shared" si="31"/>
        <v>94.751102817962661</v>
      </c>
      <c r="T505" s="13">
        <v>0</v>
      </c>
      <c r="U505" s="14">
        <f t="shared" si="33"/>
        <v>42.928907942107905</v>
      </c>
      <c r="V505" s="15">
        <f t="shared" si="34"/>
        <v>989.8019511580876</v>
      </c>
    </row>
    <row r="506" spans="1:22" x14ac:dyDescent="0.3">
      <c r="A506">
        <v>6</v>
      </c>
      <c r="B506" s="84">
        <v>4.2</v>
      </c>
      <c r="C506" s="78">
        <v>45971</v>
      </c>
      <c r="D506" s="78">
        <v>45973</v>
      </c>
      <c r="E506">
        <v>34</v>
      </c>
      <c r="F506" t="s">
        <v>932</v>
      </c>
      <c r="G506" t="s">
        <v>930</v>
      </c>
      <c r="H506">
        <v>25</v>
      </c>
      <c r="I506">
        <v>31</v>
      </c>
      <c r="J506" t="s">
        <v>25</v>
      </c>
      <c r="K506" t="s">
        <v>1378</v>
      </c>
      <c r="M506" s="1">
        <v>534</v>
      </c>
      <c r="N506" s="1" t="s">
        <v>537</v>
      </c>
      <c r="O506" s="2">
        <v>46033.594143518516</v>
      </c>
      <c r="P506" s="3">
        <v>8.4567099999999993</v>
      </c>
      <c r="Q506" s="3">
        <v>27.964106074679965</v>
      </c>
      <c r="R506" s="13">
        <f t="shared" si="32"/>
        <v>8.4567099999999993</v>
      </c>
      <c r="S506" s="42">
        <f t="shared" si="31"/>
        <v>94.751102817962661</v>
      </c>
      <c r="T506" s="13">
        <v>0</v>
      </c>
      <c r="U506" s="14">
        <f t="shared" si="33"/>
        <v>27.964106074679965</v>
      </c>
      <c r="V506" s="15">
        <f t="shared" si="34"/>
        <v>801.28259871169291</v>
      </c>
    </row>
    <row r="507" spans="1:22" x14ac:dyDescent="0.3">
      <c r="A507">
        <v>6</v>
      </c>
      <c r="B507" s="84">
        <v>4.2</v>
      </c>
      <c r="C507" s="78">
        <v>45971</v>
      </c>
      <c r="D507" s="78">
        <v>45973</v>
      </c>
      <c r="E507">
        <v>38</v>
      </c>
      <c r="F507" t="s">
        <v>925</v>
      </c>
      <c r="G507" t="s">
        <v>933</v>
      </c>
      <c r="H507">
        <v>25</v>
      </c>
      <c r="I507">
        <v>32</v>
      </c>
      <c r="J507" t="s">
        <v>25</v>
      </c>
      <c r="K507" t="s">
        <v>1379</v>
      </c>
      <c r="M507" s="4">
        <v>535</v>
      </c>
      <c r="N507" s="4" t="s">
        <v>538</v>
      </c>
      <c r="O507" s="12">
        <v>46033.597870370373</v>
      </c>
      <c r="P507" s="5">
        <v>8.9170049999999996</v>
      </c>
      <c r="Q507" s="5">
        <v>27.691044941303005</v>
      </c>
      <c r="R507" s="13">
        <f t="shared" si="32"/>
        <v>8.9170049999999996</v>
      </c>
      <c r="S507" s="42">
        <f t="shared" si="31"/>
        <v>94.751102817962661</v>
      </c>
      <c r="T507" s="13">
        <v>0</v>
      </c>
      <c r="U507" s="14">
        <f t="shared" si="33"/>
        <v>27.691044941303005</v>
      </c>
      <c r="V507" s="15">
        <f t="shared" si="34"/>
        <v>844.89605758328707</v>
      </c>
    </row>
    <row r="508" spans="1:22" x14ac:dyDescent="0.3">
      <c r="A508">
        <v>6</v>
      </c>
      <c r="B508" s="84">
        <v>4.3</v>
      </c>
      <c r="C508" s="78">
        <v>45972</v>
      </c>
      <c r="D508" s="78">
        <v>45974</v>
      </c>
      <c r="E508">
        <v>35</v>
      </c>
      <c r="F508" t="s">
        <v>913</v>
      </c>
      <c r="G508" t="s">
        <v>907</v>
      </c>
      <c r="H508">
        <v>49</v>
      </c>
      <c r="I508">
        <v>1</v>
      </c>
      <c r="J508" t="s">
        <v>908</v>
      </c>
      <c r="K508" t="s">
        <v>1380</v>
      </c>
      <c r="M508" s="1">
        <v>536</v>
      </c>
      <c r="N508" s="1" t="s">
        <v>539</v>
      </c>
      <c r="O508" s="2">
        <v>46033.601643518516</v>
      </c>
      <c r="P508" s="3">
        <v>7.0558395000000003</v>
      </c>
      <c r="Q508" s="3">
        <v>-14.719989110237551</v>
      </c>
      <c r="R508" s="13">
        <f t="shared" si="32"/>
        <v>7.0558395000000003</v>
      </c>
      <c r="S508" s="42">
        <f t="shared" si="31"/>
        <v>94.751102817962661</v>
      </c>
      <c r="T508" s="13">
        <v>0</v>
      </c>
      <c r="U508" s="14">
        <f t="shared" si="33"/>
        <v>-14.719989110237551</v>
      </c>
      <c r="V508" s="15">
        <f t="shared" si="34"/>
        <v>668.54857393154225</v>
      </c>
    </row>
    <row r="509" spans="1:22" x14ac:dyDescent="0.3">
      <c r="A509">
        <v>6</v>
      </c>
      <c r="B509" s="84">
        <v>4.3</v>
      </c>
      <c r="C509" s="78">
        <v>45972</v>
      </c>
      <c r="D509" s="78">
        <v>45974</v>
      </c>
      <c r="E509">
        <v>40</v>
      </c>
      <c r="F509" t="s">
        <v>906</v>
      </c>
      <c r="G509" t="s">
        <v>15</v>
      </c>
      <c r="H509">
        <v>49</v>
      </c>
      <c r="I509">
        <v>2</v>
      </c>
      <c r="J509" t="s">
        <v>908</v>
      </c>
      <c r="K509" t="s">
        <v>1381</v>
      </c>
      <c r="M509" s="4">
        <v>537</v>
      </c>
      <c r="N509" s="4" t="s">
        <v>540</v>
      </c>
      <c r="O509" s="12">
        <v>46033.605393518519</v>
      </c>
      <c r="P509" s="5">
        <v>7.0842464999999999</v>
      </c>
      <c r="Q509" s="5">
        <v>-10.163632708354509</v>
      </c>
      <c r="R509" s="13">
        <f t="shared" si="32"/>
        <v>7.0842464999999999</v>
      </c>
      <c r="S509" s="42">
        <f t="shared" si="31"/>
        <v>94.751102817962661</v>
      </c>
      <c r="T509" s="13">
        <v>0</v>
      </c>
      <c r="U509" s="14">
        <f t="shared" si="33"/>
        <v>-10.163632708354509</v>
      </c>
      <c r="V509" s="15">
        <f t="shared" si="34"/>
        <v>671.24016850929206</v>
      </c>
    </row>
    <row r="510" spans="1:22" x14ac:dyDescent="0.3">
      <c r="A510">
        <v>6</v>
      </c>
      <c r="B510" s="84">
        <v>4.3</v>
      </c>
      <c r="C510" s="78">
        <v>45972</v>
      </c>
      <c r="D510" s="78">
        <v>45974</v>
      </c>
      <c r="E510">
        <v>36</v>
      </c>
      <c r="F510" t="s">
        <v>917</v>
      </c>
      <c r="G510" t="s">
        <v>914</v>
      </c>
      <c r="H510">
        <v>49</v>
      </c>
      <c r="I510">
        <v>3</v>
      </c>
      <c r="J510" t="s">
        <v>908</v>
      </c>
      <c r="K510" t="s">
        <v>1382</v>
      </c>
      <c r="M510" s="1">
        <v>538</v>
      </c>
      <c r="N510" s="1" t="s">
        <v>541</v>
      </c>
      <c r="O510" s="2">
        <v>46033.609120370369</v>
      </c>
      <c r="P510" s="3">
        <v>6.9471170000000004</v>
      </c>
      <c r="Q510" s="3">
        <v>-14.27828189412015</v>
      </c>
      <c r="R510" s="13">
        <f t="shared" si="32"/>
        <v>6.9471170000000004</v>
      </c>
      <c r="S510" s="42">
        <f t="shared" si="31"/>
        <v>94.751102817962661</v>
      </c>
      <c r="T510" s="13">
        <v>0</v>
      </c>
      <c r="U510" s="14">
        <f t="shared" si="33"/>
        <v>-14.27828189412015</v>
      </c>
      <c r="V510" s="15">
        <f t="shared" si="34"/>
        <v>658.24699715541635</v>
      </c>
    </row>
    <row r="511" spans="1:22" x14ac:dyDescent="0.3">
      <c r="A511">
        <v>6</v>
      </c>
      <c r="B511" s="84">
        <v>4.3</v>
      </c>
      <c r="C511" s="78">
        <v>45972</v>
      </c>
      <c r="D511" s="78">
        <v>45974</v>
      </c>
      <c r="E511">
        <v>39</v>
      </c>
      <c r="F511" t="s">
        <v>929</v>
      </c>
      <c r="G511" t="s">
        <v>918</v>
      </c>
      <c r="H511">
        <v>49</v>
      </c>
      <c r="I511">
        <v>4</v>
      </c>
      <c r="J511" t="s">
        <v>908</v>
      </c>
      <c r="K511" t="s">
        <v>1383</v>
      </c>
      <c r="M511" s="4">
        <v>539</v>
      </c>
      <c r="N511" s="4" t="s">
        <v>542</v>
      </c>
      <c r="O511" s="12">
        <v>46033.612847222219</v>
      </c>
      <c r="P511" s="5">
        <v>7.3420705000000002</v>
      </c>
      <c r="Q511" s="5">
        <v>-15.672208703092537</v>
      </c>
      <c r="R511" s="13">
        <f t="shared" si="32"/>
        <v>7.3420705000000002</v>
      </c>
      <c r="S511" s="42">
        <f t="shared" si="31"/>
        <v>94.751102817962661</v>
      </c>
      <c r="T511" s="13">
        <v>0</v>
      </c>
      <c r="U511" s="14">
        <f t="shared" si="33"/>
        <v>-15.672208703092537</v>
      </c>
      <c r="V511" s="15">
        <f t="shared" si="34"/>
        <v>695.66927684223049</v>
      </c>
    </row>
    <row r="512" spans="1:22" x14ac:dyDescent="0.3">
      <c r="A512">
        <v>6</v>
      </c>
      <c r="B512" s="84">
        <v>4.3</v>
      </c>
      <c r="C512" s="78">
        <v>45972</v>
      </c>
      <c r="D512" s="78">
        <v>45974</v>
      </c>
      <c r="E512">
        <v>33</v>
      </c>
      <c r="F512" t="s">
        <v>910</v>
      </c>
      <c r="G512" t="s">
        <v>922</v>
      </c>
      <c r="H512">
        <v>49</v>
      </c>
      <c r="I512">
        <v>5</v>
      </c>
      <c r="J512" t="s">
        <v>908</v>
      </c>
      <c r="K512" t="s">
        <v>1384</v>
      </c>
      <c r="M512" s="1">
        <v>540</v>
      </c>
      <c r="N512" s="1" t="s">
        <v>543</v>
      </c>
      <c r="O512" s="2">
        <v>46033.616585648146</v>
      </c>
      <c r="P512" s="3">
        <v>6.9356074999999997</v>
      </c>
      <c r="Q512" s="3">
        <v>-13.447189792675767</v>
      </c>
      <c r="R512" s="13">
        <f t="shared" si="32"/>
        <v>6.9356074999999997</v>
      </c>
      <c r="S512" s="42">
        <f t="shared" si="31"/>
        <v>94.751102817962661</v>
      </c>
      <c r="T512" s="13">
        <v>0</v>
      </c>
      <c r="U512" s="14">
        <f t="shared" si="33"/>
        <v>-13.447189792675767</v>
      </c>
      <c r="V512" s="15">
        <f t="shared" si="34"/>
        <v>657.15645933753297</v>
      </c>
    </row>
    <row r="513" spans="1:22" x14ac:dyDescent="0.3">
      <c r="A513">
        <v>6</v>
      </c>
      <c r="B513" s="84">
        <v>4.3</v>
      </c>
      <c r="C513" s="78">
        <v>45972</v>
      </c>
      <c r="D513" s="78">
        <v>45974</v>
      </c>
      <c r="E513">
        <v>37</v>
      </c>
      <c r="F513" t="s">
        <v>921</v>
      </c>
      <c r="G513" t="s">
        <v>926</v>
      </c>
      <c r="H513">
        <v>49</v>
      </c>
      <c r="I513">
        <v>6</v>
      </c>
      <c r="J513" t="s">
        <v>908</v>
      </c>
      <c r="K513" t="s">
        <v>1385</v>
      </c>
      <c r="M513" s="4">
        <v>541</v>
      </c>
      <c r="N513" s="4" t="s">
        <v>544</v>
      </c>
      <c r="O513" s="12">
        <v>46033.620312500003</v>
      </c>
      <c r="P513" s="5">
        <v>7.547822</v>
      </c>
      <c r="Q513" s="5">
        <v>-11.43451509921891</v>
      </c>
      <c r="R513" s="13">
        <f t="shared" si="32"/>
        <v>7.547822</v>
      </c>
      <c r="S513" s="42">
        <f t="shared" si="31"/>
        <v>94.751102817962661</v>
      </c>
      <c r="T513" s="13">
        <v>0</v>
      </c>
      <c r="U513" s="14">
        <f t="shared" si="33"/>
        <v>-11.43451509921891</v>
      </c>
      <c r="V513" s="15">
        <f t="shared" si="34"/>
        <v>715.16445837368053</v>
      </c>
    </row>
    <row r="514" spans="1:22" x14ac:dyDescent="0.3">
      <c r="A514">
        <v>6</v>
      </c>
      <c r="B514" s="84">
        <v>4.3</v>
      </c>
      <c r="C514" s="78">
        <v>45972</v>
      </c>
      <c r="D514" s="78">
        <v>45974</v>
      </c>
      <c r="E514">
        <v>34</v>
      </c>
      <c r="F514" t="s">
        <v>932</v>
      </c>
      <c r="G514" t="s">
        <v>930</v>
      </c>
      <c r="H514">
        <v>49</v>
      </c>
      <c r="I514">
        <v>7</v>
      </c>
      <c r="J514" t="s">
        <v>908</v>
      </c>
      <c r="K514" t="s">
        <v>1386</v>
      </c>
      <c r="M514" s="1">
        <v>542</v>
      </c>
      <c r="N514" s="1" t="s">
        <v>545</v>
      </c>
      <c r="O514" s="2">
        <v>46033.624050925922</v>
      </c>
      <c r="P514" s="3">
        <v>7.6358664999999997</v>
      </c>
      <c r="Q514" s="3">
        <v>-12.265576098907014</v>
      </c>
      <c r="R514" s="13">
        <f t="shared" si="32"/>
        <v>7.6358664999999997</v>
      </c>
      <c r="S514" s="42">
        <f t="shared" si="31"/>
        <v>94.751102817962661</v>
      </c>
      <c r="T514" s="13">
        <v>0</v>
      </c>
      <c r="U514" s="14">
        <f t="shared" si="33"/>
        <v>-12.265576098907014</v>
      </c>
      <c r="V514" s="15">
        <f t="shared" si="34"/>
        <v>723.50677184573669</v>
      </c>
    </row>
    <row r="515" spans="1:22" x14ac:dyDescent="0.3">
      <c r="A515">
        <v>6</v>
      </c>
      <c r="B515" s="84">
        <v>4.3</v>
      </c>
      <c r="C515" s="78">
        <v>45972</v>
      </c>
      <c r="D515" s="78">
        <v>45974</v>
      </c>
      <c r="E515">
        <v>38</v>
      </c>
      <c r="F515" t="s">
        <v>925</v>
      </c>
      <c r="G515" t="s">
        <v>933</v>
      </c>
      <c r="H515">
        <v>49</v>
      </c>
      <c r="I515">
        <v>8</v>
      </c>
      <c r="J515" t="s">
        <v>908</v>
      </c>
      <c r="K515" t="s">
        <v>1387</v>
      </c>
      <c r="M515" s="4">
        <v>543</v>
      </c>
      <c r="N515" s="4" t="s">
        <v>546</v>
      </c>
      <c r="O515" s="12">
        <v>46033.627812500003</v>
      </c>
      <c r="P515" s="5">
        <v>7.7271345</v>
      </c>
      <c r="Q515" s="5">
        <v>-14.806219331957235</v>
      </c>
      <c r="R515" s="13">
        <f t="shared" si="32"/>
        <v>7.7271345</v>
      </c>
      <c r="S515" s="42">
        <f t="shared" ref="S515:S578" si="35">$S$890</f>
        <v>94.751102817962661</v>
      </c>
      <c r="T515" s="13">
        <v>0</v>
      </c>
      <c r="U515" s="14">
        <f t="shared" si="33"/>
        <v>-14.806219331957235</v>
      </c>
      <c r="V515" s="15">
        <f t="shared" si="34"/>
        <v>732.15451549772649</v>
      </c>
    </row>
    <row r="516" spans="1:22" x14ac:dyDescent="0.3">
      <c r="A516">
        <v>6</v>
      </c>
      <c r="B516" s="84">
        <v>4.3</v>
      </c>
      <c r="C516" s="78">
        <v>45972</v>
      </c>
      <c r="D516" s="78">
        <v>45974</v>
      </c>
      <c r="E516">
        <v>35</v>
      </c>
      <c r="F516" t="s">
        <v>913</v>
      </c>
      <c r="G516" t="s">
        <v>907</v>
      </c>
      <c r="H516">
        <v>49</v>
      </c>
      <c r="I516">
        <v>9</v>
      </c>
      <c r="J516" t="s">
        <v>935</v>
      </c>
      <c r="K516" t="s">
        <v>1388</v>
      </c>
      <c r="M516" s="1">
        <v>544</v>
      </c>
      <c r="N516" s="1" t="s">
        <v>547</v>
      </c>
      <c r="O516" s="2">
        <v>46033.631550925929</v>
      </c>
      <c r="P516" s="3">
        <v>7.3927395000000002</v>
      </c>
      <c r="Q516" s="3">
        <v>9.945760814136456</v>
      </c>
      <c r="R516" s="13">
        <f t="shared" si="32"/>
        <v>7.3927395000000002</v>
      </c>
      <c r="S516" s="42">
        <f t="shared" si="35"/>
        <v>94.751102817962661</v>
      </c>
      <c r="T516" s="13">
        <v>0</v>
      </c>
      <c r="U516" s="14">
        <f t="shared" si="33"/>
        <v>9.945760814136456</v>
      </c>
      <c r="V516" s="15">
        <f t="shared" si="34"/>
        <v>700.47022047091389</v>
      </c>
    </row>
    <row r="517" spans="1:22" x14ac:dyDescent="0.3">
      <c r="A517">
        <v>6</v>
      </c>
      <c r="B517" s="84">
        <v>4.3</v>
      </c>
      <c r="C517" s="78">
        <v>45972</v>
      </c>
      <c r="D517" s="78">
        <v>45974</v>
      </c>
      <c r="E517">
        <v>40</v>
      </c>
      <c r="F517" t="s">
        <v>906</v>
      </c>
      <c r="G517" t="s">
        <v>15</v>
      </c>
      <c r="H517">
        <v>49</v>
      </c>
      <c r="I517">
        <v>10</v>
      </c>
      <c r="J517" t="s">
        <v>935</v>
      </c>
      <c r="K517" t="s">
        <v>1389</v>
      </c>
      <c r="M517" s="4">
        <v>545</v>
      </c>
      <c r="N517" s="4" t="s">
        <v>548</v>
      </c>
      <c r="O517" s="12">
        <v>46033.635254629633</v>
      </c>
      <c r="P517" s="5">
        <v>8.0308580000000003</v>
      </c>
      <c r="Q517" s="5">
        <v>27.834678936308745</v>
      </c>
      <c r="R517" s="13">
        <f t="shared" si="32"/>
        <v>8.0308580000000003</v>
      </c>
      <c r="S517" s="42">
        <f t="shared" si="35"/>
        <v>94.751102817962661</v>
      </c>
      <c r="T517" s="13">
        <v>0</v>
      </c>
      <c r="U517" s="14">
        <f t="shared" si="33"/>
        <v>27.834678936308745</v>
      </c>
      <c r="V517" s="15">
        <f t="shared" si="34"/>
        <v>760.93265207445802</v>
      </c>
    </row>
    <row r="518" spans="1:22" x14ac:dyDescent="0.3">
      <c r="A518">
        <v>6</v>
      </c>
      <c r="B518" s="84">
        <v>4.3</v>
      </c>
      <c r="C518" s="78">
        <v>45972</v>
      </c>
      <c r="D518" s="78">
        <v>45974</v>
      </c>
      <c r="E518">
        <v>36</v>
      </c>
      <c r="F518" t="s">
        <v>917</v>
      </c>
      <c r="G518" t="s">
        <v>914</v>
      </c>
      <c r="H518">
        <v>49</v>
      </c>
      <c r="I518">
        <v>11</v>
      </c>
      <c r="J518" t="s">
        <v>935</v>
      </c>
      <c r="K518" t="s">
        <v>1390</v>
      </c>
      <c r="M518" s="1">
        <v>546</v>
      </c>
      <c r="N518" s="1" t="s">
        <v>549</v>
      </c>
      <c r="O518" s="2">
        <v>46033.638993055552</v>
      </c>
      <c r="P518" s="3">
        <v>7.3145470000000001</v>
      </c>
      <c r="Q518" s="3">
        <v>21.315522334589545</v>
      </c>
      <c r="R518" s="13">
        <f t="shared" si="32"/>
        <v>7.3145470000000001</v>
      </c>
      <c r="S518" s="42">
        <f t="shared" si="35"/>
        <v>94.751102817962661</v>
      </c>
      <c r="T518" s="13">
        <v>0</v>
      </c>
      <c r="U518" s="14">
        <f t="shared" si="33"/>
        <v>21.315522334589545</v>
      </c>
      <c r="V518" s="15">
        <f t="shared" si="34"/>
        <v>693.06139486382028</v>
      </c>
    </row>
    <row r="519" spans="1:22" x14ac:dyDescent="0.3">
      <c r="A519">
        <v>6</v>
      </c>
      <c r="B519" s="84">
        <v>4.3</v>
      </c>
      <c r="C519" s="78">
        <v>45972</v>
      </c>
      <c r="D519" s="78">
        <v>45974</v>
      </c>
      <c r="E519">
        <v>39</v>
      </c>
      <c r="F519" t="s">
        <v>929</v>
      </c>
      <c r="G519" t="s">
        <v>918</v>
      </c>
      <c r="H519">
        <v>49</v>
      </c>
      <c r="I519">
        <v>12</v>
      </c>
      <c r="J519" t="s">
        <v>935</v>
      </c>
      <c r="K519" t="s">
        <v>1391</v>
      </c>
      <c r="M519" s="4">
        <v>547</v>
      </c>
      <c r="N519" s="4" t="s">
        <v>550</v>
      </c>
      <c r="O519" s="12">
        <v>46033.642708333333</v>
      </c>
      <c r="P519" s="5">
        <v>7.4496365000000004</v>
      </c>
      <c r="Q519" s="5">
        <v>7.2080388858521207</v>
      </c>
      <c r="R519" s="13">
        <f t="shared" si="32"/>
        <v>7.4496365000000004</v>
      </c>
      <c r="S519" s="42">
        <f t="shared" si="35"/>
        <v>94.751102817962661</v>
      </c>
      <c r="T519" s="13">
        <v>0</v>
      </c>
      <c r="U519" s="14">
        <f t="shared" si="33"/>
        <v>7.2080388858521207</v>
      </c>
      <c r="V519" s="15">
        <f t="shared" si="34"/>
        <v>705.86127396794757</v>
      </c>
    </row>
    <row r="520" spans="1:22" x14ac:dyDescent="0.3">
      <c r="A520">
        <v>6</v>
      </c>
      <c r="B520" s="84">
        <v>4.3</v>
      </c>
      <c r="C520" s="78">
        <v>45972</v>
      </c>
      <c r="D520" s="78">
        <v>45974</v>
      </c>
      <c r="E520">
        <v>33</v>
      </c>
      <c r="F520" t="s">
        <v>910</v>
      </c>
      <c r="G520" t="s">
        <v>922</v>
      </c>
      <c r="H520">
        <v>49</v>
      </c>
      <c r="I520">
        <v>13</v>
      </c>
      <c r="J520" t="s">
        <v>935</v>
      </c>
      <c r="K520" t="s">
        <v>1392</v>
      </c>
      <c r="M520" s="1">
        <v>548</v>
      </c>
      <c r="N520" s="1" t="s">
        <v>551</v>
      </c>
      <c r="O520" s="2">
        <v>46033.64644675926</v>
      </c>
      <c r="P520" s="3">
        <v>7.6198620000000004</v>
      </c>
      <c r="Q520" s="3">
        <v>27.462476962627324</v>
      </c>
      <c r="R520" s="13">
        <f t="shared" si="32"/>
        <v>7.6198620000000004</v>
      </c>
      <c r="S520" s="42">
        <f t="shared" si="35"/>
        <v>94.751102817962661</v>
      </c>
      <c r="T520" s="13">
        <v>0</v>
      </c>
      <c r="U520" s="14">
        <f t="shared" si="33"/>
        <v>27.462476962627324</v>
      </c>
      <c r="V520" s="15">
        <f t="shared" si="34"/>
        <v>721.99032782068662</v>
      </c>
    </row>
    <row r="521" spans="1:22" x14ac:dyDescent="0.3">
      <c r="A521">
        <v>6</v>
      </c>
      <c r="B521" s="84">
        <v>4.3</v>
      </c>
      <c r="C521" s="78">
        <v>45972</v>
      </c>
      <c r="D521" s="78">
        <v>45974</v>
      </c>
      <c r="E521">
        <v>37</v>
      </c>
      <c r="F521" t="s">
        <v>921</v>
      </c>
      <c r="G521" t="s">
        <v>926</v>
      </c>
      <c r="H521">
        <v>49</v>
      </c>
      <c r="I521">
        <v>14</v>
      </c>
      <c r="J521" t="s">
        <v>935</v>
      </c>
      <c r="K521" t="s">
        <v>1393</v>
      </c>
      <c r="M521" s="4">
        <v>549</v>
      </c>
      <c r="N521" s="4" t="s">
        <v>552</v>
      </c>
      <c r="O521" s="12">
        <v>46033.650185185186</v>
      </c>
      <c r="P521" s="5">
        <v>8.8133879999999998</v>
      </c>
      <c r="Q521" s="5">
        <v>32.81876081836937</v>
      </c>
      <c r="R521" s="13">
        <f t="shared" si="32"/>
        <v>8.8133879999999998</v>
      </c>
      <c r="S521" s="42">
        <f t="shared" si="35"/>
        <v>94.751102817962661</v>
      </c>
      <c r="T521" s="13">
        <v>0</v>
      </c>
      <c r="U521" s="14">
        <f t="shared" si="33"/>
        <v>32.81876081836937</v>
      </c>
      <c r="V521" s="15">
        <f t="shared" si="34"/>
        <v>835.07823256259826</v>
      </c>
    </row>
    <row r="522" spans="1:22" x14ac:dyDescent="0.3">
      <c r="A522">
        <v>6</v>
      </c>
      <c r="B522" s="84">
        <v>4.3</v>
      </c>
      <c r="C522" s="78">
        <v>45972</v>
      </c>
      <c r="D522" s="78">
        <v>45974</v>
      </c>
      <c r="E522">
        <v>34</v>
      </c>
      <c r="F522" t="s">
        <v>932</v>
      </c>
      <c r="G522" t="s">
        <v>930</v>
      </c>
      <c r="H522">
        <v>49</v>
      </c>
      <c r="I522">
        <v>15</v>
      </c>
      <c r="J522" t="s">
        <v>935</v>
      </c>
      <c r="K522" t="s">
        <v>1394</v>
      </c>
      <c r="M522" s="1">
        <v>550</v>
      </c>
      <c r="N522" s="1" t="s">
        <v>553</v>
      </c>
      <c r="O522" s="2">
        <v>46033.653923611113</v>
      </c>
      <c r="P522" s="3">
        <v>7.4318489999999997</v>
      </c>
      <c r="Q522" s="3">
        <v>27.217087591073771</v>
      </c>
      <c r="R522" s="13">
        <f t="shared" si="32"/>
        <v>7.4318489999999997</v>
      </c>
      <c r="S522" s="42">
        <f t="shared" si="35"/>
        <v>94.751102817962661</v>
      </c>
      <c r="T522" s="13">
        <v>0</v>
      </c>
      <c r="U522" s="14">
        <f t="shared" si="33"/>
        <v>27.217087591073771</v>
      </c>
      <c r="V522" s="15">
        <f t="shared" si="34"/>
        <v>704.17588872657291</v>
      </c>
    </row>
    <row r="523" spans="1:22" x14ac:dyDescent="0.3">
      <c r="A523">
        <v>6</v>
      </c>
      <c r="B523" s="84">
        <v>4.3</v>
      </c>
      <c r="C523" s="78">
        <v>45972</v>
      </c>
      <c r="D523" s="78">
        <v>45974</v>
      </c>
      <c r="E523">
        <v>38</v>
      </c>
      <c r="F523" t="s">
        <v>925</v>
      </c>
      <c r="G523" t="s">
        <v>933</v>
      </c>
      <c r="H523">
        <v>49</v>
      </c>
      <c r="I523">
        <v>16</v>
      </c>
      <c r="J523" t="s">
        <v>935</v>
      </c>
      <c r="K523" t="s">
        <v>1395</v>
      </c>
      <c r="M523" s="4">
        <v>551</v>
      </c>
      <c r="N523" s="4" t="s">
        <v>554</v>
      </c>
      <c r="O523" s="12">
        <v>46033.65766203704</v>
      </c>
      <c r="P523" s="5">
        <v>8.0624585</v>
      </c>
      <c r="Q523" s="5">
        <v>20.911590704591376</v>
      </c>
      <c r="R523" s="13">
        <f t="shared" si="32"/>
        <v>8.0624585</v>
      </c>
      <c r="S523" s="42">
        <f t="shared" si="35"/>
        <v>94.751102817962661</v>
      </c>
      <c r="T523" s="13">
        <v>0</v>
      </c>
      <c r="U523" s="14">
        <f t="shared" si="33"/>
        <v>20.911590704591376</v>
      </c>
      <c r="V523" s="15">
        <f t="shared" si="34"/>
        <v>763.92683429905696</v>
      </c>
    </row>
    <row r="524" spans="1:22" x14ac:dyDescent="0.3">
      <c r="A524">
        <v>6</v>
      </c>
      <c r="B524" s="84">
        <v>4.3</v>
      </c>
      <c r="C524" s="78">
        <v>45972</v>
      </c>
      <c r="D524" s="78">
        <v>45974</v>
      </c>
      <c r="E524">
        <v>35</v>
      </c>
      <c r="F524" t="s">
        <v>913</v>
      </c>
      <c r="G524" t="s">
        <v>907</v>
      </c>
      <c r="H524">
        <v>49</v>
      </c>
      <c r="I524">
        <v>17</v>
      </c>
      <c r="J524" t="s">
        <v>24</v>
      </c>
      <c r="K524" t="s">
        <v>1396</v>
      </c>
      <c r="M524" s="1">
        <v>552</v>
      </c>
      <c r="N524" s="1" t="s">
        <v>555</v>
      </c>
      <c r="O524" s="2">
        <v>46033.661412037036</v>
      </c>
      <c r="P524" s="3">
        <v>6.9306475000000001</v>
      </c>
      <c r="Q524" s="3">
        <v>32.07008424959691</v>
      </c>
      <c r="R524" s="13">
        <f t="shared" si="32"/>
        <v>6.9306475000000001</v>
      </c>
      <c r="S524" s="42">
        <f t="shared" si="35"/>
        <v>94.751102817962661</v>
      </c>
      <c r="T524" s="13">
        <v>0</v>
      </c>
      <c r="U524" s="14">
        <f t="shared" si="33"/>
        <v>32.07008424959691</v>
      </c>
      <c r="V524" s="15">
        <f t="shared" si="34"/>
        <v>656.6864938675559</v>
      </c>
    </row>
    <row r="525" spans="1:22" x14ac:dyDescent="0.3">
      <c r="A525">
        <v>6</v>
      </c>
      <c r="B525" s="84">
        <v>4.3</v>
      </c>
      <c r="C525" s="78">
        <v>45972</v>
      </c>
      <c r="D525" s="78">
        <v>45974</v>
      </c>
      <c r="E525">
        <v>40</v>
      </c>
      <c r="F525" t="s">
        <v>906</v>
      </c>
      <c r="G525" t="s">
        <v>15</v>
      </c>
      <c r="H525">
        <v>49</v>
      </c>
      <c r="I525">
        <v>18</v>
      </c>
      <c r="J525" t="s">
        <v>24</v>
      </c>
      <c r="K525" t="s">
        <v>1397</v>
      </c>
      <c r="M525" s="4">
        <v>553</v>
      </c>
      <c r="N525" s="4" t="s">
        <v>556</v>
      </c>
      <c r="O525" s="12">
        <v>46033.665138888886</v>
      </c>
      <c r="P525" s="5">
        <v>8.4417030000000004</v>
      </c>
      <c r="Q525" s="5">
        <v>53.2014531943869</v>
      </c>
      <c r="R525" s="13">
        <f t="shared" si="32"/>
        <v>8.4417030000000004</v>
      </c>
      <c r="S525" s="42">
        <f t="shared" si="35"/>
        <v>94.751102817962661</v>
      </c>
      <c r="T525" s="13">
        <v>0</v>
      </c>
      <c r="U525" s="14">
        <f t="shared" si="33"/>
        <v>53.2014531943869</v>
      </c>
      <c r="V525" s="15">
        <f t="shared" si="34"/>
        <v>799.8606689117039</v>
      </c>
    </row>
    <row r="526" spans="1:22" x14ac:dyDescent="0.3">
      <c r="A526">
        <v>6</v>
      </c>
      <c r="B526" s="84">
        <v>4.3</v>
      </c>
      <c r="C526" s="78">
        <v>45972</v>
      </c>
      <c r="D526" s="78">
        <v>45974</v>
      </c>
      <c r="E526">
        <v>36</v>
      </c>
      <c r="F526" t="s">
        <v>917</v>
      </c>
      <c r="G526" t="s">
        <v>914</v>
      </c>
      <c r="H526">
        <v>49</v>
      </c>
      <c r="I526">
        <v>19</v>
      </c>
      <c r="J526" t="s">
        <v>24</v>
      </c>
      <c r="K526" t="s">
        <v>1398</v>
      </c>
      <c r="M526" s="1">
        <v>554</v>
      </c>
      <c r="N526" s="1" t="s">
        <v>557</v>
      </c>
      <c r="O526" s="2">
        <v>46033.668877314813</v>
      </c>
      <c r="P526" s="3">
        <v>7.8745634999999998</v>
      </c>
      <c r="Q526" s="3">
        <v>42.00718141532117</v>
      </c>
      <c r="R526" s="13">
        <f t="shared" si="32"/>
        <v>7.8745634999999998</v>
      </c>
      <c r="S526" s="42">
        <f t="shared" si="35"/>
        <v>94.751102817962661</v>
      </c>
      <c r="T526" s="13">
        <v>0</v>
      </c>
      <c r="U526" s="14">
        <f t="shared" si="33"/>
        <v>42.00718141532117</v>
      </c>
      <c r="V526" s="15">
        <f t="shared" si="34"/>
        <v>746.12357583507594</v>
      </c>
    </row>
    <row r="527" spans="1:22" x14ac:dyDescent="0.3">
      <c r="A527">
        <v>6</v>
      </c>
      <c r="B527" s="84">
        <v>4.3</v>
      </c>
      <c r="C527" s="78">
        <v>45972</v>
      </c>
      <c r="D527" s="78">
        <v>45974</v>
      </c>
      <c r="E527">
        <v>39</v>
      </c>
      <c r="F527" t="s">
        <v>929</v>
      </c>
      <c r="G527" t="s">
        <v>918</v>
      </c>
      <c r="H527">
        <v>49</v>
      </c>
      <c r="I527">
        <v>20</v>
      </c>
      <c r="J527" t="s">
        <v>24</v>
      </c>
      <c r="K527" t="s">
        <v>1399</v>
      </c>
      <c r="M527" s="4">
        <v>555</v>
      </c>
      <c r="N527" s="4" t="s">
        <v>558</v>
      </c>
      <c r="O527" s="12">
        <v>46033.672627314816</v>
      </c>
      <c r="P527" s="5">
        <v>7.6769325000000004</v>
      </c>
      <c r="Q527" s="5">
        <v>23.938225377076556</v>
      </c>
      <c r="R527" s="13">
        <f t="shared" si="32"/>
        <v>7.6769325000000004</v>
      </c>
      <c r="S527" s="42">
        <f t="shared" si="35"/>
        <v>94.751102817962661</v>
      </c>
      <c r="T527" s="13">
        <v>0</v>
      </c>
      <c r="U527" s="14">
        <f t="shared" si="33"/>
        <v>23.938225377076556</v>
      </c>
      <c r="V527" s="15">
        <f t="shared" si="34"/>
        <v>727.39782063405914</v>
      </c>
    </row>
    <row r="528" spans="1:22" x14ac:dyDescent="0.3">
      <c r="A528">
        <v>6</v>
      </c>
      <c r="B528" s="84">
        <v>4.3</v>
      </c>
      <c r="C528" s="78">
        <v>45972</v>
      </c>
      <c r="D528" s="78">
        <v>45974</v>
      </c>
      <c r="E528">
        <v>33</v>
      </c>
      <c r="F528" t="s">
        <v>910</v>
      </c>
      <c r="G528" t="s">
        <v>922</v>
      </c>
      <c r="H528">
        <v>49</v>
      </c>
      <c r="I528">
        <v>21</v>
      </c>
      <c r="J528" t="s">
        <v>24</v>
      </c>
      <c r="K528" t="s">
        <v>1400</v>
      </c>
      <c r="M528" s="1">
        <v>556</v>
      </c>
      <c r="N528" s="1" t="s">
        <v>559</v>
      </c>
      <c r="O528" s="2">
        <v>46033.676354166666</v>
      </c>
      <c r="P528" s="3">
        <v>7.9675130000000003</v>
      </c>
      <c r="Q528" s="3">
        <v>51.903537566924349</v>
      </c>
      <c r="R528" s="13">
        <f t="shared" si="32"/>
        <v>7.9675130000000003</v>
      </c>
      <c r="S528" s="42">
        <f t="shared" si="35"/>
        <v>94.751102817962661</v>
      </c>
      <c r="T528" s="13">
        <v>0</v>
      </c>
      <c r="U528" s="14">
        <f t="shared" si="33"/>
        <v>51.903537566924349</v>
      </c>
      <c r="V528" s="15">
        <f t="shared" si="34"/>
        <v>754.93064346645417</v>
      </c>
    </row>
    <row r="529" spans="1:22" x14ac:dyDescent="0.3">
      <c r="A529">
        <v>6</v>
      </c>
      <c r="B529" s="84">
        <v>4.3</v>
      </c>
      <c r="C529" s="78">
        <v>45972</v>
      </c>
      <c r="D529" s="78">
        <v>45974</v>
      </c>
      <c r="E529">
        <v>37</v>
      </c>
      <c r="F529" t="s">
        <v>921</v>
      </c>
      <c r="G529" t="s">
        <v>926</v>
      </c>
      <c r="H529">
        <v>49</v>
      </c>
      <c r="I529">
        <v>22</v>
      </c>
      <c r="J529" t="s">
        <v>24</v>
      </c>
      <c r="K529" t="s">
        <v>1401</v>
      </c>
      <c r="M529" s="4">
        <v>557</v>
      </c>
      <c r="N529" s="4" t="s">
        <v>560</v>
      </c>
      <c r="O529" s="12">
        <v>46033.680092592593</v>
      </c>
      <c r="P529" s="5">
        <v>9.4310519999999993</v>
      </c>
      <c r="Q529" s="5">
        <v>57.36508191180279</v>
      </c>
      <c r="R529" s="13">
        <f t="shared" si="32"/>
        <v>9.4310519999999993</v>
      </c>
      <c r="S529" s="42">
        <f t="shared" si="35"/>
        <v>94.751102817962661</v>
      </c>
      <c r="T529" s="13">
        <v>0</v>
      </c>
      <c r="U529" s="14">
        <f t="shared" si="33"/>
        <v>57.36508191180279</v>
      </c>
      <c r="V529" s="15">
        <f t="shared" si="34"/>
        <v>893.60257773355227</v>
      </c>
    </row>
    <row r="530" spans="1:22" x14ac:dyDescent="0.3">
      <c r="A530">
        <v>6</v>
      </c>
      <c r="B530" s="84">
        <v>4.3</v>
      </c>
      <c r="C530" s="78">
        <v>45972</v>
      </c>
      <c r="D530" s="78">
        <v>45974</v>
      </c>
      <c r="E530">
        <v>34</v>
      </c>
      <c r="F530" t="s">
        <v>932</v>
      </c>
      <c r="G530" t="s">
        <v>930</v>
      </c>
      <c r="H530">
        <v>49</v>
      </c>
      <c r="I530">
        <v>23</v>
      </c>
      <c r="J530" t="s">
        <v>24</v>
      </c>
      <c r="K530" t="s">
        <v>1402</v>
      </c>
      <c r="M530" s="1">
        <v>558</v>
      </c>
      <c r="N530" s="1" t="s">
        <v>561</v>
      </c>
      <c r="O530" s="2">
        <v>46033.683865740742</v>
      </c>
      <c r="P530" s="3">
        <v>8.0996404999999996</v>
      </c>
      <c r="Q530" s="3">
        <v>46.291303947668091</v>
      </c>
      <c r="R530" s="13">
        <f t="shared" si="32"/>
        <v>8.0996404999999996</v>
      </c>
      <c r="S530" s="42">
        <f t="shared" si="35"/>
        <v>94.751102817962661</v>
      </c>
      <c r="T530" s="13">
        <v>0</v>
      </c>
      <c r="U530" s="14">
        <f t="shared" si="33"/>
        <v>46.291303947668091</v>
      </c>
      <c r="V530" s="15">
        <f t="shared" si="34"/>
        <v>767.44986980403451</v>
      </c>
    </row>
    <row r="531" spans="1:22" x14ac:dyDescent="0.3">
      <c r="A531">
        <v>6</v>
      </c>
      <c r="B531" s="84">
        <v>4.3</v>
      </c>
      <c r="C531" s="78">
        <v>45972</v>
      </c>
      <c r="D531" s="78">
        <v>45974</v>
      </c>
      <c r="E531">
        <v>38</v>
      </c>
      <c r="F531" t="s">
        <v>925</v>
      </c>
      <c r="G531" t="s">
        <v>933</v>
      </c>
      <c r="H531">
        <v>49</v>
      </c>
      <c r="I531">
        <v>24</v>
      </c>
      <c r="J531" t="s">
        <v>24</v>
      </c>
      <c r="K531" t="s">
        <v>1403</v>
      </c>
      <c r="M531" s="4">
        <v>559</v>
      </c>
      <c r="N531" s="4" t="s">
        <v>562</v>
      </c>
      <c r="O531" s="12">
        <v>46033.687604166669</v>
      </c>
      <c r="P531" s="5">
        <v>8.5680139999999998</v>
      </c>
      <c r="Q531" s="5">
        <v>41.75379745044178</v>
      </c>
      <c r="R531" s="13">
        <f t="shared" si="32"/>
        <v>8.5680139999999998</v>
      </c>
      <c r="S531" s="42">
        <f t="shared" si="35"/>
        <v>94.751102817962661</v>
      </c>
      <c r="T531" s="13">
        <v>0</v>
      </c>
      <c r="U531" s="14">
        <f t="shared" si="33"/>
        <v>41.75379745044178</v>
      </c>
      <c r="V531" s="15">
        <f t="shared" si="34"/>
        <v>811.8287754597435</v>
      </c>
    </row>
    <row r="532" spans="1:22" x14ac:dyDescent="0.3">
      <c r="A532">
        <v>6</v>
      </c>
      <c r="B532" s="84">
        <v>4.3</v>
      </c>
      <c r="C532" s="78">
        <v>45972</v>
      </c>
      <c r="D532" s="78">
        <v>45974</v>
      </c>
      <c r="E532">
        <v>35</v>
      </c>
      <c r="F532" t="s">
        <v>913</v>
      </c>
      <c r="G532" t="s">
        <v>907</v>
      </c>
      <c r="H532">
        <v>49</v>
      </c>
      <c r="I532">
        <v>25</v>
      </c>
      <c r="J532" t="s">
        <v>25</v>
      </c>
      <c r="K532" t="s">
        <v>1404</v>
      </c>
      <c r="M532" s="1">
        <v>560</v>
      </c>
      <c r="N532" s="1" t="s">
        <v>563</v>
      </c>
      <c r="O532" s="2">
        <v>46033.691342592596</v>
      </c>
      <c r="P532" s="3">
        <v>7.4657935000000002</v>
      </c>
      <c r="Q532" s="3">
        <v>42.921787950684568</v>
      </c>
      <c r="R532" s="13">
        <f t="shared" si="32"/>
        <v>7.4657935000000002</v>
      </c>
      <c r="S532" s="42">
        <f t="shared" si="35"/>
        <v>94.751102817962661</v>
      </c>
      <c r="T532" s="13">
        <v>0</v>
      </c>
      <c r="U532" s="14">
        <f t="shared" si="33"/>
        <v>42.921787950684568</v>
      </c>
      <c r="V532" s="15">
        <f t="shared" si="34"/>
        <v>707.39216753617734</v>
      </c>
    </row>
    <row r="533" spans="1:22" x14ac:dyDescent="0.3">
      <c r="A533">
        <v>6</v>
      </c>
      <c r="B533" s="84">
        <v>4.3</v>
      </c>
      <c r="C533" s="78">
        <v>45972</v>
      </c>
      <c r="D533" s="78">
        <v>45974</v>
      </c>
      <c r="E533">
        <v>40</v>
      </c>
      <c r="F533" t="s">
        <v>906</v>
      </c>
      <c r="G533" t="s">
        <v>15</v>
      </c>
      <c r="H533">
        <v>49</v>
      </c>
      <c r="I533">
        <v>26</v>
      </c>
      <c r="J533" t="s">
        <v>25</v>
      </c>
      <c r="K533" t="s">
        <v>1405</v>
      </c>
      <c r="M533" s="4">
        <v>561</v>
      </c>
      <c r="N533" s="4" t="s">
        <v>564</v>
      </c>
      <c r="O533" s="12">
        <v>46033.695092592592</v>
      </c>
      <c r="P533" s="5">
        <v>9.2775780000000001</v>
      </c>
      <c r="Q533" s="5">
        <v>65.916344852214237</v>
      </c>
      <c r="R533" s="13">
        <f t="shared" si="32"/>
        <v>9.2775780000000001</v>
      </c>
      <c r="S533" s="42">
        <f t="shared" si="35"/>
        <v>94.751102817962661</v>
      </c>
      <c r="T533" s="13">
        <v>0</v>
      </c>
      <c r="U533" s="14">
        <f t="shared" si="33"/>
        <v>65.916344852214237</v>
      </c>
      <c r="V533" s="15">
        <f t="shared" si="34"/>
        <v>879.06074697966835</v>
      </c>
    </row>
    <row r="534" spans="1:22" x14ac:dyDescent="0.3">
      <c r="A534">
        <v>6</v>
      </c>
      <c r="B534" s="84">
        <v>4.3</v>
      </c>
      <c r="C534" s="78">
        <v>45972</v>
      </c>
      <c r="D534" s="78">
        <v>45974</v>
      </c>
      <c r="E534">
        <v>36</v>
      </c>
      <c r="F534" t="s">
        <v>917</v>
      </c>
      <c r="G534" t="s">
        <v>914</v>
      </c>
      <c r="H534">
        <v>49</v>
      </c>
      <c r="I534">
        <v>27</v>
      </c>
      <c r="J534" t="s">
        <v>25</v>
      </c>
      <c r="K534" t="s">
        <v>1406</v>
      </c>
      <c r="M534" s="1">
        <v>562</v>
      </c>
      <c r="N534" s="1" t="s">
        <v>565</v>
      </c>
      <c r="O534" s="2">
        <v>46033.698831018519</v>
      </c>
      <c r="P534" s="3">
        <v>7.5598929999999998</v>
      </c>
      <c r="Q534" s="3">
        <v>66.046684268677737</v>
      </c>
      <c r="R534" s="13">
        <f t="shared" si="32"/>
        <v>7.5598929999999998</v>
      </c>
      <c r="S534" s="42">
        <f t="shared" si="35"/>
        <v>94.751102817962661</v>
      </c>
      <c r="T534" s="13">
        <v>0</v>
      </c>
      <c r="U534" s="14">
        <f t="shared" si="33"/>
        <v>66.046684268677737</v>
      </c>
      <c r="V534" s="15">
        <f t="shared" si="34"/>
        <v>716.30819893579621</v>
      </c>
    </row>
    <row r="535" spans="1:22" x14ac:dyDescent="0.3">
      <c r="A535">
        <v>6</v>
      </c>
      <c r="B535" s="84">
        <v>4.3</v>
      </c>
      <c r="C535" s="78">
        <v>45972</v>
      </c>
      <c r="D535" s="78">
        <v>45974</v>
      </c>
      <c r="E535">
        <v>39</v>
      </c>
      <c r="F535" t="s">
        <v>929</v>
      </c>
      <c r="G535" t="s">
        <v>918</v>
      </c>
      <c r="H535">
        <v>49</v>
      </c>
      <c r="I535">
        <v>28</v>
      </c>
      <c r="J535" t="s">
        <v>25</v>
      </c>
      <c r="K535" t="s">
        <v>1407</v>
      </c>
      <c r="M535" s="4">
        <v>563</v>
      </c>
      <c r="N535" s="4" t="s">
        <v>566</v>
      </c>
      <c r="O535" s="12">
        <v>46033.702557870369</v>
      </c>
      <c r="P535" s="5">
        <v>8.2058304999999994</v>
      </c>
      <c r="Q535" s="5">
        <v>34.90094302655352</v>
      </c>
      <c r="R535" s="13">
        <f t="shared" si="32"/>
        <v>8.2058304999999994</v>
      </c>
      <c r="S535" s="42">
        <f t="shared" si="35"/>
        <v>94.751102817962661</v>
      </c>
      <c r="T535" s="13">
        <v>0</v>
      </c>
      <c r="U535" s="14">
        <f t="shared" si="33"/>
        <v>34.90094302655352</v>
      </c>
      <c r="V535" s="15">
        <f t="shared" si="34"/>
        <v>777.51148941227393</v>
      </c>
    </row>
    <row r="536" spans="1:22" x14ac:dyDescent="0.3">
      <c r="A536">
        <v>6</v>
      </c>
      <c r="B536" s="84">
        <v>4.3</v>
      </c>
      <c r="C536" s="78">
        <v>45972</v>
      </c>
      <c r="D536" s="78">
        <v>45974</v>
      </c>
      <c r="E536">
        <v>33</v>
      </c>
      <c r="F536" t="s">
        <v>910</v>
      </c>
      <c r="G536" t="s">
        <v>922</v>
      </c>
      <c r="H536">
        <v>49</v>
      </c>
      <c r="I536">
        <v>29</v>
      </c>
      <c r="J536" t="s">
        <v>25</v>
      </c>
      <c r="K536" t="s">
        <v>1408</v>
      </c>
      <c r="M536" s="1">
        <v>564</v>
      </c>
      <c r="N536" s="1" t="s">
        <v>567</v>
      </c>
      <c r="O536" s="2">
        <v>46033.706307870372</v>
      </c>
      <c r="P536" s="3">
        <v>8.7127750000000006</v>
      </c>
      <c r="Q536" s="3">
        <v>64.571138476480243</v>
      </c>
      <c r="R536" s="13">
        <f t="shared" si="32"/>
        <v>8.7127750000000006</v>
      </c>
      <c r="S536" s="42">
        <f t="shared" si="35"/>
        <v>94.751102817962661</v>
      </c>
      <c r="T536" s="13">
        <v>0</v>
      </c>
      <c r="U536" s="14">
        <f t="shared" si="33"/>
        <v>64.571138476480243</v>
      </c>
      <c r="V536" s="15">
        <f t="shared" si="34"/>
        <v>825.5450398547747</v>
      </c>
    </row>
    <row r="537" spans="1:22" x14ac:dyDescent="0.3">
      <c r="A537">
        <v>6</v>
      </c>
      <c r="B537" s="84">
        <v>4.3</v>
      </c>
      <c r="C537" s="78">
        <v>45972</v>
      </c>
      <c r="D537" s="78">
        <v>45974</v>
      </c>
      <c r="E537">
        <v>37</v>
      </c>
      <c r="F537" t="s">
        <v>921</v>
      </c>
      <c r="G537" t="s">
        <v>926</v>
      </c>
      <c r="H537">
        <v>49</v>
      </c>
      <c r="I537">
        <v>30</v>
      </c>
      <c r="J537" t="s">
        <v>25</v>
      </c>
      <c r="K537" t="s">
        <v>1409</v>
      </c>
      <c r="M537" s="4">
        <v>565</v>
      </c>
      <c r="N537" s="4" t="s">
        <v>568</v>
      </c>
      <c r="O537" s="12">
        <v>46033.710046296299</v>
      </c>
      <c r="P537" s="5">
        <v>10.137642</v>
      </c>
      <c r="Q537" s="5">
        <v>76.958594505067339</v>
      </c>
      <c r="R537" s="13">
        <f t="shared" si="32"/>
        <v>10.137642</v>
      </c>
      <c r="S537" s="42">
        <f t="shared" si="35"/>
        <v>94.751102817962661</v>
      </c>
      <c r="T537" s="13">
        <v>0</v>
      </c>
      <c r="U537" s="14">
        <f t="shared" si="33"/>
        <v>76.958594505067339</v>
      </c>
      <c r="V537" s="15">
        <f t="shared" si="34"/>
        <v>960.5527594736966</v>
      </c>
    </row>
    <row r="538" spans="1:22" x14ac:dyDescent="0.3">
      <c r="A538">
        <v>6</v>
      </c>
      <c r="B538" s="84">
        <v>4.3</v>
      </c>
      <c r="C538" s="78">
        <v>45972</v>
      </c>
      <c r="D538" s="78">
        <v>45974</v>
      </c>
      <c r="E538">
        <v>34</v>
      </c>
      <c r="F538" t="s">
        <v>932</v>
      </c>
      <c r="G538" t="s">
        <v>930</v>
      </c>
      <c r="H538">
        <v>49</v>
      </c>
      <c r="I538">
        <v>31</v>
      </c>
      <c r="J538" t="s">
        <v>25</v>
      </c>
      <c r="K538" t="s">
        <v>1410</v>
      </c>
      <c r="M538" s="1">
        <v>566</v>
      </c>
      <c r="N538" s="1" t="s">
        <v>569</v>
      </c>
      <c r="O538" s="2">
        <v>46033.713784722226</v>
      </c>
      <c r="P538" s="3">
        <v>7.9983965000000001</v>
      </c>
      <c r="Q538" s="3">
        <v>67.963568477591593</v>
      </c>
      <c r="R538" s="13">
        <f t="shared" si="32"/>
        <v>7.9983965000000001</v>
      </c>
      <c r="S538" s="42">
        <f t="shared" si="35"/>
        <v>94.751102817962661</v>
      </c>
      <c r="T538" s="13">
        <v>0</v>
      </c>
      <c r="U538" s="14">
        <f t="shared" si="33"/>
        <v>67.963568477591593</v>
      </c>
      <c r="V538" s="15">
        <f t="shared" si="34"/>
        <v>757.85688915033268</v>
      </c>
    </row>
    <row r="539" spans="1:22" x14ac:dyDescent="0.3">
      <c r="A539">
        <v>6</v>
      </c>
      <c r="B539" s="84">
        <v>4.3</v>
      </c>
      <c r="C539" s="78">
        <v>45972</v>
      </c>
      <c r="D539" s="78">
        <v>45974</v>
      </c>
      <c r="E539">
        <v>38</v>
      </c>
      <c r="F539" t="s">
        <v>925</v>
      </c>
      <c r="G539" t="s">
        <v>933</v>
      </c>
      <c r="H539">
        <v>49</v>
      </c>
      <c r="I539">
        <v>32</v>
      </c>
      <c r="J539" t="s">
        <v>25</v>
      </c>
      <c r="K539" t="s">
        <v>1411</v>
      </c>
      <c r="M539" s="4">
        <v>567</v>
      </c>
      <c r="N539" s="4" t="s">
        <v>570</v>
      </c>
      <c r="O539" s="12">
        <v>46033.717511574076</v>
      </c>
      <c r="P539" s="5">
        <v>8.989547</v>
      </c>
      <c r="Q539" s="5">
        <v>56.902467950279657</v>
      </c>
      <c r="R539" s="13">
        <f t="shared" si="32"/>
        <v>8.989547</v>
      </c>
      <c r="S539" s="42">
        <f t="shared" si="35"/>
        <v>94.751102817962661</v>
      </c>
      <c r="T539" s="13">
        <v>0</v>
      </c>
      <c r="U539" s="14">
        <f t="shared" si="33"/>
        <v>56.902467950279657</v>
      </c>
      <c r="V539" s="15">
        <f t="shared" si="34"/>
        <v>851.76949208390772</v>
      </c>
    </row>
    <row r="540" spans="1:22" x14ac:dyDescent="0.3">
      <c r="A540">
        <v>6</v>
      </c>
      <c r="B540" s="84">
        <v>4.4000000000000004</v>
      </c>
      <c r="C540" s="78">
        <v>45974</v>
      </c>
      <c r="D540" s="78">
        <v>45976</v>
      </c>
      <c r="E540">
        <v>35</v>
      </c>
      <c r="F540" t="s">
        <v>913</v>
      </c>
      <c r="G540" t="s">
        <v>907</v>
      </c>
      <c r="H540">
        <v>97</v>
      </c>
      <c r="I540">
        <v>1</v>
      </c>
      <c r="J540" t="s">
        <v>908</v>
      </c>
      <c r="K540" t="s">
        <v>1412</v>
      </c>
      <c r="M540" s="1">
        <v>568</v>
      </c>
      <c r="N540" s="1" t="s">
        <v>571</v>
      </c>
      <c r="O540" s="2">
        <v>46033.721250000002</v>
      </c>
      <c r="P540" s="3">
        <v>6.6111085000000003</v>
      </c>
      <c r="Q540" s="3">
        <v>-13.81608239679713</v>
      </c>
      <c r="R540" s="13">
        <f t="shared" si="32"/>
        <v>6.6111085000000003</v>
      </c>
      <c r="S540" s="42">
        <f t="shared" si="35"/>
        <v>94.751102817962661</v>
      </c>
      <c r="T540" s="13">
        <v>0</v>
      </c>
      <c r="U540" s="14">
        <f t="shared" si="33"/>
        <v>-13.81608239679713</v>
      </c>
      <c r="V540" s="15">
        <f t="shared" si="34"/>
        <v>626.40982122420689</v>
      </c>
    </row>
    <row r="541" spans="1:22" x14ac:dyDescent="0.3">
      <c r="A541">
        <v>6</v>
      </c>
      <c r="B541" s="84">
        <v>4.4000000000000004</v>
      </c>
      <c r="C541" s="78">
        <v>45974</v>
      </c>
      <c r="D541" s="78">
        <v>45976</v>
      </c>
      <c r="E541">
        <v>40</v>
      </c>
      <c r="F541" t="s">
        <v>906</v>
      </c>
      <c r="G541" t="s">
        <v>15</v>
      </c>
      <c r="H541">
        <v>97</v>
      </c>
      <c r="I541">
        <v>2</v>
      </c>
      <c r="J541" t="s">
        <v>908</v>
      </c>
      <c r="K541" t="s">
        <v>1413</v>
      </c>
      <c r="M541" s="4">
        <v>569</v>
      </c>
      <c r="N541" s="4" t="s">
        <v>572</v>
      </c>
      <c r="O541" s="12">
        <v>46033.724988425929</v>
      </c>
      <c r="P541" s="5">
        <v>7.4091304999999998</v>
      </c>
      <c r="Q541" s="5">
        <v>-9.9572583241608914</v>
      </c>
      <c r="R541" s="13">
        <f t="shared" si="32"/>
        <v>7.4091304999999998</v>
      </c>
      <c r="S541" s="42">
        <f t="shared" si="35"/>
        <v>94.751102817962661</v>
      </c>
      <c r="T541" s="13">
        <v>0</v>
      </c>
      <c r="U541" s="14">
        <f t="shared" si="33"/>
        <v>-9.9572583241608914</v>
      </c>
      <c r="V541" s="15">
        <f t="shared" si="34"/>
        <v>702.02328579720313</v>
      </c>
    </row>
    <row r="542" spans="1:22" x14ac:dyDescent="0.3">
      <c r="A542">
        <v>6</v>
      </c>
      <c r="B542" s="84">
        <v>4.4000000000000004</v>
      </c>
      <c r="C542" s="78">
        <v>45974</v>
      </c>
      <c r="D542" s="78">
        <v>45976</v>
      </c>
      <c r="E542">
        <v>36</v>
      </c>
      <c r="F542" t="s">
        <v>917</v>
      </c>
      <c r="G542" t="s">
        <v>914</v>
      </c>
      <c r="H542">
        <v>97</v>
      </c>
      <c r="I542">
        <v>3</v>
      </c>
      <c r="J542" t="s">
        <v>908</v>
      </c>
      <c r="K542" t="s">
        <v>1414</v>
      </c>
      <c r="M542" s="1">
        <v>570</v>
      </c>
      <c r="N542" s="1" t="s">
        <v>573</v>
      </c>
      <c r="O542" s="2">
        <v>46033.728738425925</v>
      </c>
      <c r="P542" s="3">
        <v>7.0057090000000004</v>
      </c>
      <c r="Q542" s="3">
        <v>-10.191633432757117</v>
      </c>
      <c r="R542" s="13">
        <f t="shared" si="32"/>
        <v>7.0057090000000004</v>
      </c>
      <c r="S542" s="42">
        <f t="shared" si="35"/>
        <v>94.751102817962661</v>
      </c>
      <c r="T542" s="13">
        <v>0</v>
      </c>
      <c r="U542" s="14">
        <f t="shared" si="33"/>
        <v>-10.191633432757117</v>
      </c>
      <c r="V542" s="15">
        <f t="shared" si="34"/>
        <v>663.79865377172644</v>
      </c>
    </row>
    <row r="543" spans="1:22" x14ac:dyDescent="0.3">
      <c r="A543">
        <v>6</v>
      </c>
      <c r="B543" s="84">
        <v>4.4000000000000004</v>
      </c>
      <c r="C543" s="78">
        <v>45974</v>
      </c>
      <c r="D543" s="78">
        <v>45976</v>
      </c>
      <c r="E543">
        <v>39</v>
      </c>
      <c r="F543" t="s">
        <v>929</v>
      </c>
      <c r="G543" t="s">
        <v>918</v>
      </c>
      <c r="H543">
        <v>97</v>
      </c>
      <c r="I543">
        <v>4</v>
      </c>
      <c r="J543" t="s">
        <v>908</v>
      </c>
      <c r="K543" t="s">
        <v>1415</v>
      </c>
      <c r="M543" s="4">
        <v>571</v>
      </c>
      <c r="N543" s="4" t="s">
        <v>574</v>
      </c>
      <c r="O543" s="12">
        <v>46033.732476851852</v>
      </c>
      <c r="P543" s="5">
        <v>7.8849454999999997</v>
      </c>
      <c r="Q543" s="5">
        <v>-15.921791329106634</v>
      </c>
      <c r="R543" s="13">
        <f t="shared" si="32"/>
        <v>7.8849454999999997</v>
      </c>
      <c r="S543" s="42">
        <f t="shared" si="35"/>
        <v>94.751102817962661</v>
      </c>
      <c r="T543" s="13">
        <v>0</v>
      </c>
      <c r="U543" s="14">
        <f t="shared" si="33"/>
        <v>-15.921791329106634</v>
      </c>
      <c r="V543" s="15">
        <f t="shared" si="34"/>
        <v>747.10728178453201</v>
      </c>
    </row>
    <row r="544" spans="1:22" x14ac:dyDescent="0.3">
      <c r="A544">
        <v>6</v>
      </c>
      <c r="B544" s="84">
        <v>4.4000000000000004</v>
      </c>
      <c r="C544" s="78">
        <v>45974</v>
      </c>
      <c r="D544" s="78">
        <v>45976</v>
      </c>
      <c r="E544">
        <v>33</v>
      </c>
      <c r="F544" t="s">
        <v>910</v>
      </c>
      <c r="G544" t="s">
        <v>922</v>
      </c>
      <c r="H544">
        <v>97</v>
      </c>
      <c r="I544">
        <v>5</v>
      </c>
      <c r="J544" t="s">
        <v>908</v>
      </c>
      <c r="K544" t="s">
        <v>1416</v>
      </c>
      <c r="M544" s="1">
        <v>572</v>
      </c>
      <c r="N544" s="1" t="s">
        <v>575</v>
      </c>
      <c r="O544" s="2">
        <v>46033.736203703702</v>
      </c>
      <c r="P544" s="3">
        <v>7.5334574999999999</v>
      </c>
      <c r="Q544" s="3">
        <v>-12.875944719697733</v>
      </c>
      <c r="R544" s="13">
        <f t="shared" si="32"/>
        <v>7.5334574999999999</v>
      </c>
      <c r="S544" s="42">
        <f t="shared" si="35"/>
        <v>94.751102817962661</v>
      </c>
      <c r="T544" s="13">
        <v>0</v>
      </c>
      <c r="U544" s="14">
        <f t="shared" si="33"/>
        <v>-12.875944719697733</v>
      </c>
      <c r="V544" s="15">
        <f t="shared" si="34"/>
        <v>713.80340615725197</v>
      </c>
    </row>
    <row r="545" spans="1:22" x14ac:dyDescent="0.3">
      <c r="A545">
        <v>6</v>
      </c>
      <c r="B545" s="84">
        <v>4.4000000000000004</v>
      </c>
      <c r="C545" s="78">
        <v>45974</v>
      </c>
      <c r="D545" s="78">
        <v>45976</v>
      </c>
      <c r="E545">
        <v>37</v>
      </c>
      <c r="F545" t="s">
        <v>921</v>
      </c>
      <c r="G545" t="s">
        <v>926</v>
      </c>
      <c r="H545">
        <v>97</v>
      </c>
      <c r="I545">
        <v>6</v>
      </c>
      <c r="J545" t="s">
        <v>908</v>
      </c>
      <c r="K545" t="s">
        <v>1417</v>
      </c>
      <c r="M545" s="4">
        <v>573</v>
      </c>
      <c r="N545" s="4" t="s">
        <v>576</v>
      </c>
      <c r="O545" s="12">
        <v>46033.739942129629</v>
      </c>
      <c r="P545" s="5">
        <v>7.4753949999999998</v>
      </c>
      <c r="Q545" s="5">
        <v>-4.3098665614260669</v>
      </c>
      <c r="R545" s="13">
        <f t="shared" si="32"/>
        <v>7.4753949999999998</v>
      </c>
      <c r="S545" s="42">
        <f t="shared" si="35"/>
        <v>94.751102817962661</v>
      </c>
      <c r="T545" s="13">
        <v>0</v>
      </c>
      <c r="U545" s="14">
        <f t="shared" si="33"/>
        <v>-4.3098665614260669</v>
      </c>
      <c r="V545" s="15">
        <f t="shared" si="34"/>
        <v>708.30192024988401</v>
      </c>
    </row>
    <row r="546" spans="1:22" x14ac:dyDescent="0.3">
      <c r="A546">
        <v>6</v>
      </c>
      <c r="B546" s="84">
        <v>4.4000000000000004</v>
      </c>
      <c r="C546" s="78">
        <v>45974</v>
      </c>
      <c r="D546" s="78">
        <v>45976</v>
      </c>
      <c r="E546">
        <v>34</v>
      </c>
      <c r="F546" t="s">
        <v>932</v>
      </c>
      <c r="G546" t="s">
        <v>930</v>
      </c>
      <c r="H546">
        <v>97</v>
      </c>
      <c r="I546">
        <v>7</v>
      </c>
      <c r="J546" t="s">
        <v>908</v>
      </c>
      <c r="K546" t="s">
        <v>1418</v>
      </c>
      <c r="M546" s="1">
        <v>574</v>
      </c>
      <c r="N546" s="1" t="s">
        <v>577</v>
      </c>
      <c r="O546" s="2">
        <v>46033.743680555555</v>
      </c>
      <c r="P546" s="3">
        <v>7.4832795000000001</v>
      </c>
      <c r="Q546" s="3">
        <v>-11.043085420596359</v>
      </c>
      <c r="R546" s="13">
        <f t="shared" si="32"/>
        <v>7.4832795000000001</v>
      </c>
      <c r="S546" s="42">
        <f t="shared" si="35"/>
        <v>94.751102817962661</v>
      </c>
      <c r="T546" s="13">
        <v>0</v>
      </c>
      <c r="U546" s="14">
        <f t="shared" si="33"/>
        <v>-11.043085420596359</v>
      </c>
      <c r="V546" s="15">
        <f t="shared" si="34"/>
        <v>709.04898532005222</v>
      </c>
    </row>
    <row r="547" spans="1:22" x14ac:dyDescent="0.3">
      <c r="A547">
        <v>6</v>
      </c>
      <c r="B547" s="84">
        <v>4.4000000000000004</v>
      </c>
      <c r="C547" s="78">
        <v>45974</v>
      </c>
      <c r="D547" s="78">
        <v>45976</v>
      </c>
      <c r="E547">
        <v>38</v>
      </c>
      <c r="F547" t="s">
        <v>925</v>
      </c>
      <c r="G547" t="s">
        <v>933</v>
      </c>
      <c r="H547">
        <v>97</v>
      </c>
      <c r="I547">
        <v>8</v>
      </c>
      <c r="J547" t="s">
        <v>908</v>
      </c>
      <c r="K547" t="s">
        <v>1419</v>
      </c>
      <c r="M547" s="4">
        <v>575</v>
      </c>
      <c r="N547" s="4" t="s">
        <v>578</v>
      </c>
      <c r="O547" s="12">
        <v>46033.747418981482</v>
      </c>
      <c r="P547" s="5">
        <v>7.3371959999999996</v>
      </c>
      <c r="Q547" s="5">
        <v>-14.52346566308713</v>
      </c>
      <c r="R547" s="13">
        <f t="shared" si="32"/>
        <v>7.3371959999999996</v>
      </c>
      <c r="S547" s="42">
        <f t="shared" si="35"/>
        <v>94.751102817962661</v>
      </c>
      <c r="T547" s="13">
        <v>0</v>
      </c>
      <c r="U547" s="14">
        <f t="shared" si="33"/>
        <v>-14.52346566308713</v>
      </c>
      <c r="V547" s="15">
        <f t="shared" si="34"/>
        <v>695.20741259154431</v>
      </c>
    </row>
    <row r="548" spans="1:22" x14ac:dyDescent="0.3">
      <c r="A548">
        <v>6</v>
      </c>
      <c r="B548" s="84">
        <v>4.4000000000000004</v>
      </c>
      <c r="C548" s="78">
        <v>45974</v>
      </c>
      <c r="D548" s="78">
        <v>45976</v>
      </c>
      <c r="E548">
        <v>35</v>
      </c>
      <c r="F548" t="s">
        <v>913</v>
      </c>
      <c r="G548" t="s">
        <v>907</v>
      </c>
      <c r="H548">
        <v>97</v>
      </c>
      <c r="I548">
        <v>9</v>
      </c>
      <c r="J548" t="s">
        <v>935</v>
      </c>
      <c r="K548" t="s">
        <v>1420</v>
      </c>
      <c r="M548" s="1">
        <v>576</v>
      </c>
      <c r="N548" s="1" t="s">
        <v>579</v>
      </c>
      <c r="O548" s="2">
        <v>46033.751157407409</v>
      </c>
      <c r="P548" s="3">
        <v>7.1586455000000004</v>
      </c>
      <c r="Q548" s="3">
        <v>19.818412542505513</v>
      </c>
      <c r="R548" s="13">
        <f t="shared" si="32"/>
        <v>7.1586455000000004</v>
      </c>
      <c r="S548" s="42">
        <f t="shared" si="35"/>
        <v>94.751102817962661</v>
      </c>
      <c r="T548" s="13">
        <v>0</v>
      </c>
      <c r="U548" s="14">
        <f t="shared" si="33"/>
        <v>19.818412542505513</v>
      </c>
      <c r="V548" s="15">
        <f t="shared" si="34"/>
        <v>678.28955580784577</v>
      </c>
    </row>
    <row r="549" spans="1:22" x14ac:dyDescent="0.3">
      <c r="A549">
        <v>6</v>
      </c>
      <c r="B549" s="84">
        <v>4.4000000000000004</v>
      </c>
      <c r="C549" s="78">
        <v>45974</v>
      </c>
      <c r="D549" s="78">
        <v>45976</v>
      </c>
      <c r="E549">
        <v>40</v>
      </c>
      <c r="F549" t="s">
        <v>906</v>
      </c>
      <c r="G549" t="s">
        <v>15</v>
      </c>
      <c r="H549">
        <v>97</v>
      </c>
      <c r="I549">
        <v>10</v>
      </c>
      <c r="J549" t="s">
        <v>935</v>
      </c>
      <c r="K549" t="s">
        <v>1421</v>
      </c>
      <c r="M549" s="4">
        <v>577</v>
      </c>
      <c r="N549" s="4" t="s">
        <v>580</v>
      </c>
      <c r="O549" s="12">
        <v>46033.754895833335</v>
      </c>
      <c r="P549" s="5">
        <v>8.4444769999999991</v>
      </c>
      <c r="Q549" s="5">
        <v>36.969940036430202</v>
      </c>
      <c r="R549" s="13">
        <f t="shared" si="32"/>
        <v>8.4444769999999991</v>
      </c>
      <c r="S549" s="42">
        <f t="shared" si="35"/>
        <v>94.751102817962661</v>
      </c>
      <c r="T549" s="13">
        <v>0</v>
      </c>
      <c r="U549" s="14">
        <f t="shared" si="33"/>
        <v>36.969940036430202</v>
      </c>
      <c r="V549" s="15">
        <f t="shared" si="34"/>
        <v>800.1235084709208</v>
      </c>
    </row>
    <row r="550" spans="1:22" x14ac:dyDescent="0.3">
      <c r="A550">
        <v>6</v>
      </c>
      <c r="B550" s="84">
        <v>4.4000000000000004</v>
      </c>
      <c r="C550" s="78">
        <v>45974</v>
      </c>
      <c r="D550" s="78">
        <v>45976</v>
      </c>
      <c r="E550">
        <v>36</v>
      </c>
      <c r="F550" t="s">
        <v>917</v>
      </c>
      <c r="G550" t="s">
        <v>914</v>
      </c>
      <c r="H550">
        <v>97</v>
      </c>
      <c r="I550">
        <v>11</v>
      </c>
      <c r="J550" t="s">
        <v>935</v>
      </c>
      <c r="K550" t="s">
        <v>1422</v>
      </c>
      <c r="M550" s="1">
        <v>578</v>
      </c>
      <c r="N550" s="1" t="s">
        <v>581</v>
      </c>
      <c r="O550" s="2">
        <v>46033.758645833332</v>
      </c>
      <c r="P550" s="3">
        <v>7.5043389999999999</v>
      </c>
      <c r="Q550" s="3">
        <v>50.074234426893483</v>
      </c>
      <c r="R550" s="13">
        <f t="shared" si="32"/>
        <v>7.5043389999999999</v>
      </c>
      <c r="S550" s="42">
        <f t="shared" si="35"/>
        <v>94.751102817962661</v>
      </c>
      <c r="T550" s="13">
        <v>0</v>
      </c>
      <c r="U550" s="14">
        <f t="shared" si="33"/>
        <v>50.074234426893483</v>
      </c>
      <c r="V550" s="15">
        <f t="shared" si="34"/>
        <v>711.04439616984712</v>
      </c>
    </row>
    <row r="551" spans="1:22" x14ac:dyDescent="0.3">
      <c r="A551">
        <v>6</v>
      </c>
      <c r="B551" s="84">
        <v>4.4000000000000004</v>
      </c>
      <c r="C551" s="78">
        <v>45974</v>
      </c>
      <c r="D551" s="78">
        <v>45976</v>
      </c>
      <c r="E551">
        <v>39</v>
      </c>
      <c r="F551" t="s">
        <v>929</v>
      </c>
      <c r="G551" t="s">
        <v>918</v>
      </c>
      <c r="H551">
        <v>97</v>
      </c>
      <c r="I551">
        <v>12</v>
      </c>
      <c r="J551" t="s">
        <v>935</v>
      </c>
      <c r="K551" t="s">
        <v>1423</v>
      </c>
      <c r="M551" s="4">
        <v>579</v>
      </c>
      <c r="N551" s="4" t="s">
        <v>582</v>
      </c>
      <c r="O551" s="12">
        <v>46033.762372685182</v>
      </c>
      <c r="P551" s="5">
        <v>8.5144889999999993</v>
      </c>
      <c r="Q551" s="5">
        <v>12.671760234525161</v>
      </c>
      <c r="R551" s="13">
        <f t="shared" si="32"/>
        <v>8.5144889999999993</v>
      </c>
      <c r="S551" s="42">
        <f t="shared" si="35"/>
        <v>94.751102817962661</v>
      </c>
      <c r="T551" s="13">
        <v>0</v>
      </c>
      <c r="U551" s="14">
        <f t="shared" si="33"/>
        <v>12.671760234525161</v>
      </c>
      <c r="V551" s="15">
        <f t="shared" si="34"/>
        <v>806.75722268141203</v>
      </c>
    </row>
    <row r="552" spans="1:22" x14ac:dyDescent="0.3">
      <c r="A552">
        <v>6</v>
      </c>
      <c r="B552" s="84">
        <v>4.4000000000000004</v>
      </c>
      <c r="C552" s="78">
        <v>45974</v>
      </c>
      <c r="D552" s="78">
        <v>45976</v>
      </c>
      <c r="E552">
        <v>33</v>
      </c>
      <c r="F552" t="s">
        <v>910</v>
      </c>
      <c r="G552" t="s">
        <v>922</v>
      </c>
      <c r="H552">
        <v>97</v>
      </c>
      <c r="I552">
        <v>13</v>
      </c>
      <c r="J552" t="s">
        <v>935</v>
      </c>
      <c r="K552" t="s">
        <v>1424</v>
      </c>
      <c r="M552" s="1">
        <v>580</v>
      </c>
      <c r="N552" s="1" t="s">
        <v>583</v>
      </c>
      <c r="O552" s="2">
        <v>46033.766145833331</v>
      </c>
      <c r="P552" s="3">
        <v>7.7277114999999998</v>
      </c>
      <c r="Q552" s="3">
        <v>47.80557004634349</v>
      </c>
      <c r="R552" s="13">
        <f t="shared" si="32"/>
        <v>7.7277114999999998</v>
      </c>
      <c r="S552" s="42">
        <f t="shared" si="35"/>
        <v>94.751102817962661</v>
      </c>
      <c r="T552" s="13">
        <v>0</v>
      </c>
      <c r="U552" s="14">
        <f t="shared" si="33"/>
        <v>47.80557004634349</v>
      </c>
      <c r="V552" s="15">
        <f t="shared" si="34"/>
        <v>732.20918688405243</v>
      </c>
    </row>
    <row r="553" spans="1:22" x14ac:dyDescent="0.3">
      <c r="A553">
        <v>6</v>
      </c>
      <c r="B553" s="84">
        <v>4.4000000000000004</v>
      </c>
      <c r="C553" s="78">
        <v>45974</v>
      </c>
      <c r="D553" s="78">
        <v>45976</v>
      </c>
      <c r="E553">
        <v>37</v>
      </c>
      <c r="F553" t="s">
        <v>921</v>
      </c>
      <c r="G553" t="s">
        <v>926</v>
      </c>
      <c r="H553">
        <v>97</v>
      </c>
      <c r="I553">
        <v>14</v>
      </c>
      <c r="J553" t="s">
        <v>935</v>
      </c>
      <c r="K553" t="s">
        <v>1425</v>
      </c>
      <c r="M553" s="4">
        <v>581</v>
      </c>
      <c r="N553" s="4" t="s">
        <v>584</v>
      </c>
      <c r="O553" s="12">
        <v>46033.769884259258</v>
      </c>
      <c r="P553" s="5">
        <v>8.5862680000000005</v>
      </c>
      <c r="Q553" s="5">
        <v>49.177021486597646</v>
      </c>
      <c r="R553" s="13">
        <f t="shared" si="32"/>
        <v>8.5862680000000005</v>
      </c>
      <c r="S553" s="42">
        <f t="shared" si="35"/>
        <v>94.751102817962661</v>
      </c>
      <c r="T553" s="13">
        <v>0</v>
      </c>
      <c r="U553" s="14">
        <f t="shared" si="33"/>
        <v>49.177021486597646</v>
      </c>
      <c r="V553" s="15">
        <f t="shared" si="34"/>
        <v>813.5583620905827</v>
      </c>
    </row>
    <row r="554" spans="1:22" x14ac:dyDescent="0.3">
      <c r="A554">
        <v>7</v>
      </c>
      <c r="B554" s="84">
        <v>4.4000000000000004</v>
      </c>
      <c r="C554" s="78">
        <v>45974</v>
      </c>
      <c r="D554" s="78">
        <v>45976</v>
      </c>
      <c r="E554">
        <v>34</v>
      </c>
      <c r="F554" t="s">
        <v>932</v>
      </c>
      <c r="G554" t="s">
        <v>930</v>
      </c>
      <c r="H554">
        <v>97</v>
      </c>
      <c r="I554">
        <v>15</v>
      </c>
      <c r="J554" t="s">
        <v>935</v>
      </c>
      <c r="K554" t="s">
        <v>1426</v>
      </c>
      <c r="M554" s="1">
        <v>582</v>
      </c>
      <c r="N554" s="1" t="s">
        <v>585</v>
      </c>
      <c r="O554" s="2">
        <v>46033.773622685185</v>
      </c>
      <c r="P554" s="3">
        <v>7.6539434999999996</v>
      </c>
      <c r="Q554" s="3">
        <v>45.713980181087585</v>
      </c>
      <c r="R554" s="13">
        <f t="shared" si="32"/>
        <v>7.6539434999999996</v>
      </c>
      <c r="S554" s="42">
        <f t="shared" si="35"/>
        <v>94.751102817962661</v>
      </c>
      <c r="T554" s="13">
        <v>0</v>
      </c>
      <c r="U554" s="14">
        <f t="shared" si="33"/>
        <v>45.713980181087585</v>
      </c>
      <c r="V554" s="15">
        <f t="shared" si="34"/>
        <v>725.21958753137699</v>
      </c>
    </row>
    <row r="555" spans="1:22" x14ac:dyDescent="0.3">
      <c r="A555">
        <v>7</v>
      </c>
      <c r="B555" s="84">
        <v>4.4000000000000004</v>
      </c>
      <c r="C555" s="78">
        <v>45974</v>
      </c>
      <c r="D555" s="78">
        <v>45976</v>
      </c>
      <c r="E555">
        <v>38</v>
      </c>
      <c r="F555" t="s">
        <v>925</v>
      </c>
      <c r="G555" t="s">
        <v>933</v>
      </c>
      <c r="H555">
        <v>97</v>
      </c>
      <c r="I555">
        <v>16</v>
      </c>
      <c r="J555" t="s">
        <v>935</v>
      </c>
      <c r="K555" t="s">
        <v>1427</v>
      </c>
      <c r="M555" s="4">
        <v>583</v>
      </c>
      <c r="N555" s="4" t="s">
        <v>586</v>
      </c>
      <c r="O555" s="12">
        <v>46033.777361111112</v>
      </c>
      <c r="P555" s="5">
        <v>8.1615710000000004</v>
      </c>
      <c r="Q555" s="5">
        <v>30.351170685125282</v>
      </c>
      <c r="R555" s="13">
        <f t="shared" si="32"/>
        <v>8.1615710000000004</v>
      </c>
      <c r="S555" s="42">
        <f t="shared" si="35"/>
        <v>94.751102817962661</v>
      </c>
      <c r="T555" s="13">
        <v>0</v>
      </c>
      <c r="U555" s="14">
        <f t="shared" si="33"/>
        <v>30.351170685125282</v>
      </c>
      <c r="V555" s="15">
        <f t="shared" si="34"/>
        <v>773.31785297710235</v>
      </c>
    </row>
    <row r="556" spans="1:22" x14ac:dyDescent="0.3">
      <c r="A556">
        <v>7</v>
      </c>
      <c r="B556" s="84">
        <v>4.4000000000000004</v>
      </c>
      <c r="C556" s="78">
        <v>45974</v>
      </c>
      <c r="D556" s="78">
        <v>45976</v>
      </c>
      <c r="E556">
        <v>35</v>
      </c>
      <c r="F556" t="s">
        <v>913</v>
      </c>
      <c r="G556" t="s">
        <v>907</v>
      </c>
      <c r="H556">
        <v>97</v>
      </c>
      <c r="I556">
        <v>17</v>
      </c>
      <c r="J556" t="s">
        <v>24</v>
      </c>
      <c r="K556" t="s">
        <v>1428</v>
      </c>
      <c r="M556" s="1">
        <v>584</v>
      </c>
      <c r="N556" s="1" t="s">
        <v>587</v>
      </c>
      <c r="O556" s="2">
        <v>46033.781099537038</v>
      </c>
      <c r="P556" s="3">
        <v>7.5294679999999996</v>
      </c>
      <c r="Q556" s="3">
        <v>45.170796157341961</v>
      </c>
      <c r="R556" s="13">
        <f t="shared" si="32"/>
        <v>7.5294679999999996</v>
      </c>
      <c r="S556" s="42">
        <f t="shared" si="35"/>
        <v>94.751102817962661</v>
      </c>
      <c r="T556" s="13">
        <v>0</v>
      </c>
      <c r="U556" s="14">
        <f t="shared" si="33"/>
        <v>45.170796157341961</v>
      </c>
      <c r="V556" s="15">
        <f t="shared" si="34"/>
        <v>713.42539663255968</v>
      </c>
    </row>
    <row r="557" spans="1:22" x14ac:dyDescent="0.3">
      <c r="A557">
        <v>7</v>
      </c>
      <c r="B557" s="84">
        <v>4.4000000000000004</v>
      </c>
      <c r="C557" s="78">
        <v>45974</v>
      </c>
      <c r="D557" s="78">
        <v>45976</v>
      </c>
      <c r="E557">
        <v>40</v>
      </c>
      <c r="F557" t="s">
        <v>906</v>
      </c>
      <c r="G557" t="s">
        <v>15</v>
      </c>
      <c r="H557">
        <v>97</v>
      </c>
      <c r="I557">
        <v>18</v>
      </c>
      <c r="J557" t="s">
        <v>24</v>
      </c>
      <c r="K557" t="s">
        <v>1429</v>
      </c>
      <c r="M557" s="4">
        <v>585</v>
      </c>
      <c r="N557" s="4" t="s">
        <v>588</v>
      </c>
      <c r="O557" s="12">
        <v>46033.784826388888</v>
      </c>
      <c r="P557" s="5">
        <v>9.0602470000000004</v>
      </c>
      <c r="Q557" s="5">
        <v>64.769108666961657</v>
      </c>
      <c r="R557" s="13">
        <f t="shared" si="32"/>
        <v>9.0602470000000004</v>
      </c>
      <c r="S557" s="42">
        <f t="shared" si="35"/>
        <v>94.751102817962661</v>
      </c>
      <c r="T557" s="13">
        <v>0</v>
      </c>
      <c r="U557" s="14">
        <f t="shared" si="33"/>
        <v>64.769108666961657</v>
      </c>
      <c r="V557" s="15">
        <f t="shared" si="34"/>
        <v>858.46839505313778</v>
      </c>
    </row>
    <row r="558" spans="1:22" x14ac:dyDescent="0.3">
      <c r="A558">
        <v>7</v>
      </c>
      <c r="B558" s="84">
        <v>4.4000000000000004</v>
      </c>
      <c r="C558" s="78">
        <v>45974</v>
      </c>
      <c r="D558" s="78">
        <v>45976</v>
      </c>
      <c r="E558">
        <v>36</v>
      </c>
      <c r="F558" t="s">
        <v>917</v>
      </c>
      <c r="G558" t="s">
        <v>914</v>
      </c>
      <c r="H558">
        <v>97</v>
      </c>
      <c r="I558">
        <v>19</v>
      </c>
      <c r="J558" t="s">
        <v>24</v>
      </c>
      <c r="K558" t="s">
        <v>1430</v>
      </c>
      <c r="M558" s="1">
        <v>586</v>
      </c>
      <c r="N558" s="1" t="s">
        <v>589</v>
      </c>
      <c r="O558" s="2">
        <v>46033.788564814815</v>
      </c>
      <c r="P558" s="3">
        <v>7.7549795000000001</v>
      </c>
      <c r="Q558" s="3">
        <v>87.983288198521308</v>
      </c>
      <c r="R558" s="13">
        <f t="shared" si="32"/>
        <v>7.7549795000000001</v>
      </c>
      <c r="S558" s="42">
        <f t="shared" si="35"/>
        <v>94.751102817962661</v>
      </c>
      <c r="T558" s="13">
        <v>0</v>
      </c>
      <c r="U558" s="14">
        <f t="shared" si="33"/>
        <v>87.983288198521308</v>
      </c>
      <c r="V558" s="15">
        <f t="shared" si="34"/>
        <v>734.79285995569273</v>
      </c>
    </row>
    <row r="559" spans="1:22" x14ac:dyDescent="0.3">
      <c r="A559">
        <v>7</v>
      </c>
      <c r="B559" s="84">
        <v>4.4000000000000004</v>
      </c>
      <c r="C559" s="78">
        <v>45974</v>
      </c>
      <c r="D559" s="78">
        <v>45976</v>
      </c>
      <c r="E559">
        <v>39</v>
      </c>
      <c r="F559" t="s">
        <v>929</v>
      </c>
      <c r="G559" t="s">
        <v>918</v>
      </c>
      <c r="H559">
        <v>97</v>
      </c>
      <c r="I559">
        <v>20</v>
      </c>
      <c r="J559" t="s">
        <v>24</v>
      </c>
      <c r="K559" t="s">
        <v>1431</v>
      </c>
      <c r="M559" s="4">
        <v>587</v>
      </c>
      <c r="N559" s="4" t="s">
        <v>590</v>
      </c>
      <c r="O559" s="12">
        <v>46033.792303240742</v>
      </c>
      <c r="P559" s="5">
        <v>7.9498695000000001</v>
      </c>
      <c r="Q559" s="5">
        <v>39.917973533338433</v>
      </c>
      <c r="R559" s="13">
        <f t="shared" si="32"/>
        <v>7.9498695000000001</v>
      </c>
      <c r="S559" s="42">
        <f t="shared" si="35"/>
        <v>94.751102817962661</v>
      </c>
      <c r="T559" s="13">
        <v>0</v>
      </c>
      <c r="U559" s="14">
        <f t="shared" si="33"/>
        <v>39.917973533338433</v>
      </c>
      <c r="V559" s="15">
        <f t="shared" si="34"/>
        <v>753.25890238388547</v>
      </c>
    </row>
    <row r="560" spans="1:22" x14ac:dyDescent="0.3">
      <c r="A560">
        <v>7</v>
      </c>
      <c r="B560" s="84">
        <v>4.4000000000000004</v>
      </c>
      <c r="C560" s="78">
        <v>45974</v>
      </c>
      <c r="D560" s="78">
        <v>45976</v>
      </c>
      <c r="E560">
        <v>33</v>
      </c>
      <c r="F560" t="s">
        <v>910</v>
      </c>
      <c r="G560" t="s">
        <v>922</v>
      </c>
      <c r="H560">
        <v>97</v>
      </c>
      <c r="I560">
        <v>21</v>
      </c>
      <c r="J560" t="s">
        <v>24</v>
      </c>
      <c r="K560" t="s">
        <v>1432</v>
      </c>
      <c r="M560" s="1">
        <v>588</v>
      </c>
      <c r="N560" s="1" t="s">
        <v>591</v>
      </c>
      <c r="O560" s="2">
        <v>46033.796053240738</v>
      </c>
      <c r="P560" s="3">
        <v>8.1656034999999996</v>
      </c>
      <c r="Q560" s="3">
        <v>81.191856348560776</v>
      </c>
      <c r="R560" s="13">
        <f t="shared" si="32"/>
        <v>8.1656034999999996</v>
      </c>
      <c r="S560" s="42">
        <f t="shared" si="35"/>
        <v>94.751102817962661</v>
      </c>
      <c r="T560" s="13">
        <v>0</v>
      </c>
      <c r="U560" s="14">
        <f t="shared" si="33"/>
        <v>81.191856348560776</v>
      </c>
      <c r="V560" s="15">
        <f t="shared" si="34"/>
        <v>773.69993679921572</v>
      </c>
    </row>
    <row r="561" spans="1:22" x14ac:dyDescent="0.3">
      <c r="A561">
        <v>7</v>
      </c>
      <c r="B561" s="84">
        <v>4.4000000000000004</v>
      </c>
      <c r="C561" s="78">
        <v>45974</v>
      </c>
      <c r="D561" s="78">
        <v>45976</v>
      </c>
      <c r="E561">
        <v>37</v>
      </c>
      <c r="F561" t="s">
        <v>921</v>
      </c>
      <c r="G561" t="s">
        <v>926</v>
      </c>
      <c r="H561">
        <v>97</v>
      </c>
      <c r="I561">
        <v>22</v>
      </c>
      <c r="J561" t="s">
        <v>24</v>
      </c>
      <c r="K561" t="s">
        <v>1433</v>
      </c>
      <c r="M561" s="4">
        <v>589</v>
      </c>
      <c r="N561" s="4" t="s">
        <v>592</v>
      </c>
      <c r="O561" s="12">
        <v>46033.799803240741</v>
      </c>
      <c r="P561" s="5">
        <v>9.1560740000000003</v>
      </c>
      <c r="Q561" s="5">
        <v>79.972195848408219</v>
      </c>
      <c r="R561" s="13">
        <f t="shared" si="32"/>
        <v>9.1560740000000003</v>
      </c>
      <c r="S561" s="42">
        <f t="shared" si="35"/>
        <v>94.751102817962661</v>
      </c>
      <c r="T561" s="13">
        <v>0</v>
      </c>
      <c r="U561" s="14">
        <f t="shared" si="33"/>
        <v>79.972195848408219</v>
      </c>
      <c r="V561" s="15">
        <f t="shared" si="34"/>
        <v>867.54810898287462</v>
      </c>
    </row>
    <row r="562" spans="1:22" x14ac:dyDescent="0.3">
      <c r="A562">
        <v>7</v>
      </c>
      <c r="B562" s="84">
        <v>4.4000000000000004</v>
      </c>
      <c r="C562" s="78">
        <v>45974</v>
      </c>
      <c r="D562" s="78">
        <v>45976</v>
      </c>
      <c r="E562">
        <v>34</v>
      </c>
      <c r="F562" t="s">
        <v>932</v>
      </c>
      <c r="G562" t="s">
        <v>930</v>
      </c>
      <c r="H562">
        <v>97</v>
      </c>
      <c r="I562">
        <v>23</v>
      </c>
      <c r="J562" t="s">
        <v>24</v>
      </c>
      <c r="K562" t="s">
        <v>1434</v>
      </c>
      <c r="M562" s="1">
        <v>590</v>
      </c>
      <c r="N562" s="1" t="s">
        <v>593</v>
      </c>
      <c r="O562" s="2">
        <v>46033.803541666668</v>
      </c>
      <c r="P562" s="3">
        <v>7.4264995000000003</v>
      </c>
      <c r="Q562" s="3">
        <v>85.33868927059909</v>
      </c>
      <c r="R562" s="13">
        <f t="shared" si="32"/>
        <v>7.4264995000000003</v>
      </c>
      <c r="S562" s="42">
        <f t="shared" si="35"/>
        <v>94.751102817962661</v>
      </c>
      <c r="T562" s="13">
        <v>0</v>
      </c>
      <c r="U562" s="14">
        <f t="shared" si="33"/>
        <v>85.33868927059909</v>
      </c>
      <c r="V562" s="15">
        <f t="shared" si="34"/>
        <v>703.66901770204834</v>
      </c>
    </row>
    <row r="563" spans="1:22" x14ac:dyDescent="0.3">
      <c r="A563">
        <v>7</v>
      </c>
      <c r="B563" s="84">
        <v>4.4000000000000004</v>
      </c>
      <c r="C563" s="78">
        <v>45974</v>
      </c>
      <c r="D563" s="78">
        <v>45976</v>
      </c>
      <c r="E563">
        <v>38</v>
      </c>
      <c r="F563" t="s">
        <v>925</v>
      </c>
      <c r="G563" t="s">
        <v>933</v>
      </c>
      <c r="H563">
        <v>97</v>
      </c>
      <c r="I563">
        <v>24</v>
      </c>
      <c r="J563" t="s">
        <v>24</v>
      </c>
      <c r="K563" t="s">
        <v>1435</v>
      </c>
      <c r="M563" s="4">
        <v>591</v>
      </c>
      <c r="N563" s="4" t="s">
        <v>594</v>
      </c>
      <c r="O563" s="12">
        <v>46033.807268518518</v>
      </c>
      <c r="P563" s="5">
        <v>8.1714055000000005</v>
      </c>
      <c r="Q563" s="5">
        <v>59.29127190303474</v>
      </c>
      <c r="R563" s="13">
        <f t="shared" si="32"/>
        <v>8.1714055000000005</v>
      </c>
      <c r="S563" s="42">
        <f t="shared" si="35"/>
        <v>94.751102817962661</v>
      </c>
      <c r="T563" s="13">
        <v>0</v>
      </c>
      <c r="U563" s="14">
        <f t="shared" si="33"/>
        <v>59.29127190303474</v>
      </c>
      <c r="V563" s="15">
        <f t="shared" si="34"/>
        <v>774.24968269776559</v>
      </c>
    </row>
    <row r="564" spans="1:22" x14ac:dyDescent="0.3">
      <c r="A564">
        <v>7</v>
      </c>
      <c r="B564" s="84">
        <v>4.4000000000000004</v>
      </c>
      <c r="C564" s="78">
        <v>45974</v>
      </c>
      <c r="D564" s="78">
        <v>45976</v>
      </c>
      <c r="E564">
        <v>35</v>
      </c>
      <c r="F564" t="s">
        <v>913</v>
      </c>
      <c r="G564" t="s">
        <v>907</v>
      </c>
      <c r="H564">
        <v>97</v>
      </c>
      <c r="I564">
        <v>25</v>
      </c>
      <c r="J564" t="s">
        <v>25</v>
      </c>
      <c r="K564" t="s">
        <v>1436</v>
      </c>
      <c r="M564" s="1">
        <v>592</v>
      </c>
      <c r="N564" s="1" t="s">
        <v>595</v>
      </c>
      <c r="O564" s="2">
        <v>46033.811006944445</v>
      </c>
      <c r="P564" s="3">
        <v>7.2355334999999998</v>
      </c>
      <c r="Q564" s="3">
        <v>72.285970270690612</v>
      </c>
      <c r="R564" s="13">
        <f t="shared" si="32"/>
        <v>7.2355334999999998</v>
      </c>
      <c r="S564" s="42">
        <f t="shared" si="35"/>
        <v>94.751102817962661</v>
      </c>
      <c r="T564" s="13">
        <v>0</v>
      </c>
      <c r="U564" s="14">
        <f t="shared" si="33"/>
        <v>72.285970270690612</v>
      </c>
      <c r="V564" s="15">
        <f t="shared" si="34"/>
        <v>685.57477860131326</v>
      </c>
    </row>
    <row r="565" spans="1:22" x14ac:dyDescent="0.3">
      <c r="A565">
        <v>7</v>
      </c>
      <c r="B565" s="84">
        <v>4.4000000000000004</v>
      </c>
      <c r="C565" s="78">
        <v>45974</v>
      </c>
      <c r="D565" s="78">
        <v>45976</v>
      </c>
      <c r="E565">
        <v>40</v>
      </c>
      <c r="F565" t="s">
        <v>906</v>
      </c>
      <c r="G565" t="s">
        <v>15</v>
      </c>
      <c r="H565">
        <v>97</v>
      </c>
      <c r="I565">
        <v>26</v>
      </c>
      <c r="J565" t="s">
        <v>25</v>
      </c>
      <c r="K565" t="s">
        <v>1437</v>
      </c>
      <c r="M565" s="4">
        <v>593</v>
      </c>
      <c r="N565" s="4" t="s">
        <v>596</v>
      </c>
      <c r="O565" s="12">
        <v>46033.814756944441</v>
      </c>
      <c r="P565" s="5">
        <v>9.6661230000000007</v>
      </c>
      <c r="Q565" s="5">
        <v>79.770844943392817</v>
      </c>
      <c r="R565" s="13">
        <f t="shared" si="32"/>
        <v>9.6661230000000007</v>
      </c>
      <c r="S565" s="42">
        <f t="shared" si="35"/>
        <v>94.751102817962661</v>
      </c>
      <c r="T565" s="13">
        <v>0</v>
      </c>
      <c r="U565" s="14">
        <f t="shared" si="33"/>
        <v>79.770844943392817</v>
      </c>
      <c r="V565" s="15">
        <f t="shared" si="34"/>
        <v>915.87581422407379</v>
      </c>
    </row>
    <row r="566" spans="1:22" x14ac:dyDescent="0.3">
      <c r="A566">
        <v>7</v>
      </c>
      <c r="B566" s="84">
        <v>4.4000000000000004</v>
      </c>
      <c r="C566" s="78">
        <v>45974</v>
      </c>
      <c r="D566" s="78">
        <v>45976</v>
      </c>
      <c r="E566">
        <v>36</v>
      </c>
      <c r="F566" t="s">
        <v>917</v>
      </c>
      <c r="G566" t="s">
        <v>914</v>
      </c>
      <c r="H566">
        <v>97</v>
      </c>
      <c r="I566">
        <v>27</v>
      </c>
      <c r="J566" t="s">
        <v>25</v>
      </c>
      <c r="K566" t="s">
        <v>1438</v>
      </c>
      <c r="M566" s="1">
        <v>594</v>
      </c>
      <c r="N566" s="1" t="s">
        <v>597</v>
      </c>
      <c r="O566" s="2">
        <v>46033.818495370368</v>
      </c>
      <c r="P566" s="3">
        <v>8.1751965000000002</v>
      </c>
      <c r="Q566" s="3">
        <v>114.66561798241308</v>
      </c>
      <c r="R566" s="13">
        <f t="shared" si="32"/>
        <v>8.1751965000000002</v>
      </c>
      <c r="S566" s="42">
        <f t="shared" si="35"/>
        <v>94.751102817962661</v>
      </c>
      <c r="T566" s="13">
        <v>0</v>
      </c>
      <c r="U566" s="14">
        <f t="shared" si="33"/>
        <v>114.66561798241308</v>
      </c>
      <c r="V566" s="15">
        <f t="shared" si="34"/>
        <v>774.60888412854854</v>
      </c>
    </row>
    <row r="567" spans="1:22" x14ac:dyDescent="0.3">
      <c r="A567">
        <v>7</v>
      </c>
      <c r="B567" s="84">
        <v>4.4000000000000004</v>
      </c>
      <c r="C567" s="78">
        <v>45974</v>
      </c>
      <c r="D567" s="78">
        <v>45976</v>
      </c>
      <c r="E567">
        <v>39</v>
      </c>
      <c r="F567" t="s">
        <v>929</v>
      </c>
      <c r="G567" t="s">
        <v>918</v>
      </c>
      <c r="H567">
        <v>97</v>
      </c>
      <c r="I567">
        <v>28</v>
      </c>
      <c r="J567" t="s">
        <v>25</v>
      </c>
      <c r="K567" t="s">
        <v>1439</v>
      </c>
      <c r="M567" s="4">
        <v>595</v>
      </c>
      <c r="N567" s="4" t="s">
        <v>598</v>
      </c>
      <c r="O567" s="12">
        <v>46033.822245370371</v>
      </c>
      <c r="P567" s="5">
        <v>8.3480474999999998</v>
      </c>
      <c r="Q567" s="5">
        <v>57.989010973108549</v>
      </c>
      <c r="R567" s="13">
        <f t="shared" si="32"/>
        <v>8.3480474999999998</v>
      </c>
      <c r="S567" s="42">
        <f t="shared" si="35"/>
        <v>94.751102817962661</v>
      </c>
      <c r="T567" s="13">
        <v>0</v>
      </c>
      <c r="U567" s="14">
        <f t="shared" si="33"/>
        <v>57.989010973108549</v>
      </c>
      <c r="V567" s="15">
        <f t="shared" si="34"/>
        <v>790.98670700173614</v>
      </c>
    </row>
    <row r="568" spans="1:22" x14ac:dyDescent="0.3">
      <c r="A568">
        <v>7</v>
      </c>
      <c r="B568" s="84">
        <v>4.4000000000000004</v>
      </c>
      <c r="C568" s="78">
        <v>45974</v>
      </c>
      <c r="D568" s="78">
        <v>45976</v>
      </c>
      <c r="E568">
        <v>33</v>
      </c>
      <c r="F568" t="s">
        <v>910</v>
      </c>
      <c r="G568" t="s">
        <v>922</v>
      </c>
      <c r="H568">
        <v>97</v>
      </c>
      <c r="I568">
        <v>29</v>
      </c>
      <c r="J568" t="s">
        <v>25</v>
      </c>
      <c r="K568" t="s">
        <v>1440</v>
      </c>
      <c r="M568" s="1">
        <v>596</v>
      </c>
      <c r="N568" s="1" t="s">
        <v>599</v>
      </c>
      <c r="O568" s="2">
        <v>46033.82603009259</v>
      </c>
      <c r="P568" s="3">
        <v>8.2874145000000006</v>
      </c>
      <c r="Q568" s="3">
        <v>110.07457876144532</v>
      </c>
      <c r="R568" s="13">
        <f t="shared" ref="R568:R631" si="36">P568</f>
        <v>8.2874145000000006</v>
      </c>
      <c r="S568" s="42">
        <f t="shared" si="35"/>
        <v>94.751102817962661</v>
      </c>
      <c r="T568" s="13">
        <v>0</v>
      </c>
      <c r="U568" s="14">
        <f t="shared" ref="U568:U631" si="37">Q568+T568</f>
        <v>110.07457876144532</v>
      </c>
      <c r="V568" s="15">
        <f t="shared" ref="V568:V631" si="38">R568*S568</f>
        <v>785.24166338457462</v>
      </c>
    </row>
    <row r="569" spans="1:22" x14ac:dyDescent="0.3">
      <c r="A569">
        <v>7</v>
      </c>
      <c r="B569" s="84">
        <v>4.4000000000000004</v>
      </c>
      <c r="C569" s="78">
        <v>45974</v>
      </c>
      <c r="D569" s="78">
        <v>45976</v>
      </c>
      <c r="E569">
        <v>37</v>
      </c>
      <c r="F569" t="s">
        <v>921</v>
      </c>
      <c r="G569" t="s">
        <v>926</v>
      </c>
      <c r="H569">
        <v>97</v>
      </c>
      <c r="I569">
        <v>30</v>
      </c>
      <c r="J569" t="s">
        <v>25</v>
      </c>
      <c r="K569" t="s">
        <v>1441</v>
      </c>
      <c r="M569" s="4">
        <v>597</v>
      </c>
      <c r="N569" s="4" t="s">
        <v>600</v>
      </c>
      <c r="O569" s="12">
        <v>46033.829768518517</v>
      </c>
      <c r="P569" s="5">
        <v>9.7059809999999995</v>
      </c>
      <c r="Q569" s="5">
        <v>104.95478644308172</v>
      </c>
      <c r="R569" s="13">
        <f t="shared" si="36"/>
        <v>9.7059809999999995</v>
      </c>
      <c r="S569" s="42">
        <f t="shared" si="35"/>
        <v>94.751102817962661</v>
      </c>
      <c r="T569" s="13">
        <v>0</v>
      </c>
      <c r="U569" s="14">
        <f t="shared" si="37"/>
        <v>104.95478644308172</v>
      </c>
      <c r="V569" s="15">
        <f t="shared" si="38"/>
        <v>919.65240368019204</v>
      </c>
    </row>
    <row r="570" spans="1:22" x14ac:dyDescent="0.3">
      <c r="A570">
        <v>7</v>
      </c>
      <c r="B570" s="84">
        <v>4.4000000000000004</v>
      </c>
      <c r="C570" s="78">
        <v>45974</v>
      </c>
      <c r="D570" s="78">
        <v>45976</v>
      </c>
      <c r="E570">
        <v>34</v>
      </c>
      <c r="F570" t="s">
        <v>932</v>
      </c>
      <c r="G570" t="s">
        <v>930</v>
      </c>
      <c r="H570">
        <v>97</v>
      </c>
      <c r="I570">
        <v>31</v>
      </c>
      <c r="J570" t="s">
        <v>25</v>
      </c>
      <c r="K570" t="s">
        <v>1442</v>
      </c>
      <c r="M570" s="1">
        <v>598</v>
      </c>
      <c r="N570" s="1" t="s">
        <v>601</v>
      </c>
      <c r="O570" s="2">
        <v>46033.83357638889</v>
      </c>
      <c r="P570" s="3">
        <v>7.9868185</v>
      </c>
      <c r="Q570" s="3">
        <v>105.76855493592176</v>
      </c>
      <c r="R570" s="13">
        <f t="shared" si="36"/>
        <v>7.9868185</v>
      </c>
      <c r="S570" s="42">
        <f t="shared" si="35"/>
        <v>94.751102817962661</v>
      </c>
      <c r="T570" s="13">
        <v>0</v>
      </c>
      <c r="U570" s="14">
        <f t="shared" si="37"/>
        <v>105.76855493592176</v>
      </c>
      <c r="V570" s="15">
        <f t="shared" si="38"/>
        <v>756.75986088190632</v>
      </c>
    </row>
    <row r="571" spans="1:22" x14ac:dyDescent="0.3">
      <c r="A571">
        <v>7</v>
      </c>
      <c r="B571" s="84">
        <v>4.4000000000000004</v>
      </c>
      <c r="C571" s="78">
        <v>45974</v>
      </c>
      <c r="D571" s="78">
        <v>45976</v>
      </c>
      <c r="E571">
        <v>38</v>
      </c>
      <c r="F571" t="s">
        <v>925</v>
      </c>
      <c r="G571" t="s">
        <v>933</v>
      </c>
      <c r="H571">
        <v>97</v>
      </c>
      <c r="I571">
        <v>32</v>
      </c>
      <c r="J571" t="s">
        <v>25</v>
      </c>
      <c r="K571" t="s">
        <v>1443</v>
      </c>
      <c r="M571" s="4">
        <v>599</v>
      </c>
      <c r="N571" s="4" t="s">
        <v>602</v>
      </c>
      <c r="O571" s="12">
        <v>46033.83730324074</v>
      </c>
      <c r="P571" s="5">
        <v>8.641159</v>
      </c>
      <c r="Q571" s="5">
        <v>77.468058210828673</v>
      </c>
      <c r="R571" s="13">
        <f t="shared" si="36"/>
        <v>8.641159</v>
      </c>
      <c r="S571" s="42">
        <f t="shared" si="35"/>
        <v>94.751102817962661</v>
      </c>
      <c r="T571" s="13">
        <v>0</v>
      </c>
      <c r="U571" s="14">
        <f t="shared" si="37"/>
        <v>77.468058210828673</v>
      </c>
      <c r="V571" s="15">
        <f t="shared" si="38"/>
        <v>818.75934487536335</v>
      </c>
    </row>
    <row r="572" spans="1:22" x14ac:dyDescent="0.3">
      <c r="A572">
        <v>7</v>
      </c>
      <c r="B572" s="85">
        <v>5.0999999999999996</v>
      </c>
      <c r="C572" s="78">
        <v>45979</v>
      </c>
      <c r="D572" s="78">
        <v>45981</v>
      </c>
      <c r="E572">
        <v>56</v>
      </c>
      <c r="F572" t="s">
        <v>921</v>
      </c>
      <c r="G572" t="s">
        <v>907</v>
      </c>
      <c r="H572">
        <v>7</v>
      </c>
      <c r="I572">
        <v>1</v>
      </c>
      <c r="J572" t="s">
        <v>908</v>
      </c>
      <c r="K572" t="s">
        <v>1444</v>
      </c>
      <c r="M572" s="1">
        <v>600</v>
      </c>
      <c r="N572" s="1" t="s">
        <v>603</v>
      </c>
      <c r="O572" s="2">
        <v>46033.841122685182</v>
      </c>
      <c r="P572" s="3">
        <v>6.8421514999999999</v>
      </c>
      <c r="Q572" s="3">
        <v>-16.243466642492798</v>
      </c>
      <c r="R572" s="13">
        <f t="shared" si="36"/>
        <v>6.8421514999999999</v>
      </c>
      <c r="S572" s="42">
        <f t="shared" si="35"/>
        <v>94.751102817962661</v>
      </c>
      <c r="T572" s="13">
        <v>0</v>
      </c>
      <c r="U572" s="14">
        <f t="shared" si="37"/>
        <v>-16.243466642492798</v>
      </c>
      <c r="V572" s="15">
        <f t="shared" si="38"/>
        <v>648.30140027257744</v>
      </c>
    </row>
    <row r="573" spans="1:22" x14ac:dyDescent="0.3">
      <c r="A573">
        <v>7</v>
      </c>
      <c r="B573" s="85">
        <v>5.0999999999999996</v>
      </c>
      <c r="C573" s="78">
        <v>45979</v>
      </c>
      <c r="D573" s="78">
        <v>45981</v>
      </c>
      <c r="E573">
        <v>55</v>
      </c>
      <c r="F573" t="s">
        <v>929</v>
      </c>
      <c r="G573" t="s">
        <v>15</v>
      </c>
      <c r="H573">
        <v>7</v>
      </c>
      <c r="I573">
        <v>2</v>
      </c>
      <c r="J573" t="s">
        <v>908</v>
      </c>
      <c r="K573" t="s">
        <v>1445</v>
      </c>
      <c r="M573" s="4">
        <v>601</v>
      </c>
      <c r="N573" s="4" t="s">
        <v>604</v>
      </c>
      <c r="O573" s="12">
        <v>46033.844895833332</v>
      </c>
      <c r="P573" s="5">
        <v>7.0196125</v>
      </c>
      <c r="Q573" s="5">
        <v>-16.369957357141889</v>
      </c>
      <c r="R573" s="13">
        <f t="shared" si="36"/>
        <v>7.0196125</v>
      </c>
      <c r="S573" s="42">
        <f t="shared" si="35"/>
        <v>94.751102817962661</v>
      </c>
      <c r="T573" s="13">
        <v>0</v>
      </c>
      <c r="U573" s="14">
        <f t="shared" si="37"/>
        <v>-16.369957357141889</v>
      </c>
      <c r="V573" s="15">
        <f t="shared" si="38"/>
        <v>665.11602572975596</v>
      </c>
    </row>
    <row r="574" spans="1:22" x14ac:dyDescent="0.3">
      <c r="A574">
        <v>7</v>
      </c>
      <c r="B574" s="85">
        <v>5.0999999999999996</v>
      </c>
      <c r="C574" s="78">
        <v>45979</v>
      </c>
      <c r="D574" s="78">
        <v>45981</v>
      </c>
      <c r="E574">
        <v>54</v>
      </c>
      <c r="F574" t="s">
        <v>906</v>
      </c>
      <c r="G574" t="s">
        <v>914</v>
      </c>
      <c r="H574">
        <v>7</v>
      </c>
      <c r="I574">
        <v>3</v>
      </c>
      <c r="J574" t="s">
        <v>908</v>
      </c>
      <c r="K574" t="s">
        <v>1446</v>
      </c>
      <c r="M574" s="1">
        <v>602</v>
      </c>
      <c r="N574" s="1" t="s">
        <v>605</v>
      </c>
      <c r="O574" s="2">
        <v>46033.848634259259</v>
      </c>
      <c r="P574" s="3">
        <v>7.173</v>
      </c>
      <c r="Q574" s="3">
        <v>-16.245621789821499</v>
      </c>
      <c r="R574" s="13">
        <f t="shared" si="36"/>
        <v>7.173</v>
      </c>
      <c r="S574" s="42">
        <f t="shared" si="35"/>
        <v>94.751102817962661</v>
      </c>
      <c r="T574" s="13">
        <v>0</v>
      </c>
      <c r="U574" s="14">
        <f t="shared" si="37"/>
        <v>-16.245621789821499</v>
      </c>
      <c r="V574" s="15">
        <f t="shared" si="38"/>
        <v>679.6496605132462</v>
      </c>
    </row>
    <row r="575" spans="1:22" x14ac:dyDescent="0.3">
      <c r="A575">
        <v>7</v>
      </c>
      <c r="B575" s="85">
        <v>5.0999999999999996</v>
      </c>
      <c r="C575" s="78">
        <v>45979</v>
      </c>
      <c r="D575" s="78">
        <v>45981</v>
      </c>
      <c r="E575">
        <v>49</v>
      </c>
      <c r="F575" t="s">
        <v>932</v>
      </c>
      <c r="G575" t="s">
        <v>918</v>
      </c>
      <c r="H575">
        <v>7</v>
      </c>
      <c r="I575">
        <v>4</v>
      </c>
      <c r="J575" t="s">
        <v>908</v>
      </c>
      <c r="K575" t="s">
        <v>1447</v>
      </c>
      <c r="M575" s="4">
        <v>603</v>
      </c>
      <c r="N575" s="4" t="s">
        <v>606</v>
      </c>
      <c r="O575" s="12">
        <v>46033.85255787037</v>
      </c>
      <c r="P575" s="5">
        <v>6.9974030000000003</v>
      </c>
      <c r="Q575" s="5">
        <v>-16.549723637724416</v>
      </c>
      <c r="R575" s="13">
        <f t="shared" si="36"/>
        <v>6.9974030000000003</v>
      </c>
      <c r="S575" s="42">
        <f t="shared" si="35"/>
        <v>94.751102817962661</v>
      </c>
      <c r="T575" s="13">
        <v>0</v>
      </c>
      <c r="U575" s="14">
        <f t="shared" si="37"/>
        <v>-16.549723637724416</v>
      </c>
      <c r="V575" s="15">
        <f t="shared" si="38"/>
        <v>663.01165111172043</v>
      </c>
    </row>
    <row r="576" spans="1:22" x14ac:dyDescent="0.3">
      <c r="A576">
        <v>7</v>
      </c>
      <c r="B576" s="85">
        <v>5.0999999999999996</v>
      </c>
      <c r="C576" s="78">
        <v>45979</v>
      </c>
      <c r="D576" s="78">
        <v>45981</v>
      </c>
      <c r="E576">
        <v>52</v>
      </c>
      <c r="F576" t="s">
        <v>917</v>
      </c>
      <c r="G576" t="s">
        <v>922</v>
      </c>
      <c r="H576">
        <v>7</v>
      </c>
      <c r="I576">
        <v>5</v>
      </c>
      <c r="J576" t="s">
        <v>908</v>
      </c>
      <c r="K576" t="s">
        <v>1448</v>
      </c>
      <c r="M576" s="1">
        <v>604</v>
      </c>
      <c r="N576" s="1" t="s">
        <v>607</v>
      </c>
      <c r="O576" s="2">
        <v>46033.856296296297</v>
      </c>
      <c r="P576" s="3">
        <v>7.3762394999999996</v>
      </c>
      <c r="Q576" s="3">
        <v>-16.172678113858257</v>
      </c>
      <c r="R576" s="13">
        <f t="shared" si="36"/>
        <v>7.3762394999999996</v>
      </c>
      <c r="S576" s="42">
        <f t="shared" si="35"/>
        <v>94.751102817962661</v>
      </c>
      <c r="T576" s="13">
        <v>0</v>
      </c>
      <c r="U576" s="14">
        <f t="shared" si="37"/>
        <v>-16.172678113858257</v>
      </c>
      <c r="V576" s="15">
        <f t="shared" si="38"/>
        <v>698.90682727441742</v>
      </c>
    </row>
    <row r="577" spans="1:22" x14ac:dyDescent="0.3">
      <c r="A577">
        <v>7</v>
      </c>
      <c r="B577" s="85">
        <v>5.0999999999999996</v>
      </c>
      <c r="C577" s="78">
        <v>45979</v>
      </c>
      <c r="D577" s="78">
        <v>45981</v>
      </c>
      <c r="E577">
        <v>50</v>
      </c>
      <c r="F577" t="s">
        <v>913</v>
      </c>
      <c r="G577" t="s">
        <v>926</v>
      </c>
      <c r="H577">
        <v>7</v>
      </c>
      <c r="I577">
        <v>6</v>
      </c>
      <c r="J577" t="s">
        <v>908</v>
      </c>
      <c r="K577" t="s">
        <v>1449</v>
      </c>
      <c r="M577" s="4">
        <v>605</v>
      </c>
      <c r="N577" s="4" t="s">
        <v>608</v>
      </c>
      <c r="O577" s="12">
        <v>46033.860046296293</v>
      </c>
      <c r="P577" s="5">
        <v>6.9181714999999997</v>
      </c>
      <c r="Q577" s="5">
        <v>-16.690020259855853</v>
      </c>
      <c r="R577" s="13">
        <f t="shared" si="36"/>
        <v>6.9181714999999997</v>
      </c>
      <c r="S577" s="42">
        <f t="shared" si="35"/>
        <v>94.751102817962661</v>
      </c>
      <c r="T577" s="13">
        <v>0</v>
      </c>
      <c r="U577" s="14">
        <f t="shared" si="37"/>
        <v>-16.690020259855853</v>
      </c>
      <c r="V577" s="15">
        <f t="shared" si="38"/>
        <v>655.50437910879896</v>
      </c>
    </row>
    <row r="578" spans="1:22" x14ac:dyDescent="0.3">
      <c r="A578">
        <v>7</v>
      </c>
      <c r="B578" s="85">
        <v>5.0999999999999996</v>
      </c>
      <c r="C578" s="78">
        <v>45979</v>
      </c>
      <c r="D578" s="78">
        <v>45981</v>
      </c>
      <c r="E578">
        <v>53</v>
      </c>
      <c r="F578" t="s">
        <v>925</v>
      </c>
      <c r="G578" t="s">
        <v>930</v>
      </c>
      <c r="H578">
        <v>7</v>
      </c>
      <c r="I578">
        <v>7</v>
      </c>
      <c r="J578" t="s">
        <v>908</v>
      </c>
      <c r="K578" t="s">
        <v>1450</v>
      </c>
      <c r="M578" s="1">
        <v>606</v>
      </c>
      <c r="N578" s="1" t="s">
        <v>609</v>
      </c>
      <c r="O578" s="2">
        <v>46033.863796296297</v>
      </c>
      <c r="P578" s="3">
        <v>7.4935105000000002</v>
      </c>
      <c r="Q578" s="3">
        <v>-16.950760910045133</v>
      </c>
      <c r="R578" s="13">
        <f t="shared" si="36"/>
        <v>7.4935105000000002</v>
      </c>
      <c r="S578" s="42">
        <f t="shared" si="35"/>
        <v>94.751102817962661</v>
      </c>
      <c r="T578" s="13">
        <v>0</v>
      </c>
      <c r="U578" s="14">
        <f t="shared" si="37"/>
        <v>-16.950760910045133</v>
      </c>
      <c r="V578" s="15">
        <f t="shared" si="38"/>
        <v>710.01838385298277</v>
      </c>
    </row>
    <row r="579" spans="1:22" x14ac:dyDescent="0.3">
      <c r="A579">
        <v>7</v>
      </c>
      <c r="B579" s="85">
        <v>5.0999999999999996</v>
      </c>
      <c r="C579" s="78">
        <v>45979</v>
      </c>
      <c r="D579" s="78">
        <v>45981</v>
      </c>
      <c r="E579">
        <v>51</v>
      </c>
      <c r="F579" t="s">
        <v>910</v>
      </c>
      <c r="G579" t="s">
        <v>933</v>
      </c>
      <c r="H579">
        <v>7</v>
      </c>
      <c r="I579">
        <v>8</v>
      </c>
      <c r="J579" t="s">
        <v>908</v>
      </c>
      <c r="K579" t="s">
        <v>1451</v>
      </c>
      <c r="M579" s="4">
        <v>607</v>
      </c>
      <c r="N579" s="4" t="s">
        <v>610</v>
      </c>
      <c r="O579" s="12">
        <v>46033.867534722223</v>
      </c>
      <c r="P579" s="5">
        <v>7.3468840000000002</v>
      </c>
      <c r="Q579" s="5">
        <v>-17.110941390579274</v>
      </c>
      <c r="R579" s="13">
        <f t="shared" si="36"/>
        <v>7.3468840000000002</v>
      </c>
      <c r="S579" s="42">
        <f t="shared" ref="S579:S642" si="39">$S$890</f>
        <v>94.751102817962661</v>
      </c>
      <c r="T579" s="13">
        <v>0</v>
      </c>
      <c r="U579" s="14">
        <f t="shared" si="37"/>
        <v>-17.110941390579274</v>
      </c>
      <c r="V579" s="15">
        <f t="shared" si="38"/>
        <v>696.12536127564476</v>
      </c>
    </row>
    <row r="580" spans="1:22" x14ac:dyDescent="0.3">
      <c r="A580">
        <v>7</v>
      </c>
      <c r="B580" s="85">
        <v>5.0999999999999996</v>
      </c>
      <c r="C580" s="78">
        <v>45979</v>
      </c>
      <c r="D580" s="78">
        <v>45981</v>
      </c>
      <c r="E580">
        <v>56</v>
      </c>
      <c r="F580" t="s">
        <v>921</v>
      </c>
      <c r="G580" t="s">
        <v>907</v>
      </c>
      <c r="H580">
        <v>7</v>
      </c>
      <c r="I580">
        <v>9</v>
      </c>
      <c r="J580" t="s">
        <v>935</v>
      </c>
      <c r="K580" t="s">
        <v>1452</v>
      </c>
      <c r="M580" s="1">
        <v>608</v>
      </c>
      <c r="N580" s="1" t="s">
        <v>611</v>
      </c>
      <c r="O580" s="2">
        <v>46033.87127314815</v>
      </c>
      <c r="P580" s="3">
        <v>6.8326665000000002</v>
      </c>
      <c r="Q580" s="3">
        <v>-10.428684416622366</v>
      </c>
      <c r="R580" s="13">
        <f t="shared" si="36"/>
        <v>6.8326665000000002</v>
      </c>
      <c r="S580" s="42">
        <f t="shared" si="39"/>
        <v>94.751102817962661</v>
      </c>
      <c r="T580" s="13">
        <v>0</v>
      </c>
      <c r="U580" s="14">
        <f t="shared" si="37"/>
        <v>-10.428684416622366</v>
      </c>
      <c r="V580" s="15">
        <f t="shared" si="38"/>
        <v>647.40268606234906</v>
      </c>
    </row>
    <row r="581" spans="1:22" x14ac:dyDescent="0.3">
      <c r="A581">
        <v>7</v>
      </c>
      <c r="B581" s="85">
        <v>5.0999999999999996</v>
      </c>
      <c r="C581" s="78">
        <v>45979</v>
      </c>
      <c r="D581" s="78">
        <v>45981</v>
      </c>
      <c r="E581">
        <v>55</v>
      </c>
      <c r="F581" t="s">
        <v>929</v>
      </c>
      <c r="G581" t="s">
        <v>15</v>
      </c>
      <c r="H581">
        <v>7</v>
      </c>
      <c r="I581">
        <v>10</v>
      </c>
      <c r="J581" t="s">
        <v>935</v>
      </c>
      <c r="K581" t="s">
        <v>1453</v>
      </c>
      <c r="M581" s="4">
        <v>609</v>
      </c>
      <c r="N581" s="4" t="s">
        <v>612</v>
      </c>
      <c r="O581" s="12">
        <v>46033.875023148146</v>
      </c>
      <c r="P581" s="5">
        <v>7.44156</v>
      </c>
      <c r="Q581" s="5">
        <v>-10.348902979788898</v>
      </c>
      <c r="R581" s="13">
        <f t="shared" si="36"/>
        <v>7.44156</v>
      </c>
      <c r="S581" s="42">
        <f t="shared" si="39"/>
        <v>94.751102817962661</v>
      </c>
      <c r="T581" s="13">
        <v>0</v>
      </c>
      <c r="U581" s="14">
        <f t="shared" si="37"/>
        <v>-10.348902979788898</v>
      </c>
      <c r="V581" s="15">
        <f t="shared" si="38"/>
        <v>705.09601668603818</v>
      </c>
    </row>
    <row r="582" spans="1:22" x14ac:dyDescent="0.3">
      <c r="A582">
        <v>7</v>
      </c>
      <c r="B582" s="85">
        <v>5.0999999999999996</v>
      </c>
      <c r="C582" s="78">
        <v>45979</v>
      </c>
      <c r="D582" s="78">
        <v>45981</v>
      </c>
      <c r="E582">
        <v>54</v>
      </c>
      <c r="F582" t="s">
        <v>906</v>
      </c>
      <c r="G582" t="s">
        <v>914</v>
      </c>
      <c r="H582">
        <v>7</v>
      </c>
      <c r="I582">
        <v>11</v>
      </c>
      <c r="J582" t="s">
        <v>935</v>
      </c>
      <c r="K582" t="s">
        <v>1454</v>
      </c>
      <c r="M582" s="1">
        <v>610</v>
      </c>
      <c r="N582" s="1" t="s">
        <v>613</v>
      </c>
      <c r="O582" s="2">
        <v>46033.878761574073</v>
      </c>
      <c r="P582" s="3">
        <v>7.221692</v>
      </c>
      <c r="Q582" s="3">
        <v>-7.3033446988009088</v>
      </c>
      <c r="R582" s="13">
        <f t="shared" si="36"/>
        <v>7.221692</v>
      </c>
      <c r="S582" s="42">
        <f t="shared" si="39"/>
        <v>94.751102817962661</v>
      </c>
      <c r="T582" s="13">
        <v>0</v>
      </c>
      <c r="U582" s="14">
        <f t="shared" si="37"/>
        <v>-7.3033446988009088</v>
      </c>
      <c r="V582" s="15">
        <f t="shared" si="38"/>
        <v>684.26328121165841</v>
      </c>
    </row>
    <row r="583" spans="1:22" x14ac:dyDescent="0.3">
      <c r="A583">
        <v>7</v>
      </c>
      <c r="B583" s="85">
        <v>5.0999999999999996</v>
      </c>
      <c r="C583" s="78">
        <v>45979</v>
      </c>
      <c r="D583" s="78">
        <v>45981</v>
      </c>
      <c r="E583">
        <v>49</v>
      </c>
      <c r="F583" t="s">
        <v>932</v>
      </c>
      <c r="G583" t="s">
        <v>918</v>
      </c>
      <c r="H583">
        <v>7</v>
      </c>
      <c r="I583">
        <v>12</v>
      </c>
      <c r="J583" t="s">
        <v>935</v>
      </c>
      <c r="K583" t="s">
        <v>1455</v>
      </c>
      <c r="M583" s="4">
        <v>611</v>
      </c>
      <c r="N583" s="4" t="s">
        <v>614</v>
      </c>
      <c r="O583" s="12">
        <v>46033.882488425923</v>
      </c>
      <c r="P583" s="5">
        <v>7.2213915000000002</v>
      </c>
      <c r="Q583" s="5">
        <v>-10.569795371474894</v>
      </c>
      <c r="R583" s="13">
        <f t="shared" si="36"/>
        <v>7.2213915000000002</v>
      </c>
      <c r="S583" s="42">
        <f t="shared" si="39"/>
        <v>94.751102817962661</v>
      </c>
      <c r="T583" s="13">
        <v>0</v>
      </c>
      <c r="U583" s="14">
        <f t="shared" si="37"/>
        <v>-10.569795371474894</v>
      </c>
      <c r="V583" s="15">
        <f t="shared" si="38"/>
        <v>684.23480850526164</v>
      </c>
    </row>
    <row r="584" spans="1:22" x14ac:dyDescent="0.3">
      <c r="A584">
        <v>7</v>
      </c>
      <c r="B584" s="85">
        <v>5.0999999999999996</v>
      </c>
      <c r="C584" s="78">
        <v>45979</v>
      </c>
      <c r="D584" s="78">
        <v>45981</v>
      </c>
      <c r="E584">
        <v>52</v>
      </c>
      <c r="F584" t="s">
        <v>917</v>
      </c>
      <c r="G584" t="s">
        <v>922</v>
      </c>
      <c r="H584">
        <v>7</v>
      </c>
      <c r="I584">
        <v>13</v>
      </c>
      <c r="J584" t="s">
        <v>935</v>
      </c>
      <c r="K584" t="s">
        <v>1456</v>
      </c>
      <c r="M584" s="1">
        <v>612</v>
      </c>
      <c r="N584" s="1" t="s">
        <v>615</v>
      </c>
      <c r="O584" s="2">
        <v>46033.886238425926</v>
      </c>
      <c r="P584" s="3">
        <v>7.0432775000000003</v>
      </c>
      <c r="Q584" s="3">
        <v>-11.48547619968055</v>
      </c>
      <c r="R584" s="13">
        <f t="shared" si="36"/>
        <v>7.0432775000000003</v>
      </c>
      <c r="S584" s="42">
        <f t="shared" si="39"/>
        <v>94.751102817962661</v>
      </c>
      <c r="T584" s="13">
        <v>0</v>
      </c>
      <c r="U584" s="14">
        <f t="shared" si="37"/>
        <v>-11.48547619968055</v>
      </c>
      <c r="V584" s="15">
        <f t="shared" si="38"/>
        <v>667.35831057794303</v>
      </c>
    </row>
    <row r="585" spans="1:22" x14ac:dyDescent="0.3">
      <c r="A585">
        <v>7</v>
      </c>
      <c r="B585" s="85">
        <v>5.0999999999999996</v>
      </c>
      <c r="C585" s="78">
        <v>45979</v>
      </c>
      <c r="D585" s="78">
        <v>45981</v>
      </c>
      <c r="E585">
        <v>50</v>
      </c>
      <c r="F585" t="s">
        <v>913</v>
      </c>
      <c r="G585" t="s">
        <v>926</v>
      </c>
      <c r="H585">
        <v>7</v>
      </c>
      <c r="I585">
        <v>14</v>
      </c>
      <c r="J585" t="s">
        <v>935</v>
      </c>
      <c r="K585" t="s">
        <v>1457</v>
      </c>
      <c r="M585" s="4">
        <v>613</v>
      </c>
      <c r="N585" s="4" t="s">
        <v>616</v>
      </c>
      <c r="O585" s="12">
        <v>46033.889988425923</v>
      </c>
      <c r="P585" s="5">
        <v>7.2669009999999998</v>
      </c>
      <c r="Q585" s="5">
        <v>-12.181912929584879</v>
      </c>
      <c r="R585" s="13">
        <f t="shared" si="36"/>
        <v>7.2669009999999998</v>
      </c>
      <c r="S585" s="42">
        <f t="shared" si="39"/>
        <v>94.751102817962661</v>
      </c>
      <c r="T585" s="13">
        <v>0</v>
      </c>
      <c r="U585" s="14">
        <f t="shared" si="37"/>
        <v>-12.181912929584879</v>
      </c>
      <c r="V585" s="15">
        <f t="shared" si="38"/>
        <v>688.54688381895562</v>
      </c>
    </row>
    <row r="586" spans="1:22" x14ac:dyDescent="0.3">
      <c r="A586">
        <v>7</v>
      </c>
      <c r="B586" s="85">
        <v>5.0999999999999996</v>
      </c>
      <c r="C586" s="78">
        <v>45979</v>
      </c>
      <c r="D586" s="78">
        <v>45981</v>
      </c>
      <c r="E586">
        <v>53</v>
      </c>
      <c r="F586" t="s">
        <v>925</v>
      </c>
      <c r="G586" t="s">
        <v>930</v>
      </c>
      <c r="H586">
        <v>7</v>
      </c>
      <c r="I586">
        <v>15</v>
      </c>
      <c r="J586" t="s">
        <v>935</v>
      </c>
      <c r="K586" s="80" t="s">
        <v>1458</v>
      </c>
      <c r="L586" s="80"/>
      <c r="M586" s="1">
        <v>614</v>
      </c>
      <c r="N586" s="1" t="s">
        <v>617</v>
      </c>
      <c r="O586" s="2">
        <v>46033.89371527778</v>
      </c>
      <c r="P586" s="3">
        <v>7.4934345000000002</v>
      </c>
      <c r="Q586" s="3">
        <v>-9.5495639931756191</v>
      </c>
      <c r="R586" s="13">
        <f t="shared" si="36"/>
        <v>7.4934345000000002</v>
      </c>
      <c r="S586" s="42">
        <f t="shared" si="39"/>
        <v>94.751102817962661</v>
      </c>
      <c r="T586" s="13">
        <v>0</v>
      </c>
      <c r="U586" s="14">
        <f t="shared" si="37"/>
        <v>-9.5495639931756191</v>
      </c>
      <c r="V586" s="15">
        <f t="shared" si="38"/>
        <v>710.01118276916861</v>
      </c>
    </row>
    <row r="587" spans="1:22" x14ac:dyDescent="0.3">
      <c r="A587">
        <v>7</v>
      </c>
      <c r="B587" s="85">
        <v>5.0999999999999996</v>
      </c>
      <c r="C587" s="78">
        <v>45979</v>
      </c>
      <c r="D587" s="78">
        <v>45981</v>
      </c>
      <c r="E587">
        <v>51</v>
      </c>
      <c r="F587" t="s">
        <v>910</v>
      </c>
      <c r="G587" t="s">
        <v>933</v>
      </c>
      <c r="H587">
        <v>7</v>
      </c>
      <c r="I587">
        <v>16</v>
      </c>
      <c r="J587" t="s">
        <v>935</v>
      </c>
      <c r="K587" t="s">
        <v>1459</v>
      </c>
      <c r="M587" s="4">
        <v>615</v>
      </c>
      <c r="N587" s="4" t="s">
        <v>618</v>
      </c>
      <c r="O587" s="12">
        <v>46033.897453703707</v>
      </c>
      <c r="P587" s="5">
        <v>7.5673044999999997</v>
      </c>
      <c r="Q587" s="5">
        <v>-12.536289186213372</v>
      </c>
      <c r="R587" s="13">
        <f t="shared" si="36"/>
        <v>7.5673044999999997</v>
      </c>
      <c r="S587" s="42">
        <f t="shared" si="39"/>
        <v>94.751102817962661</v>
      </c>
      <c r="T587" s="13">
        <v>0</v>
      </c>
      <c r="U587" s="14">
        <f t="shared" si="37"/>
        <v>-12.536289186213372</v>
      </c>
      <c r="V587" s="15">
        <f t="shared" si="38"/>
        <v>717.01044673433148</v>
      </c>
    </row>
    <row r="588" spans="1:22" x14ac:dyDescent="0.3">
      <c r="A588">
        <v>7</v>
      </c>
      <c r="B588" s="85">
        <v>5.0999999999999996</v>
      </c>
      <c r="C588" s="78">
        <v>45979</v>
      </c>
      <c r="D588" s="78">
        <v>45981</v>
      </c>
      <c r="E588">
        <v>56</v>
      </c>
      <c r="F588" t="s">
        <v>921</v>
      </c>
      <c r="G588" t="s">
        <v>907</v>
      </c>
      <c r="H588">
        <v>7</v>
      </c>
      <c r="I588">
        <v>17</v>
      </c>
      <c r="J588" t="s">
        <v>24</v>
      </c>
      <c r="K588" t="s">
        <v>1460</v>
      </c>
      <c r="M588" s="1">
        <v>616</v>
      </c>
      <c r="N588" s="1" t="s">
        <v>619</v>
      </c>
      <c r="O588" s="2">
        <v>46033.901192129626</v>
      </c>
      <c r="P588" s="3">
        <v>7.4393444999999998</v>
      </c>
      <c r="Q588" s="3">
        <v>-7.2273950051495186</v>
      </c>
      <c r="R588" s="13">
        <f t="shared" si="36"/>
        <v>7.4393444999999998</v>
      </c>
      <c r="S588" s="42">
        <f t="shared" si="39"/>
        <v>94.751102817962661</v>
      </c>
      <c r="T588" s="13">
        <v>0</v>
      </c>
      <c r="U588" s="14">
        <f t="shared" si="37"/>
        <v>-7.2273950051495186</v>
      </c>
      <c r="V588" s="15">
        <f t="shared" si="38"/>
        <v>704.88609561774501</v>
      </c>
    </row>
    <row r="589" spans="1:22" x14ac:dyDescent="0.3">
      <c r="A589">
        <v>7</v>
      </c>
      <c r="B589" s="85">
        <v>5.0999999999999996</v>
      </c>
      <c r="C589" s="78">
        <v>45979</v>
      </c>
      <c r="D589" s="78">
        <v>45981</v>
      </c>
      <c r="E589">
        <v>55</v>
      </c>
      <c r="F589" t="s">
        <v>929</v>
      </c>
      <c r="G589" t="s">
        <v>15</v>
      </c>
      <c r="H589">
        <v>7</v>
      </c>
      <c r="I589">
        <v>18</v>
      </c>
      <c r="J589" t="s">
        <v>24</v>
      </c>
      <c r="K589" t="s">
        <v>1461</v>
      </c>
      <c r="M589" s="4">
        <v>617</v>
      </c>
      <c r="N589" s="4" t="s">
        <v>620</v>
      </c>
      <c r="O589" s="12">
        <v>46033.904930555553</v>
      </c>
      <c r="P589" s="5">
        <v>7.4324215000000002</v>
      </c>
      <c r="Q589" s="5">
        <v>-5.3140786560573066</v>
      </c>
      <c r="R589" s="13">
        <f t="shared" si="36"/>
        <v>7.4324215000000002</v>
      </c>
      <c r="S589" s="42">
        <f t="shared" si="39"/>
        <v>94.751102817962661</v>
      </c>
      <c r="T589" s="13">
        <v>0</v>
      </c>
      <c r="U589" s="14">
        <f t="shared" si="37"/>
        <v>-5.3140786560573066</v>
      </c>
      <c r="V589" s="15">
        <f t="shared" si="38"/>
        <v>704.23013373293634</v>
      </c>
    </row>
    <row r="590" spans="1:22" x14ac:dyDescent="0.3">
      <c r="A590">
        <v>7</v>
      </c>
      <c r="B590" s="85">
        <v>5.0999999999999996</v>
      </c>
      <c r="C590" s="78">
        <v>45979</v>
      </c>
      <c r="D590" s="78">
        <v>45981</v>
      </c>
      <c r="E590">
        <v>54</v>
      </c>
      <c r="F590" t="s">
        <v>906</v>
      </c>
      <c r="G590" t="s">
        <v>914</v>
      </c>
      <c r="H590">
        <v>7</v>
      </c>
      <c r="I590">
        <v>19</v>
      </c>
      <c r="J590" t="s">
        <v>24</v>
      </c>
      <c r="K590" t="s">
        <v>1462</v>
      </c>
      <c r="M590" s="1">
        <v>618</v>
      </c>
      <c r="N590" s="1" t="s">
        <v>621</v>
      </c>
      <c r="O590" s="2">
        <v>46033.908668981479</v>
      </c>
      <c r="P590" s="3">
        <v>7.5196290000000001</v>
      </c>
      <c r="Q590" s="3">
        <v>-0.81378576397827429</v>
      </c>
      <c r="R590" s="13">
        <f t="shared" si="36"/>
        <v>7.5196290000000001</v>
      </c>
      <c r="S590" s="42">
        <f t="shared" si="39"/>
        <v>94.751102817962661</v>
      </c>
      <c r="T590" s="13">
        <v>0</v>
      </c>
      <c r="U590" s="14">
        <f t="shared" si="37"/>
        <v>-0.81378576397827429</v>
      </c>
      <c r="V590" s="15">
        <f t="shared" si="38"/>
        <v>712.4931405319337</v>
      </c>
    </row>
    <row r="591" spans="1:22" x14ac:dyDescent="0.3">
      <c r="A591">
        <v>7</v>
      </c>
      <c r="B591" s="85">
        <v>5.0999999999999996</v>
      </c>
      <c r="C591" s="78">
        <v>45979</v>
      </c>
      <c r="D591" s="78">
        <v>45981</v>
      </c>
      <c r="E591">
        <v>49</v>
      </c>
      <c r="F591" t="s">
        <v>932</v>
      </c>
      <c r="G591" t="s">
        <v>918</v>
      </c>
      <c r="H591">
        <v>7</v>
      </c>
      <c r="I591">
        <v>20</v>
      </c>
      <c r="J591" t="s">
        <v>24</v>
      </c>
      <c r="K591" t="s">
        <v>1463</v>
      </c>
      <c r="M591" s="4">
        <v>619</v>
      </c>
      <c r="N591" s="4" t="s">
        <v>622</v>
      </c>
      <c r="O591" s="12">
        <v>46033.912418981483</v>
      </c>
      <c r="P591" s="5">
        <v>7.3414400000000004</v>
      </c>
      <c r="Q591" s="5">
        <v>-5.7911717899528155</v>
      </c>
      <c r="R591" s="13">
        <f t="shared" si="36"/>
        <v>7.3414400000000004</v>
      </c>
      <c r="S591" s="42">
        <f t="shared" si="39"/>
        <v>94.751102817962661</v>
      </c>
      <c r="T591" s="13">
        <v>0</v>
      </c>
      <c r="U591" s="14">
        <f t="shared" si="37"/>
        <v>-5.7911717899528155</v>
      </c>
      <c r="V591" s="15">
        <f t="shared" si="38"/>
        <v>695.60953627190383</v>
      </c>
    </row>
    <row r="592" spans="1:22" x14ac:dyDescent="0.3">
      <c r="A592">
        <v>7</v>
      </c>
      <c r="B592" s="85">
        <v>5.0999999999999996</v>
      </c>
      <c r="C592" s="78">
        <v>45979</v>
      </c>
      <c r="D592" s="78">
        <v>45981</v>
      </c>
      <c r="E592">
        <v>52</v>
      </c>
      <c r="F592" t="s">
        <v>917</v>
      </c>
      <c r="G592" t="s">
        <v>922</v>
      </c>
      <c r="H592">
        <v>7</v>
      </c>
      <c r="I592">
        <v>21</v>
      </c>
      <c r="J592" t="s">
        <v>24</v>
      </c>
      <c r="K592" t="s">
        <v>978</v>
      </c>
      <c r="M592" s="1">
        <v>620</v>
      </c>
      <c r="N592" s="1" t="s">
        <v>623</v>
      </c>
      <c r="O592" s="2">
        <v>46033.916168981479</v>
      </c>
      <c r="P592" s="3">
        <v>7.5665699999999996</v>
      </c>
      <c r="Q592" s="3">
        <v>-8.529392952280384</v>
      </c>
      <c r="R592" s="13">
        <f t="shared" si="36"/>
        <v>7.5665699999999996</v>
      </c>
      <c r="S592" s="42">
        <f t="shared" si="39"/>
        <v>94.751102817962661</v>
      </c>
      <c r="T592" s="13">
        <v>0</v>
      </c>
      <c r="U592" s="14">
        <f t="shared" si="37"/>
        <v>-8.529392952280384</v>
      </c>
      <c r="V592" s="15">
        <f t="shared" si="38"/>
        <v>716.94085204931173</v>
      </c>
    </row>
    <row r="593" spans="1:22" x14ac:dyDescent="0.3">
      <c r="A593">
        <v>7</v>
      </c>
      <c r="B593" s="85">
        <v>5.0999999999999996</v>
      </c>
      <c r="C593" s="78">
        <v>45979</v>
      </c>
      <c r="D593" s="78">
        <v>45981</v>
      </c>
      <c r="E593">
        <v>50</v>
      </c>
      <c r="F593" t="s">
        <v>913</v>
      </c>
      <c r="G593" t="s">
        <v>926</v>
      </c>
      <c r="H593">
        <v>7</v>
      </c>
      <c r="I593">
        <v>22</v>
      </c>
      <c r="J593" t="s">
        <v>24</v>
      </c>
      <c r="K593" t="s">
        <v>1464</v>
      </c>
      <c r="M593" s="4">
        <v>621</v>
      </c>
      <c r="N593" s="4" t="s">
        <v>624</v>
      </c>
      <c r="O593" s="12">
        <v>46033.919930555552</v>
      </c>
      <c r="P593" s="5">
        <v>7.6446085000000004</v>
      </c>
      <c r="Q593" s="5">
        <v>-9.0615112299784766</v>
      </c>
      <c r="R593" s="13">
        <f t="shared" si="36"/>
        <v>7.6446085000000004</v>
      </c>
      <c r="S593" s="42">
        <f t="shared" si="39"/>
        <v>94.751102817962661</v>
      </c>
      <c r="T593" s="13">
        <v>0</v>
      </c>
      <c r="U593" s="14">
        <f t="shared" si="37"/>
        <v>-9.0615112299784766</v>
      </c>
      <c r="V593" s="15">
        <f t="shared" si="38"/>
        <v>724.33508598657136</v>
      </c>
    </row>
    <row r="594" spans="1:22" x14ac:dyDescent="0.3">
      <c r="A594">
        <v>7</v>
      </c>
      <c r="B594" s="85">
        <v>5.0999999999999996</v>
      </c>
      <c r="C594" s="78">
        <v>45979</v>
      </c>
      <c r="D594" s="78">
        <v>45981</v>
      </c>
      <c r="E594">
        <v>53</v>
      </c>
      <c r="F594" t="s">
        <v>925</v>
      </c>
      <c r="G594" t="s">
        <v>930</v>
      </c>
      <c r="H594">
        <v>7</v>
      </c>
      <c r="I594">
        <v>23</v>
      </c>
      <c r="J594" t="s">
        <v>24</v>
      </c>
      <c r="K594" t="s">
        <v>1465</v>
      </c>
      <c r="M594" s="1">
        <v>622</v>
      </c>
      <c r="N594" s="1" t="s">
        <v>625</v>
      </c>
      <c r="O594" s="2">
        <v>46033.923668981479</v>
      </c>
      <c r="P594" s="3">
        <v>7.3408179999999996</v>
      </c>
      <c r="Q594" s="3">
        <v>-4.3833512590839154</v>
      </c>
      <c r="R594" s="13">
        <f t="shared" si="36"/>
        <v>7.3408179999999996</v>
      </c>
      <c r="S594" s="42">
        <f t="shared" si="39"/>
        <v>94.751102817962661</v>
      </c>
      <c r="T594" s="13">
        <v>0</v>
      </c>
      <c r="U594" s="14">
        <f t="shared" si="37"/>
        <v>-4.3833512590839154</v>
      </c>
      <c r="V594" s="15">
        <f t="shared" si="38"/>
        <v>695.55060108595103</v>
      </c>
    </row>
    <row r="595" spans="1:22" x14ac:dyDescent="0.3">
      <c r="A595">
        <v>7</v>
      </c>
      <c r="B595" s="85">
        <v>5.0999999999999996</v>
      </c>
      <c r="C595" s="78">
        <v>45979</v>
      </c>
      <c r="D595" s="78">
        <v>45981</v>
      </c>
      <c r="E595">
        <v>51</v>
      </c>
      <c r="F595" t="s">
        <v>910</v>
      </c>
      <c r="G595" t="s">
        <v>933</v>
      </c>
      <c r="H595">
        <v>7</v>
      </c>
      <c r="I595">
        <v>24</v>
      </c>
      <c r="J595" t="s">
        <v>24</v>
      </c>
      <c r="K595" t="s">
        <v>1466</v>
      </c>
      <c r="M595" s="4">
        <v>623</v>
      </c>
      <c r="N595" s="4" t="s">
        <v>626</v>
      </c>
      <c r="O595" s="12">
        <v>46033.927418981482</v>
      </c>
      <c r="P595" s="5">
        <v>7.3211300000000001</v>
      </c>
      <c r="Q595" s="5">
        <v>-8.8101225651381725</v>
      </c>
      <c r="R595" s="13">
        <f t="shared" si="36"/>
        <v>7.3211300000000001</v>
      </c>
      <c r="S595" s="42">
        <f t="shared" si="39"/>
        <v>94.751102817962661</v>
      </c>
      <c r="T595" s="13">
        <v>0</v>
      </c>
      <c r="U595" s="14">
        <f t="shared" si="37"/>
        <v>-8.8101225651381725</v>
      </c>
      <c r="V595" s="15">
        <f t="shared" si="38"/>
        <v>693.68514137367094</v>
      </c>
    </row>
    <row r="596" spans="1:22" x14ac:dyDescent="0.3">
      <c r="A596">
        <v>7</v>
      </c>
      <c r="B596" s="85">
        <v>5.0999999999999996</v>
      </c>
      <c r="C596" s="78">
        <v>45979</v>
      </c>
      <c r="D596" s="78">
        <v>45981</v>
      </c>
      <c r="E596">
        <v>56</v>
      </c>
      <c r="F596" t="s">
        <v>921</v>
      </c>
      <c r="G596" t="s">
        <v>907</v>
      </c>
      <c r="H596">
        <v>7</v>
      </c>
      <c r="I596">
        <v>25</v>
      </c>
      <c r="J596" t="s">
        <v>25</v>
      </c>
      <c r="K596" t="s">
        <v>1467</v>
      </c>
      <c r="M596" s="1">
        <v>624</v>
      </c>
      <c r="N596" s="1" t="s">
        <v>627</v>
      </c>
      <c r="O596" s="2">
        <v>46033.931145833332</v>
      </c>
      <c r="P596" s="3">
        <v>8.0910510000000002</v>
      </c>
      <c r="Q596" s="3">
        <v>-4.502266306320772</v>
      </c>
      <c r="R596" s="13">
        <f t="shared" si="36"/>
        <v>8.0910510000000002</v>
      </c>
      <c r="S596" s="42">
        <f t="shared" si="39"/>
        <v>94.751102817962661</v>
      </c>
      <c r="T596" s="13">
        <v>0</v>
      </c>
      <c r="U596" s="14">
        <f t="shared" si="37"/>
        <v>-4.502266306320772</v>
      </c>
      <c r="V596" s="15">
        <f t="shared" si="38"/>
        <v>766.63600520637965</v>
      </c>
    </row>
    <row r="597" spans="1:22" x14ac:dyDescent="0.3">
      <c r="A597">
        <v>7</v>
      </c>
      <c r="B597" s="85">
        <v>5.0999999999999996</v>
      </c>
      <c r="C597" s="78">
        <v>45979</v>
      </c>
      <c r="D597" s="78">
        <v>45981</v>
      </c>
      <c r="E597">
        <v>55</v>
      </c>
      <c r="F597" t="s">
        <v>929</v>
      </c>
      <c r="G597" t="s">
        <v>15</v>
      </c>
      <c r="H597">
        <v>7</v>
      </c>
      <c r="I597">
        <v>26</v>
      </c>
      <c r="J597" t="s">
        <v>25</v>
      </c>
      <c r="K597" t="s">
        <v>1468</v>
      </c>
      <c r="M597" s="4">
        <v>625</v>
      </c>
      <c r="N597" s="4" t="s">
        <v>628</v>
      </c>
      <c r="O597" s="12">
        <v>46033.934895833336</v>
      </c>
      <c r="P597" s="5">
        <v>7.4364489999999996</v>
      </c>
      <c r="Q597" s="5">
        <v>-6.1438196730311236E-2</v>
      </c>
      <c r="R597" s="13">
        <f t="shared" si="36"/>
        <v>7.4364489999999996</v>
      </c>
      <c r="S597" s="42">
        <f t="shared" si="39"/>
        <v>94.751102817962661</v>
      </c>
      <c r="T597" s="13">
        <v>0</v>
      </c>
      <c r="U597" s="14">
        <f t="shared" si="37"/>
        <v>-6.1438196730311236E-2</v>
      </c>
      <c r="V597" s="15">
        <f t="shared" si="38"/>
        <v>704.61174379953559</v>
      </c>
    </row>
    <row r="598" spans="1:22" x14ac:dyDescent="0.3">
      <c r="A598">
        <v>7</v>
      </c>
      <c r="B598" s="85">
        <v>5.0999999999999996</v>
      </c>
      <c r="C598" s="78">
        <v>45979</v>
      </c>
      <c r="D598" s="78">
        <v>45981</v>
      </c>
      <c r="E598">
        <v>54</v>
      </c>
      <c r="F598" t="s">
        <v>906</v>
      </c>
      <c r="G598" t="s">
        <v>914</v>
      </c>
      <c r="H598">
        <v>7</v>
      </c>
      <c r="I598">
        <v>27</v>
      </c>
      <c r="J598" t="s">
        <v>25</v>
      </c>
      <c r="K598" t="s">
        <v>1310</v>
      </c>
      <c r="M598" s="1">
        <v>626</v>
      </c>
      <c r="N598" s="1" t="s">
        <v>629</v>
      </c>
      <c r="O598" s="2">
        <v>46033.938645833332</v>
      </c>
      <c r="P598" s="3">
        <v>7.9087494999999999</v>
      </c>
      <c r="Q598" s="3">
        <v>4.1091060497711709</v>
      </c>
      <c r="R598" s="13">
        <f t="shared" si="36"/>
        <v>7.9087494999999999</v>
      </c>
      <c r="S598" s="42">
        <f t="shared" si="39"/>
        <v>94.751102817962661</v>
      </c>
      <c r="T598" s="13">
        <v>0</v>
      </c>
      <c r="U598" s="14">
        <f t="shared" si="37"/>
        <v>4.1091060497711709</v>
      </c>
      <c r="V598" s="15">
        <f t="shared" si="38"/>
        <v>749.3627370360108</v>
      </c>
    </row>
    <row r="599" spans="1:22" x14ac:dyDescent="0.3">
      <c r="A599">
        <v>7</v>
      </c>
      <c r="B599" s="85">
        <v>5.0999999999999996</v>
      </c>
      <c r="C599" s="78">
        <v>45979</v>
      </c>
      <c r="D599" s="78">
        <v>45981</v>
      </c>
      <c r="E599">
        <v>49</v>
      </c>
      <c r="F599" t="s">
        <v>932</v>
      </c>
      <c r="G599" t="s">
        <v>918</v>
      </c>
      <c r="H599">
        <v>7</v>
      </c>
      <c r="I599">
        <v>28</v>
      </c>
      <c r="J599" t="s">
        <v>25</v>
      </c>
      <c r="K599" t="s">
        <v>1469</v>
      </c>
      <c r="M599" s="4">
        <v>627</v>
      </c>
      <c r="N599" s="4" t="s">
        <v>630</v>
      </c>
      <c r="O599" s="12">
        <v>46033.942384259259</v>
      </c>
      <c r="P599" s="5">
        <v>7.4236449999999996</v>
      </c>
      <c r="Q599" s="5">
        <v>-1.5959363325945692</v>
      </c>
      <c r="R599" s="13">
        <f t="shared" si="36"/>
        <v>7.4236449999999996</v>
      </c>
      <c r="S599" s="42">
        <f t="shared" si="39"/>
        <v>94.751102817962661</v>
      </c>
      <c r="T599" s="13">
        <v>0</v>
      </c>
      <c r="U599" s="14">
        <f t="shared" si="37"/>
        <v>-1.5959363325945692</v>
      </c>
      <c r="V599" s="15">
        <f t="shared" si="38"/>
        <v>703.39855067905432</v>
      </c>
    </row>
    <row r="600" spans="1:22" x14ac:dyDescent="0.3">
      <c r="A600">
        <v>7</v>
      </c>
      <c r="B600" s="85">
        <v>5.0999999999999996</v>
      </c>
      <c r="C600" s="78">
        <v>45979</v>
      </c>
      <c r="D600" s="78">
        <v>45981</v>
      </c>
      <c r="E600">
        <v>52</v>
      </c>
      <c r="F600" t="s">
        <v>917</v>
      </c>
      <c r="G600" t="s">
        <v>922</v>
      </c>
      <c r="H600">
        <v>7</v>
      </c>
      <c r="I600">
        <v>29</v>
      </c>
      <c r="J600" t="s">
        <v>25</v>
      </c>
      <c r="K600" t="s">
        <v>1470</v>
      </c>
      <c r="M600" s="1">
        <v>628</v>
      </c>
      <c r="N600" s="1" t="s">
        <v>631</v>
      </c>
      <c r="O600" s="2">
        <v>46033.946215277778</v>
      </c>
      <c r="P600" s="3">
        <v>6.7630689999999998</v>
      </c>
      <c r="Q600" s="3">
        <v>-3.0491461086939418</v>
      </c>
      <c r="R600" s="13">
        <f t="shared" si="36"/>
        <v>6.7630689999999998</v>
      </c>
      <c r="S600" s="42">
        <f t="shared" si="39"/>
        <v>94.751102817962661</v>
      </c>
      <c r="T600" s="13">
        <v>0</v>
      </c>
      <c r="U600" s="14">
        <f t="shared" si="37"/>
        <v>-3.0491461086939418</v>
      </c>
      <c r="V600" s="15">
        <f t="shared" si="38"/>
        <v>640.80824618397594</v>
      </c>
    </row>
    <row r="601" spans="1:22" x14ac:dyDescent="0.3">
      <c r="A601">
        <v>7</v>
      </c>
      <c r="B601" s="85">
        <v>5.0999999999999996</v>
      </c>
      <c r="C601" s="78">
        <v>45979</v>
      </c>
      <c r="D601" s="78">
        <v>45981</v>
      </c>
      <c r="E601">
        <v>50</v>
      </c>
      <c r="F601" t="s">
        <v>913</v>
      </c>
      <c r="G601" t="s">
        <v>926</v>
      </c>
      <c r="H601">
        <v>7</v>
      </c>
      <c r="I601">
        <v>30</v>
      </c>
      <c r="J601" t="s">
        <v>25</v>
      </c>
      <c r="K601" t="s">
        <v>1471</v>
      </c>
      <c r="M601" s="4">
        <v>629</v>
      </c>
      <c r="N601" s="4" t="s">
        <v>632</v>
      </c>
      <c r="O601" s="12">
        <v>46033.949942129628</v>
      </c>
      <c r="P601" s="5">
        <v>7.4408799999999999</v>
      </c>
      <c r="Q601" s="5">
        <v>-4.9246609839929407</v>
      </c>
      <c r="R601" s="13">
        <f t="shared" si="36"/>
        <v>7.4408799999999999</v>
      </c>
      <c r="S601" s="42">
        <f t="shared" si="39"/>
        <v>94.751102817962661</v>
      </c>
      <c r="T601" s="13">
        <v>0</v>
      </c>
      <c r="U601" s="14">
        <f t="shared" si="37"/>
        <v>-4.9246609839929407</v>
      </c>
      <c r="V601" s="15">
        <f t="shared" si="38"/>
        <v>705.03158593612204</v>
      </c>
    </row>
    <row r="602" spans="1:22" x14ac:dyDescent="0.3">
      <c r="A602">
        <v>7</v>
      </c>
      <c r="B602" s="85">
        <v>5.0999999999999996</v>
      </c>
      <c r="C602" s="78">
        <v>45979</v>
      </c>
      <c r="D602" s="78">
        <v>45981</v>
      </c>
      <c r="E602">
        <v>53</v>
      </c>
      <c r="F602" t="s">
        <v>925</v>
      </c>
      <c r="G602" t="s">
        <v>930</v>
      </c>
      <c r="H602">
        <v>7</v>
      </c>
      <c r="I602">
        <v>31</v>
      </c>
      <c r="J602" t="s">
        <v>25</v>
      </c>
      <c r="K602" t="s">
        <v>1472</v>
      </c>
      <c r="M602" s="1">
        <v>630</v>
      </c>
      <c r="N602" s="1" t="s">
        <v>633</v>
      </c>
      <c r="O602" s="2">
        <v>46033.953703703701</v>
      </c>
      <c r="P602" s="3">
        <v>7.8875465</v>
      </c>
      <c r="Q602" s="3">
        <v>-1.1997227643617909</v>
      </c>
      <c r="R602" s="13">
        <f t="shared" si="36"/>
        <v>7.8875465</v>
      </c>
      <c r="S602" s="42">
        <f t="shared" si="39"/>
        <v>94.751102817962661</v>
      </c>
      <c r="T602" s="13">
        <v>0</v>
      </c>
      <c r="U602" s="14">
        <f t="shared" si="37"/>
        <v>-1.1997227643617909</v>
      </c>
      <c r="V602" s="15">
        <f t="shared" si="38"/>
        <v>747.35372940296156</v>
      </c>
    </row>
    <row r="603" spans="1:22" x14ac:dyDescent="0.3">
      <c r="A603">
        <v>7</v>
      </c>
      <c r="B603" s="85">
        <v>5.0999999999999996</v>
      </c>
      <c r="C603" s="78">
        <v>45979</v>
      </c>
      <c r="D603" s="78">
        <v>45981</v>
      </c>
      <c r="E603">
        <v>51</v>
      </c>
      <c r="F603" t="s">
        <v>910</v>
      </c>
      <c r="G603" t="s">
        <v>933</v>
      </c>
      <c r="H603">
        <v>7</v>
      </c>
      <c r="I603">
        <v>32</v>
      </c>
      <c r="J603" t="s">
        <v>25</v>
      </c>
      <c r="K603" t="s">
        <v>1473</v>
      </c>
      <c r="M603" s="4">
        <v>631</v>
      </c>
      <c r="N603" s="4" t="s">
        <v>634</v>
      </c>
      <c r="O603" s="12">
        <v>46033.957453703704</v>
      </c>
      <c r="P603" s="5">
        <v>7.2498364999999998</v>
      </c>
      <c r="Q603" s="5">
        <v>-5.6416767214467711</v>
      </c>
      <c r="R603" s="13">
        <f t="shared" si="36"/>
        <v>7.2498364999999998</v>
      </c>
      <c r="S603" s="42">
        <f t="shared" si="39"/>
        <v>94.751102817962661</v>
      </c>
      <c r="T603" s="13">
        <v>0</v>
      </c>
      <c r="U603" s="14">
        <f t="shared" si="37"/>
        <v>-5.6416767214467711</v>
      </c>
      <c r="V603" s="15">
        <f t="shared" si="38"/>
        <v>686.93000362491853</v>
      </c>
    </row>
    <row r="604" spans="1:22" x14ac:dyDescent="0.3">
      <c r="M604" s="1">
        <v>632</v>
      </c>
      <c r="N604" s="1" t="s">
        <v>635</v>
      </c>
      <c r="O604" s="2">
        <v>46033.9612037037</v>
      </c>
      <c r="P604" s="3">
        <v>25.344111999999999</v>
      </c>
      <c r="Q604" s="3">
        <v>-6.977839994008729</v>
      </c>
      <c r="R604" s="13">
        <f t="shared" si="36"/>
        <v>25.344111999999999</v>
      </c>
      <c r="S604" s="42">
        <f t="shared" si="39"/>
        <v>94.751102817962661</v>
      </c>
      <c r="T604" s="13">
        <v>0</v>
      </c>
      <c r="U604" s="14">
        <f t="shared" si="37"/>
        <v>-6.977839994008729</v>
      </c>
      <c r="V604" s="15">
        <f t="shared" si="38"/>
        <v>2401.3825619419613</v>
      </c>
    </row>
    <row r="605" spans="1:22" x14ac:dyDescent="0.3">
      <c r="M605" s="4">
        <v>633</v>
      </c>
      <c r="N605" s="4" t="s">
        <v>636</v>
      </c>
      <c r="O605" s="12">
        <v>46033.964942129627</v>
      </c>
      <c r="P605" s="5">
        <v>10.461353000000001</v>
      </c>
      <c r="Q605" s="5">
        <v>-8.7265101276473978</v>
      </c>
      <c r="R605" s="13">
        <f t="shared" si="36"/>
        <v>10.461353000000001</v>
      </c>
      <c r="S605" s="42">
        <f t="shared" si="39"/>
        <v>94.751102817962661</v>
      </c>
      <c r="T605" s="13">
        <v>0</v>
      </c>
      <c r="U605" s="14">
        <f t="shared" si="37"/>
        <v>-8.7265101276473978</v>
      </c>
      <c r="V605" s="15">
        <f t="shared" si="38"/>
        <v>991.2247337180022</v>
      </c>
    </row>
    <row r="606" spans="1:22" x14ac:dyDescent="0.3">
      <c r="M606" s="1">
        <v>634</v>
      </c>
      <c r="N606" s="1" t="s">
        <v>637</v>
      </c>
      <c r="O606" s="2">
        <v>46033.968680555554</v>
      </c>
      <c r="P606" s="3">
        <v>6.6398384999999998</v>
      </c>
      <c r="Q606" s="3">
        <v>-11.5008128707971</v>
      </c>
      <c r="R606" s="13">
        <f t="shared" si="36"/>
        <v>6.6398384999999998</v>
      </c>
      <c r="S606" s="42">
        <f t="shared" si="39"/>
        <v>94.751102817962661</v>
      </c>
      <c r="T606" s="13">
        <v>0</v>
      </c>
      <c r="U606" s="14">
        <f t="shared" si="37"/>
        <v>-11.5008128707971</v>
      </c>
      <c r="V606" s="15">
        <f t="shared" si="38"/>
        <v>629.13202040816691</v>
      </c>
    </row>
    <row r="607" spans="1:22" x14ac:dyDescent="0.3">
      <c r="M607" s="4">
        <v>635</v>
      </c>
      <c r="N607" s="4" t="s">
        <v>638</v>
      </c>
      <c r="O607" s="12">
        <v>46033.972442129627</v>
      </c>
      <c r="P607" s="5">
        <v>4.2078125000000002</v>
      </c>
      <c r="Q607" s="5">
        <v>-16.540309603925326</v>
      </c>
      <c r="R607" s="13">
        <f t="shared" si="36"/>
        <v>4.2078125000000002</v>
      </c>
      <c r="S607" s="42">
        <f t="shared" si="39"/>
        <v>94.751102817962661</v>
      </c>
      <c r="T607" s="13">
        <v>0</v>
      </c>
      <c r="U607" s="14">
        <f t="shared" si="37"/>
        <v>-16.540309603925326</v>
      </c>
      <c r="V607" s="15">
        <f t="shared" si="38"/>
        <v>398.69487482620855</v>
      </c>
    </row>
    <row r="608" spans="1:22" x14ac:dyDescent="0.3">
      <c r="M608" s="68">
        <v>636</v>
      </c>
      <c r="N608" s="68" t="s">
        <v>639</v>
      </c>
      <c r="O608" s="69">
        <v>46033.976226851853</v>
      </c>
      <c r="P608" s="70">
        <v>2.8698055</v>
      </c>
      <c r="Q608" s="70">
        <v>-18.185728906284744</v>
      </c>
      <c r="R608" s="13">
        <f t="shared" si="36"/>
        <v>2.8698055</v>
      </c>
      <c r="S608" s="42">
        <f t="shared" si="39"/>
        <v>94.751102817962661</v>
      </c>
      <c r="T608" s="13">
        <v>0</v>
      </c>
      <c r="U608" s="14">
        <f t="shared" si="37"/>
        <v>-18.185728906284744</v>
      </c>
      <c r="V608" s="15">
        <f t="shared" si="38"/>
        <v>271.91723599805476</v>
      </c>
    </row>
    <row r="609" spans="1:22" x14ac:dyDescent="0.3">
      <c r="M609" s="66">
        <v>641</v>
      </c>
      <c r="N609" s="1" t="s">
        <v>640</v>
      </c>
      <c r="O609" s="2">
        <v>46034.392372685186</v>
      </c>
      <c r="P609" s="3">
        <v>25.118554</v>
      </c>
      <c r="Q609" s="3">
        <v>-6.6223293775437835</v>
      </c>
      <c r="R609" s="13">
        <f t="shared" si="36"/>
        <v>25.118554</v>
      </c>
      <c r="S609" s="42">
        <f t="shared" si="39"/>
        <v>94.751102817962661</v>
      </c>
      <c r="T609" s="13">
        <v>0</v>
      </c>
      <c r="U609" s="14">
        <f t="shared" si="37"/>
        <v>-6.6223293775437835</v>
      </c>
      <c r="V609" s="15">
        <f t="shared" si="38"/>
        <v>2380.0106926925473</v>
      </c>
    </row>
    <row r="610" spans="1:22" x14ac:dyDescent="0.3">
      <c r="M610" s="4">
        <v>642</v>
      </c>
      <c r="N610" s="4" t="s">
        <v>641</v>
      </c>
      <c r="O610" s="12">
        <v>46034.396087962959</v>
      </c>
      <c r="P610" s="5">
        <v>10.229512</v>
      </c>
      <c r="Q610" s="5">
        <v>-7.3201034348905427</v>
      </c>
      <c r="R610" s="13">
        <f t="shared" si="36"/>
        <v>10.229512</v>
      </c>
      <c r="S610" s="42">
        <f t="shared" si="39"/>
        <v>94.751102817962661</v>
      </c>
      <c r="T610" s="13">
        <v>0</v>
      </c>
      <c r="U610" s="14">
        <f t="shared" si="37"/>
        <v>-7.3201034348905427</v>
      </c>
      <c r="V610" s="15">
        <f t="shared" si="38"/>
        <v>969.25754328958283</v>
      </c>
    </row>
    <row r="611" spans="1:22" x14ac:dyDescent="0.3">
      <c r="M611" s="1">
        <v>643</v>
      </c>
      <c r="N611" s="1" t="s">
        <v>642</v>
      </c>
      <c r="O611" s="2">
        <v>46034.399814814817</v>
      </c>
      <c r="P611" s="3">
        <v>6.7324000000000002</v>
      </c>
      <c r="Q611" s="3">
        <v>-10.173255779538682</v>
      </c>
      <c r="R611" s="13">
        <f t="shared" si="36"/>
        <v>6.7324000000000002</v>
      </c>
      <c r="S611" s="42">
        <f t="shared" si="39"/>
        <v>94.751102817962661</v>
      </c>
      <c r="T611" s="13">
        <v>0</v>
      </c>
      <c r="U611" s="14">
        <f t="shared" si="37"/>
        <v>-10.173255779538682</v>
      </c>
      <c r="V611" s="15">
        <f t="shared" si="38"/>
        <v>637.90232461165181</v>
      </c>
    </row>
    <row r="612" spans="1:22" x14ac:dyDescent="0.3">
      <c r="M612" s="4">
        <v>644</v>
      </c>
      <c r="N612" s="4" t="s">
        <v>643</v>
      </c>
      <c r="O612" s="12">
        <v>46034.403541666667</v>
      </c>
      <c r="P612" s="5">
        <v>4.1522550000000003</v>
      </c>
      <c r="Q612" s="5">
        <v>-12.98040864161452</v>
      </c>
      <c r="R612" s="13">
        <f t="shared" si="36"/>
        <v>4.1522550000000003</v>
      </c>
      <c r="S612" s="42">
        <f t="shared" si="39"/>
        <v>94.751102817962661</v>
      </c>
      <c r="T612" s="13">
        <v>0</v>
      </c>
      <c r="U612" s="14">
        <f t="shared" si="37"/>
        <v>-12.98040864161452</v>
      </c>
      <c r="V612" s="15">
        <f t="shared" si="38"/>
        <v>393.43074043139956</v>
      </c>
    </row>
    <row r="613" spans="1:22" x14ac:dyDescent="0.3">
      <c r="M613" s="1">
        <v>645</v>
      </c>
      <c r="N613" s="1" t="s">
        <v>644</v>
      </c>
      <c r="O613" s="2">
        <v>46034.407268518517</v>
      </c>
      <c r="P613" s="3">
        <v>3.0838317499999999</v>
      </c>
      <c r="Q613" s="3">
        <v>-14.625773593918176</v>
      </c>
      <c r="R613" s="13">
        <f t="shared" si="36"/>
        <v>3.0838317499999999</v>
      </c>
      <c r="S613" s="42">
        <f t="shared" si="39"/>
        <v>94.751102817962661</v>
      </c>
      <c r="T613" s="13">
        <v>0</v>
      </c>
      <c r="U613" s="14">
        <f t="shared" si="37"/>
        <v>-14.625773593918176</v>
      </c>
      <c r="V613" s="15">
        <f t="shared" si="38"/>
        <v>292.19645921754773</v>
      </c>
    </row>
    <row r="614" spans="1:22" x14ac:dyDescent="0.3">
      <c r="M614" s="4">
        <v>646</v>
      </c>
      <c r="N614" s="4" t="s">
        <v>645</v>
      </c>
      <c r="O614" s="12">
        <v>46034.411006944443</v>
      </c>
      <c r="P614" s="5">
        <v>5.8621615</v>
      </c>
      <c r="Q614" s="5">
        <v>-12.87157828375841</v>
      </c>
      <c r="R614" s="13">
        <f t="shared" si="36"/>
        <v>5.8621615</v>
      </c>
      <c r="S614" s="42">
        <f t="shared" si="39"/>
        <v>94.751102817962661</v>
      </c>
      <c r="T614" s="13">
        <v>0</v>
      </c>
      <c r="U614" s="14">
        <f t="shared" si="37"/>
        <v>-12.87157828375841</v>
      </c>
      <c r="V614" s="15">
        <f t="shared" si="38"/>
        <v>555.44626702200219</v>
      </c>
    </row>
    <row r="615" spans="1:22" x14ac:dyDescent="0.3">
      <c r="M615" s="1">
        <v>647</v>
      </c>
      <c r="N615" s="1" t="s">
        <v>646</v>
      </c>
      <c r="O615" s="2">
        <v>46034.414733796293</v>
      </c>
      <c r="P615" s="3">
        <v>5.5134080000000001</v>
      </c>
      <c r="Q615" s="3">
        <v>-12.474081467485448</v>
      </c>
      <c r="R615" s="13">
        <f t="shared" si="36"/>
        <v>5.5134080000000001</v>
      </c>
      <c r="S615" s="42">
        <f t="shared" si="39"/>
        <v>94.751102817962661</v>
      </c>
      <c r="T615" s="13">
        <v>0</v>
      </c>
      <c r="U615" s="14">
        <f t="shared" si="37"/>
        <v>-12.474081467485448</v>
      </c>
      <c r="V615" s="15">
        <f t="shared" si="38"/>
        <v>522.40148828537792</v>
      </c>
    </row>
    <row r="616" spans="1:22" x14ac:dyDescent="0.3">
      <c r="A616">
        <v>8</v>
      </c>
      <c r="B616" s="85">
        <v>5.2</v>
      </c>
      <c r="C616" s="78">
        <v>45980</v>
      </c>
      <c r="D616" s="78">
        <v>45982</v>
      </c>
      <c r="E616">
        <v>56</v>
      </c>
      <c r="F616" t="s">
        <v>921</v>
      </c>
      <c r="G616" t="s">
        <v>907</v>
      </c>
      <c r="H616">
        <v>25</v>
      </c>
      <c r="I616">
        <v>1</v>
      </c>
      <c r="J616" t="s">
        <v>908</v>
      </c>
      <c r="K616" t="s">
        <v>1474</v>
      </c>
      <c r="M616" s="4">
        <v>648</v>
      </c>
      <c r="N616" s="4" t="s">
        <v>647</v>
      </c>
      <c r="O616" s="12">
        <v>46034.41846064815</v>
      </c>
      <c r="P616" s="5">
        <v>7.0378425</v>
      </c>
      <c r="Q616" s="5">
        <v>-14.740930926989311</v>
      </c>
      <c r="R616" s="13">
        <f t="shared" si="36"/>
        <v>7.0378425</v>
      </c>
      <c r="S616" s="42">
        <f t="shared" si="39"/>
        <v>94.751102817962661</v>
      </c>
      <c r="T616" s="13">
        <v>0</v>
      </c>
      <c r="U616" s="14">
        <f t="shared" si="37"/>
        <v>-14.740930926989311</v>
      </c>
      <c r="V616" s="15">
        <f t="shared" si="38"/>
        <v>666.84333833412734</v>
      </c>
    </row>
    <row r="617" spans="1:22" x14ac:dyDescent="0.3">
      <c r="A617">
        <v>8</v>
      </c>
      <c r="B617" s="85">
        <v>5.2</v>
      </c>
      <c r="C617" s="78">
        <v>45980</v>
      </c>
      <c r="D617" s="78">
        <v>45982</v>
      </c>
      <c r="E617">
        <v>55</v>
      </c>
      <c r="F617" t="s">
        <v>929</v>
      </c>
      <c r="G617" t="s">
        <v>15</v>
      </c>
      <c r="H617">
        <v>25</v>
      </c>
      <c r="I617">
        <v>2</v>
      </c>
      <c r="J617" t="s">
        <v>908</v>
      </c>
      <c r="K617" t="s">
        <v>1475</v>
      </c>
      <c r="M617" s="1">
        <v>649</v>
      </c>
      <c r="N617" s="1" t="s">
        <v>648</v>
      </c>
      <c r="O617" s="2">
        <v>46034.4221875</v>
      </c>
      <c r="P617" s="3">
        <v>6.9604594999999998</v>
      </c>
      <c r="Q617" s="3">
        <v>-13.868793651589575</v>
      </c>
      <c r="R617" s="13">
        <f t="shared" si="36"/>
        <v>6.9604594999999998</v>
      </c>
      <c r="S617" s="42">
        <f t="shared" si="39"/>
        <v>94.751102817962661</v>
      </c>
      <c r="T617" s="13">
        <v>0</v>
      </c>
      <c r="U617" s="14">
        <f t="shared" si="37"/>
        <v>-13.868793651589575</v>
      </c>
      <c r="V617" s="15">
        <f t="shared" si="38"/>
        <v>659.51121374476497</v>
      </c>
    </row>
    <row r="618" spans="1:22" x14ac:dyDescent="0.3">
      <c r="A618">
        <v>8</v>
      </c>
      <c r="B618" s="85">
        <v>5.2</v>
      </c>
      <c r="C618" s="78">
        <v>45980</v>
      </c>
      <c r="D618" s="78">
        <v>45982</v>
      </c>
      <c r="E618">
        <v>54</v>
      </c>
      <c r="F618" t="s">
        <v>906</v>
      </c>
      <c r="G618" t="s">
        <v>914</v>
      </c>
      <c r="H618">
        <v>25</v>
      </c>
      <c r="I618">
        <v>3</v>
      </c>
      <c r="J618" t="s">
        <v>908</v>
      </c>
      <c r="K618" s="82" t="s">
        <v>1476</v>
      </c>
      <c r="L618" s="82"/>
      <c r="M618" s="4">
        <v>650</v>
      </c>
      <c r="N618" s="4" t="s">
        <v>649</v>
      </c>
      <c r="O618" s="12">
        <v>46034.42591435185</v>
      </c>
      <c r="P618" s="5">
        <v>6.8417599999999998</v>
      </c>
      <c r="Q618" s="5">
        <v>-13.033264584249586</v>
      </c>
      <c r="R618" s="13">
        <f t="shared" si="36"/>
        <v>6.8417599999999998</v>
      </c>
      <c r="S618" s="42">
        <f t="shared" si="39"/>
        <v>94.751102817962661</v>
      </c>
      <c r="T618" s="13">
        <v>0</v>
      </c>
      <c r="U618" s="14">
        <f t="shared" si="37"/>
        <v>-13.033264584249586</v>
      </c>
      <c r="V618" s="15">
        <f t="shared" si="38"/>
        <v>648.26430521582415</v>
      </c>
    </row>
    <row r="619" spans="1:22" x14ac:dyDescent="0.3">
      <c r="A619">
        <v>8</v>
      </c>
      <c r="B619" s="85">
        <v>5.2</v>
      </c>
      <c r="C619" s="78">
        <v>45980</v>
      </c>
      <c r="D619" s="78">
        <v>45982</v>
      </c>
      <c r="E619">
        <v>49</v>
      </c>
      <c r="F619" t="s">
        <v>932</v>
      </c>
      <c r="G619" t="s">
        <v>918</v>
      </c>
      <c r="H619">
        <v>25</v>
      </c>
      <c r="I619">
        <v>4</v>
      </c>
      <c r="J619" t="s">
        <v>908</v>
      </c>
      <c r="K619" t="s">
        <v>1477</v>
      </c>
      <c r="M619" s="1">
        <v>651</v>
      </c>
      <c r="N619" s="1" t="s">
        <v>650</v>
      </c>
      <c r="O619" s="2">
        <v>46034.429629629631</v>
      </c>
      <c r="P619" s="3">
        <v>7.1862880000000002</v>
      </c>
      <c r="Q619" s="3">
        <v>-12.247977904983737</v>
      </c>
      <c r="R619" s="13">
        <f t="shared" si="36"/>
        <v>7.1862880000000002</v>
      </c>
      <c r="S619" s="42">
        <f t="shared" si="39"/>
        <v>94.751102817962661</v>
      </c>
      <c r="T619" s="13">
        <v>0</v>
      </c>
      <c r="U619" s="14">
        <f t="shared" si="37"/>
        <v>-12.247977904983737</v>
      </c>
      <c r="V619" s="15">
        <f t="shared" si="38"/>
        <v>680.90871316749133</v>
      </c>
    </row>
    <row r="620" spans="1:22" x14ac:dyDescent="0.3">
      <c r="A620">
        <v>8</v>
      </c>
      <c r="B620" s="85">
        <v>5.2</v>
      </c>
      <c r="C620" s="78">
        <v>45980</v>
      </c>
      <c r="D620" s="78">
        <v>45982</v>
      </c>
      <c r="E620">
        <v>52</v>
      </c>
      <c r="F620" t="s">
        <v>917</v>
      </c>
      <c r="G620" t="s">
        <v>922</v>
      </c>
      <c r="H620">
        <v>25</v>
      </c>
      <c r="I620">
        <v>5</v>
      </c>
      <c r="J620" t="s">
        <v>908</v>
      </c>
      <c r="K620" t="s">
        <v>1478</v>
      </c>
      <c r="M620" s="4">
        <v>652</v>
      </c>
      <c r="N620" s="4" t="s">
        <v>651</v>
      </c>
      <c r="O620" s="12">
        <v>46034.433368055557</v>
      </c>
      <c r="P620" s="5">
        <v>7.4096549999999999</v>
      </c>
      <c r="Q620" s="5">
        <v>-15.046389954477032</v>
      </c>
      <c r="R620" s="13">
        <f t="shared" si="36"/>
        <v>7.4096549999999999</v>
      </c>
      <c r="S620" s="42">
        <f t="shared" si="39"/>
        <v>94.751102817962661</v>
      </c>
      <c r="T620" s="13">
        <v>0</v>
      </c>
      <c r="U620" s="14">
        <f t="shared" si="37"/>
        <v>-15.046389954477032</v>
      </c>
      <c r="V620" s="15">
        <f t="shared" si="38"/>
        <v>702.07298275063113</v>
      </c>
    </row>
    <row r="621" spans="1:22" x14ac:dyDescent="0.3">
      <c r="A621">
        <v>8</v>
      </c>
      <c r="B621" s="85">
        <v>5.2</v>
      </c>
      <c r="C621" s="78">
        <v>45980</v>
      </c>
      <c r="D621" s="78">
        <v>45982</v>
      </c>
      <c r="E621">
        <v>50</v>
      </c>
      <c r="F621" t="s">
        <v>913</v>
      </c>
      <c r="G621" t="s">
        <v>926</v>
      </c>
      <c r="H621">
        <v>25</v>
      </c>
      <c r="I621">
        <v>6</v>
      </c>
      <c r="J621" t="s">
        <v>908</v>
      </c>
      <c r="K621" t="s">
        <v>1479</v>
      </c>
      <c r="M621" s="1">
        <v>653</v>
      </c>
      <c r="N621" s="1" t="s">
        <v>652</v>
      </c>
      <c r="O621" s="2">
        <v>46034.437175925923</v>
      </c>
      <c r="P621" s="3">
        <v>7.6678480000000002</v>
      </c>
      <c r="Q621" s="3">
        <v>-15.506934715948761</v>
      </c>
      <c r="R621" s="13">
        <f t="shared" si="36"/>
        <v>7.6678480000000002</v>
      </c>
      <c r="S621" s="42">
        <f t="shared" si="39"/>
        <v>94.751102817962661</v>
      </c>
      <c r="T621" s="13">
        <v>0</v>
      </c>
      <c r="U621" s="14">
        <f t="shared" si="37"/>
        <v>-15.506934715948761</v>
      </c>
      <c r="V621" s="15">
        <f t="shared" si="38"/>
        <v>726.53705424050941</v>
      </c>
    </row>
    <row r="622" spans="1:22" x14ac:dyDescent="0.3">
      <c r="A622">
        <v>8</v>
      </c>
      <c r="B622" s="85">
        <v>5.2</v>
      </c>
      <c r="C622" s="78">
        <v>45980</v>
      </c>
      <c r="D622" s="78">
        <v>45982</v>
      </c>
      <c r="E622">
        <v>53</v>
      </c>
      <c r="F622" t="s">
        <v>925</v>
      </c>
      <c r="G622" t="s">
        <v>930</v>
      </c>
      <c r="H622">
        <v>25</v>
      </c>
      <c r="I622">
        <v>7</v>
      </c>
      <c r="J622" t="s">
        <v>908</v>
      </c>
      <c r="K622" t="s">
        <v>1480</v>
      </c>
      <c r="M622" s="4">
        <v>654</v>
      </c>
      <c r="N622" s="4" t="s">
        <v>653</v>
      </c>
      <c r="O622" s="12">
        <v>46034.44091435185</v>
      </c>
      <c r="P622" s="5">
        <v>7.2849110000000001</v>
      </c>
      <c r="Q622" s="5">
        <v>-14.669745659772218</v>
      </c>
      <c r="R622" s="13">
        <f t="shared" si="36"/>
        <v>7.2849110000000001</v>
      </c>
      <c r="S622" s="42">
        <f t="shared" si="39"/>
        <v>94.751102817962661</v>
      </c>
      <c r="T622" s="13">
        <v>0</v>
      </c>
      <c r="U622" s="14">
        <f t="shared" si="37"/>
        <v>-14.669745659772218</v>
      </c>
      <c r="V622" s="15">
        <f t="shared" si="38"/>
        <v>690.25335118070723</v>
      </c>
    </row>
    <row r="623" spans="1:22" x14ac:dyDescent="0.3">
      <c r="A623">
        <v>8</v>
      </c>
      <c r="B623" s="85">
        <v>5.2</v>
      </c>
      <c r="C623" s="78">
        <v>45980</v>
      </c>
      <c r="D623" s="78">
        <v>45982</v>
      </c>
      <c r="E623">
        <v>51</v>
      </c>
      <c r="F623" t="s">
        <v>910</v>
      </c>
      <c r="G623" t="s">
        <v>933</v>
      </c>
      <c r="H623">
        <v>25</v>
      </c>
      <c r="I623">
        <v>8</v>
      </c>
      <c r="J623" t="s">
        <v>908</v>
      </c>
      <c r="K623" t="s">
        <v>1481</v>
      </c>
      <c r="M623" s="1">
        <v>655</v>
      </c>
      <c r="N623" s="1" t="s">
        <v>654</v>
      </c>
      <c r="O623" s="2">
        <v>46034.444641203707</v>
      </c>
      <c r="P623" s="3">
        <v>8.8175190000000008</v>
      </c>
      <c r="Q623" s="3">
        <v>-16.647177057745917</v>
      </c>
      <c r="R623" s="13">
        <f t="shared" si="36"/>
        <v>8.8175190000000008</v>
      </c>
      <c r="S623" s="42">
        <f t="shared" si="39"/>
        <v>94.751102817962661</v>
      </c>
      <c r="T623" s="13">
        <v>0</v>
      </c>
      <c r="U623" s="14">
        <f t="shared" si="37"/>
        <v>-16.647177057745917</v>
      </c>
      <c r="V623" s="15">
        <f t="shared" si="38"/>
        <v>835.46964936833933</v>
      </c>
    </row>
    <row r="624" spans="1:22" x14ac:dyDescent="0.3">
      <c r="A624">
        <v>8</v>
      </c>
      <c r="B624" s="85">
        <v>5.2</v>
      </c>
      <c r="C624" s="78">
        <v>45980</v>
      </c>
      <c r="D624" s="78">
        <v>45982</v>
      </c>
      <c r="E624">
        <v>56</v>
      </c>
      <c r="F624" t="s">
        <v>921</v>
      </c>
      <c r="G624" t="s">
        <v>907</v>
      </c>
      <c r="H624">
        <v>25</v>
      </c>
      <c r="I624">
        <v>9</v>
      </c>
      <c r="J624" t="s">
        <v>935</v>
      </c>
      <c r="K624" t="s">
        <v>1482</v>
      </c>
      <c r="M624" s="4">
        <v>656</v>
      </c>
      <c r="N624" s="4" t="s">
        <v>655</v>
      </c>
      <c r="O624" s="12">
        <v>46034.448437500003</v>
      </c>
      <c r="P624" s="5">
        <v>7.8931614999999997</v>
      </c>
      <c r="Q624" s="5">
        <v>-2.7729912308449367</v>
      </c>
      <c r="R624" s="13">
        <f t="shared" si="36"/>
        <v>7.8931614999999997</v>
      </c>
      <c r="S624" s="42">
        <f t="shared" si="39"/>
        <v>94.751102817962661</v>
      </c>
      <c r="T624" s="13">
        <v>0</v>
      </c>
      <c r="U624" s="14">
        <f t="shared" si="37"/>
        <v>-2.7729912308449367</v>
      </c>
      <c r="V624" s="15">
        <f t="shared" si="38"/>
        <v>747.88575684528439</v>
      </c>
    </row>
    <row r="625" spans="1:22" x14ac:dyDescent="0.3">
      <c r="A625">
        <v>8</v>
      </c>
      <c r="B625" s="85">
        <v>5.2</v>
      </c>
      <c r="C625" s="78">
        <v>45980</v>
      </c>
      <c r="D625" s="78">
        <v>45982</v>
      </c>
      <c r="E625">
        <v>55</v>
      </c>
      <c r="F625" t="s">
        <v>929</v>
      </c>
      <c r="G625" t="s">
        <v>15</v>
      </c>
      <c r="H625">
        <v>25</v>
      </c>
      <c r="I625">
        <v>10</v>
      </c>
      <c r="J625" t="s">
        <v>935</v>
      </c>
      <c r="K625" t="s">
        <v>1483</v>
      </c>
      <c r="M625" s="1">
        <v>657</v>
      </c>
      <c r="N625" s="1" t="s">
        <v>656</v>
      </c>
      <c r="O625" s="2">
        <v>46034.452152777776</v>
      </c>
      <c r="P625" s="3">
        <v>7.3360655000000001</v>
      </c>
      <c r="Q625" s="3">
        <v>1.6034715613099049</v>
      </c>
      <c r="R625" s="13">
        <f t="shared" si="36"/>
        <v>7.3360655000000001</v>
      </c>
      <c r="S625" s="42">
        <f t="shared" si="39"/>
        <v>94.751102817962661</v>
      </c>
      <c r="T625" s="13">
        <v>0</v>
      </c>
      <c r="U625" s="14">
        <f t="shared" si="37"/>
        <v>1.6034715613099049</v>
      </c>
      <c r="V625" s="15">
        <f t="shared" si="38"/>
        <v>695.10029646980865</v>
      </c>
    </row>
    <row r="626" spans="1:22" x14ac:dyDescent="0.3">
      <c r="A626">
        <v>8</v>
      </c>
      <c r="B626" s="85">
        <v>5.2</v>
      </c>
      <c r="C626" s="78">
        <v>45980</v>
      </c>
      <c r="D626" s="78">
        <v>45982</v>
      </c>
      <c r="E626">
        <v>54</v>
      </c>
      <c r="F626" t="s">
        <v>906</v>
      </c>
      <c r="G626" t="s">
        <v>914</v>
      </c>
      <c r="H626">
        <v>25</v>
      </c>
      <c r="I626">
        <v>11</v>
      </c>
      <c r="J626" t="s">
        <v>935</v>
      </c>
      <c r="K626" t="s">
        <v>1484</v>
      </c>
      <c r="M626" s="4">
        <v>658</v>
      </c>
      <c r="N626" s="4" t="s">
        <v>657</v>
      </c>
      <c r="O626" s="12">
        <v>46034.45590277778</v>
      </c>
      <c r="P626" s="5">
        <v>8.3440995000000004</v>
      </c>
      <c r="Q626" s="5">
        <v>2.974137939984252</v>
      </c>
      <c r="R626" s="13">
        <f t="shared" si="36"/>
        <v>8.3440995000000004</v>
      </c>
      <c r="S626" s="42">
        <f t="shared" si="39"/>
        <v>94.751102817962661</v>
      </c>
      <c r="T626" s="13">
        <v>0</v>
      </c>
      <c r="U626" s="14">
        <f t="shared" si="37"/>
        <v>2.974137939984252</v>
      </c>
      <c r="V626" s="15">
        <f t="shared" si="38"/>
        <v>790.61262964781088</v>
      </c>
    </row>
    <row r="627" spans="1:22" x14ac:dyDescent="0.3">
      <c r="A627">
        <v>8</v>
      </c>
      <c r="B627" s="85">
        <v>5.2</v>
      </c>
      <c r="C627" s="78">
        <v>45980</v>
      </c>
      <c r="D627" s="78">
        <v>45982</v>
      </c>
      <c r="E627">
        <v>49</v>
      </c>
      <c r="F627" t="s">
        <v>932</v>
      </c>
      <c r="G627" t="s">
        <v>918</v>
      </c>
      <c r="H627">
        <v>25</v>
      </c>
      <c r="I627">
        <v>12</v>
      </c>
      <c r="J627" t="s">
        <v>935</v>
      </c>
      <c r="K627" t="s">
        <v>1485</v>
      </c>
      <c r="M627" s="1">
        <v>659</v>
      </c>
      <c r="N627" s="1" t="s">
        <v>658</v>
      </c>
      <c r="O627" s="2">
        <v>46034.459618055553</v>
      </c>
      <c r="P627" s="3">
        <v>6.9269964999999996</v>
      </c>
      <c r="Q627" s="3">
        <v>2.2069634052028531</v>
      </c>
      <c r="R627" s="13">
        <f t="shared" si="36"/>
        <v>6.9269964999999996</v>
      </c>
      <c r="S627" s="42">
        <f t="shared" si="39"/>
        <v>94.751102817962661</v>
      </c>
      <c r="T627" s="13">
        <v>0</v>
      </c>
      <c r="U627" s="14">
        <f t="shared" si="37"/>
        <v>2.2069634052028531</v>
      </c>
      <c r="V627" s="15">
        <f t="shared" si="38"/>
        <v>656.34055759116745</v>
      </c>
    </row>
    <row r="628" spans="1:22" x14ac:dyDescent="0.3">
      <c r="A628">
        <v>8</v>
      </c>
      <c r="B628" s="85">
        <v>5.2</v>
      </c>
      <c r="C628" s="78">
        <v>45980</v>
      </c>
      <c r="D628" s="78">
        <v>45982</v>
      </c>
      <c r="E628">
        <v>52</v>
      </c>
      <c r="F628" t="s">
        <v>917</v>
      </c>
      <c r="G628" t="s">
        <v>922</v>
      </c>
      <c r="H628">
        <v>25</v>
      </c>
      <c r="I628">
        <v>13</v>
      </c>
      <c r="J628" t="s">
        <v>935</v>
      </c>
      <c r="K628" t="s">
        <v>1486</v>
      </c>
      <c r="M628" s="4">
        <v>660</v>
      </c>
      <c r="N628" s="4" t="s">
        <v>659</v>
      </c>
      <c r="O628" s="12">
        <v>46034.463368055556</v>
      </c>
      <c r="P628" s="5">
        <v>7.3568875</v>
      </c>
      <c r="Q628" s="5">
        <v>-2.1119947142132482</v>
      </c>
      <c r="R628" s="13">
        <f t="shared" si="36"/>
        <v>7.3568875</v>
      </c>
      <c r="S628" s="42">
        <f t="shared" si="39"/>
        <v>94.751102817962661</v>
      </c>
      <c r="T628" s="13">
        <v>0</v>
      </c>
      <c r="U628" s="14">
        <f t="shared" si="37"/>
        <v>-2.1119947142132482</v>
      </c>
      <c r="V628" s="15">
        <f t="shared" si="38"/>
        <v>697.07320393268424</v>
      </c>
    </row>
    <row r="629" spans="1:22" x14ac:dyDescent="0.3">
      <c r="A629">
        <v>8</v>
      </c>
      <c r="B629" s="85">
        <v>5.2</v>
      </c>
      <c r="C629" s="78">
        <v>45980</v>
      </c>
      <c r="D629" s="78">
        <v>45982</v>
      </c>
      <c r="E629">
        <v>50</v>
      </c>
      <c r="F629" t="s">
        <v>913</v>
      </c>
      <c r="G629" t="s">
        <v>926</v>
      </c>
      <c r="H629">
        <v>25</v>
      </c>
      <c r="I629">
        <v>14</v>
      </c>
      <c r="J629" t="s">
        <v>935</v>
      </c>
      <c r="K629" t="s">
        <v>1487</v>
      </c>
      <c r="M629" s="1">
        <v>661</v>
      </c>
      <c r="N629" s="1" t="s">
        <v>660</v>
      </c>
      <c r="O629" s="2">
        <v>46034.467094907406</v>
      </c>
      <c r="P629" s="3">
        <v>7.7187805000000003</v>
      </c>
      <c r="Q629" s="3">
        <v>-0.79981266550970675</v>
      </c>
      <c r="R629" s="13">
        <f t="shared" si="36"/>
        <v>7.7187805000000003</v>
      </c>
      <c r="S629" s="42">
        <f t="shared" si="39"/>
        <v>94.751102817962661</v>
      </c>
      <c r="T629" s="13">
        <v>0</v>
      </c>
      <c r="U629" s="14">
        <f t="shared" si="37"/>
        <v>-0.79981266550970675</v>
      </c>
      <c r="V629" s="15">
        <f t="shared" si="38"/>
        <v>731.36296478478528</v>
      </c>
    </row>
    <row r="630" spans="1:22" x14ac:dyDescent="0.3">
      <c r="A630">
        <v>8</v>
      </c>
      <c r="B630" s="85">
        <v>5.2</v>
      </c>
      <c r="C630" s="78">
        <v>45980</v>
      </c>
      <c r="D630" s="78">
        <v>45982</v>
      </c>
      <c r="E630">
        <v>53</v>
      </c>
      <c r="F630" t="s">
        <v>925</v>
      </c>
      <c r="G630" t="s">
        <v>930</v>
      </c>
      <c r="H630">
        <v>25</v>
      </c>
      <c r="I630">
        <v>15</v>
      </c>
      <c r="J630" t="s">
        <v>935</v>
      </c>
      <c r="K630" t="s">
        <v>1488</v>
      </c>
      <c r="M630" s="4">
        <v>662</v>
      </c>
      <c r="N630" s="4" t="s">
        <v>661</v>
      </c>
      <c r="O630" s="12">
        <v>46034.47084490741</v>
      </c>
      <c r="P630" s="5">
        <v>7.7472855000000003</v>
      </c>
      <c r="Q630" s="5">
        <v>-1.1601949918261634</v>
      </c>
      <c r="R630" s="13">
        <f t="shared" si="36"/>
        <v>7.7472855000000003</v>
      </c>
      <c r="S630" s="42">
        <f t="shared" si="39"/>
        <v>94.751102817962661</v>
      </c>
      <c r="T630" s="13">
        <v>0</v>
      </c>
      <c r="U630" s="14">
        <f t="shared" si="37"/>
        <v>-1.1601949918261634</v>
      </c>
      <c r="V630" s="15">
        <f t="shared" si="38"/>
        <v>734.06384497061129</v>
      </c>
    </row>
    <row r="631" spans="1:22" x14ac:dyDescent="0.3">
      <c r="A631">
        <v>8</v>
      </c>
      <c r="B631" s="85">
        <v>5.2</v>
      </c>
      <c r="C631" s="78">
        <v>45980</v>
      </c>
      <c r="D631" s="78">
        <v>45982</v>
      </c>
      <c r="E631">
        <v>51</v>
      </c>
      <c r="F631" t="s">
        <v>910</v>
      </c>
      <c r="G631" t="s">
        <v>933</v>
      </c>
      <c r="H631">
        <v>25</v>
      </c>
      <c r="I631">
        <v>16</v>
      </c>
      <c r="J631" t="s">
        <v>935</v>
      </c>
      <c r="K631" t="s">
        <v>1489</v>
      </c>
      <c r="M631" s="1">
        <v>663</v>
      </c>
      <c r="N631" s="1" t="s">
        <v>662</v>
      </c>
      <c r="O631" s="2">
        <v>46034.474583333336</v>
      </c>
      <c r="P631" s="3">
        <v>7.5479139999999996</v>
      </c>
      <c r="Q631" s="3">
        <v>-0.26006968430399213</v>
      </c>
      <c r="R631" s="13">
        <f t="shared" si="36"/>
        <v>7.5479139999999996</v>
      </c>
      <c r="S631" s="42">
        <f t="shared" si="39"/>
        <v>94.751102817962661</v>
      </c>
      <c r="T631" s="13">
        <v>0</v>
      </c>
      <c r="U631" s="14">
        <f t="shared" si="37"/>
        <v>-0.26006968430399213</v>
      </c>
      <c r="V631" s="15">
        <f t="shared" si="38"/>
        <v>715.17317547513983</v>
      </c>
    </row>
    <row r="632" spans="1:22" x14ac:dyDescent="0.3">
      <c r="A632">
        <v>8</v>
      </c>
      <c r="B632" s="85">
        <v>5.2</v>
      </c>
      <c r="C632" s="78">
        <v>45980</v>
      </c>
      <c r="D632" s="78">
        <v>45982</v>
      </c>
      <c r="E632">
        <v>56</v>
      </c>
      <c r="F632" t="s">
        <v>921</v>
      </c>
      <c r="G632" t="s">
        <v>907</v>
      </c>
      <c r="H632">
        <v>25</v>
      </c>
      <c r="I632">
        <v>17</v>
      </c>
      <c r="J632" t="s">
        <v>24</v>
      </c>
      <c r="K632" t="s">
        <v>1490</v>
      </c>
      <c r="M632" s="4">
        <v>664</v>
      </c>
      <c r="N632" s="4" t="s">
        <v>663</v>
      </c>
      <c r="O632" s="12">
        <v>46034.478298611109</v>
      </c>
      <c r="P632" s="5">
        <v>8.2979775</v>
      </c>
      <c r="Q632" s="5">
        <v>4.5194194621270363</v>
      </c>
      <c r="R632" s="13">
        <f t="shared" ref="R632:R695" si="40">P632</f>
        <v>8.2979775</v>
      </c>
      <c r="S632" s="42">
        <f t="shared" si="39"/>
        <v>94.751102817962661</v>
      </c>
      <c r="T632" s="13">
        <v>0</v>
      </c>
      <c r="U632" s="14">
        <f t="shared" ref="U632:U695" si="41">Q632+T632</f>
        <v>4.5194194621270363</v>
      </c>
      <c r="V632" s="15">
        <f t="shared" ref="V632:V695" si="42">R632*S632</f>
        <v>786.24251928364072</v>
      </c>
    </row>
    <row r="633" spans="1:22" x14ac:dyDescent="0.3">
      <c r="A633">
        <v>8</v>
      </c>
      <c r="B633" s="85">
        <v>5.2</v>
      </c>
      <c r="C633" s="78">
        <v>45980</v>
      </c>
      <c r="D633" s="78">
        <v>45982</v>
      </c>
      <c r="E633">
        <v>55</v>
      </c>
      <c r="F633" t="s">
        <v>929</v>
      </c>
      <c r="G633" t="s">
        <v>15</v>
      </c>
      <c r="H633">
        <v>25</v>
      </c>
      <c r="I633">
        <v>18</v>
      </c>
      <c r="J633" t="s">
        <v>24</v>
      </c>
      <c r="K633" t="s">
        <v>1491</v>
      </c>
      <c r="M633" s="1">
        <v>665</v>
      </c>
      <c r="N633" s="1" t="s">
        <v>664</v>
      </c>
      <c r="O633" s="2">
        <v>46034.482048611113</v>
      </c>
      <c r="P633" s="3">
        <v>7.7577389999999999</v>
      </c>
      <c r="Q633" s="3">
        <v>11.158738864972401</v>
      </c>
      <c r="R633" s="13">
        <f t="shared" si="40"/>
        <v>7.7577389999999999</v>
      </c>
      <c r="S633" s="42">
        <f t="shared" si="39"/>
        <v>94.751102817962661</v>
      </c>
      <c r="T633" s="13">
        <v>0</v>
      </c>
      <c r="U633" s="14">
        <f t="shared" si="41"/>
        <v>11.158738864972401</v>
      </c>
      <c r="V633" s="15">
        <f t="shared" si="42"/>
        <v>735.05432562391877</v>
      </c>
    </row>
    <row r="634" spans="1:22" x14ac:dyDescent="0.3">
      <c r="A634">
        <v>8</v>
      </c>
      <c r="B634" s="85">
        <v>5.2</v>
      </c>
      <c r="C634" s="78">
        <v>45980</v>
      </c>
      <c r="D634" s="78">
        <v>45982</v>
      </c>
      <c r="E634">
        <v>54</v>
      </c>
      <c r="F634" t="s">
        <v>906</v>
      </c>
      <c r="G634" t="s">
        <v>914</v>
      </c>
      <c r="H634">
        <v>25</v>
      </c>
      <c r="I634">
        <v>19</v>
      </c>
      <c r="J634" t="s">
        <v>24</v>
      </c>
      <c r="K634" t="s">
        <v>1492</v>
      </c>
      <c r="M634" s="4">
        <v>666</v>
      </c>
      <c r="N634" s="4" t="s">
        <v>665</v>
      </c>
      <c r="O634" s="12">
        <v>46034.485763888886</v>
      </c>
      <c r="P634" s="5">
        <v>8.2539114999999992</v>
      </c>
      <c r="Q634" s="5">
        <v>18.901392493849112</v>
      </c>
      <c r="R634" s="13">
        <f t="shared" si="40"/>
        <v>8.2539114999999992</v>
      </c>
      <c r="S634" s="42">
        <f t="shared" si="39"/>
        <v>94.751102817962661</v>
      </c>
      <c r="T634" s="13">
        <v>0</v>
      </c>
      <c r="U634" s="14">
        <f t="shared" si="41"/>
        <v>18.901392493849112</v>
      </c>
      <c r="V634" s="15">
        <f t="shared" si="42"/>
        <v>782.06721718686435</v>
      </c>
    </row>
    <row r="635" spans="1:22" x14ac:dyDescent="0.3">
      <c r="A635">
        <v>8</v>
      </c>
      <c r="B635" s="85">
        <v>5.2</v>
      </c>
      <c r="C635" s="78">
        <v>45980</v>
      </c>
      <c r="D635" s="78">
        <v>45982</v>
      </c>
      <c r="E635">
        <v>49</v>
      </c>
      <c r="F635" t="s">
        <v>932</v>
      </c>
      <c r="G635" t="s">
        <v>918</v>
      </c>
      <c r="H635">
        <v>25</v>
      </c>
      <c r="I635">
        <v>20</v>
      </c>
      <c r="J635" t="s">
        <v>24</v>
      </c>
      <c r="K635" s="82" t="s">
        <v>1493</v>
      </c>
      <c r="L635" s="82"/>
      <c r="M635" s="1">
        <v>667</v>
      </c>
      <c r="N635" s="1" t="s">
        <v>666</v>
      </c>
      <c r="O635" s="2">
        <v>46034.489490740743</v>
      </c>
      <c r="P635" s="3">
        <v>7.6268805000000004</v>
      </c>
      <c r="Q635" s="3">
        <v>10.016944344776052</v>
      </c>
      <c r="R635" s="13">
        <f t="shared" si="40"/>
        <v>7.6268805000000004</v>
      </c>
      <c r="S635" s="42">
        <f t="shared" si="39"/>
        <v>94.751102817962661</v>
      </c>
      <c r="T635" s="13">
        <v>0</v>
      </c>
      <c r="U635" s="14">
        <f t="shared" si="41"/>
        <v>10.016944344776052</v>
      </c>
      <c r="V635" s="15">
        <f t="shared" si="42"/>
        <v>722.65533843581454</v>
      </c>
    </row>
    <row r="636" spans="1:22" x14ac:dyDescent="0.3">
      <c r="A636">
        <v>8</v>
      </c>
      <c r="B636" s="85">
        <v>5.2</v>
      </c>
      <c r="C636" s="78">
        <v>45980</v>
      </c>
      <c r="D636" s="78">
        <v>45982</v>
      </c>
      <c r="E636">
        <v>52</v>
      </c>
      <c r="F636" t="s">
        <v>917</v>
      </c>
      <c r="G636" t="s">
        <v>922</v>
      </c>
      <c r="H636">
        <v>25</v>
      </c>
      <c r="I636">
        <v>21</v>
      </c>
      <c r="J636" t="s">
        <v>24</v>
      </c>
      <c r="K636" t="s">
        <v>1494</v>
      </c>
      <c r="M636" s="4">
        <v>668</v>
      </c>
      <c r="N636" s="4" t="s">
        <v>667</v>
      </c>
      <c r="O636" s="12">
        <v>46034.49324074074</v>
      </c>
      <c r="P636" s="5">
        <v>7.5600915000000004</v>
      </c>
      <c r="Q636" s="5">
        <v>6.7715694319016393</v>
      </c>
      <c r="R636" s="13">
        <f t="shared" si="40"/>
        <v>7.5600915000000004</v>
      </c>
      <c r="S636" s="42">
        <f t="shared" si="39"/>
        <v>94.751102817962661</v>
      </c>
      <c r="T636" s="13">
        <v>0</v>
      </c>
      <c r="U636" s="14">
        <f t="shared" si="41"/>
        <v>6.7715694319016393</v>
      </c>
      <c r="V636" s="15">
        <f t="shared" si="42"/>
        <v>716.32700702970556</v>
      </c>
    </row>
    <row r="637" spans="1:22" x14ac:dyDescent="0.3">
      <c r="A637">
        <v>8</v>
      </c>
      <c r="B637" s="85">
        <v>5.2</v>
      </c>
      <c r="C637" s="78">
        <v>45980</v>
      </c>
      <c r="D637" s="78">
        <v>45982</v>
      </c>
      <c r="E637">
        <v>50</v>
      </c>
      <c r="F637" t="s">
        <v>913</v>
      </c>
      <c r="G637" t="s">
        <v>926</v>
      </c>
      <c r="H637">
        <v>25</v>
      </c>
      <c r="I637">
        <v>22</v>
      </c>
      <c r="J637" t="s">
        <v>24</v>
      </c>
      <c r="K637" t="s">
        <v>1495</v>
      </c>
      <c r="M637" s="1">
        <v>669</v>
      </c>
      <c r="N637" s="1" t="s">
        <v>668</v>
      </c>
      <c r="O637" s="2">
        <v>46034.49695601852</v>
      </c>
      <c r="P637" s="3">
        <v>7.4227074999999996</v>
      </c>
      <c r="Q637" s="3">
        <v>11.06893218707528</v>
      </c>
      <c r="R637" s="13">
        <f t="shared" si="40"/>
        <v>7.4227074999999996</v>
      </c>
      <c r="S637" s="42">
        <f t="shared" si="39"/>
        <v>94.751102817962661</v>
      </c>
      <c r="T637" s="13">
        <v>0</v>
      </c>
      <c r="U637" s="14">
        <f t="shared" si="41"/>
        <v>11.06893218707528</v>
      </c>
      <c r="V637" s="15">
        <f t="shared" si="42"/>
        <v>703.3097215201625</v>
      </c>
    </row>
    <row r="638" spans="1:22" x14ac:dyDescent="0.3">
      <c r="A638">
        <v>8</v>
      </c>
      <c r="B638" s="85">
        <v>5.2</v>
      </c>
      <c r="C638" s="78">
        <v>45980</v>
      </c>
      <c r="D638" s="78">
        <v>45982</v>
      </c>
      <c r="E638">
        <v>53</v>
      </c>
      <c r="F638" t="s">
        <v>925</v>
      </c>
      <c r="G638" t="s">
        <v>930</v>
      </c>
      <c r="H638">
        <v>25</v>
      </c>
      <c r="I638">
        <v>23</v>
      </c>
      <c r="J638" t="s">
        <v>24</v>
      </c>
      <c r="K638" t="s">
        <v>1496</v>
      </c>
      <c r="M638" s="4">
        <v>670</v>
      </c>
      <c r="N638" s="4" t="s">
        <v>669</v>
      </c>
      <c r="O638" s="12">
        <v>46034.500740740739</v>
      </c>
      <c r="P638" s="5">
        <v>8.0260920000000002</v>
      </c>
      <c r="Q638" s="5">
        <v>6.922240010065976</v>
      </c>
      <c r="R638" s="13">
        <f t="shared" si="40"/>
        <v>8.0260920000000002</v>
      </c>
      <c r="S638" s="42">
        <f t="shared" si="39"/>
        <v>94.751102817962661</v>
      </c>
      <c r="T638" s="13">
        <v>0</v>
      </c>
      <c r="U638" s="14">
        <f t="shared" si="41"/>
        <v>6.922240010065976</v>
      </c>
      <c r="V638" s="15">
        <f t="shared" si="42"/>
        <v>760.48106831842756</v>
      </c>
    </row>
    <row r="639" spans="1:22" x14ac:dyDescent="0.3">
      <c r="A639">
        <v>8</v>
      </c>
      <c r="B639" s="85">
        <v>5.2</v>
      </c>
      <c r="C639" s="78">
        <v>45980</v>
      </c>
      <c r="D639" s="78">
        <v>45982</v>
      </c>
      <c r="E639">
        <v>51</v>
      </c>
      <c r="F639" t="s">
        <v>910</v>
      </c>
      <c r="G639" t="s">
        <v>933</v>
      </c>
      <c r="H639">
        <v>25</v>
      </c>
      <c r="I639">
        <v>24</v>
      </c>
      <c r="J639" t="s">
        <v>24</v>
      </c>
      <c r="K639" t="s">
        <v>1497</v>
      </c>
      <c r="M639" s="1">
        <v>671</v>
      </c>
      <c r="N639" s="1" t="s">
        <v>670</v>
      </c>
      <c r="O639" s="2">
        <v>46034.504490740743</v>
      </c>
      <c r="P639" s="3">
        <v>7.7260854999999999</v>
      </c>
      <c r="Q639" s="3">
        <v>7.9441981525126835</v>
      </c>
      <c r="R639" s="13">
        <f t="shared" si="40"/>
        <v>7.7260854999999999</v>
      </c>
      <c r="S639" s="42">
        <f t="shared" si="39"/>
        <v>94.751102817962661</v>
      </c>
      <c r="T639" s="13">
        <v>0</v>
      </c>
      <c r="U639" s="14">
        <f t="shared" si="41"/>
        <v>7.9441981525126835</v>
      </c>
      <c r="V639" s="15">
        <f t="shared" si="42"/>
        <v>732.0551215908705</v>
      </c>
    </row>
    <row r="640" spans="1:22" x14ac:dyDescent="0.3">
      <c r="A640">
        <v>8</v>
      </c>
      <c r="B640" s="85">
        <v>5.2</v>
      </c>
      <c r="C640" s="78">
        <v>45980</v>
      </c>
      <c r="D640" s="78">
        <v>45982</v>
      </c>
      <c r="E640">
        <v>56</v>
      </c>
      <c r="F640" t="s">
        <v>921</v>
      </c>
      <c r="G640" t="s">
        <v>907</v>
      </c>
      <c r="H640">
        <v>25</v>
      </c>
      <c r="I640">
        <v>25</v>
      </c>
      <c r="J640" t="s">
        <v>25</v>
      </c>
      <c r="K640" t="s">
        <v>1498</v>
      </c>
      <c r="M640" s="4">
        <v>672</v>
      </c>
      <c r="N640" s="4" t="s">
        <v>671</v>
      </c>
      <c r="O640" s="12">
        <v>46034.508217592593</v>
      </c>
      <c r="P640" s="5">
        <v>8.4658569999999997</v>
      </c>
      <c r="Q640" s="5">
        <v>12.630958504360693</v>
      </c>
      <c r="R640" s="13">
        <f t="shared" si="40"/>
        <v>8.4658569999999997</v>
      </c>
      <c r="S640" s="42">
        <f t="shared" si="39"/>
        <v>94.751102817962661</v>
      </c>
      <c r="T640" s="13">
        <v>0</v>
      </c>
      <c r="U640" s="14">
        <f t="shared" si="41"/>
        <v>12.630958504360693</v>
      </c>
      <c r="V640" s="15">
        <f t="shared" si="42"/>
        <v>802.14928704916895</v>
      </c>
    </row>
    <row r="641" spans="1:22" x14ac:dyDescent="0.3">
      <c r="A641">
        <v>8</v>
      </c>
      <c r="B641" s="85">
        <v>5.2</v>
      </c>
      <c r="C641" s="78">
        <v>45980</v>
      </c>
      <c r="D641" s="78">
        <v>45982</v>
      </c>
      <c r="E641">
        <v>55</v>
      </c>
      <c r="F641" t="s">
        <v>929</v>
      </c>
      <c r="G641" t="s">
        <v>15</v>
      </c>
      <c r="H641">
        <v>25</v>
      </c>
      <c r="I641">
        <v>26</v>
      </c>
      <c r="J641" t="s">
        <v>25</v>
      </c>
      <c r="K641" t="s">
        <v>1499</v>
      </c>
      <c r="M641" s="1">
        <v>673</v>
      </c>
      <c r="N641" s="1" t="s">
        <v>672</v>
      </c>
      <c r="O641" s="2">
        <v>46034.511956018519</v>
      </c>
      <c r="P641" s="3">
        <v>9.3520210000000006</v>
      </c>
      <c r="Q641" s="3">
        <v>11.514855897442009</v>
      </c>
      <c r="R641" s="13">
        <f t="shared" si="40"/>
        <v>9.3520210000000006</v>
      </c>
      <c r="S641" s="42">
        <f t="shared" si="39"/>
        <v>94.751102817962661</v>
      </c>
      <c r="T641" s="13">
        <v>0</v>
      </c>
      <c r="U641" s="14">
        <f t="shared" si="41"/>
        <v>11.514855897442009</v>
      </c>
      <c r="V641" s="15">
        <f t="shared" si="42"/>
        <v>886.11430332674604</v>
      </c>
    </row>
    <row r="642" spans="1:22" x14ac:dyDescent="0.3">
      <c r="A642">
        <v>8</v>
      </c>
      <c r="B642" s="85">
        <v>5.2</v>
      </c>
      <c r="C642" s="78">
        <v>45980</v>
      </c>
      <c r="D642" s="78">
        <v>45982</v>
      </c>
      <c r="E642">
        <v>54</v>
      </c>
      <c r="F642" t="s">
        <v>906</v>
      </c>
      <c r="G642" t="s">
        <v>914</v>
      </c>
      <c r="H642">
        <v>25</v>
      </c>
      <c r="I642">
        <v>27</v>
      </c>
      <c r="J642" t="s">
        <v>25</v>
      </c>
      <c r="K642" s="82" t="s">
        <v>1500</v>
      </c>
      <c r="L642" s="82"/>
      <c r="M642" s="4">
        <v>674</v>
      </c>
      <c r="N642" s="4" t="s">
        <v>673</v>
      </c>
      <c r="O642" s="12">
        <v>46034.515694444446</v>
      </c>
      <c r="P642" s="5">
        <v>9.4167509999999996</v>
      </c>
      <c r="Q642" s="5">
        <v>23.867958221258519</v>
      </c>
      <c r="R642" s="13">
        <f t="shared" si="40"/>
        <v>9.4167509999999996</v>
      </c>
      <c r="S642" s="42">
        <f t="shared" si="39"/>
        <v>94.751102817962661</v>
      </c>
      <c r="T642" s="13">
        <v>0</v>
      </c>
      <c r="U642" s="14">
        <f t="shared" si="41"/>
        <v>23.867958221258519</v>
      </c>
      <c r="V642" s="15">
        <f t="shared" si="42"/>
        <v>892.24754221215267</v>
      </c>
    </row>
    <row r="643" spans="1:22" x14ac:dyDescent="0.3">
      <c r="A643">
        <v>8</v>
      </c>
      <c r="B643" s="85">
        <v>5.2</v>
      </c>
      <c r="C643" s="78">
        <v>45980</v>
      </c>
      <c r="D643" s="78">
        <v>45982</v>
      </c>
      <c r="E643">
        <v>49</v>
      </c>
      <c r="F643" t="s">
        <v>932</v>
      </c>
      <c r="G643" t="s">
        <v>918</v>
      </c>
      <c r="H643">
        <v>25</v>
      </c>
      <c r="I643">
        <v>28</v>
      </c>
      <c r="J643" t="s">
        <v>25</v>
      </c>
      <c r="K643" t="s">
        <v>1501</v>
      </c>
      <c r="M643" s="1">
        <v>675</v>
      </c>
      <c r="N643" s="1" t="s">
        <v>674</v>
      </c>
      <c r="O643" s="2">
        <v>46034.519444444442</v>
      </c>
      <c r="P643" s="3">
        <v>7.3329655000000002</v>
      </c>
      <c r="Q643" s="3">
        <v>20.625992678430588</v>
      </c>
      <c r="R643" s="13">
        <f t="shared" si="40"/>
        <v>7.3329655000000002</v>
      </c>
      <c r="S643" s="42">
        <f t="shared" ref="S643:S706" si="43">$S$890</f>
        <v>94.751102817962661</v>
      </c>
      <c r="T643" s="13">
        <v>0</v>
      </c>
      <c r="U643" s="14">
        <f t="shared" si="41"/>
        <v>20.625992678430588</v>
      </c>
      <c r="V643" s="15">
        <f t="shared" si="42"/>
        <v>694.80656805107299</v>
      </c>
    </row>
    <row r="644" spans="1:22" x14ac:dyDescent="0.3">
      <c r="A644">
        <v>8</v>
      </c>
      <c r="B644" s="85">
        <v>5.2</v>
      </c>
      <c r="C644" s="78">
        <v>45980</v>
      </c>
      <c r="D644" s="78">
        <v>45982</v>
      </c>
      <c r="E644">
        <v>52</v>
      </c>
      <c r="F644" t="s">
        <v>917</v>
      </c>
      <c r="G644" t="s">
        <v>922</v>
      </c>
      <c r="H644">
        <v>25</v>
      </c>
      <c r="I644">
        <v>29</v>
      </c>
      <c r="J644" t="s">
        <v>25</v>
      </c>
      <c r="K644" t="s">
        <v>1502</v>
      </c>
      <c r="M644" s="4">
        <v>676</v>
      </c>
      <c r="N644" s="4" t="s">
        <v>675</v>
      </c>
      <c r="O644" s="12">
        <v>46034.5231712963</v>
      </c>
      <c r="P644" s="5">
        <v>7.2790935000000001</v>
      </c>
      <c r="Q644" s="5">
        <v>16.420704060967118</v>
      </c>
      <c r="R644" s="13">
        <f t="shared" si="40"/>
        <v>7.2790935000000001</v>
      </c>
      <c r="S644" s="42">
        <f t="shared" si="43"/>
        <v>94.751102817962661</v>
      </c>
      <c r="T644" s="13">
        <v>0</v>
      </c>
      <c r="U644" s="14">
        <f t="shared" si="41"/>
        <v>16.420704060967118</v>
      </c>
      <c r="V644" s="15">
        <f t="shared" si="42"/>
        <v>689.70213664006371</v>
      </c>
    </row>
    <row r="645" spans="1:22" x14ac:dyDescent="0.3">
      <c r="A645">
        <v>8</v>
      </c>
      <c r="B645" s="85">
        <v>5.2</v>
      </c>
      <c r="C645" s="78">
        <v>45980</v>
      </c>
      <c r="D645" s="78">
        <v>45982</v>
      </c>
      <c r="E645">
        <v>50</v>
      </c>
      <c r="F645" t="s">
        <v>913</v>
      </c>
      <c r="G645" t="s">
        <v>926</v>
      </c>
      <c r="H645">
        <v>25</v>
      </c>
      <c r="I645">
        <v>30</v>
      </c>
      <c r="J645" t="s">
        <v>25</v>
      </c>
      <c r="K645" t="s">
        <v>1503</v>
      </c>
      <c r="M645" s="1">
        <v>677</v>
      </c>
      <c r="N645" s="1" t="s">
        <v>676</v>
      </c>
      <c r="O645" s="2">
        <v>46034.526909722219</v>
      </c>
      <c r="P645" s="3">
        <v>7.7370714999999999</v>
      </c>
      <c r="Q645" s="3">
        <v>18.573738005793096</v>
      </c>
      <c r="R645" s="13">
        <f t="shared" si="40"/>
        <v>7.7370714999999999</v>
      </c>
      <c r="S645" s="42">
        <f t="shared" si="43"/>
        <v>94.751102817962661</v>
      </c>
      <c r="T645" s="13">
        <v>0</v>
      </c>
      <c r="U645" s="14">
        <f t="shared" si="41"/>
        <v>18.573738005793096</v>
      </c>
      <c r="V645" s="15">
        <f t="shared" si="42"/>
        <v>733.09605720642855</v>
      </c>
    </row>
    <row r="646" spans="1:22" x14ac:dyDescent="0.3">
      <c r="A646">
        <v>8</v>
      </c>
      <c r="B646" s="85">
        <v>5.2</v>
      </c>
      <c r="C646" s="78">
        <v>45980</v>
      </c>
      <c r="D646" s="78">
        <v>45982</v>
      </c>
      <c r="E646">
        <v>53</v>
      </c>
      <c r="F646" t="s">
        <v>925</v>
      </c>
      <c r="G646" t="s">
        <v>930</v>
      </c>
      <c r="H646">
        <v>25</v>
      </c>
      <c r="I646">
        <v>31</v>
      </c>
      <c r="J646" t="s">
        <v>25</v>
      </c>
      <c r="K646" t="s">
        <v>1504</v>
      </c>
      <c r="M646" s="4">
        <v>678</v>
      </c>
      <c r="N646" s="4" t="s">
        <v>677</v>
      </c>
      <c r="O646" s="12">
        <v>46034.530648148146</v>
      </c>
      <c r="P646" s="5">
        <v>8.8544520000000002</v>
      </c>
      <c r="Q646" s="5">
        <v>12.228143870862272</v>
      </c>
      <c r="R646" s="13">
        <f t="shared" si="40"/>
        <v>8.8544520000000002</v>
      </c>
      <c r="S646" s="42">
        <f t="shared" si="43"/>
        <v>94.751102817962661</v>
      </c>
      <c r="T646" s="13">
        <v>0</v>
      </c>
      <c r="U646" s="14">
        <f t="shared" si="41"/>
        <v>12.228143870862272</v>
      </c>
      <c r="V646" s="15">
        <f t="shared" si="42"/>
        <v>838.96909184871515</v>
      </c>
    </row>
    <row r="647" spans="1:22" x14ac:dyDescent="0.3">
      <c r="A647">
        <v>8</v>
      </c>
      <c r="B647" s="85">
        <v>5.2</v>
      </c>
      <c r="C647" s="78">
        <v>45980</v>
      </c>
      <c r="D647" s="78">
        <v>45982</v>
      </c>
      <c r="E647">
        <v>51</v>
      </c>
      <c r="F647" t="s">
        <v>910</v>
      </c>
      <c r="G647" t="s">
        <v>933</v>
      </c>
      <c r="H647">
        <v>25</v>
      </c>
      <c r="I647">
        <v>32</v>
      </c>
      <c r="J647" t="s">
        <v>25</v>
      </c>
      <c r="K647" t="s">
        <v>1505</v>
      </c>
      <c r="M647" s="1">
        <v>679</v>
      </c>
      <c r="N647" s="1" t="s">
        <v>678</v>
      </c>
      <c r="O647" s="2">
        <v>46034.534409722219</v>
      </c>
      <c r="P647" s="3">
        <v>8.1858745000000006</v>
      </c>
      <c r="Q647" s="3">
        <v>13.744391384561327</v>
      </c>
      <c r="R647" s="13">
        <f t="shared" si="40"/>
        <v>8.1858745000000006</v>
      </c>
      <c r="S647" s="42">
        <f t="shared" si="43"/>
        <v>94.751102817962661</v>
      </c>
      <c r="T647" s="13">
        <v>0</v>
      </c>
      <c r="U647" s="14">
        <f t="shared" si="41"/>
        <v>13.744391384561327</v>
      </c>
      <c r="V647" s="15">
        <f t="shared" si="42"/>
        <v>775.62063640443876</v>
      </c>
    </row>
    <row r="648" spans="1:22" x14ac:dyDescent="0.3">
      <c r="A648">
        <v>8</v>
      </c>
      <c r="B648" s="85">
        <v>5.3</v>
      </c>
      <c r="C648" s="78">
        <v>45981</v>
      </c>
      <c r="D648" s="78">
        <v>45983</v>
      </c>
      <c r="E648">
        <v>56</v>
      </c>
      <c r="F648" t="s">
        <v>921</v>
      </c>
      <c r="G648" t="s">
        <v>907</v>
      </c>
      <c r="H648">
        <v>49</v>
      </c>
      <c r="I648">
        <v>1</v>
      </c>
      <c r="J648" t="s">
        <v>908</v>
      </c>
      <c r="K648" t="s">
        <v>1506</v>
      </c>
      <c r="M648" s="4">
        <v>680</v>
      </c>
      <c r="N648" s="4" t="s">
        <v>679</v>
      </c>
      <c r="O648" s="12">
        <v>46034.538148148145</v>
      </c>
      <c r="P648" s="5">
        <v>7.1669400000000003</v>
      </c>
      <c r="Q648" s="5">
        <v>-14.095096301216902</v>
      </c>
      <c r="R648" s="13">
        <f t="shared" si="40"/>
        <v>7.1669400000000003</v>
      </c>
      <c r="S648" s="42">
        <f t="shared" si="43"/>
        <v>94.751102817962661</v>
      </c>
      <c r="T648" s="13">
        <v>0</v>
      </c>
      <c r="U648" s="14">
        <f t="shared" si="41"/>
        <v>-14.095096301216902</v>
      </c>
      <c r="V648" s="15">
        <f t="shared" si="42"/>
        <v>679.07546883016937</v>
      </c>
    </row>
    <row r="649" spans="1:22" x14ac:dyDescent="0.3">
      <c r="A649">
        <v>8</v>
      </c>
      <c r="B649" s="85">
        <v>5.3</v>
      </c>
      <c r="C649" s="78">
        <v>45981</v>
      </c>
      <c r="D649" s="78">
        <v>45983</v>
      </c>
      <c r="E649">
        <v>55</v>
      </c>
      <c r="F649" t="s">
        <v>929</v>
      </c>
      <c r="G649" t="s">
        <v>15</v>
      </c>
      <c r="H649">
        <v>49</v>
      </c>
      <c r="I649">
        <v>2</v>
      </c>
      <c r="J649" t="s">
        <v>908</v>
      </c>
      <c r="K649" t="s">
        <v>1507</v>
      </c>
      <c r="M649" s="1">
        <v>681</v>
      </c>
      <c r="N649" s="1" t="s">
        <v>680</v>
      </c>
      <c r="O649" s="2">
        <v>46034.541886574072</v>
      </c>
      <c r="P649" s="3">
        <v>7.3024294999999997</v>
      </c>
      <c r="Q649" s="3">
        <v>-14.00089505708041</v>
      </c>
      <c r="R649" s="13">
        <f t="shared" si="40"/>
        <v>7.3024294999999997</v>
      </c>
      <c r="S649" s="42">
        <f t="shared" si="43"/>
        <v>94.751102817962661</v>
      </c>
      <c r="T649" s="13">
        <v>0</v>
      </c>
      <c r="U649" s="14">
        <f t="shared" si="41"/>
        <v>-14.00089505708041</v>
      </c>
      <c r="V649" s="15">
        <f t="shared" si="42"/>
        <v>691.91324837542368</v>
      </c>
    </row>
    <row r="650" spans="1:22" x14ac:dyDescent="0.3">
      <c r="A650">
        <v>8</v>
      </c>
      <c r="B650" s="85">
        <v>5.3</v>
      </c>
      <c r="C650" s="78">
        <v>45981</v>
      </c>
      <c r="D650" s="78">
        <v>45983</v>
      </c>
      <c r="E650">
        <v>54</v>
      </c>
      <c r="F650" t="s">
        <v>906</v>
      </c>
      <c r="G650" t="s">
        <v>914</v>
      </c>
      <c r="H650">
        <v>49</v>
      </c>
      <c r="I650">
        <v>3</v>
      </c>
      <c r="J650" t="s">
        <v>908</v>
      </c>
      <c r="K650" t="s">
        <v>1508</v>
      </c>
      <c r="M650" s="4">
        <v>682</v>
      </c>
      <c r="N650" s="4" t="s">
        <v>681</v>
      </c>
      <c r="O650" s="12">
        <v>46034.545636574076</v>
      </c>
      <c r="P650" s="5">
        <v>7.2735064999999999</v>
      </c>
      <c r="Q650" s="5">
        <v>-13.800627556776004</v>
      </c>
      <c r="R650" s="13">
        <f t="shared" si="40"/>
        <v>7.2735064999999999</v>
      </c>
      <c r="S650" s="42">
        <f t="shared" si="43"/>
        <v>94.751102817962661</v>
      </c>
      <c r="T650" s="13">
        <v>0</v>
      </c>
      <c r="U650" s="14">
        <f t="shared" si="41"/>
        <v>-13.800627556776004</v>
      </c>
      <c r="V650" s="15">
        <f t="shared" si="42"/>
        <v>689.17276222861972</v>
      </c>
    </row>
    <row r="651" spans="1:22" x14ac:dyDescent="0.3">
      <c r="A651">
        <v>8</v>
      </c>
      <c r="B651" s="85">
        <v>5.3</v>
      </c>
      <c r="C651" s="78">
        <v>45981</v>
      </c>
      <c r="D651" s="78">
        <v>45983</v>
      </c>
      <c r="E651">
        <v>49</v>
      </c>
      <c r="F651" t="s">
        <v>932</v>
      </c>
      <c r="G651" t="s">
        <v>918</v>
      </c>
      <c r="H651">
        <v>49</v>
      </c>
      <c r="I651">
        <v>4</v>
      </c>
      <c r="J651" t="s">
        <v>908</v>
      </c>
      <c r="K651" t="s">
        <v>1509</v>
      </c>
      <c r="M651" s="1">
        <v>683</v>
      </c>
      <c r="N651" s="1" t="s">
        <v>682</v>
      </c>
      <c r="O651" s="2">
        <v>46034.549363425926</v>
      </c>
      <c r="P651" s="3">
        <v>6.9768675</v>
      </c>
      <c r="Q651" s="3">
        <v>-13.88651525980179</v>
      </c>
      <c r="R651" s="13">
        <f t="shared" si="40"/>
        <v>6.9768675</v>
      </c>
      <c r="S651" s="42">
        <f t="shared" si="43"/>
        <v>94.751102817962661</v>
      </c>
      <c r="T651" s="13">
        <v>0</v>
      </c>
      <c r="U651" s="14">
        <f t="shared" si="41"/>
        <v>-13.88651525980179</v>
      </c>
      <c r="V651" s="15">
        <f t="shared" si="42"/>
        <v>661.06588983980214</v>
      </c>
    </row>
    <row r="652" spans="1:22" x14ac:dyDescent="0.3">
      <c r="A652">
        <v>8</v>
      </c>
      <c r="B652" s="85">
        <v>5.3</v>
      </c>
      <c r="C652" s="78">
        <v>45981</v>
      </c>
      <c r="D652" s="78">
        <v>45983</v>
      </c>
      <c r="E652">
        <v>52</v>
      </c>
      <c r="F652" t="s">
        <v>917</v>
      </c>
      <c r="G652" t="s">
        <v>922</v>
      </c>
      <c r="H652">
        <v>49</v>
      </c>
      <c r="I652">
        <v>5</v>
      </c>
      <c r="J652" t="s">
        <v>908</v>
      </c>
      <c r="K652" t="s">
        <v>1510</v>
      </c>
      <c r="M652" s="4">
        <v>684</v>
      </c>
      <c r="N652" s="4" t="s">
        <v>683</v>
      </c>
      <c r="O652" s="12">
        <v>46034.553113425929</v>
      </c>
      <c r="P652" s="5">
        <v>7.1260785000000002</v>
      </c>
      <c r="Q652" s="5">
        <v>-14.149392917137384</v>
      </c>
      <c r="R652" s="13">
        <f t="shared" si="40"/>
        <v>7.1260785000000002</v>
      </c>
      <c r="S652" s="42">
        <f t="shared" si="43"/>
        <v>94.751102817962661</v>
      </c>
      <c r="T652" s="13">
        <v>0</v>
      </c>
      <c r="U652" s="14">
        <f t="shared" si="41"/>
        <v>-14.149392917137384</v>
      </c>
      <c r="V652" s="15">
        <f t="shared" si="42"/>
        <v>675.20379664237316</v>
      </c>
    </row>
    <row r="653" spans="1:22" x14ac:dyDescent="0.3">
      <c r="A653">
        <v>8</v>
      </c>
      <c r="B653" s="85">
        <v>5.3</v>
      </c>
      <c r="C653" s="78">
        <v>45981</v>
      </c>
      <c r="D653" s="78">
        <v>45983</v>
      </c>
      <c r="E653">
        <v>50</v>
      </c>
      <c r="F653" t="s">
        <v>913</v>
      </c>
      <c r="G653" t="s">
        <v>926</v>
      </c>
      <c r="H653">
        <v>49</v>
      </c>
      <c r="I653">
        <v>6</v>
      </c>
      <c r="J653" t="s">
        <v>908</v>
      </c>
      <c r="K653" t="s">
        <v>1511</v>
      </c>
      <c r="M653" s="1">
        <v>685</v>
      </c>
      <c r="N653" s="1" t="s">
        <v>684</v>
      </c>
      <c r="O653" s="2">
        <v>46034.556840277779</v>
      </c>
      <c r="P653" s="3">
        <v>7.2715734999999997</v>
      </c>
      <c r="Q653" s="3">
        <v>-13.033859849918485</v>
      </c>
      <c r="R653" s="13">
        <f t="shared" si="40"/>
        <v>7.2715734999999997</v>
      </c>
      <c r="S653" s="42">
        <f t="shared" si="43"/>
        <v>94.751102817962661</v>
      </c>
      <c r="T653" s="13">
        <v>0</v>
      </c>
      <c r="U653" s="14">
        <f t="shared" si="41"/>
        <v>-13.033859849918485</v>
      </c>
      <c r="V653" s="15">
        <f t="shared" si="42"/>
        <v>688.98960834687261</v>
      </c>
    </row>
    <row r="654" spans="1:22" x14ac:dyDescent="0.3">
      <c r="A654">
        <v>8</v>
      </c>
      <c r="B654" s="85">
        <v>5.3</v>
      </c>
      <c r="C654" s="78">
        <v>45981</v>
      </c>
      <c r="D654" s="78">
        <v>45983</v>
      </c>
      <c r="E654">
        <v>53</v>
      </c>
      <c r="F654" t="s">
        <v>925</v>
      </c>
      <c r="G654" t="s">
        <v>930</v>
      </c>
      <c r="H654">
        <v>49</v>
      </c>
      <c r="I654">
        <v>7</v>
      </c>
      <c r="J654" t="s">
        <v>908</v>
      </c>
      <c r="K654" t="s">
        <v>1512</v>
      </c>
      <c r="M654" s="4">
        <v>686</v>
      </c>
      <c r="N654" s="4" t="s">
        <v>685</v>
      </c>
      <c r="O654" s="12">
        <v>46034.560567129629</v>
      </c>
      <c r="P654" s="5">
        <v>7.0162560000000003</v>
      </c>
      <c r="Q654" s="5">
        <v>-14.216825459606312</v>
      </c>
      <c r="R654" s="13">
        <f t="shared" si="40"/>
        <v>7.0162560000000003</v>
      </c>
      <c r="S654" s="42">
        <f t="shared" si="43"/>
        <v>94.751102817962661</v>
      </c>
      <c r="T654" s="13">
        <v>0</v>
      </c>
      <c r="U654" s="14">
        <f t="shared" si="41"/>
        <v>-14.216825459606312</v>
      </c>
      <c r="V654" s="15">
        <f t="shared" si="42"/>
        <v>664.7979936531475</v>
      </c>
    </row>
    <row r="655" spans="1:22" x14ac:dyDescent="0.3">
      <c r="A655">
        <v>8</v>
      </c>
      <c r="B655" s="85">
        <v>5.3</v>
      </c>
      <c r="C655" s="78">
        <v>45981</v>
      </c>
      <c r="D655" s="78">
        <v>45983</v>
      </c>
      <c r="E655">
        <v>51</v>
      </c>
      <c r="F655" t="s">
        <v>910</v>
      </c>
      <c r="G655" t="s">
        <v>933</v>
      </c>
      <c r="H655">
        <v>49</v>
      </c>
      <c r="I655">
        <v>8</v>
      </c>
      <c r="J655" t="s">
        <v>908</v>
      </c>
      <c r="K655" t="s">
        <v>1513</v>
      </c>
      <c r="M655" s="1">
        <v>687</v>
      </c>
      <c r="N655" s="1" t="s">
        <v>686</v>
      </c>
      <c r="O655" s="2">
        <v>46034.564317129632</v>
      </c>
      <c r="P655" s="3">
        <v>7.4703340000000003</v>
      </c>
      <c r="Q655" s="3">
        <v>-12.508756439672581</v>
      </c>
      <c r="R655" s="13">
        <f t="shared" si="40"/>
        <v>7.4703340000000003</v>
      </c>
      <c r="S655" s="42">
        <f t="shared" si="43"/>
        <v>94.751102817962661</v>
      </c>
      <c r="T655" s="13">
        <v>0</v>
      </c>
      <c r="U655" s="14">
        <f t="shared" si="41"/>
        <v>-12.508756439672581</v>
      </c>
      <c r="V655" s="15">
        <f t="shared" si="42"/>
        <v>707.82238491852229</v>
      </c>
    </row>
    <row r="656" spans="1:22" x14ac:dyDescent="0.3">
      <c r="A656">
        <v>8</v>
      </c>
      <c r="B656" s="85">
        <v>5.3</v>
      </c>
      <c r="C656" s="78">
        <v>45981</v>
      </c>
      <c r="D656" s="78">
        <v>45983</v>
      </c>
      <c r="E656">
        <v>56</v>
      </c>
      <c r="F656" t="s">
        <v>921</v>
      </c>
      <c r="G656" t="s">
        <v>907</v>
      </c>
      <c r="H656">
        <v>49</v>
      </c>
      <c r="I656">
        <v>9</v>
      </c>
      <c r="J656" t="s">
        <v>935</v>
      </c>
      <c r="K656" t="s">
        <v>1514</v>
      </c>
      <c r="M656" s="4">
        <v>688</v>
      </c>
      <c r="N656" s="4" t="s">
        <v>687</v>
      </c>
      <c r="O656" s="12">
        <v>46034.568043981482</v>
      </c>
      <c r="P656" s="5">
        <v>8.0345975000000003</v>
      </c>
      <c r="Q656" s="5">
        <v>8.6732306036435904</v>
      </c>
      <c r="R656" s="13">
        <f t="shared" si="40"/>
        <v>8.0345975000000003</v>
      </c>
      <c r="S656" s="42">
        <f t="shared" si="43"/>
        <v>94.751102817962661</v>
      </c>
      <c r="T656" s="13">
        <v>0</v>
      </c>
      <c r="U656" s="14">
        <f t="shared" si="41"/>
        <v>8.6732306036435904</v>
      </c>
      <c r="V656" s="15">
        <f t="shared" si="42"/>
        <v>761.28697382344581</v>
      </c>
    </row>
    <row r="657" spans="1:22" x14ac:dyDescent="0.3">
      <c r="A657">
        <v>8</v>
      </c>
      <c r="B657" s="85">
        <v>5.3</v>
      </c>
      <c r="C657" s="78">
        <v>45981</v>
      </c>
      <c r="D657" s="78">
        <v>45983</v>
      </c>
      <c r="E657">
        <v>55</v>
      </c>
      <c r="F657" t="s">
        <v>929</v>
      </c>
      <c r="G657" t="s">
        <v>15</v>
      </c>
      <c r="H657">
        <v>49</v>
      </c>
      <c r="I657">
        <v>10</v>
      </c>
      <c r="J657" t="s">
        <v>935</v>
      </c>
      <c r="K657" t="s">
        <v>1515</v>
      </c>
      <c r="M657" s="1">
        <v>689</v>
      </c>
      <c r="N657" s="1" t="s">
        <v>688</v>
      </c>
      <c r="O657" s="2">
        <v>46034.571793981479</v>
      </c>
      <c r="P657" s="3">
        <v>7.6681875000000002</v>
      </c>
      <c r="Q657" s="3">
        <v>17.095126711653108</v>
      </c>
      <c r="R657" s="13">
        <f t="shared" si="40"/>
        <v>7.6681875000000002</v>
      </c>
      <c r="S657" s="42">
        <f t="shared" si="43"/>
        <v>94.751102817962661</v>
      </c>
      <c r="T657" s="13">
        <v>0</v>
      </c>
      <c r="U657" s="14">
        <f t="shared" si="41"/>
        <v>17.095126711653108</v>
      </c>
      <c r="V657" s="15">
        <f t="shared" si="42"/>
        <v>726.56922223991603</v>
      </c>
    </row>
    <row r="658" spans="1:22" x14ac:dyDescent="0.3">
      <c r="A658">
        <v>8</v>
      </c>
      <c r="B658" s="85">
        <v>5.3</v>
      </c>
      <c r="C658" s="78">
        <v>45981</v>
      </c>
      <c r="D658" s="78">
        <v>45983</v>
      </c>
      <c r="E658">
        <v>54</v>
      </c>
      <c r="F658" t="s">
        <v>906</v>
      </c>
      <c r="G658" t="s">
        <v>914</v>
      </c>
      <c r="H658">
        <v>49</v>
      </c>
      <c r="I658">
        <v>11</v>
      </c>
      <c r="J658" t="s">
        <v>935</v>
      </c>
      <c r="K658" t="s">
        <v>1516</v>
      </c>
      <c r="M658" s="4">
        <v>690</v>
      </c>
      <c r="N658" s="4" t="s">
        <v>689</v>
      </c>
      <c r="O658" s="12">
        <v>46034.575543981482</v>
      </c>
      <c r="P658" s="5">
        <v>8.0487649999999995</v>
      </c>
      <c r="Q658" s="5">
        <v>16.26612091958599</v>
      </c>
      <c r="R658" s="13">
        <f t="shared" si="40"/>
        <v>8.0487649999999995</v>
      </c>
      <c r="S658" s="42">
        <f t="shared" si="43"/>
        <v>94.751102817962661</v>
      </c>
      <c r="T658" s="13">
        <v>0</v>
      </c>
      <c r="U658" s="14">
        <f t="shared" si="41"/>
        <v>16.26612091958599</v>
      </c>
      <c r="V658" s="15">
        <f t="shared" si="42"/>
        <v>762.62936007261919</v>
      </c>
    </row>
    <row r="659" spans="1:22" x14ac:dyDescent="0.3">
      <c r="A659">
        <v>8</v>
      </c>
      <c r="B659" s="85">
        <v>5.3</v>
      </c>
      <c r="C659" s="78">
        <v>45981</v>
      </c>
      <c r="D659" s="78">
        <v>45983</v>
      </c>
      <c r="E659">
        <v>49</v>
      </c>
      <c r="F659" t="s">
        <v>932</v>
      </c>
      <c r="G659" t="s">
        <v>918</v>
      </c>
      <c r="H659">
        <v>49</v>
      </c>
      <c r="I659">
        <v>12</v>
      </c>
      <c r="J659" t="s">
        <v>935</v>
      </c>
      <c r="K659" t="s">
        <v>1517</v>
      </c>
      <c r="M659" s="1">
        <v>691</v>
      </c>
      <c r="N659" s="1" t="s">
        <v>690</v>
      </c>
      <c r="O659" s="2">
        <v>46034.579270833332</v>
      </c>
      <c r="P659" s="3">
        <v>7.6543694999999996</v>
      </c>
      <c r="Q659" s="3">
        <v>9.3858398374072749</v>
      </c>
      <c r="R659" s="13">
        <f t="shared" si="40"/>
        <v>7.6543694999999996</v>
      </c>
      <c r="S659" s="42">
        <f t="shared" si="43"/>
        <v>94.751102817962661</v>
      </c>
      <c r="T659" s="13">
        <v>0</v>
      </c>
      <c r="U659" s="14">
        <f t="shared" si="41"/>
        <v>9.3858398374072749</v>
      </c>
      <c r="V659" s="15">
        <f t="shared" si="42"/>
        <v>725.2599515011774</v>
      </c>
    </row>
    <row r="660" spans="1:22" x14ac:dyDescent="0.3">
      <c r="A660">
        <v>8</v>
      </c>
      <c r="B660" s="85">
        <v>5.3</v>
      </c>
      <c r="C660" s="78">
        <v>45981</v>
      </c>
      <c r="D660" s="78">
        <v>45983</v>
      </c>
      <c r="E660">
        <v>52</v>
      </c>
      <c r="F660" t="s">
        <v>917</v>
      </c>
      <c r="G660" t="s">
        <v>922</v>
      </c>
      <c r="H660">
        <v>49</v>
      </c>
      <c r="I660">
        <v>13</v>
      </c>
      <c r="J660" t="s">
        <v>935</v>
      </c>
      <c r="K660" t="s">
        <v>1518</v>
      </c>
      <c r="M660" s="4">
        <v>692</v>
      </c>
      <c r="N660" s="4" t="s">
        <v>691</v>
      </c>
      <c r="O660" s="12">
        <v>46034.583020833335</v>
      </c>
      <c r="P660" s="5">
        <v>7.5950769999999999</v>
      </c>
      <c r="Q660" s="5">
        <v>10.878077291983113</v>
      </c>
      <c r="R660" s="13">
        <f t="shared" si="40"/>
        <v>7.5950769999999999</v>
      </c>
      <c r="S660" s="42">
        <f t="shared" si="43"/>
        <v>94.751102817962661</v>
      </c>
      <c r="T660" s="13">
        <v>0</v>
      </c>
      <c r="U660" s="14">
        <f t="shared" si="41"/>
        <v>10.878077291983113</v>
      </c>
      <c r="V660" s="15">
        <f t="shared" si="42"/>
        <v>719.64192173734341</v>
      </c>
    </row>
    <row r="661" spans="1:22" x14ac:dyDescent="0.3">
      <c r="A661">
        <v>8</v>
      </c>
      <c r="B661" s="85">
        <v>5.3</v>
      </c>
      <c r="C661" s="78">
        <v>45981</v>
      </c>
      <c r="D661" s="78">
        <v>45983</v>
      </c>
      <c r="E661">
        <v>50</v>
      </c>
      <c r="F661" t="s">
        <v>913</v>
      </c>
      <c r="G661" t="s">
        <v>926</v>
      </c>
      <c r="H661">
        <v>49</v>
      </c>
      <c r="I661">
        <v>14</v>
      </c>
      <c r="J661" t="s">
        <v>935</v>
      </c>
      <c r="K661" t="s">
        <v>1519</v>
      </c>
      <c r="M661" s="1">
        <v>693</v>
      </c>
      <c r="N661" s="1" t="s">
        <v>692</v>
      </c>
      <c r="O661" s="2">
        <v>46034.586759259262</v>
      </c>
      <c r="P661" s="3">
        <v>7.3757929999999998</v>
      </c>
      <c r="Q661" s="3">
        <v>20.19174090871465</v>
      </c>
      <c r="R661" s="13">
        <f t="shared" si="40"/>
        <v>7.3757929999999998</v>
      </c>
      <c r="S661" s="42">
        <f t="shared" si="43"/>
        <v>94.751102817962661</v>
      </c>
      <c r="T661" s="13">
        <v>0</v>
      </c>
      <c r="U661" s="14">
        <f t="shared" si="41"/>
        <v>20.19174090871465</v>
      </c>
      <c r="V661" s="15">
        <f t="shared" si="42"/>
        <v>698.86452090700925</v>
      </c>
    </row>
    <row r="662" spans="1:22" x14ac:dyDescent="0.3">
      <c r="A662">
        <v>8</v>
      </c>
      <c r="B662" s="85">
        <v>5.3</v>
      </c>
      <c r="C662" s="78">
        <v>45981</v>
      </c>
      <c r="D662" s="78">
        <v>45983</v>
      </c>
      <c r="E662">
        <v>53</v>
      </c>
      <c r="F662" t="s">
        <v>925</v>
      </c>
      <c r="G662" t="s">
        <v>930</v>
      </c>
      <c r="H662">
        <v>49</v>
      </c>
      <c r="I662">
        <v>15</v>
      </c>
      <c r="J662" t="s">
        <v>935</v>
      </c>
      <c r="K662" t="s">
        <v>1520</v>
      </c>
      <c r="M662" s="4">
        <v>694</v>
      </c>
      <c r="N662" s="4" t="s">
        <v>693</v>
      </c>
      <c r="O662" s="12">
        <v>46034.590497685182</v>
      </c>
      <c r="P662" s="5">
        <v>7.7299175</v>
      </c>
      <c r="Q662" s="5">
        <v>9.4384424408567362</v>
      </c>
      <c r="R662" s="13">
        <f t="shared" si="40"/>
        <v>7.7299175</v>
      </c>
      <c r="S662" s="42">
        <f t="shared" si="43"/>
        <v>94.751102817962661</v>
      </c>
      <c r="T662" s="13">
        <v>0</v>
      </c>
      <c r="U662" s="14">
        <f t="shared" si="41"/>
        <v>9.4384424408567362</v>
      </c>
      <c r="V662" s="15">
        <f t="shared" si="42"/>
        <v>732.41820781686886</v>
      </c>
    </row>
    <row r="663" spans="1:22" x14ac:dyDescent="0.3">
      <c r="A663">
        <v>8</v>
      </c>
      <c r="B663" s="85">
        <v>5.3</v>
      </c>
      <c r="C663" s="78">
        <v>45981</v>
      </c>
      <c r="D663" s="78">
        <v>45983</v>
      </c>
      <c r="E663">
        <v>51</v>
      </c>
      <c r="F663" t="s">
        <v>910</v>
      </c>
      <c r="G663" t="s">
        <v>933</v>
      </c>
      <c r="H663">
        <v>49</v>
      </c>
      <c r="I663">
        <v>16</v>
      </c>
      <c r="J663" t="s">
        <v>935</v>
      </c>
      <c r="K663" t="s">
        <v>1521</v>
      </c>
      <c r="M663" s="1">
        <v>695</v>
      </c>
      <c r="N663" s="1" t="s">
        <v>694</v>
      </c>
      <c r="O663" s="2">
        <v>46034.594236111108</v>
      </c>
      <c r="P663" s="3">
        <v>7.6985270000000003</v>
      </c>
      <c r="Q663" s="3">
        <v>16.366122736822376</v>
      </c>
      <c r="R663" s="13">
        <f t="shared" si="40"/>
        <v>7.6985270000000003</v>
      </c>
      <c r="S663" s="42">
        <f t="shared" si="43"/>
        <v>94.751102817962661</v>
      </c>
      <c r="T663" s="13">
        <v>0</v>
      </c>
      <c r="U663" s="14">
        <f t="shared" si="41"/>
        <v>16.366122736822376</v>
      </c>
      <c r="V663" s="15">
        <f t="shared" si="42"/>
        <v>729.44392332386167</v>
      </c>
    </row>
    <row r="664" spans="1:22" x14ac:dyDescent="0.3">
      <c r="A664">
        <v>8</v>
      </c>
      <c r="B664" s="85">
        <v>5.3</v>
      </c>
      <c r="C664" s="78">
        <v>45981</v>
      </c>
      <c r="D664" s="78">
        <v>45983</v>
      </c>
      <c r="E664">
        <v>56</v>
      </c>
      <c r="F664" t="s">
        <v>921</v>
      </c>
      <c r="G664" t="s">
        <v>907</v>
      </c>
      <c r="H664">
        <v>49</v>
      </c>
      <c r="I664">
        <v>17</v>
      </c>
      <c r="J664" t="s">
        <v>24</v>
      </c>
      <c r="K664" t="s">
        <v>1522</v>
      </c>
      <c r="M664" s="4">
        <v>696</v>
      </c>
      <c r="N664" s="4" t="s">
        <v>695</v>
      </c>
      <c r="O664" s="12">
        <v>46034.597974537035</v>
      </c>
      <c r="P664" s="5">
        <v>9.1616099999999996</v>
      </c>
      <c r="Q664" s="5">
        <v>18.086795620537107</v>
      </c>
      <c r="R664" s="13">
        <f t="shared" si="40"/>
        <v>9.1616099999999996</v>
      </c>
      <c r="S664" s="42">
        <f t="shared" si="43"/>
        <v>94.751102817962661</v>
      </c>
      <c r="T664" s="13">
        <v>0</v>
      </c>
      <c r="U664" s="14">
        <f t="shared" si="41"/>
        <v>18.086795620537107</v>
      </c>
      <c r="V664" s="15">
        <f t="shared" si="42"/>
        <v>868.07265108807485</v>
      </c>
    </row>
    <row r="665" spans="1:22" x14ac:dyDescent="0.3">
      <c r="A665">
        <v>8</v>
      </c>
      <c r="B665" s="85">
        <v>5.3</v>
      </c>
      <c r="C665" s="78">
        <v>45981</v>
      </c>
      <c r="D665" s="78">
        <v>45983</v>
      </c>
      <c r="E665">
        <v>55</v>
      </c>
      <c r="F665" t="s">
        <v>929</v>
      </c>
      <c r="G665" t="s">
        <v>15</v>
      </c>
      <c r="H665">
        <v>49</v>
      </c>
      <c r="I665">
        <v>18</v>
      </c>
      <c r="J665" t="s">
        <v>24</v>
      </c>
      <c r="K665" t="s">
        <v>1523</v>
      </c>
      <c r="M665" s="1">
        <v>697</v>
      </c>
      <c r="N665" s="1" t="s">
        <v>696</v>
      </c>
      <c r="O665" s="2">
        <v>46034.601724537039</v>
      </c>
      <c r="P665" s="3">
        <v>7.7875969999999999</v>
      </c>
      <c r="Q665" s="3">
        <v>37.337260861492346</v>
      </c>
      <c r="R665" s="13">
        <f t="shared" si="40"/>
        <v>7.7875969999999999</v>
      </c>
      <c r="S665" s="42">
        <f t="shared" si="43"/>
        <v>94.751102817962661</v>
      </c>
      <c r="T665" s="13">
        <v>0</v>
      </c>
      <c r="U665" s="14">
        <f t="shared" si="41"/>
        <v>37.337260861492346</v>
      </c>
      <c r="V665" s="15">
        <f t="shared" si="42"/>
        <v>737.8834040518575</v>
      </c>
    </row>
    <row r="666" spans="1:22" x14ac:dyDescent="0.3">
      <c r="A666">
        <v>9</v>
      </c>
      <c r="B666" s="85">
        <v>5.3</v>
      </c>
      <c r="C666" s="78">
        <v>45981</v>
      </c>
      <c r="D666" s="78">
        <v>45983</v>
      </c>
      <c r="E666">
        <v>54</v>
      </c>
      <c r="F666" t="s">
        <v>906</v>
      </c>
      <c r="G666" t="s">
        <v>914</v>
      </c>
      <c r="H666">
        <v>49</v>
      </c>
      <c r="I666">
        <v>19</v>
      </c>
      <c r="J666" t="s">
        <v>24</v>
      </c>
      <c r="K666" t="s">
        <v>1524</v>
      </c>
      <c r="M666" s="4">
        <v>698</v>
      </c>
      <c r="N666" s="4" t="s">
        <v>697</v>
      </c>
      <c r="O666" s="12">
        <v>46034.605451388888</v>
      </c>
      <c r="P666" s="5">
        <v>8.5504929999999995</v>
      </c>
      <c r="Q666" s="5">
        <v>37.329516284318814</v>
      </c>
      <c r="R666" s="13">
        <f t="shared" si="40"/>
        <v>8.5504929999999995</v>
      </c>
      <c r="S666" s="42">
        <f t="shared" si="43"/>
        <v>94.751102817962661</v>
      </c>
      <c r="T666" s="13">
        <v>0</v>
      </c>
      <c r="U666" s="14">
        <f t="shared" si="41"/>
        <v>37.329516284318814</v>
      </c>
      <c r="V666" s="15">
        <f t="shared" si="42"/>
        <v>810.16864138726999</v>
      </c>
    </row>
    <row r="667" spans="1:22" x14ac:dyDescent="0.3">
      <c r="A667">
        <v>9</v>
      </c>
      <c r="B667" s="85">
        <v>5.3</v>
      </c>
      <c r="C667" s="78">
        <v>45981</v>
      </c>
      <c r="D667" s="78">
        <v>45983</v>
      </c>
      <c r="E667">
        <v>49</v>
      </c>
      <c r="F667" t="s">
        <v>932</v>
      </c>
      <c r="G667" t="s">
        <v>918</v>
      </c>
      <c r="H667">
        <v>49</v>
      </c>
      <c r="I667">
        <v>20</v>
      </c>
      <c r="J667" t="s">
        <v>24</v>
      </c>
      <c r="K667" t="s">
        <v>1525</v>
      </c>
      <c r="M667" s="1">
        <v>699</v>
      </c>
      <c r="N667" s="1" t="s">
        <v>698</v>
      </c>
      <c r="O667" s="2">
        <v>46034.609212962961</v>
      </c>
      <c r="P667" s="3">
        <v>7.3110710000000001</v>
      </c>
      <c r="Q667" s="3">
        <v>31.129943748133265</v>
      </c>
      <c r="R667" s="13">
        <f t="shared" si="40"/>
        <v>7.3110710000000001</v>
      </c>
      <c r="S667" s="42">
        <f t="shared" si="43"/>
        <v>94.751102817962661</v>
      </c>
      <c r="T667" s="13">
        <v>0</v>
      </c>
      <c r="U667" s="14">
        <f t="shared" si="41"/>
        <v>31.129943748133265</v>
      </c>
      <c r="V667" s="15">
        <f t="shared" si="42"/>
        <v>692.73204003042508</v>
      </c>
    </row>
    <row r="668" spans="1:22" x14ac:dyDescent="0.3">
      <c r="A668">
        <v>9</v>
      </c>
      <c r="B668" s="85">
        <v>5.3</v>
      </c>
      <c r="C668" s="78">
        <v>45981</v>
      </c>
      <c r="D668" s="78">
        <v>45983</v>
      </c>
      <c r="E668">
        <v>52</v>
      </c>
      <c r="F668" t="s">
        <v>917</v>
      </c>
      <c r="G668" t="s">
        <v>922</v>
      </c>
      <c r="H668">
        <v>49</v>
      </c>
      <c r="I668">
        <v>21</v>
      </c>
      <c r="J668" t="s">
        <v>24</v>
      </c>
      <c r="K668" t="s">
        <v>1526</v>
      </c>
      <c r="M668" s="4">
        <v>700</v>
      </c>
      <c r="N668" s="4" t="s">
        <v>699</v>
      </c>
      <c r="O668" s="12">
        <v>46034.612939814811</v>
      </c>
      <c r="P668" s="5">
        <v>7.608047</v>
      </c>
      <c r="Q668" s="5">
        <v>27.018181861153721</v>
      </c>
      <c r="R668" s="13">
        <f t="shared" si="40"/>
        <v>7.608047</v>
      </c>
      <c r="S668" s="42">
        <f t="shared" si="43"/>
        <v>94.751102817962661</v>
      </c>
      <c r="T668" s="13">
        <v>0</v>
      </c>
      <c r="U668" s="14">
        <f t="shared" si="41"/>
        <v>27.018181861153721</v>
      </c>
      <c r="V668" s="15">
        <f t="shared" si="42"/>
        <v>720.87084354089234</v>
      </c>
    </row>
    <row r="669" spans="1:22" x14ac:dyDescent="0.3">
      <c r="A669">
        <v>9</v>
      </c>
      <c r="B669" s="85">
        <v>5.3</v>
      </c>
      <c r="C669" s="78">
        <v>45981</v>
      </c>
      <c r="D669" s="78">
        <v>45983</v>
      </c>
      <c r="E669">
        <v>50</v>
      </c>
      <c r="F669" t="s">
        <v>913</v>
      </c>
      <c r="G669" t="s">
        <v>926</v>
      </c>
      <c r="H669">
        <v>49</v>
      </c>
      <c r="I669">
        <v>22</v>
      </c>
      <c r="J669" t="s">
        <v>24</v>
      </c>
      <c r="K669" t="s">
        <v>1527</v>
      </c>
      <c r="M669" s="1">
        <v>701</v>
      </c>
      <c r="N669" s="1" t="s">
        <v>700</v>
      </c>
      <c r="O669" s="2">
        <v>46034.616655092592</v>
      </c>
      <c r="P669" s="3">
        <v>7.6806654999999999</v>
      </c>
      <c r="Q669" s="3">
        <v>42.354063125550731</v>
      </c>
      <c r="R669" s="13">
        <f t="shared" si="40"/>
        <v>7.6806654999999999</v>
      </c>
      <c r="S669" s="42">
        <f t="shared" si="43"/>
        <v>94.751102817962661</v>
      </c>
      <c r="T669" s="13">
        <v>0</v>
      </c>
      <c r="U669" s="14">
        <f t="shared" si="41"/>
        <v>42.354063125550731</v>
      </c>
      <c r="V669" s="15">
        <f t="shared" si="42"/>
        <v>727.75152650087853</v>
      </c>
    </row>
    <row r="670" spans="1:22" x14ac:dyDescent="0.3">
      <c r="A670">
        <v>9</v>
      </c>
      <c r="B670" s="85">
        <v>5.3</v>
      </c>
      <c r="C670" s="78">
        <v>45981</v>
      </c>
      <c r="D670" s="78">
        <v>45983</v>
      </c>
      <c r="E670">
        <v>53</v>
      </c>
      <c r="F670" t="s">
        <v>925</v>
      </c>
      <c r="G670" t="s">
        <v>930</v>
      </c>
      <c r="H670">
        <v>49</v>
      </c>
      <c r="I670">
        <v>23</v>
      </c>
      <c r="J670" t="s">
        <v>24</v>
      </c>
      <c r="K670" t="s">
        <v>1528</v>
      </c>
      <c r="M670" s="4">
        <v>702</v>
      </c>
      <c r="N670" s="4" t="s">
        <v>701</v>
      </c>
      <c r="O670" s="12">
        <v>46034.620428240742</v>
      </c>
      <c r="P670" s="5">
        <v>8.3257899999999996</v>
      </c>
      <c r="Q670" s="5">
        <v>22.010711465427189</v>
      </c>
      <c r="R670" s="13">
        <f t="shared" si="40"/>
        <v>8.3257899999999996</v>
      </c>
      <c r="S670" s="42">
        <f t="shared" si="43"/>
        <v>94.751102817962661</v>
      </c>
      <c r="T670" s="13">
        <v>0</v>
      </c>
      <c r="U670" s="14">
        <f t="shared" si="41"/>
        <v>22.010711465427189</v>
      </c>
      <c r="V670" s="15">
        <f t="shared" si="42"/>
        <v>788.87778433076528</v>
      </c>
    </row>
    <row r="671" spans="1:22" x14ac:dyDescent="0.3">
      <c r="A671">
        <v>9</v>
      </c>
      <c r="B671" s="85">
        <v>5.3</v>
      </c>
      <c r="C671" s="78">
        <v>45981</v>
      </c>
      <c r="D671" s="78">
        <v>45983</v>
      </c>
      <c r="E671">
        <v>51</v>
      </c>
      <c r="F671" t="s">
        <v>910</v>
      </c>
      <c r="G671" t="s">
        <v>933</v>
      </c>
      <c r="H671">
        <v>49</v>
      </c>
      <c r="I671">
        <v>24</v>
      </c>
      <c r="J671" t="s">
        <v>24</v>
      </c>
      <c r="K671" t="s">
        <v>1529</v>
      </c>
      <c r="M671" s="1">
        <v>703</v>
      </c>
      <c r="N671" s="1" t="s">
        <v>702</v>
      </c>
      <c r="O671" s="2">
        <v>46034.624166666668</v>
      </c>
      <c r="P671" s="3">
        <v>7.9930205000000001</v>
      </c>
      <c r="Q671" s="3">
        <v>29.371760791987345</v>
      </c>
      <c r="R671" s="13">
        <f t="shared" si="40"/>
        <v>7.9930205000000001</v>
      </c>
      <c r="S671" s="42">
        <f t="shared" si="43"/>
        <v>94.751102817962661</v>
      </c>
      <c r="T671" s="13">
        <v>0</v>
      </c>
      <c r="U671" s="14">
        <f t="shared" si="41"/>
        <v>29.371760791987345</v>
      </c>
      <c r="V671" s="15">
        <f t="shared" si="42"/>
        <v>757.34750722158333</v>
      </c>
    </row>
    <row r="672" spans="1:22" x14ac:dyDescent="0.3">
      <c r="A672">
        <v>9</v>
      </c>
      <c r="B672" s="85">
        <v>5.3</v>
      </c>
      <c r="C672" s="78">
        <v>45981</v>
      </c>
      <c r="D672" s="78">
        <v>45983</v>
      </c>
      <c r="E672">
        <v>56</v>
      </c>
      <c r="F672" t="s">
        <v>921</v>
      </c>
      <c r="G672" t="s">
        <v>907</v>
      </c>
      <c r="H672">
        <v>49</v>
      </c>
      <c r="I672">
        <v>25</v>
      </c>
      <c r="J672" t="s">
        <v>25</v>
      </c>
      <c r="K672" t="s">
        <v>1530</v>
      </c>
      <c r="M672" s="4">
        <v>704</v>
      </c>
      <c r="N672" s="4" t="s">
        <v>703</v>
      </c>
      <c r="O672" s="12">
        <v>46034.627916666665</v>
      </c>
      <c r="P672" s="5">
        <v>8.8444590000000005</v>
      </c>
      <c r="Q672" s="5">
        <v>33.370097790659933</v>
      </c>
      <c r="R672" s="13">
        <f t="shared" si="40"/>
        <v>8.8444590000000005</v>
      </c>
      <c r="S672" s="42">
        <f t="shared" si="43"/>
        <v>94.751102817962661</v>
      </c>
      <c r="T672" s="13">
        <v>0</v>
      </c>
      <c r="U672" s="14">
        <f t="shared" si="41"/>
        <v>33.370097790659933</v>
      </c>
      <c r="V672" s="15">
        <f t="shared" si="42"/>
        <v>838.02224407825531</v>
      </c>
    </row>
    <row r="673" spans="1:22" x14ac:dyDescent="0.3">
      <c r="A673">
        <v>9</v>
      </c>
      <c r="B673" s="85">
        <v>5.3</v>
      </c>
      <c r="C673" s="78">
        <v>45981</v>
      </c>
      <c r="D673" s="78">
        <v>45983</v>
      </c>
      <c r="E673">
        <v>55</v>
      </c>
      <c r="F673" t="s">
        <v>929</v>
      </c>
      <c r="G673" t="s">
        <v>15</v>
      </c>
      <c r="H673">
        <v>49</v>
      </c>
      <c r="I673">
        <v>26</v>
      </c>
      <c r="J673" t="s">
        <v>25</v>
      </c>
      <c r="K673" t="s">
        <v>28</v>
      </c>
      <c r="M673" s="1">
        <v>705</v>
      </c>
      <c r="N673" s="1" t="s">
        <v>704</v>
      </c>
      <c r="O673" s="2">
        <v>46034.631643518522</v>
      </c>
      <c r="P673" s="3">
        <v>8.6064360000000004</v>
      </c>
      <c r="Q673" s="3">
        <v>46.769578278312174</v>
      </c>
      <c r="R673" s="13">
        <f t="shared" si="40"/>
        <v>8.6064360000000004</v>
      </c>
      <c r="S673" s="42">
        <f t="shared" si="43"/>
        <v>94.751102817962661</v>
      </c>
      <c r="T673" s="13">
        <v>0</v>
      </c>
      <c r="U673" s="14">
        <f t="shared" si="41"/>
        <v>46.769578278312174</v>
      </c>
      <c r="V673" s="15">
        <f t="shared" si="42"/>
        <v>815.46930233221531</v>
      </c>
    </row>
    <row r="674" spans="1:22" x14ac:dyDescent="0.3">
      <c r="A674">
        <v>9</v>
      </c>
      <c r="B674" s="85">
        <v>5.3</v>
      </c>
      <c r="C674" s="78">
        <v>45981</v>
      </c>
      <c r="D674" s="78">
        <v>45983</v>
      </c>
      <c r="E674">
        <v>54</v>
      </c>
      <c r="F674" t="s">
        <v>906</v>
      </c>
      <c r="G674" t="s">
        <v>914</v>
      </c>
      <c r="H674">
        <v>49</v>
      </c>
      <c r="I674">
        <v>27</v>
      </c>
      <c r="J674" t="s">
        <v>25</v>
      </c>
      <c r="K674" t="s">
        <v>1531</v>
      </c>
      <c r="M674" s="4">
        <v>706</v>
      </c>
      <c r="N674" s="4" t="s">
        <v>705</v>
      </c>
      <c r="O674" s="12">
        <v>46034.635393518518</v>
      </c>
      <c r="P674" s="5">
        <v>9.2259340000000005</v>
      </c>
      <c r="Q674" s="5">
        <v>49.768424313026692</v>
      </c>
      <c r="R674" s="13">
        <f t="shared" si="40"/>
        <v>9.2259340000000005</v>
      </c>
      <c r="S674" s="42">
        <f t="shared" si="43"/>
        <v>94.751102817962661</v>
      </c>
      <c r="T674" s="13">
        <v>0</v>
      </c>
      <c r="U674" s="14">
        <f t="shared" si="41"/>
        <v>49.768424313026692</v>
      </c>
      <c r="V674" s="15">
        <f t="shared" si="42"/>
        <v>874.16742102573755</v>
      </c>
    </row>
    <row r="675" spans="1:22" x14ac:dyDescent="0.3">
      <c r="A675">
        <v>9</v>
      </c>
      <c r="B675" s="85">
        <v>5.3</v>
      </c>
      <c r="C675" s="78">
        <v>45981</v>
      </c>
      <c r="D675" s="78">
        <v>45983</v>
      </c>
      <c r="E675">
        <v>49</v>
      </c>
      <c r="F675" t="s">
        <v>932</v>
      </c>
      <c r="G675" t="s">
        <v>918</v>
      </c>
      <c r="H675">
        <v>49</v>
      </c>
      <c r="I675">
        <v>28</v>
      </c>
      <c r="J675" t="s">
        <v>25</v>
      </c>
      <c r="K675" t="s">
        <v>1532</v>
      </c>
      <c r="M675" s="1">
        <v>707</v>
      </c>
      <c r="N675" s="1" t="s">
        <v>706</v>
      </c>
      <c r="O675" s="2">
        <v>46034.639120370368</v>
      </c>
      <c r="P675" s="3">
        <v>7.830006</v>
      </c>
      <c r="Q675" s="3">
        <v>42.061920401613698</v>
      </c>
      <c r="R675" s="13">
        <f t="shared" si="40"/>
        <v>7.830006</v>
      </c>
      <c r="S675" s="42">
        <f t="shared" si="43"/>
        <v>94.751102817962661</v>
      </c>
      <c r="T675" s="13">
        <v>0</v>
      </c>
      <c r="U675" s="14">
        <f t="shared" si="41"/>
        <v>42.061920401613698</v>
      </c>
      <c r="V675" s="15">
        <f t="shared" si="42"/>
        <v>741.90170357126453</v>
      </c>
    </row>
    <row r="676" spans="1:22" x14ac:dyDescent="0.3">
      <c r="A676">
        <v>9</v>
      </c>
      <c r="B676" s="85">
        <v>5.3</v>
      </c>
      <c r="C676" s="78">
        <v>45981</v>
      </c>
      <c r="D676" s="78">
        <v>45983</v>
      </c>
      <c r="E676">
        <v>52</v>
      </c>
      <c r="F676" t="s">
        <v>917</v>
      </c>
      <c r="G676" t="s">
        <v>922</v>
      </c>
      <c r="H676">
        <v>49</v>
      </c>
      <c r="I676">
        <v>29</v>
      </c>
      <c r="J676" t="s">
        <v>25</v>
      </c>
      <c r="K676" t="s">
        <v>1533</v>
      </c>
      <c r="M676" s="4">
        <v>708</v>
      </c>
      <c r="N676" s="4" t="s">
        <v>707</v>
      </c>
      <c r="O676" s="12">
        <v>46034.642858796295</v>
      </c>
      <c r="P676" s="5">
        <v>7.2991105000000003</v>
      </c>
      <c r="Q676" s="5">
        <v>43.26175652704454</v>
      </c>
      <c r="R676" s="13">
        <f t="shared" si="40"/>
        <v>7.2991105000000003</v>
      </c>
      <c r="S676" s="42">
        <f t="shared" si="43"/>
        <v>94.751102817962661</v>
      </c>
      <c r="T676" s="13">
        <v>0</v>
      </c>
      <c r="U676" s="14">
        <f t="shared" si="41"/>
        <v>43.26175652704454</v>
      </c>
      <c r="V676" s="15">
        <f t="shared" si="42"/>
        <v>691.5987694651709</v>
      </c>
    </row>
    <row r="677" spans="1:22" x14ac:dyDescent="0.3">
      <c r="A677">
        <v>9</v>
      </c>
      <c r="B677" s="85">
        <v>5.3</v>
      </c>
      <c r="C677" s="78">
        <v>45981</v>
      </c>
      <c r="D677" s="78">
        <v>45983</v>
      </c>
      <c r="E677">
        <v>50</v>
      </c>
      <c r="F677" t="s">
        <v>913</v>
      </c>
      <c r="G677" t="s">
        <v>926</v>
      </c>
      <c r="H677">
        <v>49</v>
      </c>
      <c r="I677">
        <v>30</v>
      </c>
      <c r="J677" t="s">
        <v>25</v>
      </c>
      <c r="K677" t="s">
        <v>1534</v>
      </c>
      <c r="M677" s="1">
        <v>709</v>
      </c>
      <c r="N677" s="1" t="s">
        <v>708</v>
      </c>
      <c r="O677" s="2">
        <v>46034.646608796298</v>
      </c>
      <c r="P677" s="3">
        <v>7.762664</v>
      </c>
      <c r="Q677" s="3">
        <v>64.203736401763052</v>
      </c>
      <c r="R677" s="13">
        <f t="shared" si="40"/>
        <v>7.762664</v>
      </c>
      <c r="S677" s="42">
        <f t="shared" si="43"/>
        <v>94.751102817962661</v>
      </c>
      <c r="T677" s="13">
        <v>0</v>
      </c>
      <c r="U677" s="14">
        <f t="shared" si="41"/>
        <v>64.203736401763052</v>
      </c>
      <c r="V677" s="15">
        <f t="shared" si="42"/>
        <v>735.52097480529733</v>
      </c>
    </row>
    <row r="678" spans="1:22" x14ac:dyDescent="0.3">
      <c r="A678">
        <v>9</v>
      </c>
      <c r="B678" s="85">
        <v>5.3</v>
      </c>
      <c r="C678" s="78">
        <v>45981</v>
      </c>
      <c r="D678" s="78">
        <v>45983</v>
      </c>
      <c r="E678">
        <v>53</v>
      </c>
      <c r="F678" t="s">
        <v>925</v>
      </c>
      <c r="G678" t="s">
        <v>930</v>
      </c>
      <c r="H678">
        <v>49</v>
      </c>
      <c r="I678">
        <v>31</v>
      </c>
      <c r="J678" t="s">
        <v>25</v>
      </c>
      <c r="K678" t="s">
        <v>1535</v>
      </c>
      <c r="M678" s="4">
        <v>710</v>
      </c>
      <c r="N678" s="4" t="s">
        <v>709</v>
      </c>
      <c r="O678" s="12">
        <v>46034.650335648148</v>
      </c>
      <c r="P678" s="5">
        <v>8.1229484999999997</v>
      </c>
      <c r="Q678" s="5">
        <v>36.680068851506661</v>
      </c>
      <c r="R678" s="13">
        <f t="shared" si="40"/>
        <v>8.1229484999999997</v>
      </c>
      <c r="S678" s="42">
        <f t="shared" si="43"/>
        <v>94.751102817962661</v>
      </c>
      <c r="T678" s="13">
        <v>0</v>
      </c>
      <c r="U678" s="14">
        <f t="shared" si="41"/>
        <v>36.680068851506661</v>
      </c>
      <c r="V678" s="15">
        <f t="shared" si="42"/>
        <v>769.65832850851552</v>
      </c>
    </row>
    <row r="679" spans="1:22" x14ac:dyDescent="0.3">
      <c r="A679">
        <v>9</v>
      </c>
      <c r="B679" s="85">
        <v>5.3</v>
      </c>
      <c r="C679" s="78">
        <v>45981</v>
      </c>
      <c r="D679" s="78">
        <v>45983</v>
      </c>
      <c r="E679">
        <v>51</v>
      </c>
      <c r="F679" t="s">
        <v>910</v>
      </c>
      <c r="G679" t="s">
        <v>933</v>
      </c>
      <c r="H679">
        <v>49</v>
      </c>
      <c r="I679">
        <v>32</v>
      </c>
      <c r="J679" t="s">
        <v>25</v>
      </c>
      <c r="K679" t="s">
        <v>1536</v>
      </c>
      <c r="M679" s="1">
        <v>711</v>
      </c>
      <c r="N679" s="1" t="s">
        <v>710</v>
      </c>
      <c r="O679" s="2">
        <v>46034.654074074075</v>
      </c>
      <c r="P679" s="3">
        <v>7.9740010000000003</v>
      </c>
      <c r="Q679" s="3">
        <v>48.766897009550853</v>
      </c>
      <c r="R679" s="13">
        <f t="shared" si="40"/>
        <v>7.9740010000000003</v>
      </c>
      <c r="S679" s="42">
        <f t="shared" si="43"/>
        <v>94.751102817962661</v>
      </c>
      <c r="T679" s="13">
        <v>0</v>
      </c>
      <c r="U679" s="14">
        <f t="shared" si="41"/>
        <v>48.766897009550853</v>
      </c>
      <c r="V679" s="15">
        <f t="shared" si="42"/>
        <v>755.54538862153709</v>
      </c>
    </row>
    <row r="680" spans="1:22" x14ac:dyDescent="0.3">
      <c r="M680" s="4">
        <v>712</v>
      </c>
      <c r="N680" s="4" t="s">
        <v>711</v>
      </c>
      <c r="O680" s="12">
        <v>46034.657847222225</v>
      </c>
      <c r="P680" s="5">
        <v>5.2711335000000004</v>
      </c>
      <c r="Q680" s="5">
        <v>-13.115206820617175</v>
      </c>
      <c r="R680" s="13">
        <f t="shared" si="40"/>
        <v>5.2711335000000004</v>
      </c>
      <c r="S680" s="42">
        <f t="shared" si="43"/>
        <v>94.751102817962661</v>
      </c>
      <c r="T680" s="13">
        <v>0</v>
      </c>
      <c r="U680" s="14">
        <f t="shared" si="41"/>
        <v>-13.115206820617175</v>
      </c>
      <c r="V680" s="15">
        <f t="shared" si="42"/>
        <v>499.44571222570744</v>
      </c>
    </row>
    <row r="681" spans="1:22" x14ac:dyDescent="0.3">
      <c r="M681" s="1">
        <v>713</v>
      </c>
      <c r="N681" s="1" t="s">
        <v>712</v>
      </c>
      <c r="O681" s="2">
        <v>46034.661597222221</v>
      </c>
      <c r="P681" s="3">
        <v>6.4060569999999997</v>
      </c>
      <c r="Q681" s="3">
        <v>-15.576122753020972</v>
      </c>
      <c r="R681" s="13">
        <f t="shared" si="40"/>
        <v>6.4060569999999997</v>
      </c>
      <c r="S681" s="42">
        <f t="shared" si="43"/>
        <v>94.751102817962661</v>
      </c>
      <c r="T681" s="13">
        <v>0</v>
      </c>
      <c r="U681" s="14">
        <f t="shared" si="41"/>
        <v>-15.576122753020972</v>
      </c>
      <c r="V681" s="15">
        <f t="shared" si="42"/>
        <v>606.98096546472937</v>
      </c>
    </row>
    <row r="682" spans="1:22" x14ac:dyDescent="0.3">
      <c r="M682" s="4">
        <v>714</v>
      </c>
      <c r="N682" s="4" t="s">
        <v>713</v>
      </c>
      <c r="O682" s="12">
        <v>46034.665347222224</v>
      </c>
      <c r="P682" s="5">
        <v>4.0947822499999997</v>
      </c>
      <c r="Q682" s="5">
        <v>-14.082784517270749</v>
      </c>
      <c r="R682" s="13">
        <f t="shared" si="40"/>
        <v>4.0947822499999997</v>
      </c>
      <c r="S682" s="42">
        <f t="shared" si="43"/>
        <v>94.751102817962661</v>
      </c>
      <c r="T682" s="13">
        <v>0</v>
      </c>
      <c r="U682" s="14">
        <f t="shared" si="41"/>
        <v>-14.082784517270749</v>
      </c>
      <c r="V682" s="15">
        <f t="shared" si="42"/>
        <v>387.98513398691847</v>
      </c>
    </row>
    <row r="683" spans="1:22" x14ac:dyDescent="0.3">
      <c r="M683" s="1">
        <v>715</v>
      </c>
      <c r="N683" s="1" t="s">
        <v>714</v>
      </c>
      <c r="O683" s="2">
        <v>46034.669074074074</v>
      </c>
      <c r="P683" s="3">
        <v>2.7616054999999999</v>
      </c>
      <c r="Q683" s="3">
        <v>-15.372886241376346</v>
      </c>
      <c r="R683" s="13">
        <f t="shared" si="40"/>
        <v>2.7616054999999999</v>
      </c>
      <c r="S683" s="42">
        <f t="shared" si="43"/>
        <v>94.751102817962661</v>
      </c>
      <c r="T683" s="13">
        <v>0</v>
      </c>
      <c r="U683" s="14">
        <f t="shared" si="41"/>
        <v>-15.372886241376346</v>
      </c>
      <c r="V683" s="15">
        <f t="shared" si="42"/>
        <v>261.66516667315119</v>
      </c>
    </row>
    <row r="684" spans="1:22" x14ac:dyDescent="0.3">
      <c r="A684">
        <v>9</v>
      </c>
      <c r="B684" s="85">
        <v>5.4</v>
      </c>
      <c r="C684" s="78">
        <v>45983</v>
      </c>
      <c r="D684" s="78">
        <v>45985</v>
      </c>
      <c r="E684">
        <v>56</v>
      </c>
      <c r="F684" t="s">
        <v>921</v>
      </c>
      <c r="G684" t="s">
        <v>907</v>
      </c>
      <c r="H684">
        <v>97</v>
      </c>
      <c r="I684">
        <v>1</v>
      </c>
      <c r="J684" t="s">
        <v>908</v>
      </c>
      <c r="K684" t="s">
        <v>1537</v>
      </c>
      <c r="M684" s="4">
        <v>716</v>
      </c>
      <c r="N684" s="4" t="s">
        <v>715</v>
      </c>
      <c r="O684" s="12">
        <v>46034.672835648147</v>
      </c>
      <c r="P684" s="5">
        <v>7.9395020000000001</v>
      </c>
      <c r="Q684" s="5">
        <v>-12.273215509569996</v>
      </c>
      <c r="R684" s="13">
        <f t="shared" si="40"/>
        <v>7.9395020000000001</v>
      </c>
      <c r="S684" s="42">
        <f t="shared" si="43"/>
        <v>94.751102817962661</v>
      </c>
      <c r="T684" s="13">
        <v>0</v>
      </c>
      <c r="U684" s="14">
        <f t="shared" si="41"/>
        <v>-12.273215509569996</v>
      </c>
      <c r="V684" s="15">
        <f t="shared" si="42"/>
        <v>752.27657032542015</v>
      </c>
    </row>
    <row r="685" spans="1:22" x14ac:dyDescent="0.3">
      <c r="A685">
        <v>9</v>
      </c>
      <c r="B685" s="85">
        <v>5.4</v>
      </c>
      <c r="C685" s="78">
        <v>45983</v>
      </c>
      <c r="D685" s="78">
        <v>45985</v>
      </c>
      <c r="E685">
        <v>55</v>
      </c>
      <c r="F685" t="s">
        <v>929</v>
      </c>
      <c r="G685" t="s">
        <v>15</v>
      </c>
      <c r="H685">
        <v>97</v>
      </c>
      <c r="I685">
        <v>2</v>
      </c>
      <c r="J685" t="s">
        <v>908</v>
      </c>
      <c r="K685" t="s">
        <v>1538</v>
      </c>
      <c r="M685" s="1">
        <v>717</v>
      </c>
      <c r="N685" s="1" t="s">
        <v>716</v>
      </c>
      <c r="O685" s="2">
        <v>46034.676574074074</v>
      </c>
      <c r="P685" s="3">
        <v>7.5482234999999998</v>
      </c>
      <c r="Q685" s="3">
        <v>-12.73348669593874</v>
      </c>
      <c r="R685" s="13">
        <f t="shared" si="40"/>
        <v>7.5482234999999998</v>
      </c>
      <c r="S685" s="42">
        <f t="shared" si="43"/>
        <v>94.751102817962661</v>
      </c>
      <c r="T685" s="13">
        <v>0</v>
      </c>
      <c r="U685" s="14">
        <f t="shared" si="41"/>
        <v>-12.73348669593874</v>
      </c>
      <c r="V685" s="15">
        <f t="shared" si="42"/>
        <v>715.20250094146195</v>
      </c>
    </row>
    <row r="686" spans="1:22" x14ac:dyDescent="0.3">
      <c r="A686">
        <v>9</v>
      </c>
      <c r="B686" s="85">
        <v>5.4</v>
      </c>
      <c r="C686" s="78">
        <v>45983</v>
      </c>
      <c r="D686" s="78">
        <v>45985</v>
      </c>
      <c r="E686">
        <v>54</v>
      </c>
      <c r="F686" t="s">
        <v>906</v>
      </c>
      <c r="G686" t="s">
        <v>914</v>
      </c>
      <c r="H686">
        <v>97</v>
      </c>
      <c r="I686">
        <v>3</v>
      </c>
      <c r="J686" t="s">
        <v>908</v>
      </c>
      <c r="K686" t="s">
        <v>1539</v>
      </c>
      <c r="M686" s="4">
        <v>718</v>
      </c>
      <c r="N686" s="4" t="s">
        <v>717</v>
      </c>
      <c r="O686" s="12">
        <v>46034.680312500001</v>
      </c>
      <c r="P686" s="5">
        <v>7.5367934999999999</v>
      </c>
      <c r="Q686" s="5">
        <v>-12.009254988779274</v>
      </c>
      <c r="R686" s="13">
        <f t="shared" si="40"/>
        <v>7.5367934999999999</v>
      </c>
      <c r="S686" s="42">
        <f t="shared" si="43"/>
        <v>94.751102817962661</v>
      </c>
      <c r="T686" s="13">
        <v>0</v>
      </c>
      <c r="U686" s="14">
        <f t="shared" si="41"/>
        <v>-12.009254988779274</v>
      </c>
      <c r="V686" s="15">
        <f t="shared" si="42"/>
        <v>714.11949583625267</v>
      </c>
    </row>
    <row r="687" spans="1:22" x14ac:dyDescent="0.3">
      <c r="A687">
        <v>9</v>
      </c>
      <c r="B687" s="85">
        <v>5.4</v>
      </c>
      <c r="C687" s="78">
        <v>45983</v>
      </c>
      <c r="D687" s="78">
        <v>45985</v>
      </c>
      <c r="E687">
        <v>49</v>
      </c>
      <c r="F687" t="s">
        <v>932</v>
      </c>
      <c r="G687" t="s">
        <v>918</v>
      </c>
      <c r="H687">
        <v>97</v>
      </c>
      <c r="I687">
        <v>4</v>
      </c>
      <c r="J687" t="s">
        <v>908</v>
      </c>
      <c r="K687" t="s">
        <v>1540</v>
      </c>
      <c r="M687" s="1">
        <v>719</v>
      </c>
      <c r="N687" s="1" t="s">
        <v>718</v>
      </c>
      <c r="O687" s="2">
        <v>46034.684050925927</v>
      </c>
      <c r="P687" s="3">
        <v>7.7493885000000002</v>
      </c>
      <c r="Q687" s="3">
        <v>-10.846228046059332</v>
      </c>
      <c r="R687" s="13">
        <f t="shared" si="40"/>
        <v>7.7493885000000002</v>
      </c>
      <c r="S687" s="42">
        <f t="shared" si="43"/>
        <v>94.751102817962661</v>
      </c>
      <c r="T687" s="13">
        <v>0</v>
      </c>
      <c r="U687" s="14">
        <f t="shared" si="41"/>
        <v>-10.846228046059332</v>
      </c>
      <c r="V687" s="15">
        <f t="shared" si="42"/>
        <v>734.26310653983751</v>
      </c>
    </row>
    <row r="688" spans="1:22" x14ac:dyDescent="0.3">
      <c r="A688">
        <v>9</v>
      </c>
      <c r="B688" s="85">
        <v>5.4</v>
      </c>
      <c r="C688" s="78">
        <v>45983</v>
      </c>
      <c r="D688" s="78">
        <v>45985</v>
      </c>
      <c r="E688">
        <v>52</v>
      </c>
      <c r="F688" t="s">
        <v>917</v>
      </c>
      <c r="G688" t="s">
        <v>922</v>
      </c>
      <c r="H688">
        <v>97</v>
      </c>
      <c r="I688">
        <v>5</v>
      </c>
      <c r="J688" t="s">
        <v>908</v>
      </c>
      <c r="K688" t="s">
        <v>1541</v>
      </c>
      <c r="M688" s="4">
        <v>720</v>
      </c>
      <c r="N688" s="4" t="s">
        <v>719</v>
      </c>
      <c r="O688" s="12">
        <v>46034.687789351854</v>
      </c>
      <c r="P688" s="5">
        <v>6.1757330000000001</v>
      </c>
      <c r="Q688" s="5">
        <v>-4.9938184464750659</v>
      </c>
      <c r="R688" s="13">
        <f t="shared" si="40"/>
        <v>6.1757330000000001</v>
      </c>
      <c r="S688" s="42">
        <f t="shared" si="43"/>
        <v>94.751102817962661</v>
      </c>
      <c r="T688" s="13">
        <v>0</v>
      </c>
      <c r="U688" s="14">
        <f t="shared" si="41"/>
        <v>-4.9938184464750659</v>
      </c>
      <c r="V688" s="15">
        <f t="shared" si="42"/>
        <v>585.15751245928504</v>
      </c>
    </row>
    <row r="689" spans="1:22" x14ac:dyDescent="0.3">
      <c r="A689">
        <v>9</v>
      </c>
      <c r="B689" s="85">
        <v>5.4</v>
      </c>
      <c r="C689" s="78">
        <v>45983</v>
      </c>
      <c r="D689" s="78">
        <v>45985</v>
      </c>
      <c r="E689">
        <v>50</v>
      </c>
      <c r="F689" t="s">
        <v>913</v>
      </c>
      <c r="G689" t="s">
        <v>926</v>
      </c>
      <c r="H689">
        <v>97</v>
      </c>
      <c r="I689">
        <v>6</v>
      </c>
      <c r="J689" t="s">
        <v>908</v>
      </c>
      <c r="K689" t="s">
        <v>1542</v>
      </c>
      <c r="M689" s="1">
        <v>721</v>
      </c>
      <c r="N689" s="1" t="s">
        <v>720</v>
      </c>
      <c r="O689" s="2">
        <v>46034.69153935185</v>
      </c>
      <c r="P689" s="3">
        <v>6.7408855000000001</v>
      </c>
      <c r="Q689" s="3">
        <v>-8.5531335019784187</v>
      </c>
      <c r="R689" s="13">
        <f t="shared" si="40"/>
        <v>6.7408855000000001</v>
      </c>
      <c r="S689" s="42">
        <f t="shared" si="43"/>
        <v>94.751102817962661</v>
      </c>
      <c r="T689" s="13">
        <v>0</v>
      </c>
      <c r="U689" s="14">
        <f t="shared" si="41"/>
        <v>-8.5531335019784187</v>
      </c>
      <c r="V689" s="15">
        <f t="shared" si="42"/>
        <v>638.70633509461368</v>
      </c>
    </row>
    <row r="690" spans="1:22" x14ac:dyDescent="0.3">
      <c r="A690">
        <v>9</v>
      </c>
      <c r="B690" s="85">
        <v>5.4</v>
      </c>
      <c r="C690" s="78">
        <v>45983</v>
      </c>
      <c r="D690" s="78">
        <v>45985</v>
      </c>
      <c r="E690">
        <v>53</v>
      </c>
      <c r="F690" t="s">
        <v>925</v>
      </c>
      <c r="G690" t="s">
        <v>930</v>
      </c>
      <c r="H690">
        <v>97</v>
      </c>
      <c r="I690">
        <v>7</v>
      </c>
      <c r="J690" t="s">
        <v>908</v>
      </c>
      <c r="K690" t="s">
        <v>1543</v>
      </c>
      <c r="M690" s="4">
        <v>722</v>
      </c>
      <c r="N690" s="4" t="s">
        <v>721</v>
      </c>
      <c r="O690" s="12">
        <v>46034.6952662037</v>
      </c>
      <c r="P690" s="5">
        <v>6.9709899999999996</v>
      </c>
      <c r="Q690" s="5">
        <v>-12.800311218718003</v>
      </c>
      <c r="R690" s="13">
        <f t="shared" si="40"/>
        <v>6.9709899999999996</v>
      </c>
      <c r="S690" s="42">
        <f t="shared" si="43"/>
        <v>94.751102817962661</v>
      </c>
      <c r="T690" s="13">
        <v>0</v>
      </c>
      <c r="U690" s="14">
        <f t="shared" si="41"/>
        <v>-12.800311218718003</v>
      </c>
      <c r="V690" s="15">
        <f t="shared" si="42"/>
        <v>660.5089902329895</v>
      </c>
    </row>
    <row r="691" spans="1:22" x14ac:dyDescent="0.3">
      <c r="A691">
        <v>9</v>
      </c>
      <c r="B691" s="85">
        <v>5.4</v>
      </c>
      <c r="C691" s="78">
        <v>45983</v>
      </c>
      <c r="D691" s="78">
        <v>45985</v>
      </c>
      <c r="E691">
        <v>51</v>
      </c>
      <c r="F691" t="s">
        <v>910</v>
      </c>
      <c r="G691" t="s">
        <v>933</v>
      </c>
      <c r="H691">
        <v>97</v>
      </c>
      <c r="I691">
        <v>8</v>
      </c>
      <c r="J691" t="s">
        <v>908</v>
      </c>
      <c r="K691" t="s">
        <v>1544</v>
      </c>
      <c r="M691" s="1">
        <v>723</v>
      </c>
      <c r="N691" s="1" t="s">
        <v>722</v>
      </c>
      <c r="O691" s="2">
        <v>46034.699016203704</v>
      </c>
      <c r="P691" s="3">
        <v>6.6223130000000001</v>
      </c>
      <c r="Q691" s="3">
        <v>-7.100483198501137</v>
      </c>
      <c r="R691" s="13">
        <f t="shared" si="40"/>
        <v>6.6223130000000001</v>
      </c>
      <c r="S691" s="42">
        <f t="shared" si="43"/>
        <v>94.751102817962661</v>
      </c>
      <c r="T691" s="13">
        <v>0</v>
      </c>
      <c r="U691" s="14">
        <f t="shared" si="41"/>
        <v>-7.100483198501137</v>
      </c>
      <c r="V691" s="15">
        <f t="shared" si="42"/>
        <v>627.47145995573078</v>
      </c>
    </row>
    <row r="692" spans="1:22" x14ac:dyDescent="0.3">
      <c r="A692">
        <v>9</v>
      </c>
      <c r="B692" s="85">
        <v>5.4</v>
      </c>
      <c r="C692" s="78">
        <v>45983</v>
      </c>
      <c r="D692" s="78">
        <v>45985</v>
      </c>
      <c r="E692">
        <v>56</v>
      </c>
      <c r="F692" t="s">
        <v>921</v>
      </c>
      <c r="G692" t="s">
        <v>907</v>
      </c>
      <c r="H692">
        <v>97</v>
      </c>
      <c r="I692">
        <v>9</v>
      </c>
      <c r="J692" t="s">
        <v>935</v>
      </c>
      <c r="K692" t="s">
        <v>1545</v>
      </c>
      <c r="M692" s="4">
        <v>724</v>
      </c>
      <c r="N692" s="4" t="s">
        <v>723</v>
      </c>
      <c r="O692" s="12">
        <v>46034.70275462963</v>
      </c>
      <c r="P692" s="5">
        <v>7.6592304999999996</v>
      </c>
      <c r="Q692" s="5">
        <v>27.522815069405858</v>
      </c>
      <c r="R692" s="13">
        <f t="shared" si="40"/>
        <v>7.6592304999999996</v>
      </c>
      <c r="S692" s="42">
        <f t="shared" si="43"/>
        <v>94.751102817962661</v>
      </c>
      <c r="T692" s="13">
        <v>0</v>
      </c>
      <c r="U692" s="14">
        <f t="shared" si="41"/>
        <v>27.522815069405858</v>
      </c>
      <c r="V692" s="15">
        <f t="shared" si="42"/>
        <v>725.72053661197549</v>
      </c>
    </row>
    <row r="693" spans="1:22" x14ac:dyDescent="0.3">
      <c r="A693">
        <v>9</v>
      </c>
      <c r="B693" s="85">
        <v>5.4</v>
      </c>
      <c r="C693" s="78">
        <v>45983</v>
      </c>
      <c r="D693" s="78">
        <v>45985</v>
      </c>
      <c r="E693">
        <v>55</v>
      </c>
      <c r="F693" t="s">
        <v>929</v>
      </c>
      <c r="G693" t="s">
        <v>15</v>
      </c>
      <c r="H693">
        <v>97</v>
      </c>
      <c r="I693">
        <v>10</v>
      </c>
      <c r="J693" t="s">
        <v>935</v>
      </c>
      <c r="K693" t="s">
        <v>1546</v>
      </c>
      <c r="M693" s="1">
        <v>725</v>
      </c>
      <c r="N693" s="1" t="s">
        <v>724</v>
      </c>
      <c r="O693" s="2">
        <v>46034.706493055557</v>
      </c>
      <c r="P693" s="3">
        <v>7.2623015000000004</v>
      </c>
      <c r="Q693" s="3">
        <v>38.078368480309855</v>
      </c>
      <c r="R693" s="13">
        <f t="shared" si="40"/>
        <v>7.2623015000000004</v>
      </c>
      <c r="S693" s="42">
        <f t="shared" si="43"/>
        <v>94.751102817962661</v>
      </c>
      <c r="T693" s="13">
        <v>0</v>
      </c>
      <c r="U693" s="14">
        <f t="shared" si="41"/>
        <v>38.078368480309855</v>
      </c>
      <c r="V693" s="15">
        <f t="shared" si="42"/>
        <v>688.11107612154444</v>
      </c>
    </row>
    <row r="694" spans="1:22" x14ac:dyDescent="0.3">
      <c r="A694">
        <v>9</v>
      </c>
      <c r="B694" s="85">
        <v>5.4</v>
      </c>
      <c r="C694" s="78">
        <v>45983</v>
      </c>
      <c r="D694" s="78">
        <v>45985</v>
      </c>
      <c r="E694">
        <v>54</v>
      </c>
      <c r="F694" t="s">
        <v>906</v>
      </c>
      <c r="G694" t="s">
        <v>914</v>
      </c>
      <c r="H694">
        <v>97</v>
      </c>
      <c r="I694">
        <v>11</v>
      </c>
      <c r="J694" t="s">
        <v>935</v>
      </c>
      <c r="K694" t="s">
        <v>1547</v>
      </c>
      <c r="M694" s="4">
        <v>726</v>
      </c>
      <c r="N694" s="4" t="s">
        <v>725</v>
      </c>
      <c r="O694" s="12">
        <v>46034.710231481484</v>
      </c>
      <c r="P694" s="5">
        <v>7.8357140000000003</v>
      </c>
      <c r="Q694" s="5">
        <v>33.890279691186386</v>
      </c>
      <c r="R694" s="13">
        <f t="shared" si="40"/>
        <v>7.8357140000000003</v>
      </c>
      <c r="S694" s="42">
        <f t="shared" si="43"/>
        <v>94.751102817962661</v>
      </c>
      <c r="T694" s="13">
        <v>0</v>
      </c>
      <c r="U694" s="14">
        <f t="shared" si="41"/>
        <v>33.890279691186386</v>
      </c>
      <c r="V694" s="15">
        <f t="shared" si="42"/>
        <v>742.44254286614955</v>
      </c>
    </row>
    <row r="695" spans="1:22" x14ac:dyDescent="0.3">
      <c r="A695">
        <v>9</v>
      </c>
      <c r="B695" s="85">
        <v>5.4</v>
      </c>
      <c r="C695" s="78">
        <v>45983</v>
      </c>
      <c r="D695" s="78">
        <v>45985</v>
      </c>
      <c r="E695">
        <v>49</v>
      </c>
      <c r="F695" t="s">
        <v>932</v>
      </c>
      <c r="G695" t="s">
        <v>918</v>
      </c>
      <c r="H695">
        <v>97</v>
      </c>
      <c r="I695">
        <v>12</v>
      </c>
      <c r="J695" t="s">
        <v>935</v>
      </c>
      <c r="K695" t="s">
        <v>1548</v>
      </c>
      <c r="M695" s="1">
        <v>727</v>
      </c>
      <c r="N695" s="1" t="s">
        <v>726</v>
      </c>
      <c r="O695" s="2">
        <v>46034.713958333334</v>
      </c>
      <c r="P695" s="3">
        <v>7.3557750000000004</v>
      </c>
      <c r="Q695" s="3">
        <v>37.279976976056631</v>
      </c>
      <c r="R695" s="13">
        <f t="shared" si="40"/>
        <v>7.3557750000000004</v>
      </c>
      <c r="S695" s="42">
        <f t="shared" si="43"/>
        <v>94.751102817962661</v>
      </c>
      <c r="T695" s="13">
        <v>0</v>
      </c>
      <c r="U695" s="14">
        <f t="shared" si="41"/>
        <v>37.279976976056631</v>
      </c>
      <c r="V695" s="15">
        <f t="shared" si="42"/>
        <v>696.96779333079928</v>
      </c>
    </row>
    <row r="696" spans="1:22" x14ac:dyDescent="0.3">
      <c r="A696">
        <v>9</v>
      </c>
      <c r="B696" s="85">
        <v>5.4</v>
      </c>
      <c r="C696" s="78">
        <v>45983</v>
      </c>
      <c r="D696" s="78">
        <v>45985</v>
      </c>
      <c r="E696">
        <v>52</v>
      </c>
      <c r="F696" t="s">
        <v>917</v>
      </c>
      <c r="G696" t="s">
        <v>922</v>
      </c>
      <c r="H696">
        <v>97</v>
      </c>
      <c r="I696">
        <v>13</v>
      </c>
      <c r="J696" t="s">
        <v>935</v>
      </c>
      <c r="K696" t="s">
        <v>1549</v>
      </c>
      <c r="M696" s="4">
        <v>728</v>
      </c>
      <c r="N696" s="4" t="s">
        <v>727</v>
      </c>
      <c r="O696" s="12">
        <v>46034.71769675926</v>
      </c>
      <c r="P696" s="5">
        <v>6.0546775000000004</v>
      </c>
      <c r="Q696" s="5">
        <v>57.353560221207722</v>
      </c>
      <c r="R696" s="13">
        <f t="shared" ref="R696:R759" si="44">P696</f>
        <v>6.0546775000000004</v>
      </c>
      <c r="S696" s="42">
        <f t="shared" si="43"/>
        <v>94.751102817962661</v>
      </c>
      <c r="T696" s="13">
        <v>0</v>
      </c>
      <c r="U696" s="14">
        <f t="shared" ref="U696:U759" si="45">Q696+T696</f>
        <v>57.353560221207722</v>
      </c>
      <c r="V696" s="15">
        <f t="shared" ref="V696:V759" si="46">R696*S696</f>
        <v>573.68737033210516</v>
      </c>
    </row>
    <row r="697" spans="1:22" x14ac:dyDescent="0.3">
      <c r="A697">
        <v>9</v>
      </c>
      <c r="B697" s="85">
        <v>5.4</v>
      </c>
      <c r="C697" s="78">
        <v>45983</v>
      </c>
      <c r="D697" s="78">
        <v>45985</v>
      </c>
      <c r="E697">
        <v>50</v>
      </c>
      <c r="F697" t="s">
        <v>913</v>
      </c>
      <c r="G697" t="s">
        <v>926</v>
      </c>
      <c r="H697">
        <v>97</v>
      </c>
      <c r="I697">
        <v>14</v>
      </c>
      <c r="J697" t="s">
        <v>935</v>
      </c>
      <c r="K697" t="s">
        <v>1550</v>
      </c>
      <c r="M697" s="1">
        <v>729</v>
      </c>
      <c r="N697" s="1" t="s">
        <v>728</v>
      </c>
      <c r="O697" s="2">
        <v>46034.721435185187</v>
      </c>
      <c r="P697" s="3">
        <v>6.443263</v>
      </c>
      <c r="Q697" s="3">
        <v>62.377880007415747</v>
      </c>
      <c r="R697" s="13">
        <f t="shared" si="44"/>
        <v>6.443263</v>
      </c>
      <c r="S697" s="42">
        <f t="shared" si="43"/>
        <v>94.751102817962661</v>
      </c>
      <c r="T697" s="13">
        <v>0</v>
      </c>
      <c r="U697" s="14">
        <f t="shared" si="45"/>
        <v>62.377880007415747</v>
      </c>
      <c r="V697" s="15">
        <f t="shared" si="46"/>
        <v>610.50627499617451</v>
      </c>
    </row>
    <row r="698" spans="1:22" x14ac:dyDescent="0.3">
      <c r="A698">
        <v>9</v>
      </c>
      <c r="B698" s="85">
        <v>5.4</v>
      </c>
      <c r="C698" s="78">
        <v>45983</v>
      </c>
      <c r="D698" s="78">
        <v>45985</v>
      </c>
      <c r="E698">
        <v>53</v>
      </c>
      <c r="F698" t="s">
        <v>925</v>
      </c>
      <c r="G698" t="s">
        <v>930</v>
      </c>
      <c r="H698">
        <v>97</v>
      </c>
      <c r="I698">
        <v>15</v>
      </c>
      <c r="J698" t="s">
        <v>935</v>
      </c>
      <c r="K698" t="s">
        <v>1551</v>
      </c>
      <c r="M698" s="4">
        <v>730</v>
      </c>
      <c r="N698" s="4" t="s">
        <v>729</v>
      </c>
      <c r="O698" s="12">
        <v>46034.725185185183</v>
      </c>
      <c r="P698" s="5">
        <v>7.3577070000000004</v>
      </c>
      <c r="Q698" s="5">
        <v>24.363176241624107</v>
      </c>
      <c r="R698" s="13">
        <f t="shared" si="44"/>
        <v>7.3577070000000004</v>
      </c>
      <c r="S698" s="42">
        <f t="shared" si="43"/>
        <v>94.751102817962661</v>
      </c>
      <c r="T698" s="13">
        <v>0</v>
      </c>
      <c r="U698" s="14">
        <f t="shared" si="45"/>
        <v>24.363176241624107</v>
      </c>
      <c r="V698" s="15">
        <f t="shared" si="46"/>
        <v>697.15085246144361</v>
      </c>
    </row>
    <row r="699" spans="1:22" x14ac:dyDescent="0.3">
      <c r="A699">
        <v>9</v>
      </c>
      <c r="B699" s="85">
        <v>5.4</v>
      </c>
      <c r="C699" s="78">
        <v>45983</v>
      </c>
      <c r="D699" s="78">
        <v>45985</v>
      </c>
      <c r="E699">
        <v>51</v>
      </c>
      <c r="F699" t="s">
        <v>910</v>
      </c>
      <c r="G699" t="s">
        <v>933</v>
      </c>
      <c r="H699">
        <v>97</v>
      </c>
      <c r="I699">
        <v>16</v>
      </c>
      <c r="J699" t="s">
        <v>935</v>
      </c>
      <c r="K699" t="s">
        <v>1552</v>
      </c>
      <c r="M699" s="1">
        <v>731</v>
      </c>
      <c r="N699" s="1" t="s">
        <v>730</v>
      </c>
      <c r="O699" s="2">
        <v>46034.728912037041</v>
      </c>
      <c r="P699" s="3">
        <v>7.2433635000000001</v>
      </c>
      <c r="Q699" s="3">
        <v>77.940077840551652</v>
      </c>
      <c r="R699" s="13">
        <f t="shared" si="44"/>
        <v>7.2433635000000001</v>
      </c>
      <c r="S699" s="42">
        <f t="shared" si="43"/>
        <v>94.751102817962661</v>
      </c>
      <c r="T699" s="13">
        <v>0</v>
      </c>
      <c r="U699" s="14">
        <f t="shared" si="45"/>
        <v>77.940077840551652</v>
      </c>
      <c r="V699" s="15">
        <f t="shared" si="46"/>
        <v>686.31667973637786</v>
      </c>
    </row>
    <row r="700" spans="1:22" x14ac:dyDescent="0.3">
      <c r="A700">
        <v>9</v>
      </c>
      <c r="B700" s="85">
        <v>5.4</v>
      </c>
      <c r="C700" s="78">
        <v>45983</v>
      </c>
      <c r="D700" s="78">
        <v>45985</v>
      </c>
      <c r="E700">
        <v>56</v>
      </c>
      <c r="F700" t="s">
        <v>921</v>
      </c>
      <c r="G700" t="s">
        <v>907</v>
      </c>
      <c r="H700">
        <v>97</v>
      </c>
      <c r="I700">
        <v>17</v>
      </c>
      <c r="J700" t="s">
        <v>24</v>
      </c>
      <c r="K700" t="s">
        <v>1553</v>
      </c>
      <c r="M700" s="4">
        <v>732</v>
      </c>
      <c r="N700" s="4" t="s">
        <v>731</v>
      </c>
      <c r="O700" s="12">
        <v>46034.73265046296</v>
      </c>
      <c r="P700" s="5">
        <v>8.5761120000000002</v>
      </c>
      <c r="Q700" s="5">
        <v>46.539594840288011</v>
      </c>
      <c r="R700" s="13">
        <f t="shared" si="44"/>
        <v>8.5761120000000002</v>
      </c>
      <c r="S700" s="42">
        <f t="shared" si="43"/>
        <v>94.751102817962661</v>
      </c>
      <c r="T700" s="13">
        <v>0</v>
      </c>
      <c r="U700" s="14">
        <f t="shared" si="45"/>
        <v>46.539594840288011</v>
      </c>
      <c r="V700" s="15">
        <f t="shared" si="46"/>
        <v>812.59606989036342</v>
      </c>
    </row>
    <row r="701" spans="1:22" x14ac:dyDescent="0.3">
      <c r="A701">
        <v>9</v>
      </c>
      <c r="B701" s="85">
        <v>5.4</v>
      </c>
      <c r="C701" s="78">
        <v>45983</v>
      </c>
      <c r="D701" s="78">
        <v>45985</v>
      </c>
      <c r="E701">
        <v>55</v>
      </c>
      <c r="F701" t="s">
        <v>929</v>
      </c>
      <c r="G701" t="s">
        <v>15</v>
      </c>
      <c r="H701">
        <v>97</v>
      </c>
      <c r="I701">
        <v>18</v>
      </c>
      <c r="J701" t="s">
        <v>24</v>
      </c>
      <c r="K701" t="s">
        <v>1554</v>
      </c>
      <c r="M701" s="1">
        <v>733</v>
      </c>
      <c r="N701" s="1" t="s">
        <v>732</v>
      </c>
      <c r="O701" s="2">
        <v>46034.73641203704</v>
      </c>
      <c r="P701" s="3">
        <v>7.5898814999999997</v>
      </c>
      <c r="Q701" s="3">
        <v>66.51649964249215</v>
      </c>
      <c r="R701" s="13">
        <f t="shared" si="44"/>
        <v>7.5898814999999997</v>
      </c>
      <c r="S701" s="42">
        <f t="shared" si="43"/>
        <v>94.751102817962661</v>
      </c>
      <c r="T701" s="13">
        <v>0</v>
      </c>
      <c r="U701" s="14">
        <f t="shared" si="45"/>
        <v>66.51649964249215</v>
      </c>
      <c r="V701" s="15">
        <f t="shared" si="46"/>
        <v>719.14964238265259</v>
      </c>
    </row>
    <row r="702" spans="1:22" x14ac:dyDescent="0.3">
      <c r="A702">
        <v>9</v>
      </c>
      <c r="B702" s="85">
        <v>5.4</v>
      </c>
      <c r="C702" s="78">
        <v>45983</v>
      </c>
      <c r="D702" s="78">
        <v>45985</v>
      </c>
      <c r="E702">
        <v>54</v>
      </c>
      <c r="F702" t="s">
        <v>906</v>
      </c>
      <c r="G702" t="s">
        <v>914</v>
      </c>
      <c r="H702">
        <v>97</v>
      </c>
      <c r="I702">
        <v>19</v>
      </c>
      <c r="J702" t="s">
        <v>24</v>
      </c>
      <c r="K702" t="s">
        <v>1555</v>
      </c>
      <c r="M702" s="4">
        <v>734</v>
      </c>
      <c r="N702" s="4" t="s">
        <v>733</v>
      </c>
      <c r="O702" s="12">
        <v>46034.740127314813</v>
      </c>
      <c r="P702" s="5">
        <v>8.2407609999999991</v>
      </c>
      <c r="Q702" s="5">
        <v>59.568449915437881</v>
      </c>
      <c r="R702" s="13">
        <f t="shared" si="44"/>
        <v>8.2407609999999991</v>
      </c>
      <c r="S702" s="42">
        <f t="shared" si="43"/>
        <v>94.751102817962661</v>
      </c>
      <c r="T702" s="13">
        <v>0</v>
      </c>
      <c r="U702" s="14">
        <f t="shared" si="45"/>
        <v>59.568449915437881</v>
      </c>
      <c r="V702" s="15">
        <f t="shared" si="46"/>
        <v>780.82119280925667</v>
      </c>
    </row>
    <row r="703" spans="1:22" x14ac:dyDescent="0.3">
      <c r="A703">
        <v>9</v>
      </c>
      <c r="B703" s="85">
        <v>5.4</v>
      </c>
      <c r="C703" s="78">
        <v>45983</v>
      </c>
      <c r="D703" s="78">
        <v>45985</v>
      </c>
      <c r="E703">
        <v>49</v>
      </c>
      <c r="F703" t="s">
        <v>932</v>
      </c>
      <c r="G703" t="s">
        <v>918</v>
      </c>
      <c r="H703">
        <v>97</v>
      </c>
      <c r="I703">
        <v>20</v>
      </c>
      <c r="J703" t="s">
        <v>24</v>
      </c>
      <c r="K703" t="s">
        <v>1556</v>
      </c>
      <c r="M703" s="1">
        <v>735</v>
      </c>
      <c r="N703" s="1" t="s">
        <v>734</v>
      </c>
      <c r="O703" s="2">
        <v>46034.743900462963</v>
      </c>
      <c r="P703" s="3">
        <v>7.3738700000000001</v>
      </c>
      <c r="Q703" s="3">
        <v>63.882944385678329</v>
      </c>
      <c r="R703" s="13">
        <f t="shared" si="44"/>
        <v>7.3738700000000001</v>
      </c>
      <c r="S703" s="42">
        <f t="shared" si="43"/>
        <v>94.751102817962661</v>
      </c>
      <c r="T703" s="13">
        <v>0</v>
      </c>
      <c r="U703" s="14">
        <f t="shared" si="45"/>
        <v>63.882944385678329</v>
      </c>
      <c r="V703" s="15">
        <f t="shared" si="46"/>
        <v>698.68231453629039</v>
      </c>
    </row>
    <row r="704" spans="1:22" x14ac:dyDescent="0.3">
      <c r="A704">
        <v>9</v>
      </c>
      <c r="B704" s="85">
        <v>5.4</v>
      </c>
      <c r="C704" s="78">
        <v>45983</v>
      </c>
      <c r="D704" s="78">
        <v>45985</v>
      </c>
      <c r="E704">
        <v>52</v>
      </c>
      <c r="F704" t="s">
        <v>917</v>
      </c>
      <c r="G704" t="s">
        <v>922</v>
      </c>
      <c r="H704">
        <v>97</v>
      </c>
      <c r="I704">
        <v>21</v>
      </c>
      <c r="J704" t="s">
        <v>24</v>
      </c>
      <c r="K704" t="s">
        <v>1557</v>
      </c>
      <c r="M704" s="4">
        <v>736</v>
      </c>
      <c r="N704" s="4" t="s">
        <v>735</v>
      </c>
      <c r="O704" s="12">
        <v>46034.747627314813</v>
      </c>
      <c r="P704" s="5">
        <v>6.3045764999999996</v>
      </c>
      <c r="Q704" s="5">
        <v>93.548168707182967</v>
      </c>
      <c r="R704" s="13">
        <f t="shared" si="44"/>
        <v>6.3045764999999996</v>
      </c>
      <c r="S704" s="42">
        <f t="shared" si="43"/>
        <v>94.751102817962661</v>
      </c>
      <c r="T704" s="13">
        <v>0</v>
      </c>
      <c r="U704" s="14">
        <f t="shared" si="45"/>
        <v>93.548168707182967</v>
      </c>
      <c r="V704" s="15">
        <f t="shared" si="46"/>
        <v>597.36557617521112</v>
      </c>
    </row>
    <row r="705" spans="1:22" x14ac:dyDescent="0.3">
      <c r="A705">
        <v>9</v>
      </c>
      <c r="B705" s="85">
        <v>5.4</v>
      </c>
      <c r="C705" s="78">
        <v>45983</v>
      </c>
      <c r="D705" s="78">
        <v>45985</v>
      </c>
      <c r="E705">
        <v>50</v>
      </c>
      <c r="F705" t="s">
        <v>913</v>
      </c>
      <c r="G705" t="s">
        <v>926</v>
      </c>
      <c r="H705">
        <v>97</v>
      </c>
      <c r="I705">
        <v>22</v>
      </c>
      <c r="J705" t="s">
        <v>24</v>
      </c>
      <c r="K705" t="s">
        <v>1558</v>
      </c>
      <c r="M705" s="1">
        <v>737</v>
      </c>
      <c r="N705" s="1" t="s">
        <v>736</v>
      </c>
      <c r="O705" s="2">
        <v>46034.751377314817</v>
      </c>
      <c r="P705" s="3">
        <v>6.5330589999999997</v>
      </c>
      <c r="Q705" s="3">
        <v>109.31442617371667</v>
      </c>
      <c r="R705" s="13">
        <f t="shared" si="44"/>
        <v>6.5330589999999997</v>
      </c>
      <c r="S705" s="42">
        <f t="shared" si="43"/>
        <v>94.751102817962661</v>
      </c>
      <c r="T705" s="13">
        <v>0</v>
      </c>
      <c r="U705" s="14">
        <f t="shared" si="45"/>
        <v>109.31442617371667</v>
      </c>
      <c r="V705" s="15">
        <f t="shared" si="46"/>
        <v>619.01454502481624</v>
      </c>
    </row>
    <row r="706" spans="1:22" x14ac:dyDescent="0.3">
      <c r="A706">
        <v>9</v>
      </c>
      <c r="B706" s="85">
        <v>5.4</v>
      </c>
      <c r="C706" s="78">
        <v>45983</v>
      </c>
      <c r="D706" s="78">
        <v>45985</v>
      </c>
      <c r="E706">
        <v>53</v>
      </c>
      <c r="F706" t="s">
        <v>925</v>
      </c>
      <c r="G706" t="s">
        <v>930</v>
      </c>
      <c r="H706">
        <v>97</v>
      </c>
      <c r="I706">
        <v>23</v>
      </c>
      <c r="J706" t="s">
        <v>24</v>
      </c>
      <c r="K706" t="s">
        <v>1559</v>
      </c>
      <c r="M706" s="4">
        <v>738</v>
      </c>
      <c r="N706" s="4" t="s">
        <v>737</v>
      </c>
      <c r="O706" s="12">
        <v>46034.755115740743</v>
      </c>
      <c r="P706" s="5">
        <v>7.5609434999999996</v>
      </c>
      <c r="Q706" s="5">
        <v>49.34473312364554</v>
      </c>
      <c r="R706" s="13">
        <f t="shared" si="44"/>
        <v>7.5609434999999996</v>
      </c>
      <c r="S706" s="42">
        <f t="shared" si="43"/>
        <v>94.751102817962661</v>
      </c>
      <c r="T706" s="13">
        <v>0</v>
      </c>
      <c r="U706" s="14">
        <f t="shared" si="45"/>
        <v>49.34473312364554</v>
      </c>
      <c r="V706" s="15">
        <f t="shared" si="46"/>
        <v>716.40773496930638</v>
      </c>
    </row>
    <row r="707" spans="1:22" x14ac:dyDescent="0.3">
      <c r="A707">
        <v>9</v>
      </c>
      <c r="B707" s="85">
        <v>5.4</v>
      </c>
      <c r="C707" s="78">
        <v>45983</v>
      </c>
      <c r="D707" s="78">
        <v>45985</v>
      </c>
      <c r="E707">
        <v>51</v>
      </c>
      <c r="F707" t="s">
        <v>910</v>
      </c>
      <c r="G707" t="s">
        <v>933</v>
      </c>
      <c r="H707">
        <v>97</v>
      </c>
      <c r="I707">
        <v>24</v>
      </c>
      <c r="J707" t="s">
        <v>24</v>
      </c>
      <c r="K707" t="s">
        <v>1560</v>
      </c>
      <c r="M707" s="1">
        <v>739</v>
      </c>
      <c r="N707" s="1" t="s">
        <v>738</v>
      </c>
      <c r="O707" s="2">
        <v>46034.75885416667</v>
      </c>
      <c r="P707" s="3">
        <v>7.4378964999999999</v>
      </c>
      <c r="Q707" s="3">
        <v>112.5383341532326</v>
      </c>
      <c r="R707" s="13">
        <f t="shared" si="44"/>
        <v>7.4378964999999999</v>
      </c>
      <c r="S707" s="42">
        <f t="shared" ref="S707:S770" si="47">$S$890</f>
        <v>94.751102817962661</v>
      </c>
      <c r="T707" s="13">
        <v>0</v>
      </c>
      <c r="U707" s="14">
        <f t="shared" si="45"/>
        <v>112.5383341532326</v>
      </c>
      <c r="V707" s="15">
        <f t="shared" si="46"/>
        <v>704.74889602086455</v>
      </c>
    </row>
    <row r="708" spans="1:22" x14ac:dyDescent="0.3">
      <c r="A708">
        <v>9</v>
      </c>
      <c r="B708" s="85">
        <v>5.4</v>
      </c>
      <c r="C708" s="78">
        <v>45983</v>
      </c>
      <c r="D708" s="78">
        <v>45985</v>
      </c>
      <c r="E708">
        <v>56</v>
      </c>
      <c r="F708" t="s">
        <v>921</v>
      </c>
      <c r="G708" t="s">
        <v>907</v>
      </c>
      <c r="H708">
        <v>97</v>
      </c>
      <c r="I708">
        <v>25</v>
      </c>
      <c r="J708" t="s">
        <v>25</v>
      </c>
      <c r="K708" t="s">
        <v>1561</v>
      </c>
      <c r="M708" s="4">
        <v>740</v>
      </c>
      <c r="N708" s="4" t="s">
        <v>739</v>
      </c>
      <c r="O708" s="12">
        <v>46034.762627314813</v>
      </c>
      <c r="P708" s="5">
        <v>9.2050330000000002</v>
      </c>
      <c r="Q708" s="5">
        <v>56.2800384941347</v>
      </c>
      <c r="R708" s="13">
        <f t="shared" si="44"/>
        <v>9.2050330000000002</v>
      </c>
      <c r="S708" s="42">
        <f t="shared" si="47"/>
        <v>94.751102817962661</v>
      </c>
      <c r="T708" s="13">
        <v>0</v>
      </c>
      <c r="U708" s="14">
        <f t="shared" si="45"/>
        <v>56.2800384941347</v>
      </c>
      <c r="V708" s="15">
        <f t="shared" si="46"/>
        <v>872.18702822573925</v>
      </c>
    </row>
    <row r="709" spans="1:22" x14ac:dyDescent="0.3">
      <c r="A709">
        <v>9</v>
      </c>
      <c r="B709" s="85">
        <v>5.4</v>
      </c>
      <c r="C709" s="78">
        <v>45983</v>
      </c>
      <c r="D709" s="78">
        <v>45985</v>
      </c>
      <c r="E709">
        <v>55</v>
      </c>
      <c r="F709" t="s">
        <v>929</v>
      </c>
      <c r="G709" t="s">
        <v>15</v>
      </c>
      <c r="H709">
        <v>97</v>
      </c>
      <c r="I709">
        <v>26</v>
      </c>
      <c r="J709" t="s">
        <v>25</v>
      </c>
      <c r="K709" t="s">
        <v>1562</v>
      </c>
      <c r="M709" s="1">
        <v>741</v>
      </c>
      <c r="N709" s="1" t="s">
        <v>740</v>
      </c>
      <c r="O709" s="2">
        <v>46034.76635416667</v>
      </c>
      <c r="P709" s="3">
        <v>8.4653510000000001</v>
      </c>
      <c r="Q709" s="3">
        <v>76.721930426108116</v>
      </c>
      <c r="R709" s="13">
        <f t="shared" si="44"/>
        <v>8.4653510000000001</v>
      </c>
      <c r="S709" s="42">
        <f t="shared" si="47"/>
        <v>94.751102817962661</v>
      </c>
      <c r="T709" s="13">
        <v>0</v>
      </c>
      <c r="U709" s="14">
        <f t="shared" si="45"/>
        <v>76.721930426108116</v>
      </c>
      <c r="V709" s="15">
        <f t="shared" si="46"/>
        <v>802.10134299114304</v>
      </c>
    </row>
    <row r="710" spans="1:22" x14ac:dyDescent="0.3">
      <c r="A710">
        <v>9</v>
      </c>
      <c r="B710" s="85">
        <v>5.4</v>
      </c>
      <c r="C710" s="78">
        <v>45983</v>
      </c>
      <c r="D710" s="78">
        <v>45985</v>
      </c>
      <c r="E710">
        <v>54</v>
      </c>
      <c r="F710" t="s">
        <v>906</v>
      </c>
      <c r="G710" t="s">
        <v>914</v>
      </c>
      <c r="H710">
        <v>97</v>
      </c>
      <c r="I710">
        <v>27</v>
      </c>
      <c r="J710" t="s">
        <v>25</v>
      </c>
      <c r="K710" t="s">
        <v>1563</v>
      </c>
      <c r="M710" s="4">
        <v>742</v>
      </c>
      <c r="N710" s="4" t="s">
        <v>741</v>
      </c>
      <c r="O710" s="12">
        <v>46034.770104166666</v>
      </c>
      <c r="P710" s="5">
        <v>8.4841909999999991</v>
      </c>
      <c r="Q710" s="5">
        <v>83.000591186371295</v>
      </c>
      <c r="R710" s="13">
        <f t="shared" si="44"/>
        <v>8.4841909999999991</v>
      </c>
      <c r="S710" s="42">
        <f t="shared" si="47"/>
        <v>94.751102817962661</v>
      </c>
      <c r="T710" s="13">
        <v>0</v>
      </c>
      <c r="U710" s="14">
        <f t="shared" si="45"/>
        <v>83.000591186371295</v>
      </c>
      <c r="V710" s="15">
        <f t="shared" si="46"/>
        <v>803.88645376823331</v>
      </c>
    </row>
    <row r="711" spans="1:22" x14ac:dyDescent="0.3">
      <c r="A711">
        <v>9</v>
      </c>
      <c r="B711" s="85">
        <v>5.4</v>
      </c>
      <c r="C711" s="78">
        <v>45983</v>
      </c>
      <c r="D711" s="78">
        <v>45985</v>
      </c>
      <c r="E711">
        <v>49</v>
      </c>
      <c r="F711" t="s">
        <v>932</v>
      </c>
      <c r="G711" t="s">
        <v>918</v>
      </c>
      <c r="H711">
        <v>97</v>
      </c>
      <c r="I711">
        <v>28</v>
      </c>
      <c r="J711" t="s">
        <v>25</v>
      </c>
      <c r="K711" t="s">
        <v>1564</v>
      </c>
      <c r="M711" s="1">
        <v>743</v>
      </c>
      <c r="N711" s="1" t="s">
        <v>742</v>
      </c>
      <c r="O711" s="2">
        <v>46034.773865740739</v>
      </c>
      <c r="P711" s="3">
        <v>7.6340114999999997</v>
      </c>
      <c r="Q711" s="3">
        <v>84.618077660144564</v>
      </c>
      <c r="R711" s="13">
        <f t="shared" si="44"/>
        <v>7.6340114999999997</v>
      </c>
      <c r="S711" s="42">
        <f t="shared" si="47"/>
        <v>94.751102817962661</v>
      </c>
      <c r="T711" s="13">
        <v>0</v>
      </c>
      <c r="U711" s="14">
        <f t="shared" si="45"/>
        <v>84.618077660144564</v>
      </c>
      <c r="V711" s="15">
        <f t="shared" si="46"/>
        <v>723.3310085500093</v>
      </c>
    </row>
    <row r="712" spans="1:22" x14ac:dyDescent="0.3">
      <c r="A712">
        <v>9</v>
      </c>
      <c r="B712" s="85">
        <v>5.4</v>
      </c>
      <c r="C712" s="78">
        <v>45983</v>
      </c>
      <c r="D712" s="78">
        <v>45985</v>
      </c>
      <c r="E712">
        <v>52</v>
      </c>
      <c r="F712" t="s">
        <v>917</v>
      </c>
      <c r="G712" t="s">
        <v>922</v>
      </c>
      <c r="H712">
        <v>97</v>
      </c>
      <c r="I712">
        <v>29</v>
      </c>
      <c r="J712" t="s">
        <v>25</v>
      </c>
      <c r="K712" t="s">
        <v>1565</v>
      </c>
      <c r="M712" s="4">
        <v>744</v>
      </c>
      <c r="N712" s="4" t="s">
        <v>743</v>
      </c>
      <c r="O712" s="12">
        <v>46034.777638888889</v>
      </c>
      <c r="P712" s="5">
        <v>6.9054479999999998</v>
      </c>
      <c r="Q712" s="5">
        <v>107.24468068331693</v>
      </c>
      <c r="R712" s="13">
        <f t="shared" si="44"/>
        <v>6.9054479999999998</v>
      </c>
      <c r="S712" s="42">
        <f t="shared" si="47"/>
        <v>94.751102817962661</v>
      </c>
      <c r="T712" s="13">
        <v>0</v>
      </c>
      <c r="U712" s="14">
        <f t="shared" si="45"/>
        <v>107.24468068331693</v>
      </c>
      <c r="V712" s="15">
        <f t="shared" si="46"/>
        <v>654.29881345209458</v>
      </c>
    </row>
    <row r="713" spans="1:22" x14ac:dyDescent="0.3">
      <c r="A713">
        <v>9</v>
      </c>
      <c r="B713" s="85">
        <v>5.4</v>
      </c>
      <c r="C713" s="78">
        <v>45983</v>
      </c>
      <c r="D713" s="78">
        <v>45985</v>
      </c>
      <c r="E713">
        <v>50</v>
      </c>
      <c r="F713" t="s">
        <v>913</v>
      </c>
      <c r="G713" t="s">
        <v>926</v>
      </c>
      <c r="H713">
        <v>97</v>
      </c>
      <c r="I713">
        <v>30</v>
      </c>
      <c r="J713" t="s">
        <v>25</v>
      </c>
      <c r="K713" t="s">
        <v>1566</v>
      </c>
      <c r="M713" s="1">
        <v>745</v>
      </c>
      <c r="N713" s="1" t="s">
        <v>744</v>
      </c>
      <c r="O713" s="2">
        <v>46034.781377314815</v>
      </c>
      <c r="P713" s="3">
        <v>6.6167290000000003</v>
      </c>
      <c r="Q713" s="3">
        <v>148.73130261046717</v>
      </c>
      <c r="R713" s="13">
        <f t="shared" si="44"/>
        <v>6.6167290000000003</v>
      </c>
      <c r="S713" s="42">
        <f t="shared" si="47"/>
        <v>94.751102817962661</v>
      </c>
      <c r="T713" s="13">
        <v>0</v>
      </c>
      <c r="U713" s="14">
        <f t="shared" si="45"/>
        <v>148.73130261046717</v>
      </c>
      <c r="V713" s="15">
        <f t="shared" si="46"/>
        <v>626.94236979759523</v>
      </c>
    </row>
    <row r="714" spans="1:22" x14ac:dyDescent="0.3">
      <c r="A714">
        <v>9</v>
      </c>
      <c r="B714" s="85">
        <v>5.4</v>
      </c>
      <c r="C714" s="78">
        <v>45983</v>
      </c>
      <c r="D714" s="78">
        <v>45985</v>
      </c>
      <c r="E714">
        <v>53</v>
      </c>
      <c r="F714" t="s">
        <v>925</v>
      </c>
      <c r="G714" t="s">
        <v>930</v>
      </c>
      <c r="H714">
        <v>97</v>
      </c>
      <c r="I714">
        <v>31</v>
      </c>
      <c r="J714" t="s">
        <v>25</v>
      </c>
      <c r="K714" t="s">
        <v>1567</v>
      </c>
      <c r="M714" s="4">
        <v>746</v>
      </c>
      <c r="N714" s="4" t="s">
        <v>745</v>
      </c>
      <c r="O714" s="12">
        <v>46034.785115740742</v>
      </c>
      <c r="P714" s="5">
        <v>7.5744994999999999</v>
      </c>
      <c r="Q714" s="5">
        <v>70.22480354977364</v>
      </c>
      <c r="R714" s="13">
        <f t="shared" si="44"/>
        <v>7.5744994999999999</v>
      </c>
      <c r="S714" s="42">
        <f t="shared" si="47"/>
        <v>94.751102817962661</v>
      </c>
      <c r="T714" s="13">
        <v>0</v>
      </c>
      <c r="U714" s="14">
        <f t="shared" si="45"/>
        <v>70.22480354977364</v>
      </c>
      <c r="V714" s="15">
        <f t="shared" si="46"/>
        <v>717.6921809191067</v>
      </c>
    </row>
    <row r="715" spans="1:22" x14ac:dyDescent="0.3">
      <c r="A715">
        <v>9</v>
      </c>
      <c r="B715" s="85">
        <v>5.4</v>
      </c>
      <c r="C715" s="78">
        <v>45983</v>
      </c>
      <c r="D715" s="78">
        <v>45985</v>
      </c>
      <c r="E715">
        <v>51</v>
      </c>
      <c r="F715" t="s">
        <v>910</v>
      </c>
      <c r="G715" t="s">
        <v>933</v>
      </c>
      <c r="H715">
        <v>97</v>
      </c>
      <c r="I715">
        <v>32</v>
      </c>
      <c r="J715" t="s">
        <v>25</v>
      </c>
      <c r="K715" t="s">
        <v>1568</v>
      </c>
      <c r="M715" s="1">
        <v>747</v>
      </c>
      <c r="N715" s="1" t="s">
        <v>746</v>
      </c>
      <c r="O715" s="2">
        <v>46034.788865740738</v>
      </c>
      <c r="P715" s="3">
        <v>7.8152035</v>
      </c>
      <c r="Q715" s="3">
        <v>127.94006111057965</v>
      </c>
      <c r="R715" s="13">
        <f t="shared" si="44"/>
        <v>7.8152035</v>
      </c>
      <c r="S715" s="42">
        <f t="shared" si="47"/>
        <v>94.751102817962661</v>
      </c>
      <c r="T715" s="13">
        <v>0</v>
      </c>
      <c r="U715" s="14">
        <f t="shared" si="45"/>
        <v>127.94006111057965</v>
      </c>
      <c r="V715" s="15">
        <f t="shared" si="46"/>
        <v>740.49915037180165</v>
      </c>
    </row>
    <row r="716" spans="1:22" x14ac:dyDescent="0.3">
      <c r="A716">
        <v>9</v>
      </c>
      <c r="B716" s="86">
        <v>6.1</v>
      </c>
      <c r="C716" s="78">
        <v>45988</v>
      </c>
      <c r="D716" s="78">
        <v>45990</v>
      </c>
      <c r="E716">
        <v>53</v>
      </c>
      <c r="F716" t="s">
        <v>925</v>
      </c>
      <c r="G716" t="s">
        <v>907</v>
      </c>
      <c r="H716">
        <v>7</v>
      </c>
      <c r="I716">
        <v>1</v>
      </c>
      <c r="J716" t="s">
        <v>908</v>
      </c>
      <c r="K716" t="s">
        <v>1569</v>
      </c>
      <c r="M716" s="4">
        <v>748</v>
      </c>
      <c r="N716" s="4" t="s">
        <v>747</v>
      </c>
      <c r="O716" s="12">
        <v>46034.792650462965</v>
      </c>
      <c r="P716" s="5">
        <v>5.9964560000000002</v>
      </c>
      <c r="Q716" s="5">
        <v>-15.899073407802195</v>
      </c>
      <c r="R716" s="13">
        <f t="shared" si="44"/>
        <v>5.9964560000000002</v>
      </c>
      <c r="S716" s="42">
        <f t="shared" si="47"/>
        <v>94.751102817962661</v>
      </c>
      <c r="T716" s="13">
        <v>0</v>
      </c>
      <c r="U716" s="14">
        <f t="shared" si="45"/>
        <v>-15.899073407802195</v>
      </c>
      <c r="V716" s="15">
        <f t="shared" si="46"/>
        <v>568.1708189993891</v>
      </c>
    </row>
    <row r="717" spans="1:22" x14ac:dyDescent="0.3">
      <c r="A717">
        <v>9</v>
      </c>
      <c r="B717" s="86">
        <v>6.1</v>
      </c>
      <c r="C717" s="78">
        <v>45988</v>
      </c>
      <c r="D717" s="78">
        <v>45990</v>
      </c>
      <c r="E717">
        <v>49</v>
      </c>
      <c r="F717" t="s">
        <v>932</v>
      </c>
      <c r="G717" t="s">
        <v>15</v>
      </c>
      <c r="H717">
        <v>7</v>
      </c>
      <c r="I717">
        <v>2</v>
      </c>
      <c r="J717" t="s">
        <v>908</v>
      </c>
      <c r="K717" t="s">
        <v>1570</v>
      </c>
      <c r="M717" s="1">
        <v>749</v>
      </c>
      <c r="N717" s="1" t="s">
        <v>748</v>
      </c>
      <c r="O717" s="2">
        <v>46034.796400462961</v>
      </c>
      <c r="P717" s="3">
        <v>6.4499985000000004</v>
      </c>
      <c r="Q717" s="3">
        <v>-16.092158602356697</v>
      </c>
      <c r="R717" s="13">
        <f t="shared" si="44"/>
        <v>6.4499985000000004</v>
      </c>
      <c r="S717" s="42">
        <f t="shared" si="47"/>
        <v>94.751102817962661</v>
      </c>
      <c r="T717" s="13">
        <v>0</v>
      </c>
      <c r="U717" s="14">
        <f t="shared" si="45"/>
        <v>-16.092158602356697</v>
      </c>
      <c r="V717" s="15">
        <f t="shared" si="46"/>
        <v>611.14447104920498</v>
      </c>
    </row>
    <row r="718" spans="1:22" x14ac:dyDescent="0.3">
      <c r="A718">
        <v>9</v>
      </c>
      <c r="B718" s="86">
        <v>6.1</v>
      </c>
      <c r="C718" s="78">
        <v>45988</v>
      </c>
      <c r="D718" s="78">
        <v>45990</v>
      </c>
      <c r="E718">
        <v>55</v>
      </c>
      <c r="F718" t="s">
        <v>929</v>
      </c>
      <c r="G718" t="s">
        <v>914</v>
      </c>
      <c r="H718">
        <v>7</v>
      </c>
      <c r="I718">
        <v>3</v>
      </c>
      <c r="J718" t="s">
        <v>908</v>
      </c>
      <c r="K718" t="s">
        <v>1571</v>
      </c>
      <c r="M718" s="4">
        <v>750</v>
      </c>
      <c r="N718" s="4" t="s">
        <v>749</v>
      </c>
      <c r="O718" s="12">
        <v>46034.800138888888</v>
      </c>
      <c r="P718" s="5">
        <v>6.4894404999999997</v>
      </c>
      <c r="Q718" s="5">
        <v>-16.437463432896966</v>
      </c>
      <c r="R718" s="13">
        <f t="shared" si="44"/>
        <v>6.4894404999999997</v>
      </c>
      <c r="S718" s="42">
        <f t="shared" si="47"/>
        <v>94.751102817962661</v>
      </c>
      <c r="T718" s="13">
        <v>0</v>
      </c>
      <c r="U718" s="14">
        <f t="shared" si="45"/>
        <v>-16.437463432896966</v>
      </c>
      <c r="V718" s="15">
        <f t="shared" si="46"/>
        <v>614.88164404655095</v>
      </c>
    </row>
    <row r="719" spans="1:22" x14ac:dyDescent="0.3">
      <c r="A719">
        <v>9</v>
      </c>
      <c r="B719" s="86">
        <v>6.1</v>
      </c>
      <c r="C719" s="78">
        <v>45988</v>
      </c>
      <c r="D719" s="78">
        <v>45990</v>
      </c>
      <c r="E719">
        <v>54</v>
      </c>
      <c r="F719" t="s">
        <v>906</v>
      </c>
      <c r="G719" t="s">
        <v>918</v>
      </c>
      <c r="H719">
        <v>7</v>
      </c>
      <c r="I719">
        <v>4</v>
      </c>
      <c r="J719" t="s">
        <v>908</v>
      </c>
      <c r="K719" t="s">
        <v>1572</v>
      </c>
      <c r="M719" s="1">
        <v>751</v>
      </c>
      <c r="N719" s="1" t="s">
        <v>750</v>
      </c>
      <c r="O719" s="2">
        <v>46034.803865740738</v>
      </c>
      <c r="P719" s="3">
        <v>7.2153119999999999</v>
      </c>
      <c r="Q719" s="3">
        <v>-17.123953016635511</v>
      </c>
      <c r="R719" s="13">
        <f t="shared" si="44"/>
        <v>7.2153119999999999</v>
      </c>
      <c r="S719" s="42">
        <f t="shared" si="47"/>
        <v>94.751102817962661</v>
      </c>
      <c r="T719" s="13">
        <v>0</v>
      </c>
      <c r="U719" s="14">
        <f t="shared" si="45"/>
        <v>-17.123953016635511</v>
      </c>
      <c r="V719" s="15">
        <f t="shared" si="46"/>
        <v>683.65876917567982</v>
      </c>
    </row>
    <row r="720" spans="1:22" x14ac:dyDescent="0.3">
      <c r="A720">
        <v>10</v>
      </c>
      <c r="B720" s="86">
        <v>6.1</v>
      </c>
      <c r="C720" s="78">
        <v>45988</v>
      </c>
      <c r="D720" s="78">
        <v>45990</v>
      </c>
      <c r="E720">
        <v>50</v>
      </c>
      <c r="F720" t="s">
        <v>913</v>
      </c>
      <c r="G720" t="s">
        <v>922</v>
      </c>
      <c r="H720">
        <v>7</v>
      </c>
      <c r="I720">
        <v>5</v>
      </c>
      <c r="J720" t="s">
        <v>908</v>
      </c>
      <c r="K720" t="s">
        <v>1573</v>
      </c>
      <c r="M720" s="4">
        <v>752</v>
      </c>
      <c r="N720" s="4" t="s">
        <v>751</v>
      </c>
      <c r="O720" s="12">
        <v>46034.807581018518</v>
      </c>
      <c r="P720" s="5">
        <v>6.9674785000000004</v>
      </c>
      <c r="Q720" s="5">
        <v>-17.743897608004591</v>
      </c>
      <c r="R720" s="13">
        <f t="shared" si="44"/>
        <v>6.9674785000000004</v>
      </c>
      <c r="S720" s="42">
        <f t="shared" si="47"/>
        <v>94.751102817962661</v>
      </c>
      <c r="T720" s="13">
        <v>0</v>
      </c>
      <c r="U720" s="14">
        <f t="shared" si="45"/>
        <v>-17.743897608004591</v>
      </c>
      <c r="V720" s="15">
        <f t="shared" si="46"/>
        <v>660.17627173544429</v>
      </c>
    </row>
    <row r="721" spans="1:22" x14ac:dyDescent="0.3">
      <c r="A721">
        <v>10</v>
      </c>
      <c r="B721" s="86">
        <v>6.1</v>
      </c>
      <c r="C721" s="78">
        <v>45988</v>
      </c>
      <c r="D721" s="78">
        <v>45990</v>
      </c>
      <c r="E721">
        <v>51</v>
      </c>
      <c r="F721" t="s">
        <v>910</v>
      </c>
      <c r="G721" t="s">
        <v>926</v>
      </c>
      <c r="H721">
        <v>7</v>
      </c>
      <c r="I721">
        <v>6</v>
      </c>
      <c r="J721" t="s">
        <v>908</v>
      </c>
      <c r="K721" t="s">
        <v>1574</v>
      </c>
      <c r="M721" s="1">
        <v>753</v>
      </c>
      <c r="N721" s="1" t="s">
        <v>752</v>
      </c>
      <c r="O721" s="2">
        <v>46034.811307870368</v>
      </c>
      <c r="P721" s="3">
        <v>7.6993795</v>
      </c>
      <c r="Q721" s="3">
        <v>-18.350233186049376</v>
      </c>
      <c r="R721" s="13">
        <f t="shared" si="44"/>
        <v>7.6993795</v>
      </c>
      <c r="S721" s="42">
        <f t="shared" si="47"/>
        <v>94.751102817962661</v>
      </c>
      <c r="T721" s="13">
        <v>0</v>
      </c>
      <c r="U721" s="14">
        <f t="shared" si="45"/>
        <v>-18.350233186049376</v>
      </c>
      <c r="V721" s="15">
        <f t="shared" si="46"/>
        <v>729.52469863901399</v>
      </c>
    </row>
    <row r="722" spans="1:22" x14ac:dyDescent="0.3">
      <c r="A722">
        <v>10</v>
      </c>
      <c r="B722" s="86">
        <v>6.1</v>
      </c>
      <c r="C722" s="78">
        <v>45988</v>
      </c>
      <c r="D722" s="78">
        <v>45990</v>
      </c>
      <c r="E722">
        <v>56</v>
      </c>
      <c r="F722" t="s">
        <v>921</v>
      </c>
      <c r="G722" t="s">
        <v>930</v>
      </c>
      <c r="H722">
        <v>7</v>
      </c>
      <c r="I722">
        <v>7</v>
      </c>
      <c r="J722" t="s">
        <v>908</v>
      </c>
      <c r="K722" t="s">
        <v>1575</v>
      </c>
      <c r="M722" s="4">
        <v>754</v>
      </c>
      <c r="N722" s="4" t="s">
        <v>753</v>
      </c>
      <c r="O722" s="12">
        <v>46034.815046296295</v>
      </c>
      <c r="P722" s="5">
        <v>7.6461055</v>
      </c>
      <c r="Q722" s="5">
        <v>-17.8530112733994</v>
      </c>
      <c r="R722" s="13">
        <f t="shared" si="44"/>
        <v>7.6461055</v>
      </c>
      <c r="S722" s="42">
        <f t="shared" si="47"/>
        <v>94.751102817962661</v>
      </c>
      <c r="T722" s="13">
        <v>0</v>
      </c>
      <c r="U722" s="14">
        <f t="shared" si="45"/>
        <v>-17.8530112733994</v>
      </c>
      <c r="V722" s="15">
        <f t="shared" si="46"/>
        <v>724.47692838748981</v>
      </c>
    </row>
    <row r="723" spans="1:22" x14ac:dyDescent="0.3">
      <c r="A723">
        <v>10</v>
      </c>
      <c r="B723" s="86">
        <v>6.1</v>
      </c>
      <c r="C723" s="78">
        <v>45988</v>
      </c>
      <c r="D723" s="78">
        <v>45990</v>
      </c>
      <c r="E723">
        <v>52</v>
      </c>
      <c r="F723" t="s">
        <v>917</v>
      </c>
      <c r="G723" t="s">
        <v>933</v>
      </c>
      <c r="H723">
        <v>7</v>
      </c>
      <c r="I723">
        <v>8</v>
      </c>
      <c r="J723" t="s">
        <v>908</v>
      </c>
      <c r="K723" t="s">
        <v>1576</v>
      </c>
      <c r="M723" s="1">
        <v>755</v>
      </c>
      <c r="N723" s="1" t="s">
        <v>754</v>
      </c>
      <c r="O723" s="2">
        <v>46034.818773148145</v>
      </c>
      <c r="P723" s="3">
        <v>7.1830769999999999</v>
      </c>
      <c r="Q723" s="3">
        <v>-18.413155409591131</v>
      </c>
      <c r="R723" s="13">
        <f t="shared" si="44"/>
        <v>7.1830769999999999</v>
      </c>
      <c r="S723" s="42">
        <f t="shared" si="47"/>
        <v>94.751102817962661</v>
      </c>
      <c r="T723" s="13">
        <v>0</v>
      </c>
      <c r="U723" s="14">
        <f t="shared" si="45"/>
        <v>-18.413155409591131</v>
      </c>
      <c r="V723" s="15">
        <f t="shared" si="46"/>
        <v>680.60446737634277</v>
      </c>
    </row>
    <row r="724" spans="1:22" x14ac:dyDescent="0.3">
      <c r="A724">
        <v>10</v>
      </c>
      <c r="B724" s="86">
        <v>6.1</v>
      </c>
      <c r="C724" s="78">
        <v>45988</v>
      </c>
      <c r="D724" s="78">
        <v>45990</v>
      </c>
      <c r="E724">
        <v>53</v>
      </c>
      <c r="F724" t="s">
        <v>925</v>
      </c>
      <c r="G724" t="s">
        <v>907</v>
      </c>
      <c r="H724">
        <v>7</v>
      </c>
      <c r="I724">
        <v>9</v>
      </c>
      <c r="J724" t="s">
        <v>935</v>
      </c>
      <c r="K724" t="s">
        <v>1577</v>
      </c>
      <c r="M724" s="4">
        <v>756</v>
      </c>
      <c r="N724" s="4" t="s">
        <v>755</v>
      </c>
      <c r="O724" s="12">
        <v>46034.822511574072</v>
      </c>
      <c r="P724" s="5">
        <v>6.2509259999999998</v>
      </c>
      <c r="Q724" s="5">
        <v>-8.0514053980345448</v>
      </c>
      <c r="R724" s="13">
        <f t="shared" si="44"/>
        <v>6.2509259999999998</v>
      </c>
      <c r="S724" s="42">
        <f t="shared" si="47"/>
        <v>94.751102817962661</v>
      </c>
      <c r="T724" s="13">
        <v>0</v>
      </c>
      <c r="U724" s="14">
        <f t="shared" si="45"/>
        <v>-8.0514053980345448</v>
      </c>
      <c r="V724" s="15">
        <f t="shared" si="46"/>
        <v>592.28213213347601</v>
      </c>
    </row>
    <row r="725" spans="1:22" x14ac:dyDescent="0.3">
      <c r="A725">
        <v>10</v>
      </c>
      <c r="B725" s="86">
        <v>6.1</v>
      </c>
      <c r="C725" s="78">
        <v>45988</v>
      </c>
      <c r="D725" s="78">
        <v>45990</v>
      </c>
      <c r="E725">
        <v>49</v>
      </c>
      <c r="F725" t="s">
        <v>932</v>
      </c>
      <c r="G725" t="s">
        <v>15</v>
      </c>
      <c r="H725">
        <v>7</v>
      </c>
      <c r="I725">
        <v>10</v>
      </c>
      <c r="J725" t="s">
        <v>935</v>
      </c>
      <c r="K725" t="s">
        <v>1578</v>
      </c>
      <c r="M725" s="1">
        <v>757</v>
      </c>
      <c r="N725" s="1" t="s">
        <v>756</v>
      </c>
      <c r="O725" s="2">
        <v>46034.826215277775</v>
      </c>
      <c r="P725" s="3">
        <v>6.7117950000000004</v>
      </c>
      <c r="Q725" s="3">
        <v>-13.984751162474925</v>
      </c>
      <c r="R725" s="13">
        <f t="shared" si="44"/>
        <v>6.7117950000000004</v>
      </c>
      <c r="S725" s="42">
        <f t="shared" si="47"/>
        <v>94.751102817962661</v>
      </c>
      <c r="T725" s="13">
        <v>0</v>
      </c>
      <c r="U725" s="14">
        <f t="shared" si="45"/>
        <v>-13.984751162474925</v>
      </c>
      <c r="V725" s="15">
        <f t="shared" si="46"/>
        <v>635.94997813808777</v>
      </c>
    </row>
    <row r="726" spans="1:22" x14ac:dyDescent="0.3">
      <c r="A726">
        <v>10</v>
      </c>
      <c r="B726" s="86">
        <v>6.1</v>
      </c>
      <c r="C726" s="78">
        <v>45988</v>
      </c>
      <c r="D726" s="78">
        <v>45990</v>
      </c>
      <c r="E726">
        <v>55</v>
      </c>
      <c r="F726" t="s">
        <v>929</v>
      </c>
      <c r="G726" t="s">
        <v>914</v>
      </c>
      <c r="H726">
        <v>7</v>
      </c>
      <c r="I726">
        <v>11</v>
      </c>
      <c r="J726" t="s">
        <v>935</v>
      </c>
      <c r="K726" t="s">
        <v>1579</v>
      </c>
      <c r="M726" s="4">
        <v>758</v>
      </c>
      <c r="N726" s="4" t="s">
        <v>757</v>
      </c>
      <c r="O726" s="12">
        <v>46034.830034722225</v>
      </c>
      <c r="P726" s="5">
        <v>6.2423145</v>
      </c>
      <c r="Q726" s="5">
        <v>-8.7899655458088244</v>
      </c>
      <c r="R726" s="13">
        <f t="shared" si="44"/>
        <v>6.2423145</v>
      </c>
      <c r="S726" s="42">
        <f t="shared" si="47"/>
        <v>94.751102817962661</v>
      </c>
      <c r="T726" s="13">
        <v>0</v>
      </c>
      <c r="U726" s="14">
        <f t="shared" si="45"/>
        <v>-8.7899655458088244</v>
      </c>
      <c r="V726" s="15">
        <f t="shared" si="46"/>
        <v>591.46618301155922</v>
      </c>
    </row>
    <row r="727" spans="1:22" x14ac:dyDescent="0.3">
      <c r="A727">
        <v>10</v>
      </c>
      <c r="B727" s="86">
        <v>6.1</v>
      </c>
      <c r="C727" s="78">
        <v>45988</v>
      </c>
      <c r="D727" s="78">
        <v>45990</v>
      </c>
      <c r="E727">
        <v>54</v>
      </c>
      <c r="F727" t="s">
        <v>906</v>
      </c>
      <c r="G727" t="s">
        <v>918</v>
      </c>
      <c r="H727">
        <v>7</v>
      </c>
      <c r="I727">
        <v>12</v>
      </c>
      <c r="J727" t="s">
        <v>935</v>
      </c>
      <c r="K727" t="s">
        <v>1580</v>
      </c>
      <c r="M727" s="1">
        <v>759</v>
      </c>
      <c r="N727" s="1" t="s">
        <v>758</v>
      </c>
      <c r="O727" s="2">
        <v>46034.833784722221</v>
      </c>
      <c r="P727" s="3">
        <v>7.0382654999999996</v>
      </c>
      <c r="Q727" s="3">
        <v>-7.3377821887678998</v>
      </c>
      <c r="R727" s="13">
        <f t="shared" si="44"/>
        <v>7.0382654999999996</v>
      </c>
      <c r="S727" s="42">
        <f t="shared" si="47"/>
        <v>94.751102817962661</v>
      </c>
      <c r="T727" s="13">
        <v>0</v>
      </c>
      <c r="U727" s="14">
        <f t="shared" si="45"/>
        <v>-7.3377821887678998</v>
      </c>
      <c r="V727" s="15">
        <f t="shared" si="46"/>
        <v>666.8834180506193</v>
      </c>
    </row>
    <row r="728" spans="1:22" x14ac:dyDescent="0.3">
      <c r="A728">
        <v>10</v>
      </c>
      <c r="B728" s="86">
        <v>6.1</v>
      </c>
      <c r="C728" s="78">
        <v>45988</v>
      </c>
      <c r="D728" s="78">
        <v>45990</v>
      </c>
      <c r="E728">
        <v>50</v>
      </c>
      <c r="F728" t="s">
        <v>913</v>
      </c>
      <c r="G728" t="s">
        <v>922</v>
      </c>
      <c r="H728">
        <v>7</v>
      </c>
      <c r="I728">
        <v>13</v>
      </c>
      <c r="J728" t="s">
        <v>935</v>
      </c>
      <c r="K728" t="s">
        <v>1581</v>
      </c>
      <c r="M728" s="4">
        <v>760</v>
      </c>
      <c r="N728" s="4" t="s">
        <v>759</v>
      </c>
      <c r="O728" s="12">
        <v>46034.837511574071</v>
      </c>
      <c r="P728" s="5">
        <v>6.5136139999999996</v>
      </c>
      <c r="Q728" s="5">
        <v>-13.206908491426704</v>
      </c>
      <c r="R728" s="13">
        <f t="shared" si="44"/>
        <v>6.5136139999999996</v>
      </c>
      <c r="S728" s="42">
        <f t="shared" si="47"/>
        <v>94.751102817962661</v>
      </c>
      <c r="T728" s="13">
        <v>0</v>
      </c>
      <c r="U728" s="14">
        <f t="shared" si="45"/>
        <v>-13.206908491426704</v>
      </c>
      <c r="V728" s="15">
        <f t="shared" si="46"/>
        <v>617.17210983052098</v>
      </c>
    </row>
    <row r="729" spans="1:22" x14ac:dyDescent="0.3">
      <c r="A729">
        <v>10</v>
      </c>
      <c r="B729" s="86">
        <v>6.1</v>
      </c>
      <c r="C729" s="78">
        <v>45988</v>
      </c>
      <c r="D729" s="78">
        <v>45990</v>
      </c>
      <c r="E729">
        <v>51</v>
      </c>
      <c r="F729" t="s">
        <v>910</v>
      </c>
      <c r="G729" t="s">
        <v>926</v>
      </c>
      <c r="H729">
        <v>7</v>
      </c>
      <c r="I729">
        <v>14</v>
      </c>
      <c r="J729" t="s">
        <v>935</v>
      </c>
      <c r="K729" t="s">
        <v>1582</v>
      </c>
      <c r="M729" s="1">
        <v>761</v>
      </c>
      <c r="N729" s="1" t="s">
        <v>760</v>
      </c>
      <c r="O729" s="2">
        <v>46034.841249999998</v>
      </c>
      <c r="P729" s="3">
        <v>7.1604510000000001</v>
      </c>
      <c r="Q729" s="3">
        <v>-16.078011529491025</v>
      </c>
      <c r="R729" s="13">
        <f t="shared" si="44"/>
        <v>7.1604510000000001</v>
      </c>
      <c r="S729" s="42">
        <f t="shared" si="47"/>
        <v>94.751102817962661</v>
      </c>
      <c r="T729" s="13">
        <v>0</v>
      </c>
      <c r="U729" s="14">
        <f t="shared" si="45"/>
        <v>-16.078011529491025</v>
      </c>
      <c r="V729" s="15">
        <f t="shared" si="46"/>
        <v>678.46062892398356</v>
      </c>
    </row>
    <row r="730" spans="1:22" x14ac:dyDescent="0.3">
      <c r="A730">
        <v>10</v>
      </c>
      <c r="B730" s="86">
        <v>6.1</v>
      </c>
      <c r="C730" s="78">
        <v>45988</v>
      </c>
      <c r="D730" s="78">
        <v>45990</v>
      </c>
      <c r="E730">
        <v>56</v>
      </c>
      <c r="F730" t="s">
        <v>921</v>
      </c>
      <c r="G730" t="s">
        <v>930</v>
      </c>
      <c r="H730">
        <v>7</v>
      </c>
      <c r="I730">
        <v>15</v>
      </c>
      <c r="J730" t="s">
        <v>935</v>
      </c>
      <c r="K730" t="s">
        <v>1583</v>
      </c>
      <c r="M730" s="4">
        <v>762</v>
      </c>
      <c r="N730" s="4" t="s">
        <v>761</v>
      </c>
      <c r="O730" s="12">
        <v>46034.844965277778</v>
      </c>
      <c r="P730" s="5">
        <v>7.6064784999999997</v>
      </c>
      <c r="Q730" s="5">
        <v>-13.091142437548022</v>
      </c>
      <c r="R730" s="13">
        <f t="shared" si="44"/>
        <v>7.6064784999999997</v>
      </c>
      <c r="S730" s="42">
        <f t="shared" si="47"/>
        <v>94.751102817962661</v>
      </c>
      <c r="T730" s="13">
        <v>0</v>
      </c>
      <c r="U730" s="14">
        <f t="shared" si="45"/>
        <v>-13.091142437548022</v>
      </c>
      <c r="V730" s="15">
        <f t="shared" si="46"/>
        <v>720.72222643612236</v>
      </c>
    </row>
    <row r="731" spans="1:22" x14ac:dyDescent="0.3">
      <c r="A731">
        <v>10</v>
      </c>
      <c r="B731" s="86">
        <v>6.1</v>
      </c>
      <c r="C731" s="78">
        <v>45988</v>
      </c>
      <c r="D731" s="78">
        <v>45990</v>
      </c>
      <c r="E731">
        <v>52</v>
      </c>
      <c r="F731" t="s">
        <v>917</v>
      </c>
      <c r="G731" t="s">
        <v>933</v>
      </c>
      <c r="H731">
        <v>7</v>
      </c>
      <c r="I731">
        <v>16</v>
      </c>
      <c r="J731" t="s">
        <v>935</v>
      </c>
      <c r="K731" t="s">
        <v>1584</v>
      </c>
      <c r="M731" s="1">
        <v>763</v>
      </c>
      <c r="N731" s="1" t="s">
        <v>762</v>
      </c>
      <c r="O731" s="2">
        <v>46034.848726851851</v>
      </c>
      <c r="P731" s="3">
        <v>6.7871750000000004</v>
      </c>
      <c r="Q731" s="3">
        <v>-14.724273633074739</v>
      </c>
      <c r="R731" s="13">
        <f t="shared" si="44"/>
        <v>6.7871750000000004</v>
      </c>
      <c r="S731" s="42">
        <f t="shared" si="47"/>
        <v>94.751102817962661</v>
      </c>
      <c r="T731" s="13">
        <v>0</v>
      </c>
      <c r="U731" s="14">
        <f t="shared" si="45"/>
        <v>-14.724273633074739</v>
      </c>
      <c r="V731" s="15">
        <f t="shared" si="46"/>
        <v>643.09231626850578</v>
      </c>
    </row>
    <row r="732" spans="1:22" x14ac:dyDescent="0.3">
      <c r="A732">
        <v>10</v>
      </c>
      <c r="B732" s="86">
        <v>6.1</v>
      </c>
      <c r="C732" s="78">
        <v>45988</v>
      </c>
      <c r="D732" s="78">
        <v>45990</v>
      </c>
      <c r="E732">
        <v>53</v>
      </c>
      <c r="F732" t="s">
        <v>925</v>
      </c>
      <c r="G732" t="s">
        <v>907</v>
      </c>
      <c r="H732">
        <v>7</v>
      </c>
      <c r="I732">
        <v>17</v>
      </c>
      <c r="J732" t="s">
        <v>24</v>
      </c>
      <c r="K732" t="s">
        <v>1585</v>
      </c>
      <c r="M732" s="4">
        <v>764</v>
      </c>
      <c r="N732" s="4" t="s">
        <v>763</v>
      </c>
      <c r="O732" s="12">
        <v>46034.852465277778</v>
      </c>
      <c r="P732" s="5">
        <v>6.9496840000000004</v>
      </c>
      <c r="Q732" s="5">
        <v>-3.3543381815800162</v>
      </c>
      <c r="R732" s="13">
        <f t="shared" si="44"/>
        <v>6.9496840000000004</v>
      </c>
      <c r="S732" s="42">
        <f t="shared" si="47"/>
        <v>94.751102817962661</v>
      </c>
      <c r="T732" s="13">
        <v>0</v>
      </c>
      <c r="U732" s="14">
        <f t="shared" si="45"/>
        <v>-3.3543381815800162</v>
      </c>
      <c r="V732" s="15">
        <f t="shared" si="46"/>
        <v>658.49022323635006</v>
      </c>
    </row>
    <row r="733" spans="1:22" x14ac:dyDescent="0.3">
      <c r="A733">
        <v>10</v>
      </c>
      <c r="B733" s="86">
        <v>6.1</v>
      </c>
      <c r="C733" s="78">
        <v>45988</v>
      </c>
      <c r="D733" s="78">
        <v>45990</v>
      </c>
      <c r="E733">
        <v>49</v>
      </c>
      <c r="F733" t="s">
        <v>932</v>
      </c>
      <c r="G733" t="s">
        <v>15</v>
      </c>
      <c r="H733">
        <v>7</v>
      </c>
      <c r="I733">
        <v>18</v>
      </c>
      <c r="J733" t="s">
        <v>24</v>
      </c>
      <c r="K733" t="s">
        <v>1586</v>
      </c>
      <c r="M733" s="1">
        <v>765</v>
      </c>
      <c r="N733" s="1" t="s">
        <v>764</v>
      </c>
      <c r="O733" s="2">
        <v>46034.856215277781</v>
      </c>
      <c r="P733" s="3">
        <v>6.2564029999999997</v>
      </c>
      <c r="Q733" s="3">
        <v>-9.3554301877847248</v>
      </c>
      <c r="R733" s="13">
        <f t="shared" si="44"/>
        <v>6.2564029999999997</v>
      </c>
      <c r="S733" s="42">
        <f t="shared" si="47"/>
        <v>94.751102817962661</v>
      </c>
      <c r="T733" s="13">
        <v>0</v>
      </c>
      <c r="U733" s="14">
        <f t="shared" si="45"/>
        <v>-9.3554301877847248</v>
      </c>
      <c r="V733" s="15">
        <f t="shared" si="46"/>
        <v>592.80108392361001</v>
      </c>
    </row>
    <row r="734" spans="1:22" x14ac:dyDescent="0.3">
      <c r="A734">
        <v>10</v>
      </c>
      <c r="B734" s="86">
        <v>6.1</v>
      </c>
      <c r="C734" s="78">
        <v>45988</v>
      </c>
      <c r="D734" s="78">
        <v>45990</v>
      </c>
      <c r="E734">
        <v>55</v>
      </c>
      <c r="F734" t="s">
        <v>929</v>
      </c>
      <c r="G734" t="s">
        <v>914</v>
      </c>
      <c r="H734">
        <v>7</v>
      </c>
      <c r="I734">
        <v>19</v>
      </c>
      <c r="J734" t="s">
        <v>24</v>
      </c>
      <c r="K734" t="s">
        <v>1587</v>
      </c>
      <c r="M734" s="4">
        <v>766</v>
      </c>
      <c r="N734" s="4" t="s">
        <v>765</v>
      </c>
      <c r="O734" s="12">
        <v>46034.859976851854</v>
      </c>
      <c r="P734" s="5">
        <v>6.7884830000000003</v>
      </c>
      <c r="Q734" s="5">
        <v>-3.7775770678385139</v>
      </c>
      <c r="R734" s="13">
        <f t="shared" si="44"/>
        <v>6.7884830000000003</v>
      </c>
      <c r="S734" s="42">
        <f t="shared" si="47"/>
        <v>94.751102817962661</v>
      </c>
      <c r="T734" s="13">
        <v>0</v>
      </c>
      <c r="U734" s="14">
        <f t="shared" si="45"/>
        <v>-3.7775770678385139</v>
      </c>
      <c r="V734" s="15">
        <f t="shared" si="46"/>
        <v>643.21625071099163</v>
      </c>
    </row>
    <row r="735" spans="1:22" x14ac:dyDescent="0.3">
      <c r="A735">
        <v>10</v>
      </c>
      <c r="B735" s="86">
        <v>6.1</v>
      </c>
      <c r="C735" s="78">
        <v>45988</v>
      </c>
      <c r="D735" s="78">
        <v>45990</v>
      </c>
      <c r="E735">
        <v>54</v>
      </c>
      <c r="F735" t="s">
        <v>906</v>
      </c>
      <c r="G735" t="s">
        <v>918</v>
      </c>
      <c r="H735">
        <v>7</v>
      </c>
      <c r="I735">
        <v>20</v>
      </c>
      <c r="J735" t="s">
        <v>24</v>
      </c>
      <c r="K735" t="s">
        <v>1588</v>
      </c>
      <c r="M735" s="1">
        <v>767</v>
      </c>
      <c r="N735" s="1" t="s">
        <v>766</v>
      </c>
      <c r="O735" s="2">
        <v>46034.86377314815</v>
      </c>
      <c r="P735" s="3">
        <v>6.7867059999999997</v>
      </c>
      <c r="Q735" s="3">
        <v>0.86244062291276624</v>
      </c>
      <c r="R735" s="13">
        <f t="shared" si="44"/>
        <v>6.7867059999999997</v>
      </c>
      <c r="S735" s="42">
        <f t="shared" si="47"/>
        <v>94.751102817962661</v>
      </c>
      <c r="T735" s="13">
        <v>0</v>
      </c>
      <c r="U735" s="14">
        <f t="shared" si="45"/>
        <v>0.86244062291276624</v>
      </c>
      <c r="V735" s="15">
        <f t="shared" si="46"/>
        <v>643.04787800128406</v>
      </c>
    </row>
    <row r="736" spans="1:22" x14ac:dyDescent="0.3">
      <c r="A736">
        <v>10</v>
      </c>
      <c r="B736" s="86">
        <v>6.1</v>
      </c>
      <c r="C736" s="78">
        <v>45988</v>
      </c>
      <c r="D736" s="78">
        <v>45990</v>
      </c>
      <c r="E736">
        <v>50</v>
      </c>
      <c r="F736" t="s">
        <v>913</v>
      </c>
      <c r="G736" t="s">
        <v>922</v>
      </c>
      <c r="H736">
        <v>7</v>
      </c>
      <c r="I736">
        <v>21</v>
      </c>
      <c r="J736" t="s">
        <v>24</v>
      </c>
      <c r="K736" t="s">
        <v>1589</v>
      </c>
      <c r="M736" s="4">
        <v>768</v>
      </c>
      <c r="N736" s="4" t="s">
        <v>767</v>
      </c>
      <c r="O736" s="12">
        <v>46034.867511574077</v>
      </c>
      <c r="P736" s="5">
        <v>6.4428615000000002</v>
      </c>
      <c r="Q736" s="5">
        <v>-9.2389638140640944</v>
      </c>
      <c r="R736" s="13">
        <f t="shared" si="44"/>
        <v>6.4428615000000002</v>
      </c>
      <c r="S736" s="42">
        <f t="shared" si="47"/>
        <v>94.751102817962661</v>
      </c>
      <c r="T736" s="13">
        <v>0</v>
      </c>
      <c r="U736" s="14">
        <f t="shared" si="45"/>
        <v>-9.2389638140640944</v>
      </c>
      <c r="V736" s="15">
        <f t="shared" si="46"/>
        <v>610.46823242839321</v>
      </c>
    </row>
    <row r="737" spans="1:22" x14ac:dyDescent="0.3">
      <c r="A737">
        <v>10</v>
      </c>
      <c r="B737" s="86">
        <v>6.1</v>
      </c>
      <c r="C737" s="78">
        <v>45988</v>
      </c>
      <c r="D737" s="78">
        <v>45990</v>
      </c>
      <c r="E737">
        <v>51</v>
      </c>
      <c r="F737" t="s">
        <v>910</v>
      </c>
      <c r="G737" t="s">
        <v>926</v>
      </c>
      <c r="H737">
        <v>7</v>
      </c>
      <c r="I737">
        <v>22</v>
      </c>
      <c r="J737" t="s">
        <v>24</v>
      </c>
      <c r="K737" t="s">
        <v>1590</v>
      </c>
      <c r="M737" s="1">
        <v>769</v>
      </c>
      <c r="N737" s="1" t="s">
        <v>768</v>
      </c>
      <c r="O737" s="2">
        <v>46034.871261574073</v>
      </c>
      <c r="P737" s="3">
        <v>6.9982435000000001</v>
      </c>
      <c r="Q737" s="3">
        <v>-13.922227642715383</v>
      </c>
      <c r="R737" s="13">
        <f t="shared" si="44"/>
        <v>6.9982435000000001</v>
      </c>
      <c r="S737" s="42">
        <f t="shared" si="47"/>
        <v>94.751102817962661</v>
      </c>
      <c r="T737" s="13">
        <v>0</v>
      </c>
      <c r="U737" s="14">
        <f t="shared" si="45"/>
        <v>-13.922227642715383</v>
      </c>
      <c r="V737" s="15">
        <f t="shared" si="46"/>
        <v>663.09128941363883</v>
      </c>
    </row>
    <row r="738" spans="1:22" x14ac:dyDescent="0.3">
      <c r="A738">
        <v>10</v>
      </c>
      <c r="B738" s="86">
        <v>6.1</v>
      </c>
      <c r="C738" s="78">
        <v>45988</v>
      </c>
      <c r="D738" s="78">
        <v>45990</v>
      </c>
      <c r="E738">
        <v>56</v>
      </c>
      <c r="F738" t="s">
        <v>921</v>
      </c>
      <c r="G738" t="s">
        <v>930</v>
      </c>
      <c r="H738">
        <v>7</v>
      </c>
      <c r="I738">
        <v>23</v>
      </c>
      <c r="J738" t="s">
        <v>24</v>
      </c>
      <c r="K738" t="s">
        <v>1591</v>
      </c>
      <c r="M738" s="4">
        <v>770</v>
      </c>
      <c r="N738" s="4" t="s">
        <v>769</v>
      </c>
      <c r="O738" s="12">
        <v>46034.875023148146</v>
      </c>
      <c r="P738" s="5">
        <v>7.4275824999999998</v>
      </c>
      <c r="Q738" s="5">
        <v>-8.8156240652976425</v>
      </c>
      <c r="R738" s="13">
        <f t="shared" si="44"/>
        <v>7.4275824999999998</v>
      </c>
      <c r="S738" s="42">
        <f t="shared" si="47"/>
        <v>94.751102817962661</v>
      </c>
      <c r="T738" s="13">
        <v>0</v>
      </c>
      <c r="U738" s="14">
        <f t="shared" si="45"/>
        <v>-8.8156240652976425</v>
      </c>
      <c r="V738" s="15">
        <f t="shared" si="46"/>
        <v>703.77163314640018</v>
      </c>
    </row>
    <row r="739" spans="1:22" x14ac:dyDescent="0.3">
      <c r="A739">
        <v>10</v>
      </c>
      <c r="B739" s="86">
        <v>6.1</v>
      </c>
      <c r="C739" s="78">
        <v>45988</v>
      </c>
      <c r="D739" s="78">
        <v>45990</v>
      </c>
      <c r="E739">
        <v>52</v>
      </c>
      <c r="F739" t="s">
        <v>917</v>
      </c>
      <c r="G739" t="s">
        <v>933</v>
      </c>
      <c r="H739">
        <v>7</v>
      </c>
      <c r="I739">
        <v>24</v>
      </c>
      <c r="J739" t="s">
        <v>24</v>
      </c>
      <c r="K739" t="s">
        <v>1592</v>
      </c>
      <c r="M739" s="1">
        <v>771</v>
      </c>
      <c r="N739" s="1" t="s">
        <v>770</v>
      </c>
      <c r="O739" s="2">
        <v>46034.878796296296</v>
      </c>
      <c r="P739" s="3">
        <v>6.8709705000000003</v>
      </c>
      <c r="Q739" s="3">
        <v>-13.076593156407251</v>
      </c>
      <c r="R739" s="13">
        <f t="shared" si="44"/>
        <v>6.8709705000000003</v>
      </c>
      <c r="S739" s="42">
        <f t="shared" si="47"/>
        <v>94.751102817962661</v>
      </c>
      <c r="T739" s="13">
        <v>0</v>
      </c>
      <c r="U739" s="14">
        <f t="shared" si="45"/>
        <v>-13.076593156407251</v>
      </c>
      <c r="V739" s="15">
        <f t="shared" si="46"/>
        <v>651.0320323046883</v>
      </c>
    </row>
    <row r="740" spans="1:22" x14ac:dyDescent="0.3">
      <c r="A740">
        <v>10</v>
      </c>
      <c r="B740" s="86">
        <v>6.1</v>
      </c>
      <c r="C740" s="78">
        <v>45988</v>
      </c>
      <c r="D740" s="78">
        <v>45990</v>
      </c>
      <c r="E740">
        <v>53</v>
      </c>
      <c r="F740" t="s">
        <v>925</v>
      </c>
      <c r="G740" t="s">
        <v>907</v>
      </c>
      <c r="H740">
        <v>7</v>
      </c>
      <c r="I740">
        <v>25</v>
      </c>
      <c r="J740" t="s">
        <v>25</v>
      </c>
      <c r="K740" t="s">
        <v>1593</v>
      </c>
      <c r="M740" s="4">
        <v>772</v>
      </c>
      <c r="N740" s="4" t="s">
        <v>771</v>
      </c>
      <c r="O740" s="12">
        <v>46034.8825462963</v>
      </c>
      <c r="P740" s="5">
        <v>6.6254225</v>
      </c>
      <c r="Q740" s="5">
        <v>4.0656586417991569</v>
      </c>
      <c r="R740" s="13">
        <f t="shared" si="44"/>
        <v>6.6254225</v>
      </c>
      <c r="S740" s="42">
        <f t="shared" si="47"/>
        <v>94.751102817962661</v>
      </c>
      <c r="T740" s="13">
        <v>0</v>
      </c>
      <c r="U740" s="14">
        <f t="shared" si="45"/>
        <v>4.0656586417991569</v>
      </c>
      <c r="V740" s="15">
        <f t="shared" si="46"/>
        <v>627.76608850994319</v>
      </c>
    </row>
    <row r="741" spans="1:22" x14ac:dyDescent="0.3">
      <c r="A741">
        <v>10</v>
      </c>
      <c r="B741" s="86">
        <v>6.1</v>
      </c>
      <c r="C741" s="78">
        <v>45988</v>
      </c>
      <c r="D741" s="78">
        <v>45990</v>
      </c>
      <c r="E741">
        <v>49</v>
      </c>
      <c r="F741" t="s">
        <v>932</v>
      </c>
      <c r="G741" t="s">
        <v>15</v>
      </c>
      <c r="H741">
        <v>7</v>
      </c>
      <c r="I741">
        <v>26</v>
      </c>
      <c r="J741" t="s">
        <v>25</v>
      </c>
      <c r="K741" t="s">
        <v>1594</v>
      </c>
      <c r="M741" s="1">
        <v>773</v>
      </c>
      <c r="N741" s="1" t="s">
        <v>772</v>
      </c>
      <c r="O741" s="2">
        <v>46034.886284722219</v>
      </c>
      <c r="P741" s="3">
        <v>6.8084614999999999</v>
      </c>
      <c r="Q741" s="3">
        <v>-9.7941776775234217</v>
      </c>
      <c r="R741" s="13">
        <f t="shared" si="44"/>
        <v>6.8084614999999999</v>
      </c>
      <c r="S741" s="42">
        <f t="shared" si="47"/>
        <v>94.751102817962661</v>
      </c>
      <c r="T741" s="13">
        <v>0</v>
      </c>
      <c r="U741" s="14">
        <f t="shared" si="45"/>
        <v>-9.7941776775234217</v>
      </c>
      <c r="V741" s="15">
        <f t="shared" si="46"/>
        <v>645.10923561864024</v>
      </c>
    </row>
    <row r="742" spans="1:22" x14ac:dyDescent="0.3">
      <c r="A742">
        <v>10</v>
      </c>
      <c r="B742" s="86">
        <v>6.1</v>
      </c>
      <c r="C742" s="78">
        <v>45988</v>
      </c>
      <c r="D742" s="78">
        <v>45990</v>
      </c>
      <c r="E742">
        <v>55</v>
      </c>
      <c r="F742" t="s">
        <v>929</v>
      </c>
      <c r="G742" t="s">
        <v>914</v>
      </c>
      <c r="H742">
        <v>7</v>
      </c>
      <c r="I742">
        <v>27</v>
      </c>
      <c r="J742" t="s">
        <v>25</v>
      </c>
      <c r="K742" t="s">
        <v>1595</v>
      </c>
      <c r="M742" s="4">
        <v>774</v>
      </c>
      <c r="N742" s="4" t="s">
        <v>773</v>
      </c>
      <c r="O742" s="12">
        <v>46034.890092592592</v>
      </c>
      <c r="P742" s="5">
        <v>6.9754810000000003</v>
      </c>
      <c r="Q742" s="5">
        <v>0.86048405378401327</v>
      </c>
      <c r="R742" s="13">
        <f t="shared" si="44"/>
        <v>6.9754810000000003</v>
      </c>
      <c r="S742" s="42">
        <f t="shared" si="47"/>
        <v>94.751102817962661</v>
      </c>
      <c r="T742" s="13">
        <v>0</v>
      </c>
      <c r="U742" s="14">
        <f t="shared" si="45"/>
        <v>0.86048405378401327</v>
      </c>
      <c r="V742" s="15">
        <f t="shared" si="46"/>
        <v>660.93451743574508</v>
      </c>
    </row>
    <row r="743" spans="1:22" x14ac:dyDescent="0.3">
      <c r="A743">
        <v>10</v>
      </c>
      <c r="B743" s="86">
        <v>6.1</v>
      </c>
      <c r="C743" s="78">
        <v>45988</v>
      </c>
      <c r="D743" s="78">
        <v>45990</v>
      </c>
      <c r="E743">
        <v>54</v>
      </c>
      <c r="F743" t="s">
        <v>906</v>
      </c>
      <c r="G743" t="s">
        <v>918</v>
      </c>
      <c r="H743">
        <v>7</v>
      </c>
      <c r="I743">
        <v>28</v>
      </c>
      <c r="J743" t="s">
        <v>25</v>
      </c>
      <c r="K743" t="s">
        <v>1596</v>
      </c>
      <c r="M743" s="1">
        <v>775</v>
      </c>
      <c r="N743" s="1" t="s">
        <v>774</v>
      </c>
      <c r="O743" s="2">
        <v>46034.893877314818</v>
      </c>
      <c r="P743" s="3">
        <v>6.9712350000000001</v>
      </c>
      <c r="Q743" s="3">
        <v>6.204645620356473</v>
      </c>
      <c r="R743" s="13">
        <f t="shared" si="44"/>
        <v>6.9712350000000001</v>
      </c>
      <c r="S743" s="42">
        <f t="shared" si="47"/>
        <v>94.751102817962661</v>
      </c>
      <c r="T743" s="13">
        <v>0</v>
      </c>
      <c r="U743" s="14">
        <f t="shared" si="45"/>
        <v>6.204645620356473</v>
      </c>
      <c r="V743" s="15">
        <f t="shared" si="46"/>
        <v>660.53220425317988</v>
      </c>
    </row>
    <row r="744" spans="1:22" x14ac:dyDescent="0.3">
      <c r="A744">
        <v>10</v>
      </c>
      <c r="B744" s="86">
        <v>6.1</v>
      </c>
      <c r="C744" s="78">
        <v>45988</v>
      </c>
      <c r="D744" s="78">
        <v>45990</v>
      </c>
      <c r="E744">
        <v>50</v>
      </c>
      <c r="F744" t="s">
        <v>913</v>
      </c>
      <c r="G744" t="s">
        <v>922</v>
      </c>
      <c r="H744">
        <v>7</v>
      </c>
      <c r="I744">
        <v>29</v>
      </c>
      <c r="J744" t="s">
        <v>25</v>
      </c>
      <c r="K744" t="s">
        <v>1597</v>
      </c>
      <c r="M744" s="4">
        <v>776</v>
      </c>
      <c r="N744" s="4" t="s">
        <v>775</v>
      </c>
      <c r="O744" s="12">
        <v>46034.897743055553</v>
      </c>
      <c r="P744" s="5">
        <v>6.3587559999999996</v>
      </c>
      <c r="Q744" s="5">
        <v>-5.9420965203679303</v>
      </c>
      <c r="R744" s="13">
        <f t="shared" si="44"/>
        <v>6.3587559999999996</v>
      </c>
      <c r="S744" s="42">
        <f t="shared" si="47"/>
        <v>94.751102817962661</v>
      </c>
      <c r="T744" s="13">
        <v>0</v>
      </c>
      <c r="U744" s="14">
        <f t="shared" si="45"/>
        <v>-5.9420965203679303</v>
      </c>
      <c r="V744" s="15">
        <f t="shared" si="46"/>
        <v>602.49914355033695</v>
      </c>
    </row>
    <row r="745" spans="1:22" x14ac:dyDescent="0.3">
      <c r="A745">
        <v>10</v>
      </c>
      <c r="B745" s="86">
        <v>6.1</v>
      </c>
      <c r="C745" s="78">
        <v>45988</v>
      </c>
      <c r="D745" s="78">
        <v>45990</v>
      </c>
      <c r="E745">
        <v>51</v>
      </c>
      <c r="F745" t="s">
        <v>910</v>
      </c>
      <c r="G745" t="s">
        <v>926</v>
      </c>
      <c r="H745">
        <v>7</v>
      </c>
      <c r="I745">
        <v>30</v>
      </c>
      <c r="J745" t="s">
        <v>25</v>
      </c>
      <c r="K745" t="s">
        <v>1598</v>
      </c>
      <c r="M745" s="1">
        <v>777</v>
      </c>
      <c r="N745" s="1" t="s">
        <v>776</v>
      </c>
      <c r="O745" s="2">
        <v>46034.901504629626</v>
      </c>
      <c r="P745" s="3">
        <v>6.6962999999999999</v>
      </c>
      <c r="Q745" s="3">
        <v>-11.586481186499293</v>
      </c>
      <c r="R745" s="13">
        <f t="shared" si="44"/>
        <v>6.6962999999999999</v>
      </c>
      <c r="S745" s="42">
        <f t="shared" si="47"/>
        <v>94.751102817962661</v>
      </c>
      <c r="T745" s="13">
        <v>0</v>
      </c>
      <c r="U745" s="14">
        <f t="shared" si="45"/>
        <v>-11.586481186499293</v>
      </c>
      <c r="V745" s="15">
        <f t="shared" si="46"/>
        <v>634.48180979992333</v>
      </c>
    </row>
    <row r="746" spans="1:22" x14ac:dyDescent="0.3">
      <c r="A746">
        <v>10</v>
      </c>
      <c r="B746" s="86">
        <v>6.1</v>
      </c>
      <c r="C746" s="78">
        <v>45988</v>
      </c>
      <c r="D746" s="78">
        <v>45990</v>
      </c>
      <c r="E746">
        <v>56</v>
      </c>
      <c r="F746" t="s">
        <v>921</v>
      </c>
      <c r="G746" t="s">
        <v>930</v>
      </c>
      <c r="H746">
        <v>7</v>
      </c>
      <c r="I746">
        <v>31</v>
      </c>
      <c r="J746" t="s">
        <v>25</v>
      </c>
      <c r="K746" t="s">
        <v>1599</v>
      </c>
      <c r="M746" s="4">
        <v>778</v>
      </c>
      <c r="N746" s="4" t="s">
        <v>777</v>
      </c>
      <c r="O746" s="12">
        <v>46034.905300925922</v>
      </c>
      <c r="P746" s="5">
        <v>7.5689964999999999</v>
      </c>
      <c r="Q746" s="5">
        <v>-6.0663221161993262</v>
      </c>
      <c r="R746" s="13">
        <f t="shared" si="44"/>
        <v>7.5689964999999999</v>
      </c>
      <c r="S746" s="42">
        <f t="shared" si="47"/>
        <v>94.751102817962661</v>
      </c>
      <c r="T746" s="13">
        <v>0</v>
      </c>
      <c r="U746" s="14">
        <f t="shared" si="45"/>
        <v>-6.0663221161993262</v>
      </c>
      <c r="V746" s="15">
        <f t="shared" si="46"/>
        <v>717.17076560029955</v>
      </c>
    </row>
    <row r="747" spans="1:22" x14ac:dyDescent="0.3">
      <c r="A747">
        <v>10</v>
      </c>
      <c r="B747" s="86">
        <v>6.1</v>
      </c>
      <c r="C747" s="78">
        <v>45988</v>
      </c>
      <c r="D747" s="78">
        <v>45990</v>
      </c>
      <c r="E747">
        <v>52</v>
      </c>
      <c r="F747" t="s">
        <v>917</v>
      </c>
      <c r="G747" t="s">
        <v>933</v>
      </c>
      <c r="H747">
        <v>7</v>
      </c>
      <c r="I747">
        <v>32</v>
      </c>
      <c r="J747" t="s">
        <v>25</v>
      </c>
      <c r="K747" t="s">
        <v>1600</v>
      </c>
      <c r="M747" s="1">
        <v>779</v>
      </c>
      <c r="N747" s="1" t="s">
        <v>778</v>
      </c>
      <c r="O747" s="2">
        <v>46034.90929398148</v>
      </c>
      <c r="P747" s="3">
        <v>7.2068405000000002</v>
      </c>
      <c r="Q747" s="3">
        <v>-12.341307217186305</v>
      </c>
      <c r="R747" s="13">
        <f t="shared" si="44"/>
        <v>7.2068405000000002</v>
      </c>
      <c r="S747" s="42">
        <f t="shared" si="47"/>
        <v>94.751102817962661</v>
      </c>
      <c r="T747" s="13">
        <v>0</v>
      </c>
      <c r="U747" s="14">
        <f t="shared" si="45"/>
        <v>-12.341307217186305</v>
      </c>
      <c r="V747" s="15">
        <f t="shared" si="46"/>
        <v>682.85608520815742</v>
      </c>
    </row>
    <row r="748" spans="1:22" x14ac:dyDescent="0.3">
      <c r="M748" s="4">
        <v>780</v>
      </c>
      <c r="N748" s="4" t="s">
        <v>779</v>
      </c>
      <c r="O748" s="12">
        <v>46034.913043981483</v>
      </c>
      <c r="P748" s="5">
        <v>24.196861999999999</v>
      </c>
      <c r="Q748" s="5">
        <v>-6.5289208007758974</v>
      </c>
      <c r="R748" s="13">
        <f t="shared" si="44"/>
        <v>24.196861999999999</v>
      </c>
      <c r="S748" s="42">
        <f t="shared" si="47"/>
        <v>94.751102817962661</v>
      </c>
      <c r="T748" s="13">
        <v>0</v>
      </c>
      <c r="U748" s="14">
        <f t="shared" si="45"/>
        <v>-6.5289208007758974</v>
      </c>
      <c r="V748" s="15">
        <f t="shared" si="46"/>
        <v>2292.6793592340537</v>
      </c>
    </row>
    <row r="749" spans="1:22" x14ac:dyDescent="0.3">
      <c r="M749" s="1">
        <v>781</v>
      </c>
      <c r="N749" s="1" t="s">
        <v>780</v>
      </c>
      <c r="O749" s="2">
        <v>46034.916851851849</v>
      </c>
      <c r="P749" s="3">
        <v>10.768006</v>
      </c>
      <c r="Q749" s="3">
        <v>-9.5002469043986135</v>
      </c>
      <c r="R749" s="13">
        <f t="shared" si="44"/>
        <v>10.768006</v>
      </c>
      <c r="S749" s="42">
        <f t="shared" si="47"/>
        <v>94.751102817962661</v>
      </c>
      <c r="T749" s="13">
        <v>0</v>
      </c>
      <c r="U749" s="14">
        <f t="shared" si="45"/>
        <v>-9.5002469043986135</v>
      </c>
      <c r="V749" s="15">
        <f t="shared" si="46"/>
        <v>1020.2804436504388</v>
      </c>
    </row>
    <row r="750" spans="1:22" x14ac:dyDescent="0.3">
      <c r="M750" s="4">
        <v>782</v>
      </c>
      <c r="N750" s="4" t="s">
        <v>781</v>
      </c>
      <c r="O750" s="12">
        <v>46034.920752314814</v>
      </c>
      <c r="P750" s="5">
        <v>6.1601375000000003</v>
      </c>
      <c r="Q750" s="5">
        <v>-10.620367150199199</v>
      </c>
      <c r="R750" s="13">
        <f t="shared" si="44"/>
        <v>6.1601375000000003</v>
      </c>
      <c r="S750" s="42">
        <f t="shared" si="47"/>
        <v>94.751102817962661</v>
      </c>
      <c r="T750" s="13">
        <v>0</v>
      </c>
      <c r="U750" s="14">
        <f t="shared" si="45"/>
        <v>-10.620367150199199</v>
      </c>
      <c r="V750" s="15">
        <f t="shared" si="46"/>
        <v>583.67982163528745</v>
      </c>
    </row>
    <row r="751" spans="1:22" x14ac:dyDescent="0.3">
      <c r="M751" s="1">
        <v>783</v>
      </c>
      <c r="N751" s="1" t="s">
        <v>782</v>
      </c>
      <c r="O751" s="2">
        <v>46034.92454861111</v>
      </c>
      <c r="P751" s="3">
        <v>4.1184004999999999</v>
      </c>
      <c r="Q751" s="3">
        <v>-15.228739415102135</v>
      </c>
      <c r="R751" s="13">
        <f t="shared" si="44"/>
        <v>4.1184004999999999</v>
      </c>
      <c r="S751" s="42">
        <f t="shared" si="47"/>
        <v>94.751102817962661</v>
      </c>
      <c r="T751" s="13">
        <v>0</v>
      </c>
      <c r="U751" s="14">
        <f t="shared" si="45"/>
        <v>-15.228739415102135</v>
      </c>
      <c r="V751" s="15">
        <f t="shared" si="46"/>
        <v>390.22298922104881</v>
      </c>
    </row>
    <row r="752" spans="1:22" x14ac:dyDescent="0.3">
      <c r="M752" s="4">
        <v>784</v>
      </c>
      <c r="N752" s="4" t="s">
        <v>783</v>
      </c>
      <c r="O752" s="12">
        <v>46034.928333333337</v>
      </c>
      <c r="P752" s="5">
        <v>3.1316790000000001</v>
      </c>
      <c r="Q752" s="5">
        <v>-16.943770369792819</v>
      </c>
      <c r="R752" s="13">
        <f t="shared" si="44"/>
        <v>3.1316790000000001</v>
      </c>
      <c r="S752" s="42">
        <f t="shared" si="47"/>
        <v>94.751102817962661</v>
      </c>
      <c r="T752" s="13">
        <v>0</v>
      </c>
      <c r="U752" s="14">
        <f t="shared" si="45"/>
        <v>-16.943770369792819</v>
      </c>
      <c r="V752" s="15">
        <f t="shared" si="46"/>
        <v>296.73003892185449</v>
      </c>
    </row>
    <row r="753" spans="1:22" x14ac:dyDescent="0.3">
      <c r="M753" s="1">
        <v>785</v>
      </c>
      <c r="N753" s="1" t="s">
        <v>784</v>
      </c>
      <c r="O753" s="2">
        <v>46034.932210648149</v>
      </c>
      <c r="P753" s="3">
        <v>26.860240000000001</v>
      </c>
      <c r="Q753" s="3">
        <v>-7.9113421703731328</v>
      </c>
      <c r="R753" s="13">
        <f t="shared" si="44"/>
        <v>26.860240000000001</v>
      </c>
      <c r="S753" s="42">
        <f t="shared" si="47"/>
        <v>94.751102817962661</v>
      </c>
      <c r="T753" s="13">
        <v>0</v>
      </c>
      <c r="U753" s="14">
        <f t="shared" si="45"/>
        <v>-7.9113421703731328</v>
      </c>
      <c r="V753" s="15">
        <f t="shared" si="46"/>
        <v>2545.0373619551533</v>
      </c>
    </row>
    <row r="754" spans="1:22" x14ac:dyDescent="0.3">
      <c r="M754" s="4">
        <v>786</v>
      </c>
      <c r="N754" s="4" t="s">
        <v>785</v>
      </c>
      <c r="O754" s="12">
        <v>46034.936006944445</v>
      </c>
      <c r="P754" s="5">
        <v>18.017621999999999</v>
      </c>
      <c r="Q754" s="5">
        <v>-8.0586146612039649</v>
      </c>
      <c r="R754" s="13">
        <f t="shared" si="44"/>
        <v>18.017621999999999</v>
      </c>
      <c r="S754" s="42">
        <f t="shared" si="47"/>
        <v>94.751102817962661</v>
      </c>
      <c r="T754" s="13">
        <v>0</v>
      </c>
      <c r="U754" s="14">
        <f t="shared" si="45"/>
        <v>-8.0586146612039649</v>
      </c>
      <c r="V754" s="15">
        <f t="shared" si="46"/>
        <v>1707.1895546571859</v>
      </c>
    </row>
    <row r="755" spans="1:22" x14ac:dyDescent="0.3">
      <c r="M755" s="1">
        <v>787</v>
      </c>
      <c r="N755" s="1" t="s">
        <v>786</v>
      </c>
      <c r="O755" s="2">
        <v>46034.939814814818</v>
      </c>
      <c r="P755" s="3">
        <v>10.773793</v>
      </c>
      <c r="Q755" s="3">
        <v>-11.047801462971407</v>
      </c>
      <c r="R755" s="13">
        <f t="shared" si="44"/>
        <v>10.773793</v>
      </c>
      <c r="S755" s="42">
        <f t="shared" si="47"/>
        <v>94.751102817962661</v>
      </c>
      <c r="T755" s="13">
        <v>0</v>
      </c>
      <c r="U755" s="14">
        <f t="shared" si="45"/>
        <v>-11.047801462971407</v>
      </c>
      <c r="V755" s="15">
        <f t="shared" si="46"/>
        <v>1020.8287682824464</v>
      </c>
    </row>
    <row r="756" spans="1:22" x14ac:dyDescent="0.3">
      <c r="M756" s="4">
        <v>788</v>
      </c>
      <c r="N756" s="4" t="s">
        <v>787</v>
      </c>
      <c r="O756" s="12">
        <v>46034.943576388891</v>
      </c>
      <c r="P756" s="5">
        <v>8.2145355000000002</v>
      </c>
      <c r="Q756" s="5">
        <v>-12.153102037847445</v>
      </c>
      <c r="R756" s="13">
        <f t="shared" si="44"/>
        <v>8.2145355000000002</v>
      </c>
      <c r="S756" s="42">
        <f t="shared" si="47"/>
        <v>94.751102817962661</v>
      </c>
      <c r="T756" s="13">
        <v>0</v>
      </c>
      <c r="U756" s="14">
        <f t="shared" si="45"/>
        <v>-12.153102037847445</v>
      </c>
      <c r="V756" s="15">
        <f t="shared" si="46"/>
        <v>778.3362977623043</v>
      </c>
    </row>
    <row r="757" spans="1:22" x14ac:dyDescent="0.3">
      <c r="M757" s="1">
        <v>789</v>
      </c>
      <c r="N757" s="1" t="s">
        <v>788</v>
      </c>
      <c r="O757" s="2">
        <v>46034.947395833333</v>
      </c>
      <c r="P757" s="3">
        <v>5.0987024999999999</v>
      </c>
      <c r="Q757" s="3">
        <v>-13.980030995055589</v>
      </c>
      <c r="R757" s="13">
        <f t="shared" si="44"/>
        <v>5.0987024999999999</v>
      </c>
      <c r="S757" s="42">
        <f t="shared" si="47"/>
        <v>94.751102817962661</v>
      </c>
      <c r="T757" s="13">
        <v>0</v>
      </c>
      <c r="U757" s="14">
        <f t="shared" si="45"/>
        <v>-13.980030995055589</v>
      </c>
      <c r="V757" s="15">
        <f t="shared" si="46"/>
        <v>483.10768481570324</v>
      </c>
    </row>
    <row r="758" spans="1:22" x14ac:dyDescent="0.3">
      <c r="M758" s="63">
        <v>790</v>
      </c>
      <c r="N758" s="63" t="s">
        <v>789</v>
      </c>
      <c r="O758" s="64">
        <v>46034.951284722221</v>
      </c>
      <c r="P758" s="65">
        <v>1.188696533203125E-3</v>
      </c>
      <c r="Q758" s="65">
        <v>-2651.4827093372646</v>
      </c>
      <c r="R758" s="13">
        <f t="shared" si="44"/>
        <v>1.188696533203125E-3</v>
      </c>
      <c r="S758" s="42">
        <f t="shared" si="47"/>
        <v>94.751102817962661</v>
      </c>
      <c r="T758" s="13">
        <v>0</v>
      </c>
      <c r="U758" s="14">
        <f t="shared" si="45"/>
        <v>-2651.4827093372646</v>
      </c>
      <c r="V758" s="15">
        <f t="shared" si="46"/>
        <v>0.11263030743688507</v>
      </c>
    </row>
    <row r="759" spans="1:22" x14ac:dyDescent="0.3">
      <c r="M759" s="66">
        <v>794</v>
      </c>
      <c r="N759" s="1" t="s">
        <v>790</v>
      </c>
      <c r="O759" s="2">
        <v>46035.403067129628</v>
      </c>
      <c r="P759" s="3">
        <v>24.0443</v>
      </c>
      <c r="Q759" s="3">
        <v>-6.1020439834367073</v>
      </c>
      <c r="R759" s="13">
        <f t="shared" si="44"/>
        <v>24.0443</v>
      </c>
      <c r="S759" s="42">
        <f t="shared" si="47"/>
        <v>94.751102817962661</v>
      </c>
      <c r="T759" s="13">
        <v>0</v>
      </c>
      <c r="U759" s="14">
        <f t="shared" si="45"/>
        <v>-6.1020439834367073</v>
      </c>
      <c r="V759" s="15">
        <f t="shared" si="46"/>
        <v>2278.2239414859396</v>
      </c>
    </row>
    <row r="760" spans="1:22" x14ac:dyDescent="0.3">
      <c r="M760" s="4">
        <v>795</v>
      </c>
      <c r="N760" s="4" t="s">
        <v>791</v>
      </c>
      <c r="O760" s="12">
        <v>46035.406770833331</v>
      </c>
      <c r="P760" s="5">
        <v>10.60544</v>
      </c>
      <c r="Q760" s="5">
        <v>-8.0571913916175646</v>
      </c>
      <c r="R760" s="13">
        <f t="shared" ref="R760:R823" si="48">P760</f>
        <v>10.60544</v>
      </c>
      <c r="S760" s="42">
        <f t="shared" si="47"/>
        <v>94.751102817962661</v>
      </c>
      <c r="T760" s="13">
        <v>0</v>
      </c>
      <c r="U760" s="14">
        <f t="shared" ref="U760:U823" si="49">Q760+T760</f>
        <v>-8.0571913916175646</v>
      </c>
      <c r="V760" s="15">
        <f t="shared" ref="V760:V823" si="50">R760*S760</f>
        <v>1004.8771358697339</v>
      </c>
    </row>
    <row r="761" spans="1:22" x14ac:dyDescent="0.3">
      <c r="M761" s="1">
        <v>796</v>
      </c>
      <c r="N761" s="1" t="s">
        <v>792</v>
      </c>
      <c r="O761" s="2">
        <v>46035.410509259258</v>
      </c>
      <c r="P761" s="3">
        <v>6.3893680000000002</v>
      </c>
      <c r="Q761" s="3">
        <v>-9.3352246713007574</v>
      </c>
      <c r="R761" s="13">
        <f t="shared" si="48"/>
        <v>6.3893680000000002</v>
      </c>
      <c r="S761" s="42">
        <f t="shared" si="47"/>
        <v>94.751102817962661</v>
      </c>
      <c r="T761" s="13">
        <v>0</v>
      </c>
      <c r="U761" s="14">
        <f t="shared" si="49"/>
        <v>-9.3352246713007574</v>
      </c>
      <c r="V761" s="15">
        <f t="shared" si="50"/>
        <v>605.39966430980041</v>
      </c>
    </row>
    <row r="762" spans="1:22" x14ac:dyDescent="0.3">
      <c r="M762" s="4">
        <v>797</v>
      </c>
      <c r="N762" s="4" t="s">
        <v>793</v>
      </c>
      <c r="O762" s="12">
        <v>46035.414224537039</v>
      </c>
      <c r="P762" s="5">
        <v>4.6032529999999996</v>
      </c>
      <c r="Q762" s="5">
        <v>-14.95808175325995</v>
      </c>
      <c r="R762" s="13">
        <f t="shared" si="48"/>
        <v>4.6032529999999996</v>
      </c>
      <c r="S762" s="42">
        <f t="shared" si="47"/>
        <v>94.751102817962661</v>
      </c>
      <c r="T762" s="13">
        <v>0</v>
      </c>
      <c r="U762" s="14">
        <f t="shared" si="49"/>
        <v>-14.95808175325995</v>
      </c>
      <c r="V762" s="15">
        <f t="shared" si="50"/>
        <v>436.16329830009505</v>
      </c>
    </row>
    <row r="763" spans="1:22" x14ac:dyDescent="0.3">
      <c r="M763" s="1">
        <v>798</v>
      </c>
      <c r="N763" s="1" t="s">
        <v>794</v>
      </c>
      <c r="O763" s="2">
        <v>46035.417962962965</v>
      </c>
      <c r="P763" s="3">
        <v>3.1160347499999999</v>
      </c>
      <c r="Q763" s="3">
        <v>-13.126764085894786</v>
      </c>
      <c r="R763" s="13">
        <f t="shared" si="48"/>
        <v>3.1160347499999999</v>
      </c>
      <c r="S763" s="42">
        <f t="shared" si="47"/>
        <v>94.751102817962661</v>
      </c>
      <c r="T763" s="13">
        <v>0</v>
      </c>
      <c r="U763" s="14">
        <f t="shared" si="49"/>
        <v>-13.126764085894786</v>
      </c>
      <c r="V763" s="15">
        <f t="shared" si="50"/>
        <v>295.24772898159455</v>
      </c>
    </row>
    <row r="764" spans="1:22" x14ac:dyDescent="0.3">
      <c r="A764">
        <v>10</v>
      </c>
      <c r="B764" s="86">
        <v>6.2</v>
      </c>
      <c r="C764" s="78">
        <v>45989</v>
      </c>
      <c r="D764" s="78">
        <v>45991</v>
      </c>
      <c r="E764">
        <v>53</v>
      </c>
      <c r="F764" t="s">
        <v>925</v>
      </c>
      <c r="G764" t="s">
        <v>907</v>
      </c>
      <c r="H764">
        <v>25</v>
      </c>
      <c r="I764">
        <v>1</v>
      </c>
      <c r="J764" t="s">
        <v>908</v>
      </c>
      <c r="K764" t="s">
        <v>1601</v>
      </c>
      <c r="M764" s="4">
        <v>799</v>
      </c>
      <c r="N764" s="4" t="s">
        <v>795</v>
      </c>
      <c r="O764" s="12">
        <v>46035.421782407408</v>
      </c>
      <c r="P764" s="5">
        <v>6.5013304999999999</v>
      </c>
      <c r="Q764" s="5">
        <v>-13.856754951494747</v>
      </c>
      <c r="R764" s="13">
        <f t="shared" si="48"/>
        <v>6.5013304999999999</v>
      </c>
      <c r="S764" s="42">
        <f t="shared" si="47"/>
        <v>94.751102817962661</v>
      </c>
      <c r="T764" s="13">
        <v>0</v>
      </c>
      <c r="U764" s="14">
        <f t="shared" si="49"/>
        <v>-13.856754951494747</v>
      </c>
      <c r="V764" s="15">
        <f t="shared" si="50"/>
        <v>616.0082346590566</v>
      </c>
    </row>
    <row r="765" spans="1:22" x14ac:dyDescent="0.3">
      <c r="A765">
        <v>10</v>
      </c>
      <c r="B765" s="86">
        <v>6.2</v>
      </c>
      <c r="C765" s="78">
        <v>45989</v>
      </c>
      <c r="D765" s="78">
        <v>45991</v>
      </c>
      <c r="E765">
        <v>49</v>
      </c>
      <c r="F765" t="s">
        <v>932</v>
      </c>
      <c r="G765" t="s">
        <v>15</v>
      </c>
      <c r="H765">
        <v>25</v>
      </c>
      <c r="I765">
        <v>2</v>
      </c>
      <c r="J765" t="s">
        <v>908</v>
      </c>
      <c r="K765" t="s">
        <v>1602</v>
      </c>
      <c r="M765" s="1">
        <v>800</v>
      </c>
      <c r="N765" s="1" t="s">
        <v>796</v>
      </c>
      <c r="O765" s="2">
        <v>46035.425509259258</v>
      </c>
      <c r="P765" s="3">
        <v>6.8624185000000004</v>
      </c>
      <c r="Q765" s="3">
        <v>-12.561837509172742</v>
      </c>
      <c r="R765" s="13">
        <f t="shared" si="48"/>
        <v>6.8624185000000004</v>
      </c>
      <c r="S765" s="42">
        <f t="shared" si="47"/>
        <v>94.751102817962661</v>
      </c>
      <c r="T765" s="13">
        <v>0</v>
      </c>
      <c r="U765" s="14">
        <f t="shared" si="49"/>
        <v>-12.561837509172742</v>
      </c>
      <c r="V765" s="15">
        <f t="shared" si="50"/>
        <v>650.22172087338913</v>
      </c>
    </row>
    <row r="766" spans="1:22" x14ac:dyDescent="0.3">
      <c r="A766">
        <v>10</v>
      </c>
      <c r="B766" s="86">
        <v>6.2</v>
      </c>
      <c r="C766" s="78">
        <v>45989</v>
      </c>
      <c r="D766" s="78">
        <v>45991</v>
      </c>
      <c r="E766">
        <v>55</v>
      </c>
      <c r="F766" t="s">
        <v>929</v>
      </c>
      <c r="G766" t="s">
        <v>914</v>
      </c>
      <c r="H766">
        <v>25</v>
      </c>
      <c r="I766">
        <v>3</v>
      </c>
      <c r="J766" t="s">
        <v>908</v>
      </c>
      <c r="K766" t="s">
        <v>1603</v>
      </c>
      <c r="M766" s="4">
        <v>801</v>
      </c>
      <c r="N766" s="4" t="s">
        <v>797</v>
      </c>
      <c r="O766" s="12">
        <v>46035.429224537038</v>
      </c>
      <c r="P766" s="5">
        <v>7.0201434999999996</v>
      </c>
      <c r="Q766" s="5">
        <v>-14.254462309369847</v>
      </c>
      <c r="R766" s="13">
        <f t="shared" si="48"/>
        <v>7.0201434999999996</v>
      </c>
      <c r="S766" s="42">
        <f t="shared" si="47"/>
        <v>94.751102817962661</v>
      </c>
      <c r="T766" s="13">
        <v>0</v>
      </c>
      <c r="U766" s="14">
        <f t="shared" si="49"/>
        <v>-14.254462309369847</v>
      </c>
      <c r="V766" s="15">
        <f t="shared" si="50"/>
        <v>665.16633856535225</v>
      </c>
    </row>
    <row r="767" spans="1:22" x14ac:dyDescent="0.3">
      <c r="A767">
        <v>10</v>
      </c>
      <c r="B767" s="86">
        <v>6.2</v>
      </c>
      <c r="C767" s="78">
        <v>45989</v>
      </c>
      <c r="D767" s="78">
        <v>45991</v>
      </c>
      <c r="E767">
        <v>54</v>
      </c>
      <c r="F767" t="s">
        <v>906</v>
      </c>
      <c r="G767" t="s">
        <v>918</v>
      </c>
      <c r="H767">
        <v>25</v>
      </c>
      <c r="I767">
        <v>4</v>
      </c>
      <c r="J767" t="s">
        <v>908</v>
      </c>
      <c r="K767" t="s">
        <v>1604</v>
      </c>
      <c r="M767" s="1">
        <v>802</v>
      </c>
      <c r="N767" s="1" t="s">
        <v>798</v>
      </c>
      <c r="O767" s="2">
        <v>46035.432962962965</v>
      </c>
      <c r="P767" s="3">
        <v>7.1163990000000004</v>
      </c>
      <c r="Q767" s="3">
        <v>-15.346355497946215</v>
      </c>
      <c r="R767" s="13">
        <f t="shared" si="48"/>
        <v>7.1163990000000004</v>
      </c>
      <c r="S767" s="42">
        <f t="shared" si="47"/>
        <v>94.751102817962661</v>
      </c>
      <c r="T767" s="13">
        <v>0</v>
      </c>
      <c r="U767" s="14">
        <f t="shared" si="49"/>
        <v>-15.346355497946215</v>
      </c>
      <c r="V767" s="15">
        <f t="shared" si="50"/>
        <v>674.28665334264667</v>
      </c>
    </row>
    <row r="768" spans="1:22" x14ac:dyDescent="0.3">
      <c r="A768">
        <v>10</v>
      </c>
      <c r="B768" s="86">
        <v>6.2</v>
      </c>
      <c r="C768" s="78">
        <v>45989</v>
      </c>
      <c r="D768" s="78">
        <v>45991</v>
      </c>
      <c r="E768">
        <v>50</v>
      </c>
      <c r="F768" t="s">
        <v>913</v>
      </c>
      <c r="G768" t="s">
        <v>922</v>
      </c>
      <c r="H768">
        <v>25</v>
      </c>
      <c r="I768">
        <v>5</v>
      </c>
      <c r="J768" t="s">
        <v>908</v>
      </c>
      <c r="K768" t="s">
        <v>1605</v>
      </c>
      <c r="M768" s="4">
        <v>803</v>
      </c>
      <c r="N768" s="4" t="s">
        <v>799</v>
      </c>
      <c r="O768" s="12">
        <v>46035.436689814815</v>
      </c>
      <c r="P768" s="5">
        <v>7.7243709999999997</v>
      </c>
      <c r="Q768" s="5">
        <v>-16.030444613046782</v>
      </c>
      <c r="R768" s="13">
        <f t="shared" si="48"/>
        <v>7.7243709999999997</v>
      </c>
      <c r="S768" s="42">
        <f t="shared" si="47"/>
        <v>94.751102817962661</v>
      </c>
      <c r="T768" s="13">
        <v>0</v>
      </c>
      <c r="U768" s="14">
        <f t="shared" si="49"/>
        <v>-16.030444613046782</v>
      </c>
      <c r="V768" s="15">
        <f t="shared" si="50"/>
        <v>731.892670825089</v>
      </c>
    </row>
    <row r="769" spans="1:22" x14ac:dyDescent="0.3">
      <c r="A769">
        <v>10</v>
      </c>
      <c r="B769" s="86">
        <v>6.2</v>
      </c>
      <c r="C769" s="78">
        <v>45989</v>
      </c>
      <c r="D769" s="78">
        <v>45991</v>
      </c>
      <c r="E769">
        <v>51</v>
      </c>
      <c r="F769" t="s">
        <v>910</v>
      </c>
      <c r="G769" t="s">
        <v>926</v>
      </c>
      <c r="H769">
        <v>25</v>
      </c>
      <c r="I769">
        <v>6</v>
      </c>
      <c r="J769" t="s">
        <v>908</v>
      </c>
      <c r="K769" t="s">
        <v>1606</v>
      </c>
      <c r="M769" s="1">
        <v>804</v>
      </c>
      <c r="N769" s="1" t="s">
        <v>800</v>
      </c>
      <c r="O769" s="2">
        <v>46035.440405092595</v>
      </c>
      <c r="P769" s="3">
        <v>7.731725</v>
      </c>
      <c r="Q769" s="3">
        <v>-16.43586669537936</v>
      </c>
      <c r="R769" s="13">
        <f t="shared" si="48"/>
        <v>7.731725</v>
      </c>
      <c r="S769" s="42">
        <f t="shared" si="47"/>
        <v>94.751102817962661</v>
      </c>
      <c r="T769" s="13">
        <v>0</v>
      </c>
      <c r="U769" s="14">
        <f t="shared" si="49"/>
        <v>-16.43586669537936</v>
      </c>
      <c r="V769" s="15">
        <f t="shared" si="50"/>
        <v>732.58947043521232</v>
      </c>
    </row>
    <row r="770" spans="1:22" x14ac:dyDescent="0.3">
      <c r="A770">
        <v>10</v>
      </c>
      <c r="B770" s="86">
        <v>6.2</v>
      </c>
      <c r="C770" s="78">
        <v>45989</v>
      </c>
      <c r="D770" s="78">
        <v>45991</v>
      </c>
      <c r="E770">
        <v>56</v>
      </c>
      <c r="F770" t="s">
        <v>921</v>
      </c>
      <c r="G770" t="s">
        <v>930</v>
      </c>
      <c r="H770">
        <v>25</v>
      </c>
      <c r="I770">
        <v>7</v>
      </c>
      <c r="J770" t="s">
        <v>908</v>
      </c>
      <c r="K770" t="s">
        <v>1607</v>
      </c>
      <c r="M770" s="4">
        <v>805</v>
      </c>
      <c r="N770" s="4" t="s">
        <v>801</v>
      </c>
      <c r="O770" s="12">
        <v>46035.444131944445</v>
      </c>
      <c r="P770" s="5">
        <v>7.6349644999999997</v>
      </c>
      <c r="Q770" s="5">
        <v>-14.459330796301723</v>
      </c>
      <c r="R770" s="13">
        <f t="shared" si="48"/>
        <v>7.6349644999999997</v>
      </c>
      <c r="S770" s="42">
        <f t="shared" si="47"/>
        <v>94.751102817962661</v>
      </c>
      <c r="T770" s="13">
        <v>0</v>
      </c>
      <c r="U770" s="14">
        <f t="shared" si="49"/>
        <v>-14.459330796301723</v>
      </c>
      <c r="V770" s="15">
        <f t="shared" si="50"/>
        <v>723.42130635099488</v>
      </c>
    </row>
    <row r="771" spans="1:22" x14ac:dyDescent="0.3">
      <c r="A771">
        <v>10</v>
      </c>
      <c r="B771" s="86">
        <v>6.2</v>
      </c>
      <c r="C771" s="78">
        <v>45989</v>
      </c>
      <c r="D771" s="78">
        <v>45991</v>
      </c>
      <c r="E771">
        <v>52</v>
      </c>
      <c r="F771" t="s">
        <v>917</v>
      </c>
      <c r="G771" t="s">
        <v>933</v>
      </c>
      <c r="H771">
        <v>25</v>
      </c>
      <c r="I771">
        <v>8</v>
      </c>
      <c r="J771" t="s">
        <v>908</v>
      </c>
      <c r="K771" t="s">
        <v>1608</v>
      </c>
      <c r="M771" s="1">
        <v>806</v>
      </c>
      <c r="N771" s="1" t="s">
        <v>802</v>
      </c>
      <c r="O771" s="2">
        <v>46035.447870370372</v>
      </c>
      <c r="P771" s="3">
        <v>7.5798005000000002</v>
      </c>
      <c r="Q771" s="3">
        <v>-16.610971101833648</v>
      </c>
      <c r="R771" s="13">
        <f t="shared" si="48"/>
        <v>7.5798005000000002</v>
      </c>
      <c r="S771" s="42">
        <f t="shared" ref="S771:S834" si="51">$S$890</f>
        <v>94.751102817962661</v>
      </c>
      <c r="T771" s="13">
        <v>0</v>
      </c>
      <c r="U771" s="14">
        <f t="shared" si="49"/>
        <v>-16.610971101833648</v>
      </c>
      <c r="V771" s="15">
        <f t="shared" si="50"/>
        <v>718.19445651514479</v>
      </c>
    </row>
    <row r="772" spans="1:22" x14ac:dyDescent="0.3">
      <c r="A772">
        <v>10</v>
      </c>
      <c r="B772" s="86">
        <v>6.2</v>
      </c>
      <c r="C772" s="78">
        <v>45989</v>
      </c>
      <c r="D772" s="78">
        <v>45991</v>
      </c>
      <c r="E772">
        <v>53</v>
      </c>
      <c r="F772" t="s">
        <v>925</v>
      </c>
      <c r="G772" t="s">
        <v>907</v>
      </c>
      <c r="H772">
        <v>25</v>
      </c>
      <c r="I772">
        <v>9</v>
      </c>
      <c r="J772" t="s">
        <v>935</v>
      </c>
      <c r="K772" t="s">
        <v>1609</v>
      </c>
      <c r="M772" s="4">
        <v>807</v>
      </c>
      <c r="N772" s="4" t="s">
        <v>803</v>
      </c>
      <c r="O772" s="12">
        <v>46035.451608796298</v>
      </c>
      <c r="P772" s="5">
        <v>7.3710985000000004</v>
      </c>
      <c r="Q772" s="5">
        <v>-0.62007077190890869</v>
      </c>
      <c r="R772" s="13">
        <f t="shared" si="48"/>
        <v>7.3710985000000004</v>
      </c>
      <c r="S772" s="42">
        <f t="shared" si="51"/>
        <v>94.751102817962661</v>
      </c>
      <c r="T772" s="13">
        <v>0</v>
      </c>
      <c r="U772" s="14">
        <f t="shared" si="49"/>
        <v>-0.62007077190890869</v>
      </c>
      <c r="V772" s="15">
        <f t="shared" si="50"/>
        <v>698.41971185483044</v>
      </c>
    </row>
    <row r="773" spans="1:22" x14ac:dyDescent="0.3">
      <c r="A773">
        <v>10</v>
      </c>
      <c r="B773" s="86">
        <v>6.2</v>
      </c>
      <c r="C773" s="78">
        <v>45989</v>
      </c>
      <c r="D773" s="78">
        <v>45991</v>
      </c>
      <c r="E773">
        <v>49</v>
      </c>
      <c r="F773" t="s">
        <v>932</v>
      </c>
      <c r="G773" t="s">
        <v>15</v>
      </c>
      <c r="H773">
        <v>25</v>
      </c>
      <c r="I773">
        <v>10</v>
      </c>
      <c r="J773" t="s">
        <v>935</v>
      </c>
      <c r="K773" t="s">
        <v>27</v>
      </c>
      <c r="M773" s="1">
        <v>808</v>
      </c>
      <c r="N773" s="1" t="s">
        <v>804</v>
      </c>
      <c r="O773" s="2">
        <v>46035.455335648148</v>
      </c>
      <c r="P773" s="3">
        <v>6.8394254999999999</v>
      </c>
      <c r="Q773" s="3">
        <v>-2.8778031538611577</v>
      </c>
      <c r="R773" s="13">
        <f t="shared" si="48"/>
        <v>6.8394254999999999</v>
      </c>
      <c r="S773" s="42">
        <f t="shared" si="51"/>
        <v>94.751102817962661</v>
      </c>
      <c r="T773" s="13">
        <v>0</v>
      </c>
      <c r="U773" s="14">
        <f t="shared" si="49"/>
        <v>-2.8778031538611577</v>
      </c>
      <c r="V773" s="15">
        <f t="shared" si="50"/>
        <v>648.04310876629563</v>
      </c>
    </row>
    <row r="774" spans="1:22" x14ac:dyDescent="0.3">
      <c r="A774">
        <v>10</v>
      </c>
      <c r="B774" s="86">
        <v>6.2</v>
      </c>
      <c r="C774" s="78">
        <v>45989</v>
      </c>
      <c r="D774" s="78">
        <v>45991</v>
      </c>
      <c r="E774">
        <v>55</v>
      </c>
      <c r="F774" t="s">
        <v>929</v>
      </c>
      <c r="G774" t="s">
        <v>914</v>
      </c>
      <c r="H774">
        <v>25</v>
      </c>
      <c r="I774">
        <v>11</v>
      </c>
      <c r="J774" t="s">
        <v>935</v>
      </c>
      <c r="K774" t="s">
        <v>1610</v>
      </c>
      <c r="M774" s="4">
        <v>809</v>
      </c>
      <c r="N774" s="4" t="s">
        <v>805</v>
      </c>
      <c r="O774" s="12">
        <v>46035.459062499998</v>
      </c>
      <c r="P774" s="5">
        <v>7.2317315000000004</v>
      </c>
      <c r="Q774" s="5">
        <v>0.77398083910720195</v>
      </c>
      <c r="R774" s="13">
        <f t="shared" si="48"/>
        <v>7.2317315000000004</v>
      </c>
      <c r="S774" s="42">
        <f t="shared" si="51"/>
        <v>94.751102817962661</v>
      </c>
      <c r="T774" s="13">
        <v>0</v>
      </c>
      <c r="U774" s="14">
        <f t="shared" si="49"/>
        <v>0.77398083910720195</v>
      </c>
      <c r="V774" s="15">
        <f t="shared" si="50"/>
        <v>685.2145349083994</v>
      </c>
    </row>
    <row r="775" spans="1:22" x14ac:dyDescent="0.3">
      <c r="A775">
        <v>10</v>
      </c>
      <c r="B775" s="86">
        <v>6.2</v>
      </c>
      <c r="C775" s="78">
        <v>45989</v>
      </c>
      <c r="D775" s="78">
        <v>45991</v>
      </c>
      <c r="E775">
        <v>54</v>
      </c>
      <c r="F775" t="s">
        <v>906</v>
      </c>
      <c r="G775" t="s">
        <v>918</v>
      </c>
      <c r="H775">
        <v>25</v>
      </c>
      <c r="I775">
        <v>12</v>
      </c>
      <c r="J775" t="s">
        <v>935</v>
      </c>
      <c r="K775" t="s">
        <v>1611</v>
      </c>
      <c r="M775" s="1">
        <v>810</v>
      </c>
      <c r="N775" s="1" t="s">
        <v>806</v>
      </c>
      <c r="O775" s="2">
        <v>46035.462800925925</v>
      </c>
      <c r="P775" s="3">
        <v>7.5117500000000001</v>
      </c>
      <c r="Q775" s="3">
        <v>6.4512253030306985E-2</v>
      </c>
      <c r="R775" s="13">
        <f t="shared" si="48"/>
        <v>7.5117500000000001</v>
      </c>
      <c r="S775" s="42">
        <f t="shared" si="51"/>
        <v>94.751102817962661</v>
      </c>
      <c r="T775" s="13">
        <v>0</v>
      </c>
      <c r="U775" s="14">
        <f t="shared" si="49"/>
        <v>6.4512253030306985E-2</v>
      </c>
      <c r="V775" s="15">
        <f t="shared" si="50"/>
        <v>711.746596592831</v>
      </c>
    </row>
    <row r="776" spans="1:22" x14ac:dyDescent="0.3">
      <c r="A776">
        <v>10</v>
      </c>
      <c r="B776" s="86">
        <v>6.2</v>
      </c>
      <c r="C776" s="78">
        <v>45989</v>
      </c>
      <c r="D776" s="78">
        <v>45991</v>
      </c>
      <c r="E776">
        <v>50</v>
      </c>
      <c r="F776" t="s">
        <v>913</v>
      </c>
      <c r="G776" t="s">
        <v>922</v>
      </c>
      <c r="H776">
        <v>25</v>
      </c>
      <c r="I776">
        <v>13</v>
      </c>
      <c r="J776" t="s">
        <v>935</v>
      </c>
      <c r="K776" t="s">
        <v>1612</v>
      </c>
      <c r="M776" s="4">
        <v>811</v>
      </c>
      <c r="N776" s="4" t="s">
        <v>807</v>
      </c>
      <c r="O776" s="12">
        <v>46035.466527777775</v>
      </c>
      <c r="P776" s="5">
        <v>8.0425000000000004</v>
      </c>
      <c r="Q776" s="5">
        <v>-4.7471167411338344</v>
      </c>
      <c r="R776" s="13">
        <f t="shared" si="48"/>
        <v>8.0425000000000004</v>
      </c>
      <c r="S776" s="42">
        <f t="shared" si="51"/>
        <v>94.751102817962661</v>
      </c>
      <c r="T776" s="13">
        <v>0</v>
      </c>
      <c r="U776" s="14">
        <f t="shared" si="49"/>
        <v>-4.7471167411338344</v>
      </c>
      <c r="V776" s="15">
        <f t="shared" si="50"/>
        <v>762.03574441346473</v>
      </c>
    </row>
    <row r="777" spans="1:22" x14ac:dyDescent="0.3">
      <c r="A777">
        <v>10</v>
      </c>
      <c r="B777" s="86">
        <v>6.2</v>
      </c>
      <c r="C777" s="78">
        <v>45989</v>
      </c>
      <c r="D777" s="78">
        <v>45991</v>
      </c>
      <c r="E777">
        <v>51</v>
      </c>
      <c r="F777" t="s">
        <v>910</v>
      </c>
      <c r="G777" t="s">
        <v>926</v>
      </c>
      <c r="H777">
        <v>25</v>
      </c>
      <c r="I777">
        <v>14</v>
      </c>
      <c r="J777" t="s">
        <v>935</v>
      </c>
      <c r="K777" t="s">
        <v>1613</v>
      </c>
      <c r="M777" s="1">
        <v>812</v>
      </c>
      <c r="N777" s="1" t="s">
        <v>808</v>
      </c>
      <c r="O777" s="2">
        <v>46035.470266203702</v>
      </c>
      <c r="P777" s="3">
        <v>7.9487490000000003</v>
      </c>
      <c r="Q777" s="3">
        <v>-10.949495167975254</v>
      </c>
      <c r="R777" s="13">
        <f t="shared" si="48"/>
        <v>7.9487490000000003</v>
      </c>
      <c r="S777" s="42">
        <f t="shared" si="51"/>
        <v>94.751102817962661</v>
      </c>
      <c r="T777" s="13">
        <v>0</v>
      </c>
      <c r="U777" s="14">
        <f t="shared" si="49"/>
        <v>-10.949495167975254</v>
      </c>
      <c r="V777" s="15">
        <f t="shared" si="50"/>
        <v>753.15273377317794</v>
      </c>
    </row>
    <row r="778" spans="1:22" x14ac:dyDescent="0.3">
      <c r="A778">
        <v>10</v>
      </c>
      <c r="B778" s="86">
        <v>6.2</v>
      </c>
      <c r="C778" s="78">
        <v>45989</v>
      </c>
      <c r="D778" s="78">
        <v>45991</v>
      </c>
      <c r="E778">
        <v>56</v>
      </c>
      <c r="F778" t="s">
        <v>921</v>
      </c>
      <c r="G778" t="s">
        <v>930</v>
      </c>
      <c r="H778">
        <v>25</v>
      </c>
      <c r="I778">
        <v>15</v>
      </c>
      <c r="J778" t="s">
        <v>935</v>
      </c>
      <c r="K778" t="s">
        <v>1614</v>
      </c>
      <c r="M778" s="4">
        <v>813</v>
      </c>
      <c r="N778" s="4" t="s">
        <v>809</v>
      </c>
      <c r="O778" s="12">
        <v>46035.474016203705</v>
      </c>
      <c r="P778" s="5">
        <v>8.262499</v>
      </c>
      <c r="Q778" s="5">
        <v>-5.3257506825718934</v>
      </c>
      <c r="R778" s="13">
        <f t="shared" si="48"/>
        <v>8.262499</v>
      </c>
      <c r="S778" s="42">
        <f t="shared" si="51"/>
        <v>94.751102817962661</v>
      </c>
      <c r="T778" s="13">
        <v>0</v>
      </c>
      <c r="U778" s="14">
        <f t="shared" si="49"/>
        <v>-5.3257506825718934</v>
      </c>
      <c r="V778" s="15">
        <f t="shared" si="50"/>
        <v>782.88089228231365</v>
      </c>
    </row>
    <row r="779" spans="1:22" x14ac:dyDescent="0.3">
      <c r="A779">
        <v>10</v>
      </c>
      <c r="B779" s="86">
        <v>6.2</v>
      </c>
      <c r="C779" s="78">
        <v>45989</v>
      </c>
      <c r="D779" s="78">
        <v>45991</v>
      </c>
      <c r="E779">
        <v>52</v>
      </c>
      <c r="F779" t="s">
        <v>917</v>
      </c>
      <c r="G779" t="s">
        <v>933</v>
      </c>
      <c r="H779">
        <v>25</v>
      </c>
      <c r="I779">
        <v>16</v>
      </c>
      <c r="J779" t="s">
        <v>935</v>
      </c>
      <c r="K779" t="s">
        <v>1332</v>
      </c>
      <c r="M779" s="1">
        <v>814</v>
      </c>
      <c r="N779" s="1" t="s">
        <v>810</v>
      </c>
      <c r="O779" s="2">
        <v>46035.477743055555</v>
      </c>
      <c r="P779" s="3">
        <v>7.8270675000000001</v>
      </c>
      <c r="Q779" s="3">
        <v>-10.587260163888097</v>
      </c>
      <c r="R779" s="13">
        <f t="shared" si="48"/>
        <v>7.8270675000000001</v>
      </c>
      <c r="S779" s="42">
        <f t="shared" si="51"/>
        <v>94.751102817962661</v>
      </c>
      <c r="T779" s="13">
        <v>0</v>
      </c>
      <c r="U779" s="14">
        <f t="shared" si="49"/>
        <v>-10.587260163888097</v>
      </c>
      <c r="V779" s="15">
        <f t="shared" si="50"/>
        <v>741.62327745563391</v>
      </c>
    </row>
    <row r="780" spans="1:22" x14ac:dyDescent="0.3">
      <c r="A780">
        <v>10</v>
      </c>
      <c r="B780" s="86">
        <v>6.2</v>
      </c>
      <c r="C780" s="78">
        <v>45989</v>
      </c>
      <c r="D780" s="78">
        <v>45991</v>
      </c>
      <c r="E780">
        <v>53</v>
      </c>
      <c r="F780" t="s">
        <v>925</v>
      </c>
      <c r="G780" t="s">
        <v>907</v>
      </c>
      <c r="H780">
        <v>25</v>
      </c>
      <c r="I780">
        <v>17</v>
      </c>
      <c r="J780" t="s">
        <v>24</v>
      </c>
      <c r="K780" t="s">
        <v>1615</v>
      </c>
      <c r="M780" s="4">
        <v>815</v>
      </c>
      <c r="N780" s="4" t="s">
        <v>811</v>
      </c>
      <c r="O780" s="12">
        <v>46035.481493055559</v>
      </c>
      <c r="P780" s="5">
        <v>7.4234784999999999</v>
      </c>
      <c r="Q780" s="5">
        <v>8.5004130958506661</v>
      </c>
      <c r="R780" s="13">
        <f t="shared" si="48"/>
        <v>7.4234784999999999</v>
      </c>
      <c r="S780" s="42">
        <f t="shared" si="51"/>
        <v>94.751102817962661</v>
      </c>
      <c r="T780" s="13">
        <v>0</v>
      </c>
      <c r="U780" s="14">
        <f t="shared" si="49"/>
        <v>8.5004130958506661</v>
      </c>
      <c r="V780" s="15">
        <f t="shared" si="50"/>
        <v>703.38277462043516</v>
      </c>
    </row>
    <row r="781" spans="1:22" x14ac:dyDescent="0.3">
      <c r="A781">
        <v>10</v>
      </c>
      <c r="B781" s="86">
        <v>6.2</v>
      </c>
      <c r="C781" s="78">
        <v>45989</v>
      </c>
      <c r="D781" s="78">
        <v>45991</v>
      </c>
      <c r="E781">
        <v>49</v>
      </c>
      <c r="F781" t="s">
        <v>932</v>
      </c>
      <c r="G781" t="s">
        <v>15</v>
      </c>
      <c r="H781">
        <v>25</v>
      </c>
      <c r="I781">
        <v>18</v>
      </c>
      <c r="J781" t="s">
        <v>24</v>
      </c>
      <c r="K781" t="s">
        <v>1616</v>
      </c>
      <c r="M781" s="1">
        <v>816</v>
      </c>
      <c r="N781" s="1" t="s">
        <v>812</v>
      </c>
      <c r="O781" s="2">
        <v>46035.485335648147</v>
      </c>
      <c r="P781" s="3">
        <v>7.4220094999999997</v>
      </c>
      <c r="Q781" s="3">
        <v>3.4253851165586902</v>
      </c>
      <c r="R781" s="13">
        <f t="shared" si="48"/>
        <v>7.4220094999999997</v>
      </c>
      <c r="S781" s="42">
        <f t="shared" si="51"/>
        <v>94.751102817962661</v>
      </c>
      <c r="T781" s="13">
        <v>0</v>
      </c>
      <c r="U781" s="14">
        <f t="shared" si="49"/>
        <v>3.4253851165586902</v>
      </c>
      <c r="V781" s="15">
        <f t="shared" si="50"/>
        <v>703.24358525039565</v>
      </c>
    </row>
    <row r="782" spans="1:22" x14ac:dyDescent="0.3">
      <c r="A782">
        <v>10</v>
      </c>
      <c r="B782" s="86">
        <v>6.2</v>
      </c>
      <c r="C782" s="78">
        <v>45989</v>
      </c>
      <c r="D782" s="78">
        <v>45991</v>
      </c>
      <c r="E782">
        <v>55</v>
      </c>
      <c r="F782" t="s">
        <v>929</v>
      </c>
      <c r="G782" t="s">
        <v>914</v>
      </c>
      <c r="H782">
        <v>25</v>
      </c>
      <c r="I782">
        <v>19</v>
      </c>
      <c r="J782" t="s">
        <v>24</v>
      </c>
      <c r="K782" t="s">
        <v>1617</v>
      </c>
      <c r="M782" s="4">
        <v>817</v>
      </c>
      <c r="N782" s="4" t="s">
        <v>813</v>
      </c>
      <c r="O782" s="12">
        <v>46035.489062499997</v>
      </c>
      <c r="P782" s="5">
        <v>8.0327114999999996</v>
      </c>
      <c r="Q782" s="5">
        <v>10.420016538187319</v>
      </c>
      <c r="R782" s="13">
        <f t="shared" si="48"/>
        <v>8.0327114999999996</v>
      </c>
      <c r="S782" s="42">
        <f t="shared" si="51"/>
        <v>94.751102817962661</v>
      </c>
      <c r="T782" s="13">
        <v>0</v>
      </c>
      <c r="U782" s="14">
        <f t="shared" si="49"/>
        <v>10.420016538187319</v>
      </c>
      <c r="V782" s="15">
        <f t="shared" si="50"/>
        <v>761.10827324353102</v>
      </c>
    </row>
    <row r="783" spans="1:22" x14ac:dyDescent="0.3">
      <c r="A783">
        <v>10</v>
      </c>
      <c r="B783" s="86">
        <v>6.2</v>
      </c>
      <c r="C783" s="78">
        <v>45989</v>
      </c>
      <c r="D783" s="78">
        <v>45991</v>
      </c>
      <c r="E783">
        <v>54</v>
      </c>
      <c r="F783" t="s">
        <v>906</v>
      </c>
      <c r="G783" t="s">
        <v>918</v>
      </c>
      <c r="H783">
        <v>25</v>
      </c>
      <c r="I783">
        <v>20</v>
      </c>
      <c r="J783" t="s">
        <v>24</v>
      </c>
      <c r="K783" t="s">
        <v>1618</v>
      </c>
      <c r="M783" s="1">
        <v>818</v>
      </c>
      <c r="N783" s="1" t="s">
        <v>814</v>
      </c>
      <c r="O783" s="2">
        <v>46035.492800925924</v>
      </c>
      <c r="P783" s="3">
        <v>8.0628205000000008</v>
      </c>
      <c r="Q783" s="3">
        <v>9.5842031149131675</v>
      </c>
      <c r="R783" s="13">
        <f t="shared" si="48"/>
        <v>8.0628205000000008</v>
      </c>
      <c r="S783" s="42">
        <f t="shared" si="51"/>
        <v>94.751102817962661</v>
      </c>
      <c r="T783" s="13">
        <v>0</v>
      </c>
      <c r="U783" s="14">
        <f t="shared" si="49"/>
        <v>9.5842031149131675</v>
      </c>
      <c r="V783" s="15">
        <f t="shared" si="50"/>
        <v>763.96113419827714</v>
      </c>
    </row>
    <row r="784" spans="1:22" x14ac:dyDescent="0.3">
      <c r="A784">
        <v>10</v>
      </c>
      <c r="B784" s="86">
        <v>6.2</v>
      </c>
      <c r="C784" s="78">
        <v>45989</v>
      </c>
      <c r="D784" s="78">
        <v>45991</v>
      </c>
      <c r="E784">
        <v>50</v>
      </c>
      <c r="F784" t="s">
        <v>913</v>
      </c>
      <c r="G784" t="s">
        <v>922</v>
      </c>
      <c r="H784">
        <v>25</v>
      </c>
      <c r="I784">
        <v>21</v>
      </c>
      <c r="J784" t="s">
        <v>24</v>
      </c>
      <c r="K784" t="s">
        <v>1619</v>
      </c>
      <c r="M784" s="4">
        <v>819</v>
      </c>
      <c r="N784" s="4" t="s">
        <v>815</v>
      </c>
      <c r="O784" s="12">
        <v>46035.496539351851</v>
      </c>
      <c r="P784" s="5">
        <v>7.6208095</v>
      </c>
      <c r="Q784" s="5">
        <v>7.5308081302693228</v>
      </c>
      <c r="R784" s="13">
        <f t="shared" si="48"/>
        <v>7.6208095</v>
      </c>
      <c r="S784" s="42">
        <f t="shared" si="51"/>
        <v>94.751102817962661</v>
      </c>
      <c r="T784" s="13">
        <v>0</v>
      </c>
      <c r="U784" s="14">
        <f t="shared" si="49"/>
        <v>7.5308081302693228</v>
      </c>
      <c r="V784" s="15">
        <f t="shared" si="50"/>
        <v>722.08010449060657</v>
      </c>
    </row>
    <row r="785" spans="1:22" x14ac:dyDescent="0.3">
      <c r="A785">
        <v>10</v>
      </c>
      <c r="B785" s="86">
        <v>6.2</v>
      </c>
      <c r="C785" s="78">
        <v>45989</v>
      </c>
      <c r="D785" s="78">
        <v>45991</v>
      </c>
      <c r="E785">
        <v>51</v>
      </c>
      <c r="F785" t="s">
        <v>910</v>
      </c>
      <c r="G785" t="s">
        <v>926</v>
      </c>
      <c r="H785">
        <v>25</v>
      </c>
      <c r="I785">
        <v>22</v>
      </c>
      <c r="J785" t="s">
        <v>24</v>
      </c>
      <c r="K785" t="s">
        <v>1620</v>
      </c>
      <c r="M785" s="1">
        <v>820</v>
      </c>
      <c r="N785" s="1" t="s">
        <v>816</v>
      </c>
      <c r="O785" s="2">
        <v>46035.5002662037</v>
      </c>
      <c r="P785" s="3">
        <v>7.5264030000000002</v>
      </c>
      <c r="Q785" s="3">
        <v>-4.9872674897376017</v>
      </c>
      <c r="R785" s="13">
        <f t="shared" si="48"/>
        <v>7.5264030000000002</v>
      </c>
      <c r="S785" s="42">
        <f t="shared" si="51"/>
        <v>94.751102817962661</v>
      </c>
      <c r="T785" s="13">
        <v>0</v>
      </c>
      <c r="U785" s="14">
        <f t="shared" si="49"/>
        <v>-4.9872674897376017</v>
      </c>
      <c r="V785" s="15">
        <f t="shared" si="50"/>
        <v>713.13498450242264</v>
      </c>
    </row>
    <row r="786" spans="1:22" x14ac:dyDescent="0.3">
      <c r="A786">
        <v>10</v>
      </c>
      <c r="B786" s="86">
        <v>6.2</v>
      </c>
      <c r="C786" s="78">
        <v>45989</v>
      </c>
      <c r="D786" s="78">
        <v>45991</v>
      </c>
      <c r="E786">
        <v>56</v>
      </c>
      <c r="F786" t="s">
        <v>921</v>
      </c>
      <c r="G786" t="s">
        <v>930</v>
      </c>
      <c r="H786">
        <v>25</v>
      </c>
      <c r="I786">
        <v>23</v>
      </c>
      <c r="J786" t="s">
        <v>24</v>
      </c>
      <c r="K786" t="s">
        <v>1621</v>
      </c>
      <c r="M786" s="4">
        <v>821</v>
      </c>
      <c r="N786" s="4" t="s">
        <v>817</v>
      </c>
      <c r="O786" s="12">
        <v>46035.504016203704</v>
      </c>
      <c r="P786" s="5">
        <v>8.8741219999999998</v>
      </c>
      <c r="Q786" s="5">
        <v>0.16980015456315906</v>
      </c>
      <c r="R786" s="13">
        <f t="shared" si="48"/>
        <v>8.8741219999999998</v>
      </c>
      <c r="S786" s="42">
        <f t="shared" si="51"/>
        <v>94.751102817962661</v>
      </c>
      <c r="T786" s="13">
        <v>0</v>
      </c>
      <c r="U786" s="14">
        <f t="shared" si="49"/>
        <v>0.16980015456315906</v>
      </c>
      <c r="V786" s="15">
        <f t="shared" si="50"/>
        <v>840.83284604114442</v>
      </c>
    </row>
    <row r="787" spans="1:22" x14ac:dyDescent="0.3">
      <c r="A787">
        <v>10</v>
      </c>
      <c r="B787" s="86">
        <v>6.2</v>
      </c>
      <c r="C787" s="78">
        <v>45989</v>
      </c>
      <c r="D787" s="78">
        <v>45991</v>
      </c>
      <c r="E787">
        <v>52</v>
      </c>
      <c r="F787" t="s">
        <v>917</v>
      </c>
      <c r="G787" t="s">
        <v>933</v>
      </c>
      <c r="H787">
        <v>25</v>
      </c>
      <c r="I787">
        <v>24</v>
      </c>
      <c r="J787" t="s">
        <v>24</v>
      </c>
      <c r="K787" t="s">
        <v>1622</v>
      </c>
      <c r="M787" s="1">
        <v>822</v>
      </c>
      <c r="N787" s="1" t="s">
        <v>818</v>
      </c>
      <c r="O787" s="2">
        <v>46035.507731481484</v>
      </c>
      <c r="P787" s="3">
        <v>7.3402589999999996</v>
      </c>
      <c r="Q787" s="3">
        <v>-3.9972687733415793</v>
      </c>
      <c r="R787" s="13">
        <f t="shared" si="48"/>
        <v>7.3402589999999996</v>
      </c>
      <c r="S787" s="42">
        <f t="shared" si="51"/>
        <v>94.751102817962661</v>
      </c>
      <c r="T787" s="13">
        <v>0</v>
      </c>
      <c r="U787" s="14">
        <f t="shared" si="49"/>
        <v>-3.9972687733415793</v>
      </c>
      <c r="V787" s="15">
        <f t="shared" si="50"/>
        <v>695.4976352194758</v>
      </c>
    </row>
    <row r="788" spans="1:22" x14ac:dyDescent="0.3">
      <c r="A788">
        <v>10</v>
      </c>
      <c r="B788" s="86">
        <v>6.2</v>
      </c>
      <c r="C788" s="78">
        <v>45989</v>
      </c>
      <c r="D788" s="78">
        <v>45991</v>
      </c>
      <c r="E788">
        <v>53</v>
      </c>
      <c r="F788" t="s">
        <v>925</v>
      </c>
      <c r="G788" t="s">
        <v>907</v>
      </c>
      <c r="H788">
        <v>25</v>
      </c>
      <c r="I788">
        <v>25</v>
      </c>
      <c r="J788" t="s">
        <v>25</v>
      </c>
      <c r="K788" t="s">
        <v>1623</v>
      </c>
      <c r="M788" s="4">
        <v>823</v>
      </c>
      <c r="N788" s="4" t="s">
        <v>819</v>
      </c>
      <c r="O788" s="12">
        <v>46035.511469907404</v>
      </c>
      <c r="P788" s="5">
        <v>7.4924445000000004</v>
      </c>
      <c r="Q788" s="5">
        <v>16.530742835959845</v>
      </c>
      <c r="R788" s="13">
        <f t="shared" si="48"/>
        <v>7.4924445000000004</v>
      </c>
      <c r="S788" s="42">
        <f t="shared" si="51"/>
        <v>94.751102817962661</v>
      </c>
      <c r="T788" s="13">
        <v>0</v>
      </c>
      <c r="U788" s="14">
        <f t="shared" si="49"/>
        <v>16.530742835959845</v>
      </c>
      <c r="V788" s="15">
        <f t="shared" si="50"/>
        <v>709.91737917737885</v>
      </c>
    </row>
    <row r="789" spans="1:22" x14ac:dyDescent="0.3">
      <c r="A789">
        <v>10</v>
      </c>
      <c r="B789" s="86">
        <v>6.2</v>
      </c>
      <c r="C789" s="78">
        <v>45989</v>
      </c>
      <c r="D789" s="78">
        <v>45991</v>
      </c>
      <c r="E789">
        <v>49</v>
      </c>
      <c r="F789" t="s">
        <v>932</v>
      </c>
      <c r="G789" t="s">
        <v>15</v>
      </c>
      <c r="H789">
        <v>25</v>
      </c>
      <c r="I789">
        <v>26</v>
      </c>
      <c r="J789" t="s">
        <v>25</v>
      </c>
      <c r="K789" t="s">
        <v>1624</v>
      </c>
      <c r="M789" s="1">
        <v>824</v>
      </c>
      <c r="N789" s="1" t="s">
        <v>820</v>
      </c>
      <c r="O789" s="2">
        <v>46035.515208333331</v>
      </c>
      <c r="P789" s="3">
        <v>7.6546624999999997</v>
      </c>
      <c r="Q789" s="3">
        <v>8.8895206577156305</v>
      </c>
      <c r="R789" s="13">
        <f t="shared" si="48"/>
        <v>7.6546624999999997</v>
      </c>
      <c r="S789" s="42">
        <f t="shared" si="51"/>
        <v>94.751102817962661</v>
      </c>
      <c r="T789" s="13">
        <v>0</v>
      </c>
      <c r="U789" s="14">
        <f t="shared" si="49"/>
        <v>8.8895206577156305</v>
      </c>
      <c r="V789" s="15">
        <f t="shared" si="50"/>
        <v>725.2877135743031</v>
      </c>
    </row>
    <row r="790" spans="1:22" x14ac:dyDescent="0.3">
      <c r="A790">
        <v>10</v>
      </c>
      <c r="B790" s="86">
        <v>6.2</v>
      </c>
      <c r="C790" s="78">
        <v>45989</v>
      </c>
      <c r="D790" s="78">
        <v>45991</v>
      </c>
      <c r="E790">
        <v>55</v>
      </c>
      <c r="F790" t="s">
        <v>929</v>
      </c>
      <c r="G790" t="s">
        <v>914</v>
      </c>
      <c r="H790">
        <v>25</v>
      </c>
      <c r="I790">
        <v>27</v>
      </c>
      <c r="J790" t="s">
        <v>25</v>
      </c>
      <c r="K790" t="s">
        <v>1625</v>
      </c>
      <c r="M790" s="4">
        <v>825</v>
      </c>
      <c r="N790" s="4" t="s">
        <v>821</v>
      </c>
      <c r="O790" s="12">
        <v>46035.518946759257</v>
      </c>
      <c r="P790" s="5">
        <v>8.0605930000000008</v>
      </c>
      <c r="Q790" s="5">
        <v>21.715772569915075</v>
      </c>
      <c r="R790" s="13">
        <f t="shared" si="48"/>
        <v>8.0605930000000008</v>
      </c>
      <c r="S790" s="42">
        <f t="shared" si="51"/>
        <v>94.751102817962661</v>
      </c>
      <c r="T790" s="13">
        <v>0</v>
      </c>
      <c r="U790" s="14">
        <f t="shared" si="49"/>
        <v>21.715772569915075</v>
      </c>
      <c r="V790" s="15">
        <f t="shared" si="50"/>
        <v>763.75007611675017</v>
      </c>
    </row>
    <row r="791" spans="1:22" x14ac:dyDescent="0.3">
      <c r="A791">
        <v>10</v>
      </c>
      <c r="B791" s="86">
        <v>6.2</v>
      </c>
      <c r="C791" s="78">
        <v>45989</v>
      </c>
      <c r="D791" s="78">
        <v>45991</v>
      </c>
      <c r="E791">
        <v>54</v>
      </c>
      <c r="F791" t="s">
        <v>906</v>
      </c>
      <c r="G791" t="s">
        <v>918</v>
      </c>
      <c r="H791">
        <v>25</v>
      </c>
      <c r="I791">
        <v>28</v>
      </c>
      <c r="J791" t="s">
        <v>25</v>
      </c>
      <c r="K791" t="s">
        <v>1626</v>
      </c>
      <c r="M791" s="1">
        <v>826</v>
      </c>
      <c r="N791" s="1" t="s">
        <v>822</v>
      </c>
      <c r="O791" s="2">
        <v>46035.522673611114</v>
      </c>
      <c r="P791" s="3">
        <v>7.3773755000000003</v>
      </c>
      <c r="Q791" s="3">
        <v>17.675706542444011</v>
      </c>
      <c r="R791" s="13">
        <f t="shared" si="48"/>
        <v>7.3773755000000003</v>
      </c>
      <c r="S791" s="42">
        <f t="shared" si="51"/>
        <v>94.751102817962661</v>
      </c>
      <c r="T791" s="13">
        <v>0</v>
      </c>
      <c r="U791" s="14">
        <f t="shared" si="49"/>
        <v>17.675706542444011</v>
      </c>
      <c r="V791" s="15">
        <f t="shared" si="50"/>
        <v>699.01446452721871</v>
      </c>
    </row>
    <row r="792" spans="1:22" x14ac:dyDescent="0.3">
      <c r="A792">
        <v>10</v>
      </c>
      <c r="B792" s="86">
        <v>6.2</v>
      </c>
      <c r="C792" s="78">
        <v>45989</v>
      </c>
      <c r="D792" s="78">
        <v>45991</v>
      </c>
      <c r="E792">
        <v>50</v>
      </c>
      <c r="F792" t="s">
        <v>913</v>
      </c>
      <c r="G792" t="s">
        <v>922</v>
      </c>
      <c r="H792">
        <v>25</v>
      </c>
      <c r="I792">
        <v>29</v>
      </c>
      <c r="J792" t="s">
        <v>25</v>
      </c>
      <c r="K792" t="s">
        <v>1627</v>
      </c>
      <c r="M792" s="4">
        <v>827</v>
      </c>
      <c r="N792" s="4" t="s">
        <v>823</v>
      </c>
      <c r="O792" s="12">
        <v>46035.526412037034</v>
      </c>
      <c r="P792" s="5">
        <v>7.5491485000000003</v>
      </c>
      <c r="Q792" s="5">
        <v>17.614671436764958</v>
      </c>
      <c r="R792" s="13">
        <f t="shared" si="48"/>
        <v>7.5491485000000003</v>
      </c>
      <c r="S792" s="42">
        <f t="shared" si="51"/>
        <v>94.751102817962661</v>
      </c>
      <c r="T792" s="13">
        <v>0</v>
      </c>
      <c r="U792" s="14">
        <f t="shared" si="49"/>
        <v>17.614671436764958</v>
      </c>
      <c r="V792" s="15">
        <f t="shared" si="50"/>
        <v>715.29014571156858</v>
      </c>
    </row>
    <row r="793" spans="1:22" x14ac:dyDescent="0.3">
      <c r="A793">
        <v>10</v>
      </c>
      <c r="B793" s="86">
        <v>6.2</v>
      </c>
      <c r="C793" s="78">
        <v>45989</v>
      </c>
      <c r="D793" s="78">
        <v>45991</v>
      </c>
      <c r="E793">
        <v>51</v>
      </c>
      <c r="F793" t="s">
        <v>910</v>
      </c>
      <c r="G793" t="s">
        <v>926</v>
      </c>
      <c r="H793">
        <v>25</v>
      </c>
      <c r="I793">
        <v>30</v>
      </c>
      <c r="J793" t="s">
        <v>25</v>
      </c>
      <c r="K793" t="s">
        <v>1628</v>
      </c>
      <c r="M793" s="1">
        <v>828</v>
      </c>
      <c r="N793" s="1" t="s">
        <v>824</v>
      </c>
      <c r="O793" s="2">
        <v>46035.530150462961</v>
      </c>
      <c r="P793" s="3">
        <v>7.9546109999999999</v>
      </c>
      <c r="Q793" s="3">
        <v>-1.5118247013482096</v>
      </c>
      <c r="R793" s="13">
        <f t="shared" si="48"/>
        <v>7.9546109999999999</v>
      </c>
      <c r="S793" s="42">
        <f t="shared" si="51"/>
        <v>94.751102817962661</v>
      </c>
      <c r="T793" s="13">
        <v>0</v>
      </c>
      <c r="U793" s="14">
        <f t="shared" si="49"/>
        <v>-1.5118247013482096</v>
      </c>
      <c r="V793" s="15">
        <f t="shared" si="50"/>
        <v>753.70816473789682</v>
      </c>
    </row>
    <row r="794" spans="1:22" x14ac:dyDescent="0.3">
      <c r="A794">
        <v>10</v>
      </c>
      <c r="B794" s="86">
        <v>6.2</v>
      </c>
      <c r="C794" s="78">
        <v>45989</v>
      </c>
      <c r="D794" s="78">
        <v>45991</v>
      </c>
      <c r="E794">
        <v>56</v>
      </c>
      <c r="F794" t="s">
        <v>921</v>
      </c>
      <c r="G794" t="s">
        <v>930</v>
      </c>
      <c r="H794">
        <v>25</v>
      </c>
      <c r="I794">
        <v>31</v>
      </c>
      <c r="J794" t="s">
        <v>25</v>
      </c>
      <c r="K794" t="s">
        <v>1629</v>
      </c>
      <c r="M794" s="4">
        <v>829</v>
      </c>
      <c r="N794" s="4" t="s">
        <v>825</v>
      </c>
      <c r="O794" s="12">
        <v>46035.533900462964</v>
      </c>
      <c r="P794" s="5">
        <v>8.6556909999999991</v>
      </c>
      <c r="Q794" s="5">
        <v>7.2938891482932284</v>
      </c>
      <c r="R794" s="13">
        <f t="shared" si="48"/>
        <v>8.6556909999999991</v>
      </c>
      <c r="S794" s="42">
        <f t="shared" si="51"/>
        <v>94.751102817962661</v>
      </c>
      <c r="T794" s="13">
        <v>0</v>
      </c>
      <c r="U794" s="14">
        <f t="shared" si="49"/>
        <v>7.2938891482932284</v>
      </c>
      <c r="V794" s="15">
        <f t="shared" si="50"/>
        <v>820.13626790151397</v>
      </c>
    </row>
    <row r="795" spans="1:22" x14ac:dyDescent="0.3">
      <c r="A795">
        <v>10</v>
      </c>
      <c r="B795" s="86">
        <v>6.2</v>
      </c>
      <c r="C795" s="78">
        <v>45989</v>
      </c>
      <c r="D795" s="78">
        <v>45991</v>
      </c>
      <c r="E795">
        <v>52</v>
      </c>
      <c r="F795" t="s">
        <v>917</v>
      </c>
      <c r="G795" t="s">
        <v>933</v>
      </c>
      <c r="H795">
        <v>25</v>
      </c>
      <c r="I795">
        <v>32</v>
      </c>
      <c r="J795" t="s">
        <v>25</v>
      </c>
      <c r="K795" t="s">
        <v>1630</v>
      </c>
      <c r="M795" s="1">
        <v>830</v>
      </c>
      <c r="N795" s="1" t="s">
        <v>826</v>
      </c>
      <c r="O795" s="2">
        <v>46035.537638888891</v>
      </c>
      <c r="P795" s="3">
        <v>7.6118825000000001</v>
      </c>
      <c r="Q795" s="3">
        <v>-0.37942981750952715</v>
      </c>
      <c r="R795" s="13">
        <f t="shared" si="48"/>
        <v>7.6118825000000001</v>
      </c>
      <c r="S795" s="42">
        <f t="shared" si="51"/>
        <v>94.751102817962661</v>
      </c>
      <c r="T795" s="13">
        <v>0</v>
      </c>
      <c r="U795" s="14">
        <f t="shared" si="49"/>
        <v>-0.37942981750952715</v>
      </c>
      <c r="V795" s="15">
        <f t="shared" si="50"/>
        <v>721.23426139575065</v>
      </c>
    </row>
    <row r="796" spans="1:22" x14ac:dyDescent="0.3">
      <c r="A796" t="s">
        <v>1631</v>
      </c>
      <c r="B796" s="86">
        <v>6.3</v>
      </c>
      <c r="C796" s="78">
        <v>45990</v>
      </c>
      <c r="D796" s="78">
        <v>45992</v>
      </c>
      <c r="E796">
        <v>53</v>
      </c>
      <c r="F796" t="s">
        <v>925</v>
      </c>
      <c r="G796" t="s">
        <v>907</v>
      </c>
      <c r="H796">
        <v>49</v>
      </c>
      <c r="I796">
        <v>1</v>
      </c>
      <c r="J796" t="s">
        <v>908</v>
      </c>
      <c r="K796" t="s">
        <v>1632</v>
      </c>
      <c r="M796" s="4">
        <v>831</v>
      </c>
      <c r="N796" s="4" t="s">
        <v>827</v>
      </c>
      <c r="O796" s="12">
        <v>46035.541365740741</v>
      </c>
      <c r="P796" s="5">
        <v>6.6190955000000002</v>
      </c>
      <c r="Q796" s="5">
        <v>-14.437379934294006</v>
      </c>
      <c r="R796" s="13">
        <f t="shared" si="48"/>
        <v>6.6190955000000002</v>
      </c>
      <c r="S796" s="42">
        <f t="shared" si="51"/>
        <v>94.751102817962661</v>
      </c>
      <c r="T796" s="13">
        <v>0</v>
      </c>
      <c r="U796" s="14">
        <f t="shared" si="49"/>
        <v>-14.437379934294006</v>
      </c>
      <c r="V796" s="15">
        <f t="shared" si="50"/>
        <v>627.16659828241404</v>
      </c>
    </row>
    <row r="797" spans="1:22" x14ac:dyDescent="0.3">
      <c r="A797" t="s">
        <v>1631</v>
      </c>
      <c r="B797" s="86">
        <v>6.3</v>
      </c>
      <c r="C797" s="78">
        <v>45990</v>
      </c>
      <c r="D797" s="78">
        <v>45992</v>
      </c>
      <c r="E797">
        <v>49</v>
      </c>
      <c r="F797" t="s">
        <v>932</v>
      </c>
      <c r="G797" t="s">
        <v>15</v>
      </c>
      <c r="H797">
        <v>49</v>
      </c>
      <c r="I797">
        <v>2</v>
      </c>
      <c r="J797" t="s">
        <v>908</v>
      </c>
      <c r="K797" t="s">
        <v>1633</v>
      </c>
      <c r="M797" s="1">
        <v>832</v>
      </c>
      <c r="N797" s="1" t="s">
        <v>828</v>
      </c>
      <c r="O797" s="2">
        <v>46035.545104166667</v>
      </c>
      <c r="P797" s="3">
        <v>7.0921659999999997</v>
      </c>
      <c r="Q797" s="3">
        <v>-9.9723622557324241</v>
      </c>
      <c r="R797" s="13">
        <f t="shared" si="48"/>
        <v>7.0921659999999997</v>
      </c>
      <c r="S797" s="42">
        <f t="shared" si="51"/>
        <v>94.751102817962661</v>
      </c>
      <c r="T797" s="13">
        <v>0</v>
      </c>
      <c r="U797" s="14">
        <f t="shared" si="49"/>
        <v>-9.9723622557324241</v>
      </c>
      <c r="V797" s="15">
        <f t="shared" si="50"/>
        <v>671.99054986805891</v>
      </c>
    </row>
    <row r="798" spans="1:22" x14ac:dyDescent="0.3">
      <c r="A798" t="s">
        <v>1631</v>
      </c>
      <c r="B798" s="86">
        <v>6.3</v>
      </c>
      <c r="C798" s="78">
        <v>45990</v>
      </c>
      <c r="D798" s="78">
        <v>45992</v>
      </c>
      <c r="E798">
        <v>55</v>
      </c>
      <c r="F798" t="s">
        <v>929</v>
      </c>
      <c r="G798" t="s">
        <v>914</v>
      </c>
      <c r="H798">
        <v>49</v>
      </c>
      <c r="I798">
        <v>3</v>
      </c>
      <c r="J798" t="s">
        <v>908</v>
      </c>
      <c r="K798" t="s">
        <v>1634</v>
      </c>
      <c r="M798" s="4">
        <v>833</v>
      </c>
      <c r="N798" s="4" t="s">
        <v>829</v>
      </c>
      <c r="O798" s="12">
        <v>46035.548854166664</v>
      </c>
      <c r="P798" s="5">
        <v>6.9567354999999997</v>
      </c>
      <c r="Q798" s="5">
        <v>-14.131800377937857</v>
      </c>
      <c r="R798" s="13">
        <f t="shared" si="48"/>
        <v>6.9567354999999997</v>
      </c>
      <c r="S798" s="42">
        <f t="shared" si="51"/>
        <v>94.751102817962661</v>
      </c>
      <c r="T798" s="13">
        <v>0</v>
      </c>
      <c r="U798" s="14">
        <f t="shared" si="49"/>
        <v>-14.131800377937857</v>
      </c>
      <c r="V798" s="15">
        <f t="shared" si="50"/>
        <v>659.15836063787083</v>
      </c>
    </row>
    <row r="799" spans="1:22" x14ac:dyDescent="0.3">
      <c r="A799" t="s">
        <v>1631</v>
      </c>
      <c r="B799" s="86">
        <v>6.3</v>
      </c>
      <c r="C799" s="78">
        <v>45990</v>
      </c>
      <c r="D799" s="78">
        <v>45992</v>
      </c>
      <c r="E799">
        <v>54</v>
      </c>
      <c r="F799" t="s">
        <v>906</v>
      </c>
      <c r="G799" t="s">
        <v>918</v>
      </c>
      <c r="H799">
        <v>49</v>
      </c>
      <c r="I799">
        <v>4</v>
      </c>
      <c r="J799" t="s">
        <v>908</v>
      </c>
      <c r="K799" t="s">
        <v>1635</v>
      </c>
      <c r="M799" s="1">
        <v>834</v>
      </c>
      <c r="N799" s="1" t="s">
        <v>830</v>
      </c>
      <c r="O799" s="2">
        <v>46035.55259259259</v>
      </c>
      <c r="P799" s="3">
        <v>7.1795619999999998</v>
      </c>
      <c r="Q799" s="3">
        <v>-15.520173701043364</v>
      </c>
      <c r="R799" s="13">
        <f t="shared" si="48"/>
        <v>7.1795619999999998</v>
      </c>
      <c r="S799" s="42">
        <f t="shared" si="51"/>
        <v>94.751102817962661</v>
      </c>
      <c r="T799" s="13">
        <v>0</v>
      </c>
      <c r="U799" s="14">
        <f t="shared" si="49"/>
        <v>-15.520173701043364</v>
      </c>
      <c r="V799" s="15">
        <f t="shared" si="50"/>
        <v>680.2714172499376</v>
      </c>
    </row>
    <row r="800" spans="1:22" x14ac:dyDescent="0.3">
      <c r="A800" t="s">
        <v>1631</v>
      </c>
      <c r="B800" s="86">
        <v>6.3</v>
      </c>
      <c r="C800" s="78">
        <v>45990</v>
      </c>
      <c r="D800" s="78">
        <v>45992</v>
      </c>
      <c r="E800">
        <v>50</v>
      </c>
      <c r="F800" t="s">
        <v>913</v>
      </c>
      <c r="G800" t="s">
        <v>922</v>
      </c>
      <c r="H800">
        <v>49</v>
      </c>
      <c r="I800">
        <v>5</v>
      </c>
      <c r="J800" t="s">
        <v>908</v>
      </c>
      <c r="K800" t="s">
        <v>1636</v>
      </c>
      <c r="M800" s="4">
        <v>835</v>
      </c>
      <c r="N800" s="4" t="s">
        <v>831</v>
      </c>
      <c r="O800" s="12">
        <v>46035.556331018517</v>
      </c>
      <c r="P800" s="5">
        <v>8.2561359999999997</v>
      </c>
      <c r="Q800" s="5">
        <v>-15.008761263925654</v>
      </c>
      <c r="R800" s="13">
        <f t="shared" si="48"/>
        <v>8.2561359999999997</v>
      </c>
      <c r="S800" s="42">
        <f t="shared" si="51"/>
        <v>94.751102817962661</v>
      </c>
      <c r="T800" s="13">
        <v>0</v>
      </c>
      <c r="U800" s="14">
        <f t="shared" si="49"/>
        <v>-15.008761263925654</v>
      </c>
      <c r="V800" s="15">
        <f t="shared" si="50"/>
        <v>782.27799101508299</v>
      </c>
    </row>
    <row r="801" spans="1:22" x14ac:dyDescent="0.3">
      <c r="A801" t="s">
        <v>1631</v>
      </c>
      <c r="B801" s="86">
        <v>6.3</v>
      </c>
      <c r="C801" s="78">
        <v>45990</v>
      </c>
      <c r="D801" s="78">
        <v>45992</v>
      </c>
      <c r="E801">
        <v>51</v>
      </c>
      <c r="F801" t="s">
        <v>910</v>
      </c>
      <c r="G801" t="s">
        <v>926</v>
      </c>
      <c r="H801">
        <v>49</v>
      </c>
      <c r="I801">
        <v>6</v>
      </c>
      <c r="J801" t="s">
        <v>908</v>
      </c>
      <c r="K801" t="s">
        <v>1637</v>
      </c>
      <c r="M801" s="1">
        <v>836</v>
      </c>
      <c r="N801" s="1" t="s">
        <v>832</v>
      </c>
      <c r="O801" s="2">
        <v>46035.560057870367</v>
      </c>
      <c r="P801" s="3">
        <v>7.2944715000000002</v>
      </c>
      <c r="Q801" s="3">
        <v>-15.838449754293544</v>
      </c>
      <c r="R801" s="13">
        <f t="shared" si="48"/>
        <v>7.2944715000000002</v>
      </c>
      <c r="S801" s="42">
        <f t="shared" si="51"/>
        <v>94.751102817962661</v>
      </c>
      <c r="T801" s="13">
        <v>0</v>
      </c>
      <c r="U801" s="14">
        <f t="shared" si="49"/>
        <v>-15.838449754293544</v>
      </c>
      <c r="V801" s="15">
        <f t="shared" si="50"/>
        <v>691.15921909919837</v>
      </c>
    </row>
    <row r="802" spans="1:22" x14ac:dyDescent="0.3">
      <c r="A802" t="s">
        <v>1631</v>
      </c>
      <c r="B802" s="86">
        <v>6.3</v>
      </c>
      <c r="C802" s="78">
        <v>45990</v>
      </c>
      <c r="D802" s="78">
        <v>45992</v>
      </c>
      <c r="E802">
        <v>56</v>
      </c>
      <c r="F802" t="s">
        <v>921</v>
      </c>
      <c r="G802" t="s">
        <v>930</v>
      </c>
      <c r="H802">
        <v>49</v>
      </c>
      <c r="I802">
        <v>7</v>
      </c>
      <c r="J802" t="s">
        <v>908</v>
      </c>
      <c r="K802" t="s">
        <v>1638</v>
      </c>
      <c r="M802" s="4">
        <v>837</v>
      </c>
      <c r="N802" s="4" t="s">
        <v>833</v>
      </c>
      <c r="O802" s="12">
        <v>46035.563807870371</v>
      </c>
      <c r="P802" s="5">
        <v>7.533398</v>
      </c>
      <c r="Q802" s="5">
        <v>-15.301592568853044</v>
      </c>
      <c r="R802" s="13">
        <f t="shared" si="48"/>
        <v>7.533398</v>
      </c>
      <c r="S802" s="42">
        <f t="shared" si="51"/>
        <v>94.751102817962661</v>
      </c>
      <c r="T802" s="13">
        <v>0</v>
      </c>
      <c r="U802" s="14">
        <f t="shared" si="49"/>
        <v>-15.301592568853044</v>
      </c>
      <c r="V802" s="15">
        <f t="shared" si="50"/>
        <v>713.79776846663424</v>
      </c>
    </row>
    <row r="803" spans="1:22" x14ac:dyDescent="0.3">
      <c r="A803" t="s">
        <v>1631</v>
      </c>
      <c r="B803" s="86">
        <v>6.3</v>
      </c>
      <c r="C803" s="78">
        <v>45990</v>
      </c>
      <c r="D803" s="78">
        <v>45992</v>
      </c>
      <c r="E803">
        <v>52</v>
      </c>
      <c r="F803" t="s">
        <v>917</v>
      </c>
      <c r="G803" t="s">
        <v>933</v>
      </c>
      <c r="H803">
        <v>49</v>
      </c>
      <c r="I803">
        <v>8</v>
      </c>
      <c r="J803" t="s">
        <v>908</v>
      </c>
      <c r="K803" t="s">
        <v>1639</v>
      </c>
      <c r="M803" s="1">
        <v>838</v>
      </c>
      <c r="N803" s="1" t="s">
        <v>834</v>
      </c>
      <c r="O803" s="2">
        <v>46035.56753472222</v>
      </c>
      <c r="P803" s="3">
        <v>7.1908560000000001</v>
      </c>
      <c r="Q803" s="3">
        <v>-16.511958942761247</v>
      </c>
      <c r="R803" s="13">
        <f t="shared" si="48"/>
        <v>7.1908560000000001</v>
      </c>
      <c r="S803" s="42">
        <f t="shared" si="51"/>
        <v>94.751102817962661</v>
      </c>
      <c r="T803" s="13">
        <v>0</v>
      </c>
      <c r="U803" s="14">
        <f t="shared" si="49"/>
        <v>-16.511958942761247</v>
      </c>
      <c r="V803" s="15">
        <f t="shared" si="50"/>
        <v>681.34153620516372</v>
      </c>
    </row>
    <row r="804" spans="1:22" x14ac:dyDescent="0.3">
      <c r="A804" t="s">
        <v>1631</v>
      </c>
      <c r="B804" s="86">
        <v>6.3</v>
      </c>
      <c r="C804" s="78">
        <v>45990</v>
      </c>
      <c r="D804" s="78">
        <v>45992</v>
      </c>
      <c r="E804">
        <v>53</v>
      </c>
      <c r="F804" t="s">
        <v>925</v>
      </c>
      <c r="G804" t="s">
        <v>907</v>
      </c>
      <c r="H804">
        <v>49</v>
      </c>
      <c r="I804">
        <v>9</v>
      </c>
      <c r="J804" t="s">
        <v>935</v>
      </c>
      <c r="K804" t="s">
        <v>1640</v>
      </c>
      <c r="M804" s="4">
        <v>839</v>
      </c>
      <c r="N804" s="4" t="s">
        <v>835</v>
      </c>
      <c r="O804" s="12">
        <v>46035.571284722224</v>
      </c>
      <c r="P804" s="5">
        <v>6.7534245000000004</v>
      </c>
      <c r="Q804" s="5">
        <v>10.462487589527203</v>
      </c>
      <c r="R804" s="13">
        <f t="shared" si="48"/>
        <v>6.7534245000000004</v>
      </c>
      <c r="S804" s="42">
        <f t="shared" si="51"/>
        <v>94.751102817962661</v>
      </c>
      <c r="T804" s="13">
        <v>0</v>
      </c>
      <c r="U804" s="14">
        <f t="shared" si="49"/>
        <v>10.462487589527203</v>
      </c>
      <c r="V804" s="15">
        <f t="shared" si="50"/>
        <v>639.89441917284807</v>
      </c>
    </row>
    <row r="805" spans="1:22" x14ac:dyDescent="0.3">
      <c r="A805" t="s">
        <v>1631</v>
      </c>
      <c r="B805" s="86">
        <v>6.3</v>
      </c>
      <c r="C805" s="78">
        <v>45990</v>
      </c>
      <c r="D805" s="78">
        <v>45992</v>
      </c>
      <c r="E805">
        <v>49</v>
      </c>
      <c r="F805" t="s">
        <v>932</v>
      </c>
      <c r="G805" t="s">
        <v>15</v>
      </c>
      <c r="H805">
        <v>49</v>
      </c>
      <c r="I805">
        <v>10</v>
      </c>
      <c r="J805" t="s">
        <v>935</v>
      </c>
      <c r="K805" t="s">
        <v>1641</v>
      </c>
      <c r="M805" s="1">
        <v>840</v>
      </c>
      <c r="N805" s="1" t="s">
        <v>836</v>
      </c>
      <c r="O805" s="2">
        <v>46035.575011574074</v>
      </c>
      <c r="P805" s="3">
        <v>7.0558529999999999</v>
      </c>
      <c r="Q805" s="3">
        <v>12.455125102719931</v>
      </c>
      <c r="R805" s="13">
        <f t="shared" si="48"/>
        <v>7.0558529999999999</v>
      </c>
      <c r="S805" s="42">
        <f t="shared" si="51"/>
        <v>94.751102817962661</v>
      </c>
      <c r="T805" s="13">
        <v>0</v>
      </c>
      <c r="U805" s="14">
        <f t="shared" si="49"/>
        <v>12.455125102719931</v>
      </c>
      <c r="V805" s="15">
        <f t="shared" si="50"/>
        <v>668.54985307143033</v>
      </c>
    </row>
    <row r="806" spans="1:22" x14ac:dyDescent="0.3">
      <c r="A806" t="s">
        <v>1631</v>
      </c>
      <c r="B806" s="86">
        <v>6.3</v>
      </c>
      <c r="C806" s="78">
        <v>45990</v>
      </c>
      <c r="D806" s="78">
        <v>45992</v>
      </c>
      <c r="E806">
        <v>55</v>
      </c>
      <c r="F806" t="s">
        <v>929</v>
      </c>
      <c r="G806" t="s">
        <v>914</v>
      </c>
      <c r="H806">
        <v>49</v>
      </c>
      <c r="I806">
        <v>11</v>
      </c>
      <c r="J806" t="s">
        <v>935</v>
      </c>
      <c r="K806" t="s">
        <v>1642</v>
      </c>
      <c r="M806" s="4">
        <v>841</v>
      </c>
      <c r="N806" s="4" t="s">
        <v>837</v>
      </c>
      <c r="O806" s="12">
        <v>46035.578773148147</v>
      </c>
      <c r="P806" s="5">
        <v>7.1456264999999997</v>
      </c>
      <c r="Q806" s="5">
        <v>20.167719552782913</v>
      </c>
      <c r="R806" s="13">
        <f t="shared" si="48"/>
        <v>7.1456264999999997</v>
      </c>
      <c r="S806" s="42">
        <f t="shared" si="51"/>
        <v>94.751102817962661</v>
      </c>
      <c r="T806" s="13">
        <v>0</v>
      </c>
      <c r="U806" s="14">
        <f t="shared" si="49"/>
        <v>20.167719552782913</v>
      </c>
      <c r="V806" s="15">
        <f t="shared" si="50"/>
        <v>677.05599120025863</v>
      </c>
    </row>
    <row r="807" spans="1:22" x14ac:dyDescent="0.3">
      <c r="A807" t="s">
        <v>1631</v>
      </c>
      <c r="B807" s="86">
        <v>6.3</v>
      </c>
      <c r="C807" s="78">
        <v>45990</v>
      </c>
      <c r="D807" s="78">
        <v>45992</v>
      </c>
      <c r="E807">
        <v>54</v>
      </c>
      <c r="F807" t="s">
        <v>906</v>
      </c>
      <c r="G807" t="s">
        <v>918</v>
      </c>
      <c r="H807">
        <v>49</v>
      </c>
      <c r="I807">
        <v>12</v>
      </c>
      <c r="J807" t="s">
        <v>935</v>
      </c>
      <c r="K807" t="s">
        <v>1643</v>
      </c>
      <c r="M807" s="1">
        <v>842</v>
      </c>
      <c r="N807" s="1" t="s">
        <v>838</v>
      </c>
      <c r="O807" s="2">
        <v>46035.582511574074</v>
      </c>
      <c r="P807" s="3">
        <v>7.6996425000000004</v>
      </c>
      <c r="Q807" s="3">
        <v>8.2469589460350896</v>
      </c>
      <c r="R807" s="13">
        <f t="shared" si="48"/>
        <v>7.6996425000000004</v>
      </c>
      <c r="S807" s="42">
        <f t="shared" si="51"/>
        <v>94.751102817962661</v>
      </c>
      <c r="T807" s="13">
        <v>0</v>
      </c>
      <c r="U807" s="14">
        <f t="shared" si="49"/>
        <v>8.2469589460350896</v>
      </c>
      <c r="V807" s="15">
        <f t="shared" si="50"/>
        <v>729.54961817905507</v>
      </c>
    </row>
    <row r="808" spans="1:22" x14ac:dyDescent="0.3">
      <c r="A808" t="s">
        <v>1631</v>
      </c>
      <c r="B808" s="86">
        <v>6.3</v>
      </c>
      <c r="C808" s="78">
        <v>45990</v>
      </c>
      <c r="D808" s="78">
        <v>45992</v>
      </c>
      <c r="E808">
        <v>50</v>
      </c>
      <c r="F808" t="s">
        <v>913</v>
      </c>
      <c r="G808" t="s">
        <v>922</v>
      </c>
      <c r="H808">
        <v>49</v>
      </c>
      <c r="I808">
        <v>13</v>
      </c>
      <c r="J808" t="s">
        <v>935</v>
      </c>
      <c r="K808" t="s">
        <v>1644</v>
      </c>
      <c r="M808" s="4">
        <v>843</v>
      </c>
      <c r="N808" s="4" t="s">
        <v>839</v>
      </c>
      <c r="O808" s="12">
        <v>46035.586238425924</v>
      </c>
      <c r="P808" s="5">
        <v>7.4744415000000002</v>
      </c>
      <c r="Q808" s="5">
        <v>17.354111879782373</v>
      </c>
      <c r="R808" s="13">
        <f t="shared" si="48"/>
        <v>7.4744415000000002</v>
      </c>
      <c r="S808" s="42">
        <f t="shared" si="51"/>
        <v>94.751102817962661</v>
      </c>
      <c r="T808" s="13">
        <v>0</v>
      </c>
      <c r="U808" s="14">
        <f t="shared" si="49"/>
        <v>17.354111879782373</v>
      </c>
      <c r="V808" s="15">
        <f t="shared" si="50"/>
        <v>708.21157507334703</v>
      </c>
    </row>
    <row r="809" spans="1:22" x14ac:dyDescent="0.3">
      <c r="A809" t="s">
        <v>1631</v>
      </c>
      <c r="B809" s="86">
        <v>6.3</v>
      </c>
      <c r="C809" s="78">
        <v>45990</v>
      </c>
      <c r="D809" s="78">
        <v>45992</v>
      </c>
      <c r="E809">
        <v>51</v>
      </c>
      <c r="F809" t="s">
        <v>910</v>
      </c>
      <c r="G809" t="s">
        <v>926</v>
      </c>
      <c r="H809">
        <v>49</v>
      </c>
      <c r="I809">
        <v>14</v>
      </c>
      <c r="J809" t="s">
        <v>935</v>
      </c>
      <c r="K809" t="s">
        <v>1645</v>
      </c>
      <c r="M809" s="1">
        <v>844</v>
      </c>
      <c r="N809" s="1" t="s">
        <v>840</v>
      </c>
      <c r="O809" s="2">
        <v>46035.589988425927</v>
      </c>
      <c r="P809" s="3">
        <v>7.0351889999999999</v>
      </c>
      <c r="Q809" s="3">
        <v>2.8239097361044991</v>
      </c>
      <c r="R809" s="13">
        <f t="shared" si="48"/>
        <v>7.0351889999999999</v>
      </c>
      <c r="S809" s="42">
        <f t="shared" si="51"/>
        <v>94.751102817962661</v>
      </c>
      <c r="T809" s="13">
        <v>0</v>
      </c>
      <c r="U809" s="14">
        <f t="shared" si="49"/>
        <v>2.8239097361044991</v>
      </c>
      <c r="V809" s="15">
        <f t="shared" si="50"/>
        <v>666.59191628279996</v>
      </c>
    </row>
    <row r="810" spans="1:22" x14ac:dyDescent="0.3">
      <c r="A810" t="s">
        <v>1631</v>
      </c>
      <c r="B810" s="86">
        <v>6.3</v>
      </c>
      <c r="C810" s="78">
        <v>45990</v>
      </c>
      <c r="D810" s="78">
        <v>45992</v>
      </c>
      <c r="E810">
        <v>56</v>
      </c>
      <c r="F810" t="s">
        <v>921</v>
      </c>
      <c r="G810" t="s">
        <v>930</v>
      </c>
      <c r="H810">
        <v>49</v>
      </c>
      <c r="I810">
        <v>15</v>
      </c>
      <c r="J810" t="s">
        <v>935</v>
      </c>
      <c r="K810" t="s">
        <v>1646</v>
      </c>
      <c r="M810" s="4">
        <v>845</v>
      </c>
      <c r="N810" s="4" t="s">
        <v>841</v>
      </c>
      <c r="O810" s="12">
        <v>46035.593726851854</v>
      </c>
      <c r="P810" s="5">
        <v>7.661092</v>
      </c>
      <c r="Q810" s="5">
        <v>3.8811648531684759</v>
      </c>
      <c r="R810" s="13">
        <f t="shared" si="48"/>
        <v>7.661092</v>
      </c>
      <c r="S810" s="42">
        <f t="shared" si="51"/>
        <v>94.751102817962661</v>
      </c>
      <c r="T810" s="13">
        <v>0</v>
      </c>
      <c r="U810" s="14">
        <f t="shared" si="49"/>
        <v>3.8811648531684759</v>
      </c>
      <c r="V810" s="15">
        <f t="shared" si="50"/>
        <v>725.89691578987117</v>
      </c>
    </row>
    <row r="811" spans="1:22" x14ac:dyDescent="0.3">
      <c r="A811" t="s">
        <v>1631</v>
      </c>
      <c r="B811" s="86">
        <v>6.3</v>
      </c>
      <c r="C811" s="78">
        <v>45990</v>
      </c>
      <c r="D811" s="78">
        <v>45992</v>
      </c>
      <c r="E811">
        <v>52</v>
      </c>
      <c r="F811" t="s">
        <v>917</v>
      </c>
      <c r="G811" t="s">
        <v>933</v>
      </c>
      <c r="H811">
        <v>49</v>
      </c>
      <c r="I811">
        <v>16</v>
      </c>
      <c r="J811" t="s">
        <v>935</v>
      </c>
      <c r="K811" t="s">
        <v>1647</v>
      </c>
      <c r="M811" s="1">
        <v>846</v>
      </c>
      <c r="N811" s="1" t="s">
        <v>842</v>
      </c>
      <c r="O811" s="2">
        <v>46035.597557870373</v>
      </c>
      <c r="P811" s="3">
        <v>7.1253089999999997</v>
      </c>
      <c r="Q811" s="3">
        <v>-0.24627069329091814</v>
      </c>
      <c r="R811" s="13">
        <f t="shared" si="48"/>
        <v>7.1253089999999997</v>
      </c>
      <c r="S811" s="42">
        <f t="shared" si="51"/>
        <v>94.751102817962661</v>
      </c>
      <c r="T811" s="13">
        <v>0</v>
      </c>
      <c r="U811" s="14">
        <f t="shared" si="49"/>
        <v>-0.24627069329091814</v>
      </c>
      <c r="V811" s="15">
        <f t="shared" si="50"/>
        <v>675.13088566875467</v>
      </c>
    </row>
    <row r="812" spans="1:22" x14ac:dyDescent="0.3">
      <c r="A812" t="s">
        <v>1631</v>
      </c>
      <c r="B812" s="86">
        <v>6.3</v>
      </c>
      <c r="C812" s="78">
        <v>45990</v>
      </c>
      <c r="D812" s="78">
        <v>45992</v>
      </c>
      <c r="E812">
        <v>53</v>
      </c>
      <c r="F812" t="s">
        <v>925</v>
      </c>
      <c r="G812" t="s">
        <v>907</v>
      </c>
      <c r="H812">
        <v>49</v>
      </c>
      <c r="I812">
        <v>17</v>
      </c>
      <c r="J812" t="s">
        <v>24</v>
      </c>
      <c r="K812" t="s">
        <v>1648</v>
      </c>
      <c r="M812" s="4">
        <v>847</v>
      </c>
      <c r="N812" s="4" t="s">
        <v>843</v>
      </c>
      <c r="O812" s="12">
        <v>46035.601284722223</v>
      </c>
      <c r="P812" s="5">
        <v>7.5499535</v>
      </c>
      <c r="Q812" s="5">
        <v>22.690625899150117</v>
      </c>
      <c r="R812" s="13">
        <f t="shared" si="48"/>
        <v>7.5499535</v>
      </c>
      <c r="S812" s="42">
        <f t="shared" si="51"/>
        <v>94.751102817962661</v>
      </c>
      <c r="T812" s="13">
        <v>0</v>
      </c>
      <c r="U812" s="14">
        <f t="shared" si="49"/>
        <v>22.690625899150117</v>
      </c>
      <c r="V812" s="15">
        <f t="shared" si="50"/>
        <v>715.36642034933709</v>
      </c>
    </row>
    <row r="813" spans="1:22" x14ac:dyDescent="0.3">
      <c r="A813" t="s">
        <v>1631</v>
      </c>
      <c r="B813" s="86">
        <v>6.3</v>
      </c>
      <c r="C813" s="78">
        <v>45990</v>
      </c>
      <c r="D813" s="78">
        <v>45992</v>
      </c>
      <c r="E813">
        <v>49</v>
      </c>
      <c r="F813" t="s">
        <v>932</v>
      </c>
      <c r="G813" t="s">
        <v>15</v>
      </c>
      <c r="H813">
        <v>49</v>
      </c>
      <c r="I813">
        <v>18</v>
      </c>
      <c r="J813" t="s">
        <v>24</v>
      </c>
      <c r="K813" t="s">
        <v>1649</v>
      </c>
      <c r="M813" s="1">
        <v>848</v>
      </c>
      <c r="N813" s="1" t="s">
        <v>844</v>
      </c>
      <c r="O813" s="2">
        <v>46035.605023148149</v>
      </c>
      <c r="P813" s="3">
        <v>7.0057</v>
      </c>
      <c r="Q813" s="3">
        <v>31.089054749312975</v>
      </c>
      <c r="R813" s="13">
        <f t="shared" si="48"/>
        <v>7.0057</v>
      </c>
      <c r="S813" s="42">
        <f t="shared" si="51"/>
        <v>94.751102817962661</v>
      </c>
      <c r="T813" s="13">
        <v>0</v>
      </c>
      <c r="U813" s="14">
        <f t="shared" si="49"/>
        <v>31.089054749312975</v>
      </c>
      <c r="V813" s="15">
        <f t="shared" si="50"/>
        <v>663.79780101180097</v>
      </c>
    </row>
    <row r="814" spans="1:22" x14ac:dyDescent="0.3">
      <c r="A814" t="s">
        <v>1631</v>
      </c>
      <c r="B814" s="86">
        <v>6.3</v>
      </c>
      <c r="C814" s="78">
        <v>45990</v>
      </c>
      <c r="D814" s="78">
        <v>45992</v>
      </c>
      <c r="E814">
        <v>55</v>
      </c>
      <c r="F814" t="s">
        <v>929</v>
      </c>
      <c r="G814" t="s">
        <v>914</v>
      </c>
      <c r="H814">
        <v>49</v>
      </c>
      <c r="I814">
        <v>19</v>
      </c>
      <c r="J814" t="s">
        <v>24</v>
      </c>
      <c r="K814" t="s">
        <v>1650</v>
      </c>
      <c r="M814" s="4">
        <v>849</v>
      </c>
      <c r="N814" s="4" t="s">
        <v>845</v>
      </c>
      <c r="O814" s="12">
        <v>46035.608773148146</v>
      </c>
      <c r="P814" s="5">
        <v>8.3346695000000004</v>
      </c>
      <c r="Q814" s="5">
        <v>34.485139090336745</v>
      </c>
      <c r="R814" s="13">
        <f t="shared" si="48"/>
        <v>8.3346695000000004</v>
      </c>
      <c r="S814" s="42">
        <f t="shared" si="51"/>
        <v>94.751102817962661</v>
      </c>
      <c r="T814" s="13">
        <v>0</v>
      </c>
      <c r="U814" s="14">
        <f t="shared" si="49"/>
        <v>34.485139090336745</v>
      </c>
      <c r="V814" s="15">
        <f t="shared" si="50"/>
        <v>789.7191267482375</v>
      </c>
    </row>
    <row r="815" spans="1:22" x14ac:dyDescent="0.3">
      <c r="A815" t="s">
        <v>1631</v>
      </c>
      <c r="B815" s="86">
        <v>6.3</v>
      </c>
      <c r="C815" s="78">
        <v>45990</v>
      </c>
      <c r="D815" s="78">
        <v>45992</v>
      </c>
      <c r="E815">
        <v>54</v>
      </c>
      <c r="F815" t="s">
        <v>906</v>
      </c>
      <c r="G815" t="s">
        <v>918</v>
      </c>
      <c r="H815">
        <v>49</v>
      </c>
      <c r="I815">
        <v>20</v>
      </c>
      <c r="J815" t="s">
        <v>24</v>
      </c>
      <c r="K815" t="s">
        <v>1651</v>
      </c>
      <c r="M815" s="1">
        <v>850</v>
      </c>
      <c r="N815" s="1" t="s">
        <v>846</v>
      </c>
      <c r="O815" s="2">
        <v>46035.612511574072</v>
      </c>
      <c r="P815" s="3">
        <v>7.8449365000000002</v>
      </c>
      <c r="Q815" s="3">
        <v>23.70181502700493</v>
      </c>
      <c r="R815" s="13">
        <f t="shared" si="48"/>
        <v>7.8449365000000002</v>
      </c>
      <c r="S815" s="42">
        <f t="shared" si="51"/>
        <v>94.751102817962661</v>
      </c>
      <c r="T815" s="13">
        <v>0</v>
      </c>
      <c r="U815" s="14">
        <f t="shared" si="49"/>
        <v>23.70181502700493</v>
      </c>
      <c r="V815" s="15">
        <f t="shared" si="50"/>
        <v>743.31638491188812</v>
      </c>
    </row>
    <row r="816" spans="1:22" x14ac:dyDescent="0.3">
      <c r="A816" t="s">
        <v>1631</v>
      </c>
      <c r="B816" s="86">
        <v>6.3</v>
      </c>
      <c r="C816" s="78">
        <v>45990</v>
      </c>
      <c r="D816" s="78">
        <v>45992</v>
      </c>
      <c r="E816">
        <v>50</v>
      </c>
      <c r="F816" t="s">
        <v>913</v>
      </c>
      <c r="G816" t="s">
        <v>922</v>
      </c>
      <c r="H816">
        <v>49</v>
      </c>
      <c r="I816">
        <v>21</v>
      </c>
      <c r="J816" t="s">
        <v>24</v>
      </c>
      <c r="K816" t="s">
        <v>1652</v>
      </c>
      <c r="M816" s="4">
        <v>851</v>
      </c>
      <c r="N816" s="4" t="s">
        <v>847</v>
      </c>
      <c r="O816" s="12">
        <v>46035.616249999999</v>
      </c>
      <c r="P816" s="5">
        <v>7.3781274999999997</v>
      </c>
      <c r="Q816" s="5">
        <v>42.524351434534431</v>
      </c>
      <c r="R816" s="13">
        <f t="shared" si="48"/>
        <v>7.3781274999999997</v>
      </c>
      <c r="S816" s="42">
        <f t="shared" si="51"/>
        <v>94.751102817962661</v>
      </c>
      <c r="T816" s="13">
        <v>0</v>
      </c>
      <c r="U816" s="14">
        <f t="shared" si="49"/>
        <v>42.524351434534431</v>
      </c>
      <c r="V816" s="15">
        <f t="shared" si="50"/>
        <v>699.08571735653777</v>
      </c>
    </row>
    <row r="817" spans="1:22" x14ac:dyDescent="0.3">
      <c r="A817" t="s">
        <v>1631</v>
      </c>
      <c r="B817" s="86">
        <v>6.3</v>
      </c>
      <c r="C817" s="78">
        <v>45990</v>
      </c>
      <c r="D817" s="78">
        <v>45992</v>
      </c>
      <c r="E817">
        <v>51</v>
      </c>
      <c r="F817" t="s">
        <v>910</v>
      </c>
      <c r="G817" t="s">
        <v>926</v>
      </c>
      <c r="H817">
        <v>49</v>
      </c>
      <c r="I817">
        <v>22</v>
      </c>
      <c r="J817" t="s">
        <v>24</v>
      </c>
      <c r="K817" t="s">
        <v>1653</v>
      </c>
      <c r="M817" s="1">
        <v>852</v>
      </c>
      <c r="N817" s="1" t="s">
        <v>848</v>
      </c>
      <c r="O817" s="2">
        <v>46035.619976851849</v>
      </c>
      <c r="P817" s="3">
        <v>6.9526219999999999</v>
      </c>
      <c r="Q817" s="3">
        <v>15.677496847777475</v>
      </c>
      <c r="R817" s="13">
        <f t="shared" si="48"/>
        <v>6.9526219999999999</v>
      </c>
      <c r="S817" s="42">
        <f t="shared" si="51"/>
        <v>94.751102817962661</v>
      </c>
      <c r="T817" s="13">
        <v>0</v>
      </c>
      <c r="U817" s="14">
        <f t="shared" si="49"/>
        <v>15.677496847777475</v>
      </c>
      <c r="V817" s="15">
        <f t="shared" si="50"/>
        <v>658.76860197642918</v>
      </c>
    </row>
    <row r="818" spans="1:22" x14ac:dyDescent="0.3">
      <c r="A818" t="s">
        <v>1631</v>
      </c>
      <c r="B818" s="86">
        <v>6.3</v>
      </c>
      <c r="C818" s="78">
        <v>45990</v>
      </c>
      <c r="D818" s="78">
        <v>45992</v>
      </c>
      <c r="E818">
        <v>56</v>
      </c>
      <c r="F818" t="s">
        <v>921</v>
      </c>
      <c r="G818" t="s">
        <v>930</v>
      </c>
      <c r="H818">
        <v>49</v>
      </c>
      <c r="I818">
        <v>23</v>
      </c>
      <c r="J818" t="s">
        <v>24</v>
      </c>
      <c r="K818" t="s">
        <v>1654</v>
      </c>
      <c r="M818" s="4">
        <v>853</v>
      </c>
      <c r="N818" s="4" t="s">
        <v>849</v>
      </c>
      <c r="O818" s="12">
        <v>46035.623726851853</v>
      </c>
      <c r="P818" s="5">
        <v>8.3319974999999999</v>
      </c>
      <c r="Q818" s="5">
        <v>14.8727826413845</v>
      </c>
      <c r="R818" s="13">
        <f t="shared" si="48"/>
        <v>8.3319974999999999</v>
      </c>
      <c r="S818" s="42">
        <f t="shared" si="51"/>
        <v>94.751102817962661</v>
      </c>
      <c r="T818" s="13">
        <v>0</v>
      </c>
      <c r="U818" s="14">
        <f t="shared" si="49"/>
        <v>14.8727826413845</v>
      </c>
      <c r="V818" s="15">
        <f t="shared" si="50"/>
        <v>789.4659518015078</v>
      </c>
    </row>
    <row r="819" spans="1:22" x14ac:dyDescent="0.3">
      <c r="A819" t="s">
        <v>1631</v>
      </c>
      <c r="B819" s="86">
        <v>6.3</v>
      </c>
      <c r="C819" s="78">
        <v>45990</v>
      </c>
      <c r="D819" s="78">
        <v>45992</v>
      </c>
      <c r="E819">
        <v>52</v>
      </c>
      <c r="F819" t="s">
        <v>917</v>
      </c>
      <c r="G819" t="s">
        <v>933</v>
      </c>
      <c r="H819">
        <v>49</v>
      </c>
      <c r="I819">
        <v>24</v>
      </c>
      <c r="J819" t="s">
        <v>24</v>
      </c>
      <c r="K819" t="s">
        <v>1655</v>
      </c>
      <c r="M819" s="1">
        <v>854</v>
      </c>
      <c r="N819" s="1" t="s">
        <v>850</v>
      </c>
      <c r="O819" s="2">
        <v>46035.627476851849</v>
      </c>
      <c r="P819" s="3">
        <v>7.0423165000000001</v>
      </c>
      <c r="Q819" s="3">
        <v>12.839774110081409</v>
      </c>
      <c r="R819" s="13">
        <f t="shared" si="48"/>
        <v>7.0423165000000001</v>
      </c>
      <c r="S819" s="42">
        <f t="shared" si="51"/>
        <v>94.751102817962661</v>
      </c>
      <c r="T819" s="13">
        <v>0</v>
      </c>
      <c r="U819" s="14">
        <f t="shared" si="49"/>
        <v>12.839774110081409</v>
      </c>
      <c r="V819" s="15">
        <f t="shared" si="50"/>
        <v>667.26725476813499</v>
      </c>
    </row>
    <row r="820" spans="1:22" x14ac:dyDescent="0.3">
      <c r="A820" t="s">
        <v>1631</v>
      </c>
      <c r="B820" s="86">
        <v>6.3</v>
      </c>
      <c r="C820" s="78">
        <v>45990</v>
      </c>
      <c r="D820" s="78">
        <v>45992</v>
      </c>
      <c r="E820">
        <v>53</v>
      </c>
      <c r="F820" t="s">
        <v>925</v>
      </c>
      <c r="G820" t="s">
        <v>907</v>
      </c>
      <c r="H820">
        <v>49</v>
      </c>
      <c r="I820">
        <v>25</v>
      </c>
      <c r="J820" t="s">
        <v>25</v>
      </c>
      <c r="K820" t="s">
        <v>1656</v>
      </c>
      <c r="M820" s="4">
        <v>855</v>
      </c>
      <c r="N820" s="4" t="s">
        <v>851</v>
      </c>
      <c r="O820" s="12">
        <v>46035.631215277775</v>
      </c>
      <c r="P820" s="5">
        <v>7.9591909999999997</v>
      </c>
      <c r="Q820" s="5">
        <v>30.551830759254695</v>
      </c>
      <c r="R820" s="13">
        <f t="shared" si="48"/>
        <v>7.9591909999999997</v>
      </c>
      <c r="S820" s="42">
        <f t="shared" si="51"/>
        <v>94.751102817962661</v>
      </c>
      <c r="T820" s="13">
        <v>0</v>
      </c>
      <c r="U820" s="14">
        <f t="shared" si="49"/>
        <v>30.551830759254695</v>
      </c>
      <c r="V820" s="15">
        <f t="shared" si="50"/>
        <v>754.14212478880302</v>
      </c>
    </row>
    <row r="821" spans="1:22" x14ac:dyDescent="0.3">
      <c r="A821" t="s">
        <v>1631</v>
      </c>
      <c r="B821" s="86">
        <v>6.3</v>
      </c>
      <c r="C821" s="78">
        <v>45990</v>
      </c>
      <c r="D821" s="78">
        <v>45992</v>
      </c>
      <c r="E821">
        <v>49</v>
      </c>
      <c r="F821" t="s">
        <v>932</v>
      </c>
      <c r="G821" t="s">
        <v>15</v>
      </c>
      <c r="H821">
        <v>49</v>
      </c>
      <c r="I821">
        <v>26</v>
      </c>
      <c r="J821" t="s">
        <v>25</v>
      </c>
      <c r="K821" t="s">
        <v>1657</v>
      </c>
      <c r="M821" s="1">
        <v>856</v>
      </c>
      <c r="N821" s="1" t="s">
        <v>852</v>
      </c>
      <c r="O821" s="2">
        <v>46035.635057870371</v>
      </c>
      <c r="P821" s="3">
        <v>7.1902840000000001</v>
      </c>
      <c r="Q821" s="3">
        <v>44.171730187667769</v>
      </c>
      <c r="R821" s="13">
        <f t="shared" si="48"/>
        <v>7.1902840000000001</v>
      </c>
      <c r="S821" s="42">
        <f t="shared" si="51"/>
        <v>94.751102817962661</v>
      </c>
      <c r="T821" s="13">
        <v>0</v>
      </c>
      <c r="U821" s="14">
        <f t="shared" si="49"/>
        <v>44.171730187667769</v>
      </c>
      <c r="V821" s="15">
        <f t="shared" si="50"/>
        <v>681.28733857435179</v>
      </c>
    </row>
    <row r="822" spans="1:22" x14ac:dyDescent="0.3">
      <c r="A822" t="s">
        <v>1631</v>
      </c>
      <c r="B822" s="86">
        <v>6.3</v>
      </c>
      <c r="C822" s="78">
        <v>45990</v>
      </c>
      <c r="D822" s="78">
        <v>45992</v>
      </c>
      <c r="E822">
        <v>55</v>
      </c>
      <c r="F822" t="s">
        <v>929</v>
      </c>
      <c r="G822" t="s">
        <v>914</v>
      </c>
      <c r="H822">
        <v>49</v>
      </c>
      <c r="I822">
        <v>27</v>
      </c>
      <c r="J822" t="s">
        <v>25</v>
      </c>
      <c r="K822" t="s">
        <v>1658</v>
      </c>
      <c r="M822" s="4">
        <v>857</v>
      </c>
      <c r="N822" s="4" t="s">
        <v>853</v>
      </c>
      <c r="O822" s="12">
        <v>46035.638784722221</v>
      </c>
      <c r="P822" s="5">
        <v>8.6859459999999995</v>
      </c>
      <c r="Q822" s="5">
        <v>49.591132918779422</v>
      </c>
      <c r="R822" s="13">
        <f t="shared" si="48"/>
        <v>8.6859459999999995</v>
      </c>
      <c r="S822" s="42">
        <f t="shared" si="51"/>
        <v>94.751102817962661</v>
      </c>
      <c r="T822" s="13">
        <v>0</v>
      </c>
      <c r="U822" s="14">
        <f t="shared" si="49"/>
        <v>49.591132918779422</v>
      </c>
      <c r="V822" s="15">
        <f t="shared" si="50"/>
        <v>823.0029625172715</v>
      </c>
    </row>
    <row r="823" spans="1:22" x14ac:dyDescent="0.3">
      <c r="A823" t="s">
        <v>1631</v>
      </c>
      <c r="B823" s="86">
        <v>6.3</v>
      </c>
      <c r="C823" s="78">
        <v>45990</v>
      </c>
      <c r="D823" s="78">
        <v>45992</v>
      </c>
      <c r="E823">
        <v>54</v>
      </c>
      <c r="F823" t="s">
        <v>906</v>
      </c>
      <c r="G823" t="s">
        <v>918</v>
      </c>
      <c r="H823">
        <v>49</v>
      </c>
      <c r="I823">
        <v>28</v>
      </c>
      <c r="J823" t="s">
        <v>25</v>
      </c>
      <c r="K823" t="s">
        <v>1659</v>
      </c>
      <c r="M823" s="1">
        <v>858</v>
      </c>
      <c r="N823" s="1" t="s">
        <v>854</v>
      </c>
      <c r="O823" s="2">
        <v>46035.642523148148</v>
      </c>
      <c r="P823" s="3">
        <v>8.5192599999999992</v>
      </c>
      <c r="Q823" s="3">
        <v>34.265692337040832</v>
      </c>
      <c r="R823" s="13">
        <f t="shared" si="48"/>
        <v>8.5192599999999992</v>
      </c>
      <c r="S823" s="42">
        <f t="shared" si="51"/>
        <v>94.751102817962661</v>
      </c>
      <c r="T823" s="13">
        <v>0</v>
      </c>
      <c r="U823" s="14">
        <f t="shared" si="49"/>
        <v>34.265692337040832</v>
      </c>
      <c r="V823" s="15">
        <f t="shared" si="50"/>
        <v>807.2092801929565</v>
      </c>
    </row>
    <row r="824" spans="1:22" x14ac:dyDescent="0.3">
      <c r="A824" t="s">
        <v>1631</v>
      </c>
      <c r="B824" s="86">
        <v>6.3</v>
      </c>
      <c r="C824" s="78">
        <v>45990</v>
      </c>
      <c r="D824" s="78">
        <v>45992</v>
      </c>
      <c r="E824">
        <v>50</v>
      </c>
      <c r="F824" t="s">
        <v>913</v>
      </c>
      <c r="G824" t="s">
        <v>922</v>
      </c>
      <c r="H824">
        <v>49</v>
      </c>
      <c r="I824">
        <v>29</v>
      </c>
      <c r="J824" t="s">
        <v>25</v>
      </c>
      <c r="K824" t="s">
        <v>1660</v>
      </c>
      <c r="M824" s="4">
        <v>859</v>
      </c>
      <c r="N824" s="4" t="s">
        <v>855</v>
      </c>
      <c r="O824" s="12">
        <v>46035.646261574075</v>
      </c>
      <c r="P824" s="5">
        <v>7.4156135000000001</v>
      </c>
      <c r="Q824" s="5">
        <v>64.149805131838235</v>
      </c>
      <c r="R824" s="13">
        <f t="shared" ref="R824:R866" si="52">P824</f>
        <v>7.4156135000000001</v>
      </c>
      <c r="S824" s="42">
        <f t="shared" si="51"/>
        <v>94.751102817962661</v>
      </c>
      <c r="T824" s="13">
        <v>0</v>
      </c>
      <c r="U824" s="14">
        <f t="shared" ref="U824:U866" si="53">Q824+T824</f>
        <v>64.149805131838235</v>
      </c>
      <c r="V824" s="15">
        <f t="shared" ref="V824:V866" si="54">R824*S824</f>
        <v>702.63755719677192</v>
      </c>
    </row>
    <row r="825" spans="1:22" x14ac:dyDescent="0.3">
      <c r="A825" t="s">
        <v>1631</v>
      </c>
      <c r="B825" s="86">
        <v>6.3</v>
      </c>
      <c r="C825" s="78">
        <v>45990</v>
      </c>
      <c r="D825" s="78">
        <v>45992</v>
      </c>
      <c r="E825">
        <v>51</v>
      </c>
      <c r="F825" t="s">
        <v>910</v>
      </c>
      <c r="G825" t="s">
        <v>926</v>
      </c>
      <c r="H825">
        <v>49</v>
      </c>
      <c r="I825">
        <v>30</v>
      </c>
      <c r="J825" t="s">
        <v>25</v>
      </c>
      <c r="K825" t="s">
        <v>1661</v>
      </c>
      <c r="M825" s="1">
        <v>860</v>
      </c>
      <c r="N825" s="1" t="s">
        <v>856</v>
      </c>
      <c r="O825" s="2">
        <v>46035.65</v>
      </c>
      <c r="P825" s="3">
        <v>7.5574064999999999</v>
      </c>
      <c r="Q825" s="3">
        <v>25.608276938988443</v>
      </c>
      <c r="R825" s="13">
        <f t="shared" si="52"/>
        <v>7.5574064999999999</v>
      </c>
      <c r="S825" s="42">
        <f t="shared" si="51"/>
        <v>94.751102817962661</v>
      </c>
      <c r="T825" s="13">
        <v>0</v>
      </c>
      <c r="U825" s="14">
        <f t="shared" si="53"/>
        <v>25.608276938988443</v>
      </c>
      <c r="V825" s="15">
        <f t="shared" si="54"/>
        <v>716.07260031863927</v>
      </c>
    </row>
    <row r="826" spans="1:22" x14ac:dyDescent="0.3">
      <c r="A826" t="s">
        <v>1631</v>
      </c>
      <c r="B826" s="86">
        <v>6.3</v>
      </c>
      <c r="C826" s="78">
        <v>45990</v>
      </c>
      <c r="D826" s="78">
        <v>45992</v>
      </c>
      <c r="E826">
        <v>56</v>
      </c>
      <c r="F826" t="s">
        <v>921</v>
      </c>
      <c r="G826" t="s">
        <v>930</v>
      </c>
      <c r="H826">
        <v>49</v>
      </c>
      <c r="I826">
        <v>31</v>
      </c>
      <c r="J826" t="s">
        <v>25</v>
      </c>
      <c r="K826" t="s">
        <v>1662</v>
      </c>
      <c r="M826" s="4">
        <v>861</v>
      </c>
      <c r="N826" s="4" t="s">
        <v>857</v>
      </c>
      <c r="O826" s="12">
        <v>46035.653773148151</v>
      </c>
      <c r="P826" s="5">
        <v>8.9560230000000001</v>
      </c>
      <c r="Q826" s="5">
        <v>23.90191370400812</v>
      </c>
      <c r="R826" s="13">
        <f t="shared" si="52"/>
        <v>8.9560230000000001</v>
      </c>
      <c r="S826" s="42">
        <f t="shared" si="51"/>
        <v>94.751102817962661</v>
      </c>
      <c r="T826" s="13">
        <v>0</v>
      </c>
      <c r="U826" s="14">
        <f t="shared" si="53"/>
        <v>23.90191370400812</v>
      </c>
      <c r="V826" s="15">
        <f t="shared" si="54"/>
        <v>848.59305611303841</v>
      </c>
    </row>
    <row r="827" spans="1:22" x14ac:dyDescent="0.3">
      <c r="A827" t="s">
        <v>1631</v>
      </c>
      <c r="B827" s="86">
        <v>6.3</v>
      </c>
      <c r="C827" s="78">
        <v>45990</v>
      </c>
      <c r="D827" s="78">
        <v>45992</v>
      </c>
      <c r="E827">
        <v>52</v>
      </c>
      <c r="F827" t="s">
        <v>917</v>
      </c>
      <c r="G827" t="s">
        <v>933</v>
      </c>
      <c r="H827">
        <v>49</v>
      </c>
      <c r="I827">
        <v>32</v>
      </c>
      <c r="J827" t="s">
        <v>25</v>
      </c>
      <c r="K827" t="s">
        <v>1663</v>
      </c>
      <c r="M827" s="1">
        <v>862</v>
      </c>
      <c r="N827" s="1" t="s">
        <v>858</v>
      </c>
      <c r="O827" s="2">
        <v>46035.657523148147</v>
      </c>
      <c r="P827" s="3">
        <v>7.0587635000000004</v>
      </c>
      <c r="Q827" s="3">
        <v>23.719770572115905</v>
      </c>
      <c r="R827" s="13">
        <f t="shared" si="52"/>
        <v>7.0587635000000004</v>
      </c>
      <c r="S827" s="42">
        <f t="shared" si="51"/>
        <v>94.751102817962661</v>
      </c>
      <c r="T827" s="13">
        <v>0</v>
      </c>
      <c r="U827" s="14">
        <f t="shared" si="53"/>
        <v>23.719770572115905</v>
      </c>
      <c r="V827" s="15">
        <f t="shared" si="54"/>
        <v>668.82562615618201</v>
      </c>
    </row>
    <row r="828" spans="1:22" x14ac:dyDescent="0.3">
      <c r="M828" s="4">
        <v>863</v>
      </c>
      <c r="N828" s="4" t="s">
        <v>859</v>
      </c>
      <c r="O828" s="12">
        <v>46035.661261574074</v>
      </c>
      <c r="P828" s="5">
        <v>4.394012</v>
      </c>
      <c r="Q828" s="5">
        <v>-14.001624644193166</v>
      </c>
      <c r="R828" s="13">
        <f t="shared" si="52"/>
        <v>4.394012</v>
      </c>
      <c r="S828" s="42">
        <f t="shared" si="51"/>
        <v>94.751102817962661</v>
      </c>
      <c r="T828" s="13">
        <v>0</v>
      </c>
      <c r="U828" s="14">
        <f t="shared" si="53"/>
        <v>-14.001624644193166</v>
      </c>
      <c r="V828" s="15">
        <f t="shared" si="54"/>
        <v>416.33748279536172</v>
      </c>
    </row>
    <row r="829" spans="1:22" x14ac:dyDescent="0.3">
      <c r="M829" s="1">
        <v>864</v>
      </c>
      <c r="N829" s="1" t="s">
        <v>860</v>
      </c>
      <c r="O829" s="2">
        <v>46035.665000000001</v>
      </c>
      <c r="P829" s="3">
        <v>3.0476225000000001</v>
      </c>
      <c r="Q829" s="3">
        <v>-15.579978288544135</v>
      </c>
      <c r="R829" s="13">
        <f t="shared" si="52"/>
        <v>3.0476225000000001</v>
      </c>
      <c r="S829" s="42">
        <f t="shared" si="51"/>
        <v>94.751102817962661</v>
      </c>
      <c r="T829" s="13">
        <v>0</v>
      </c>
      <c r="U829" s="14">
        <f t="shared" si="53"/>
        <v>-15.579978288544135</v>
      </c>
      <c r="V829" s="15">
        <f t="shared" si="54"/>
        <v>288.76559284783644</v>
      </c>
    </row>
    <row r="830" spans="1:22" x14ac:dyDescent="0.3">
      <c r="A830" t="s">
        <v>1631</v>
      </c>
      <c r="B830" s="86">
        <v>6.4</v>
      </c>
      <c r="C830" s="78">
        <v>45992</v>
      </c>
      <c r="D830" s="78">
        <v>45994</v>
      </c>
      <c r="E830">
        <v>53</v>
      </c>
      <c r="F830" t="s">
        <v>925</v>
      </c>
      <c r="G830" t="s">
        <v>907</v>
      </c>
      <c r="H830">
        <v>97</v>
      </c>
      <c r="I830">
        <v>1</v>
      </c>
      <c r="J830" t="s">
        <v>908</v>
      </c>
      <c r="K830" t="s">
        <v>1664</v>
      </c>
      <c r="L830" s="80"/>
      <c r="M830" s="4">
        <v>865</v>
      </c>
      <c r="N830" s="4" t="s">
        <v>861</v>
      </c>
      <c r="O830" s="12">
        <v>46035.668726851851</v>
      </c>
      <c r="P830" s="5">
        <v>6.8400115000000001</v>
      </c>
      <c r="Q830" s="5">
        <v>-15.954635765495512</v>
      </c>
      <c r="R830" s="13">
        <f t="shared" si="52"/>
        <v>6.8400115000000001</v>
      </c>
      <c r="S830" s="42">
        <f t="shared" si="51"/>
        <v>94.751102817962661</v>
      </c>
      <c r="T830" s="13">
        <v>0</v>
      </c>
      <c r="U830" s="14">
        <f t="shared" si="53"/>
        <v>-15.954635765495512</v>
      </c>
      <c r="V830" s="15">
        <f t="shared" si="54"/>
        <v>648.09863291254703</v>
      </c>
    </row>
    <row r="831" spans="1:22" x14ac:dyDescent="0.3">
      <c r="A831" t="s">
        <v>1631</v>
      </c>
      <c r="B831" s="86">
        <v>6.4</v>
      </c>
      <c r="C831" s="78">
        <v>45992</v>
      </c>
      <c r="D831" s="78">
        <v>45994</v>
      </c>
      <c r="E831">
        <v>49</v>
      </c>
      <c r="F831" t="s">
        <v>932</v>
      </c>
      <c r="G831" t="s">
        <v>15</v>
      </c>
      <c r="H831">
        <v>97</v>
      </c>
      <c r="I831">
        <v>2</v>
      </c>
      <c r="J831" t="s">
        <v>908</v>
      </c>
      <c r="K831" t="s">
        <v>1665</v>
      </c>
      <c r="M831" s="1">
        <v>866</v>
      </c>
      <c r="N831" s="1" t="s">
        <v>862</v>
      </c>
      <c r="O831" s="2">
        <v>46035.672476851854</v>
      </c>
      <c r="P831" s="3">
        <v>7.1506319999999999</v>
      </c>
      <c r="Q831" s="3">
        <v>-1.3266818598932206</v>
      </c>
      <c r="R831" s="13">
        <f t="shared" si="52"/>
        <v>7.1506319999999999</v>
      </c>
      <c r="S831" s="42">
        <f t="shared" si="51"/>
        <v>94.751102817962661</v>
      </c>
      <c r="T831" s="13">
        <v>0</v>
      </c>
      <c r="U831" s="14">
        <f t="shared" si="53"/>
        <v>-1.3266818598932206</v>
      </c>
      <c r="V831" s="15">
        <f t="shared" si="54"/>
        <v>677.53026784541396</v>
      </c>
    </row>
    <row r="832" spans="1:22" x14ac:dyDescent="0.3">
      <c r="A832" t="s">
        <v>1631</v>
      </c>
      <c r="B832" s="86">
        <v>6.4</v>
      </c>
      <c r="C832" s="78">
        <v>45992</v>
      </c>
      <c r="D832" s="78">
        <v>45994</v>
      </c>
      <c r="E832">
        <v>55</v>
      </c>
      <c r="F832" t="s">
        <v>929</v>
      </c>
      <c r="G832" t="s">
        <v>914</v>
      </c>
      <c r="H832">
        <v>97</v>
      </c>
      <c r="I832">
        <v>3</v>
      </c>
      <c r="J832" t="s">
        <v>908</v>
      </c>
      <c r="K832" t="s">
        <v>1666</v>
      </c>
      <c r="M832" s="4">
        <v>867</v>
      </c>
      <c r="N832" s="4" t="s">
        <v>863</v>
      </c>
      <c r="O832" s="12">
        <v>46035.676215277781</v>
      </c>
      <c r="P832" s="5">
        <v>7.0435955000000003</v>
      </c>
      <c r="Q832" s="5">
        <v>-13.092892412341614</v>
      </c>
      <c r="R832" s="13">
        <f t="shared" si="52"/>
        <v>7.0435955000000003</v>
      </c>
      <c r="S832" s="42">
        <f t="shared" si="51"/>
        <v>94.751102817962661</v>
      </c>
      <c r="T832" s="13">
        <v>0</v>
      </c>
      <c r="U832" s="14">
        <f t="shared" si="53"/>
        <v>-13.092892412341614</v>
      </c>
      <c r="V832" s="15">
        <f t="shared" si="54"/>
        <v>667.38844142863911</v>
      </c>
    </row>
    <row r="833" spans="1:22" x14ac:dyDescent="0.3">
      <c r="A833" t="s">
        <v>1631</v>
      </c>
      <c r="B833" s="86">
        <v>6.4</v>
      </c>
      <c r="C833" s="78">
        <v>45992</v>
      </c>
      <c r="D833" s="78">
        <v>45994</v>
      </c>
      <c r="E833">
        <v>54</v>
      </c>
      <c r="F833" t="s">
        <v>906</v>
      </c>
      <c r="G833" t="s">
        <v>918</v>
      </c>
      <c r="H833">
        <v>97</v>
      </c>
      <c r="I833">
        <v>4</v>
      </c>
      <c r="J833" t="s">
        <v>908</v>
      </c>
      <c r="K833" t="s">
        <v>1667</v>
      </c>
      <c r="M833" s="1">
        <v>868</v>
      </c>
      <c r="N833" s="1" t="s">
        <v>864</v>
      </c>
      <c r="O833" s="2">
        <v>46035.6799537037</v>
      </c>
      <c r="P833" s="3">
        <v>7.1448935000000002</v>
      </c>
      <c r="Q833" s="3">
        <v>-16.08208359190445</v>
      </c>
      <c r="R833" s="13">
        <f t="shared" si="52"/>
        <v>7.1448935000000002</v>
      </c>
      <c r="S833" s="42">
        <f t="shared" si="51"/>
        <v>94.751102817962661</v>
      </c>
      <c r="T833" s="13">
        <v>0</v>
      </c>
      <c r="U833" s="14">
        <f t="shared" si="53"/>
        <v>-16.08208359190445</v>
      </c>
      <c r="V833" s="15">
        <f t="shared" si="54"/>
        <v>676.98653864189316</v>
      </c>
    </row>
    <row r="834" spans="1:22" x14ac:dyDescent="0.3">
      <c r="A834" t="s">
        <v>1631</v>
      </c>
      <c r="B834" s="86">
        <v>6.4</v>
      </c>
      <c r="C834" s="78">
        <v>45992</v>
      </c>
      <c r="D834" s="78">
        <v>45994</v>
      </c>
      <c r="E834">
        <v>50</v>
      </c>
      <c r="F834" t="s">
        <v>913</v>
      </c>
      <c r="G834" t="s">
        <v>922</v>
      </c>
      <c r="H834">
        <v>97</v>
      </c>
      <c r="I834">
        <v>5</v>
      </c>
      <c r="J834" t="s">
        <v>908</v>
      </c>
      <c r="K834" t="s">
        <v>1668</v>
      </c>
      <c r="M834" s="4">
        <v>869</v>
      </c>
      <c r="N834" s="4" t="s">
        <v>865</v>
      </c>
      <c r="O834" s="12">
        <v>46035.683680555558</v>
      </c>
      <c r="P834" s="5">
        <v>7.9112865000000001</v>
      </c>
      <c r="Q834" s="5">
        <v>-15.181469648441794</v>
      </c>
      <c r="R834" s="13">
        <f t="shared" si="52"/>
        <v>7.9112865000000001</v>
      </c>
      <c r="S834" s="42">
        <f t="shared" si="51"/>
        <v>94.751102817962661</v>
      </c>
      <c r="T834" s="13">
        <v>0</v>
      </c>
      <c r="U834" s="14">
        <f t="shared" si="53"/>
        <v>-15.181469648441794</v>
      </c>
      <c r="V834" s="15">
        <f t="shared" si="54"/>
        <v>749.60312058386</v>
      </c>
    </row>
    <row r="835" spans="1:22" x14ac:dyDescent="0.3">
      <c r="A835" t="s">
        <v>1631</v>
      </c>
      <c r="B835" s="86">
        <v>6.4</v>
      </c>
      <c r="C835" s="78">
        <v>45992</v>
      </c>
      <c r="D835" s="78">
        <v>45994</v>
      </c>
      <c r="E835">
        <v>51</v>
      </c>
      <c r="F835" t="s">
        <v>910</v>
      </c>
      <c r="G835" t="s">
        <v>926</v>
      </c>
      <c r="H835">
        <v>97</v>
      </c>
      <c r="I835">
        <v>6</v>
      </c>
      <c r="J835" t="s">
        <v>908</v>
      </c>
      <c r="K835" t="s">
        <v>1669</v>
      </c>
      <c r="M835" s="1">
        <v>870</v>
      </c>
      <c r="N835" s="1" t="s">
        <v>866</v>
      </c>
      <c r="O835" s="2">
        <v>46035.687430555554</v>
      </c>
      <c r="P835" s="3">
        <v>8.2810255000000002</v>
      </c>
      <c r="Q835" s="3">
        <v>-15.404009835545278</v>
      </c>
      <c r="R835" s="13">
        <f t="shared" si="52"/>
        <v>8.2810255000000002</v>
      </c>
      <c r="S835" s="42">
        <f t="shared" ref="S835:S866" si="55">$S$890</f>
        <v>94.751102817962661</v>
      </c>
      <c r="T835" s="13">
        <v>0</v>
      </c>
      <c r="U835" s="14">
        <f t="shared" si="53"/>
        <v>-15.404009835545278</v>
      </c>
      <c r="V835" s="15">
        <f t="shared" si="54"/>
        <v>784.63629858867068</v>
      </c>
    </row>
    <row r="836" spans="1:22" x14ac:dyDescent="0.3">
      <c r="A836" t="s">
        <v>1631</v>
      </c>
      <c r="B836" s="86">
        <v>6.4</v>
      </c>
      <c r="C836" s="78">
        <v>45992</v>
      </c>
      <c r="D836" s="78">
        <v>45994</v>
      </c>
      <c r="E836">
        <v>56</v>
      </c>
      <c r="F836" t="s">
        <v>921</v>
      </c>
      <c r="G836" t="s">
        <v>930</v>
      </c>
      <c r="H836">
        <v>97</v>
      </c>
      <c r="I836">
        <v>7</v>
      </c>
      <c r="J836" t="s">
        <v>908</v>
      </c>
      <c r="K836" t="s">
        <v>1670</v>
      </c>
      <c r="M836" s="4">
        <v>871</v>
      </c>
      <c r="N836" s="4" t="s">
        <v>867</v>
      </c>
      <c r="O836" s="12">
        <v>46035.691180555557</v>
      </c>
      <c r="P836" s="5">
        <v>7.5640935000000002</v>
      </c>
      <c r="Q836" s="5">
        <v>-11.992926039463521</v>
      </c>
      <c r="R836" s="13">
        <f t="shared" si="52"/>
        <v>7.5640935000000002</v>
      </c>
      <c r="S836" s="42">
        <f t="shared" si="55"/>
        <v>94.751102817962661</v>
      </c>
      <c r="T836" s="13">
        <v>0</v>
      </c>
      <c r="U836" s="14">
        <f t="shared" si="53"/>
        <v>-11.992926039463521</v>
      </c>
      <c r="V836" s="15">
        <f t="shared" si="54"/>
        <v>716.70620094318303</v>
      </c>
    </row>
    <row r="837" spans="1:22" x14ac:dyDescent="0.3">
      <c r="A837" t="s">
        <v>1631</v>
      </c>
      <c r="B837" s="86">
        <v>6.4</v>
      </c>
      <c r="C837" s="78">
        <v>45992</v>
      </c>
      <c r="D837" s="78">
        <v>45994</v>
      </c>
      <c r="E837">
        <v>52</v>
      </c>
      <c r="F837" t="s">
        <v>917</v>
      </c>
      <c r="G837" t="s">
        <v>933</v>
      </c>
      <c r="H837">
        <v>97</v>
      </c>
      <c r="I837">
        <v>8</v>
      </c>
      <c r="J837" t="s">
        <v>908</v>
      </c>
      <c r="K837" t="s">
        <v>1671</v>
      </c>
      <c r="M837" s="1">
        <v>872</v>
      </c>
      <c r="N837" s="1" t="s">
        <v>868</v>
      </c>
      <c r="O837" s="2">
        <v>46035.694907407407</v>
      </c>
      <c r="P837" s="3">
        <v>7.8544055000000004</v>
      </c>
      <c r="Q837" s="3">
        <v>-15.799497686218233</v>
      </c>
      <c r="R837" s="13">
        <f t="shared" si="52"/>
        <v>7.8544055000000004</v>
      </c>
      <c r="S837" s="42">
        <f t="shared" si="55"/>
        <v>94.751102817962661</v>
      </c>
      <c r="T837" s="13">
        <v>0</v>
      </c>
      <c r="U837" s="14">
        <f t="shared" si="53"/>
        <v>-15.799497686218233</v>
      </c>
      <c r="V837" s="15">
        <f t="shared" si="54"/>
        <v>744.21358310447147</v>
      </c>
    </row>
    <row r="838" spans="1:22" x14ac:dyDescent="0.3">
      <c r="A838" t="s">
        <v>1631</v>
      </c>
      <c r="B838" s="86">
        <v>6.4</v>
      </c>
      <c r="C838" s="78">
        <v>45992</v>
      </c>
      <c r="D838" s="78">
        <v>45994</v>
      </c>
      <c r="E838">
        <v>53</v>
      </c>
      <c r="F838" t="s">
        <v>925</v>
      </c>
      <c r="G838" t="s">
        <v>907</v>
      </c>
      <c r="H838">
        <v>97</v>
      </c>
      <c r="I838">
        <v>9</v>
      </c>
      <c r="J838" t="s">
        <v>935</v>
      </c>
      <c r="K838" t="s">
        <v>1672</v>
      </c>
      <c r="M838" s="4">
        <v>873</v>
      </c>
      <c r="N838" s="4" t="s">
        <v>869</v>
      </c>
      <c r="O838" s="12">
        <v>46035.698657407411</v>
      </c>
      <c r="P838" s="5">
        <v>7.3987619999999996</v>
      </c>
      <c r="Q838" s="5">
        <v>13.275328852680907</v>
      </c>
      <c r="R838" s="13">
        <f t="shared" si="52"/>
        <v>7.3987619999999996</v>
      </c>
      <c r="S838" s="42">
        <f t="shared" si="55"/>
        <v>94.751102817962661</v>
      </c>
      <c r="T838" s="13">
        <v>0</v>
      </c>
      <c r="U838" s="14">
        <f t="shared" si="53"/>
        <v>13.275328852680907</v>
      </c>
      <c r="V838" s="15">
        <f t="shared" si="54"/>
        <v>701.04085898763503</v>
      </c>
    </row>
    <row r="839" spans="1:22" x14ac:dyDescent="0.3">
      <c r="A839" t="s">
        <v>1631</v>
      </c>
      <c r="B839" s="86">
        <v>6.4</v>
      </c>
      <c r="C839" s="78">
        <v>45992</v>
      </c>
      <c r="D839" s="78">
        <v>45994</v>
      </c>
      <c r="E839">
        <v>49</v>
      </c>
      <c r="F839" t="s">
        <v>932</v>
      </c>
      <c r="G839" t="s">
        <v>15</v>
      </c>
      <c r="H839">
        <v>97</v>
      </c>
      <c r="I839">
        <v>10</v>
      </c>
      <c r="J839" t="s">
        <v>935</v>
      </c>
      <c r="K839" t="s">
        <v>1673</v>
      </c>
      <c r="M839" s="1">
        <v>874</v>
      </c>
      <c r="N839" s="1" t="s">
        <v>870</v>
      </c>
      <c r="O839" s="2">
        <v>46035.702407407407</v>
      </c>
      <c r="P839" s="3">
        <v>7.5754144999999999</v>
      </c>
      <c r="Q839" s="3">
        <v>43.768907293592775</v>
      </c>
      <c r="R839" s="13">
        <f t="shared" si="52"/>
        <v>7.5754144999999999</v>
      </c>
      <c r="S839" s="42">
        <f t="shared" si="55"/>
        <v>94.751102817962661</v>
      </c>
      <c r="T839" s="13">
        <v>0</v>
      </c>
      <c r="U839" s="14">
        <f t="shared" si="53"/>
        <v>43.768907293592775</v>
      </c>
      <c r="V839" s="15">
        <f t="shared" si="54"/>
        <v>717.77887817818521</v>
      </c>
    </row>
    <row r="840" spans="1:22" x14ac:dyDescent="0.3">
      <c r="A840" t="s">
        <v>1631</v>
      </c>
      <c r="B840" s="86">
        <v>6.4</v>
      </c>
      <c r="C840" s="78">
        <v>45992</v>
      </c>
      <c r="D840" s="78">
        <v>45994</v>
      </c>
      <c r="E840">
        <v>55</v>
      </c>
      <c r="F840" t="s">
        <v>929</v>
      </c>
      <c r="G840" t="s">
        <v>914</v>
      </c>
      <c r="H840">
        <v>97</v>
      </c>
      <c r="I840">
        <v>11</v>
      </c>
      <c r="J840" t="s">
        <v>935</v>
      </c>
      <c r="K840" t="s">
        <v>1674</v>
      </c>
      <c r="M840" s="4">
        <v>875</v>
      </c>
      <c r="N840" s="4" t="s">
        <v>871</v>
      </c>
      <c r="O840" s="12">
        <v>46035.706145833334</v>
      </c>
      <c r="P840" s="5">
        <v>7.4885035000000002</v>
      </c>
      <c r="Q840" s="5">
        <v>42.185631060777411</v>
      </c>
      <c r="R840" s="13">
        <f t="shared" si="52"/>
        <v>7.4885035000000002</v>
      </c>
      <c r="S840" s="42">
        <f t="shared" si="55"/>
        <v>94.751102817962661</v>
      </c>
      <c r="T840" s="13">
        <v>0</v>
      </c>
      <c r="U840" s="14">
        <f t="shared" si="53"/>
        <v>42.185631060777411</v>
      </c>
      <c r="V840" s="15">
        <f t="shared" si="54"/>
        <v>709.54396508117327</v>
      </c>
    </row>
    <row r="841" spans="1:22" x14ac:dyDescent="0.3">
      <c r="A841" t="s">
        <v>1631</v>
      </c>
      <c r="B841" s="86">
        <v>6.4</v>
      </c>
      <c r="C841" s="78">
        <v>45992</v>
      </c>
      <c r="D841" s="78">
        <v>45994</v>
      </c>
      <c r="E841">
        <v>54</v>
      </c>
      <c r="F841" t="s">
        <v>906</v>
      </c>
      <c r="G841" t="s">
        <v>918</v>
      </c>
      <c r="H841">
        <v>97</v>
      </c>
      <c r="I841">
        <v>12</v>
      </c>
      <c r="J841" t="s">
        <v>935</v>
      </c>
      <c r="K841" t="s">
        <v>1675</v>
      </c>
      <c r="M841" s="1">
        <v>876</v>
      </c>
      <c r="N841" s="1" t="s">
        <v>872</v>
      </c>
      <c r="O841" s="2">
        <v>46035.709872685184</v>
      </c>
      <c r="P841" s="3">
        <v>7.5637699999999999</v>
      </c>
      <c r="Q841" s="3">
        <v>14.006580788493546</v>
      </c>
      <c r="R841" s="13">
        <f t="shared" si="52"/>
        <v>7.5637699999999999</v>
      </c>
      <c r="S841" s="42">
        <f t="shared" si="55"/>
        <v>94.751102817962661</v>
      </c>
      <c r="T841" s="13">
        <v>0</v>
      </c>
      <c r="U841" s="14">
        <f t="shared" si="53"/>
        <v>14.006580788493546</v>
      </c>
      <c r="V841" s="15">
        <f t="shared" si="54"/>
        <v>716.67554896142144</v>
      </c>
    </row>
    <row r="842" spans="1:22" x14ac:dyDescent="0.3">
      <c r="A842" t="s">
        <v>1631</v>
      </c>
      <c r="B842" s="86">
        <v>6.4</v>
      </c>
      <c r="C842" s="78">
        <v>45992</v>
      </c>
      <c r="D842" s="78">
        <v>45994</v>
      </c>
      <c r="E842">
        <v>50</v>
      </c>
      <c r="F842" t="s">
        <v>913</v>
      </c>
      <c r="G842" t="s">
        <v>922</v>
      </c>
      <c r="H842">
        <v>97</v>
      </c>
      <c r="I842">
        <v>13</v>
      </c>
      <c r="J842" t="s">
        <v>935</v>
      </c>
      <c r="K842" t="s">
        <v>1676</v>
      </c>
      <c r="M842" s="4">
        <v>877</v>
      </c>
      <c r="N842" s="4" t="s">
        <v>873</v>
      </c>
      <c r="O842" s="12">
        <v>46035.71361111111</v>
      </c>
      <c r="P842" s="5">
        <v>7.3390674999999996</v>
      </c>
      <c r="Q842" s="5">
        <v>40.520983051786757</v>
      </c>
      <c r="R842" s="13">
        <f t="shared" si="52"/>
        <v>7.3390674999999996</v>
      </c>
      <c r="S842" s="42">
        <f t="shared" si="55"/>
        <v>94.751102817962661</v>
      </c>
      <c r="T842" s="13">
        <v>0</v>
      </c>
      <c r="U842" s="14">
        <f t="shared" si="53"/>
        <v>40.520983051786757</v>
      </c>
      <c r="V842" s="15">
        <f t="shared" si="54"/>
        <v>695.38473928046812</v>
      </c>
    </row>
    <row r="843" spans="1:22" x14ac:dyDescent="0.3">
      <c r="A843" t="s">
        <v>1631</v>
      </c>
      <c r="B843" s="86">
        <v>6.4</v>
      </c>
      <c r="C843" s="78">
        <v>45992</v>
      </c>
      <c r="D843" s="78">
        <v>45994</v>
      </c>
      <c r="E843">
        <v>51</v>
      </c>
      <c r="F843" t="s">
        <v>910</v>
      </c>
      <c r="G843" t="s">
        <v>926</v>
      </c>
      <c r="H843">
        <v>97</v>
      </c>
      <c r="I843">
        <v>14</v>
      </c>
      <c r="J843" t="s">
        <v>935</v>
      </c>
      <c r="K843" t="s">
        <v>1677</v>
      </c>
      <c r="M843" s="1">
        <v>878</v>
      </c>
      <c r="N843" s="1" t="s">
        <v>874</v>
      </c>
      <c r="O843" s="2">
        <v>46035.717361111114</v>
      </c>
      <c r="P843" s="3">
        <v>7.8244024999999997</v>
      </c>
      <c r="Q843" s="3">
        <v>22.915082229540772</v>
      </c>
      <c r="R843" s="13">
        <f t="shared" si="52"/>
        <v>7.8244024999999997</v>
      </c>
      <c r="S843" s="42">
        <f t="shared" si="55"/>
        <v>94.751102817962661</v>
      </c>
      <c r="T843" s="13">
        <v>0</v>
      </c>
      <c r="U843" s="14">
        <f t="shared" si="53"/>
        <v>22.915082229540772</v>
      </c>
      <c r="V843" s="15">
        <f t="shared" si="54"/>
        <v>741.370765766624</v>
      </c>
    </row>
    <row r="844" spans="1:22" x14ac:dyDescent="0.3">
      <c r="A844" t="s">
        <v>1631</v>
      </c>
      <c r="B844" s="86">
        <v>6.4</v>
      </c>
      <c r="C844" s="78">
        <v>45992</v>
      </c>
      <c r="D844" s="78">
        <v>45994</v>
      </c>
      <c r="E844">
        <v>56</v>
      </c>
      <c r="F844" t="s">
        <v>921</v>
      </c>
      <c r="G844" t="s">
        <v>930</v>
      </c>
      <c r="H844">
        <v>97</v>
      </c>
      <c r="I844">
        <v>15</v>
      </c>
      <c r="J844" t="s">
        <v>935</v>
      </c>
      <c r="K844" t="s">
        <v>971</v>
      </c>
      <c r="M844" s="4">
        <v>879</v>
      </c>
      <c r="N844" s="4" t="s">
        <v>875</v>
      </c>
      <c r="O844" s="12">
        <v>46035.721087962964</v>
      </c>
      <c r="P844" s="5">
        <v>8.4422270000000008</v>
      </c>
      <c r="Q844" s="5">
        <v>21.704279364482659</v>
      </c>
      <c r="R844" s="13">
        <f t="shared" si="52"/>
        <v>8.4422270000000008</v>
      </c>
      <c r="S844" s="42">
        <f t="shared" si="55"/>
        <v>94.751102817962661</v>
      </c>
      <c r="T844" s="13">
        <v>0</v>
      </c>
      <c r="U844" s="14">
        <f t="shared" si="53"/>
        <v>21.704279364482659</v>
      </c>
      <c r="V844" s="15">
        <f t="shared" si="54"/>
        <v>799.9103184895805</v>
      </c>
    </row>
    <row r="845" spans="1:22" x14ac:dyDescent="0.3">
      <c r="A845" t="s">
        <v>1631</v>
      </c>
      <c r="B845" s="86">
        <v>6.4</v>
      </c>
      <c r="C845" s="78">
        <v>45992</v>
      </c>
      <c r="D845" s="78">
        <v>45994</v>
      </c>
      <c r="E845">
        <v>52</v>
      </c>
      <c r="F845" t="s">
        <v>917</v>
      </c>
      <c r="G845" t="s">
        <v>933</v>
      </c>
      <c r="H845">
        <v>97</v>
      </c>
      <c r="I845">
        <v>16</v>
      </c>
      <c r="J845" t="s">
        <v>935</v>
      </c>
      <c r="K845" t="s">
        <v>1678</v>
      </c>
      <c r="M845" s="1">
        <v>880</v>
      </c>
      <c r="N845" s="1" t="s">
        <v>876</v>
      </c>
      <c r="O845" s="2">
        <v>46035.724826388891</v>
      </c>
      <c r="P845" s="3">
        <v>7.8899359999999996</v>
      </c>
      <c r="Q845" s="3">
        <v>19.470692028305542</v>
      </c>
      <c r="R845" s="13">
        <f t="shared" si="52"/>
        <v>7.8899359999999996</v>
      </c>
      <c r="S845" s="42">
        <f t="shared" si="55"/>
        <v>94.751102817962661</v>
      </c>
      <c r="T845" s="13">
        <v>0</v>
      </c>
      <c r="U845" s="14">
        <f t="shared" si="53"/>
        <v>19.470692028305542</v>
      </c>
      <c r="V845" s="15">
        <f t="shared" si="54"/>
        <v>747.58013716314497</v>
      </c>
    </row>
    <row r="846" spans="1:22" x14ac:dyDescent="0.3">
      <c r="A846" t="s">
        <v>1631</v>
      </c>
      <c r="B846" s="86">
        <v>6.4</v>
      </c>
      <c r="C846" s="78">
        <v>45992</v>
      </c>
      <c r="D846" s="78">
        <v>45994</v>
      </c>
      <c r="E846">
        <v>53</v>
      </c>
      <c r="F846" t="s">
        <v>925</v>
      </c>
      <c r="G846" t="s">
        <v>907</v>
      </c>
      <c r="H846">
        <v>97</v>
      </c>
      <c r="I846">
        <v>17</v>
      </c>
      <c r="J846" t="s">
        <v>24</v>
      </c>
      <c r="K846" t="s">
        <v>1679</v>
      </c>
      <c r="M846" s="4">
        <v>881</v>
      </c>
      <c r="N846" s="4" t="s">
        <v>877</v>
      </c>
      <c r="O846" s="12">
        <v>46035.72855324074</v>
      </c>
      <c r="P846" s="5">
        <v>7.5482005000000001</v>
      </c>
      <c r="Q846" s="5">
        <v>37.455098461593408</v>
      </c>
      <c r="R846" s="13">
        <f t="shared" si="52"/>
        <v>7.5482005000000001</v>
      </c>
      <c r="S846" s="42">
        <f t="shared" si="55"/>
        <v>94.751102817962661</v>
      </c>
      <c r="T846" s="13">
        <v>0</v>
      </c>
      <c r="U846" s="14">
        <f t="shared" si="53"/>
        <v>37.455098461593408</v>
      </c>
      <c r="V846" s="15">
        <f t="shared" si="54"/>
        <v>715.20032166609712</v>
      </c>
    </row>
    <row r="847" spans="1:22" x14ac:dyDescent="0.3">
      <c r="A847" t="s">
        <v>1631</v>
      </c>
      <c r="B847" s="86">
        <v>6.4</v>
      </c>
      <c r="C847" s="78">
        <v>45992</v>
      </c>
      <c r="D847" s="78">
        <v>45994</v>
      </c>
      <c r="E847">
        <v>49</v>
      </c>
      <c r="F847" t="s">
        <v>932</v>
      </c>
      <c r="G847" t="s">
        <v>15</v>
      </c>
      <c r="H847">
        <v>97</v>
      </c>
      <c r="I847">
        <v>18</v>
      </c>
      <c r="J847" t="s">
        <v>24</v>
      </c>
      <c r="K847" t="s">
        <v>1680</v>
      </c>
      <c r="M847" s="1">
        <v>882</v>
      </c>
      <c r="N847" s="1" t="s">
        <v>878</v>
      </c>
      <c r="O847" s="2">
        <v>46035.732303240744</v>
      </c>
      <c r="P847" s="3">
        <v>7.6022740000000004</v>
      </c>
      <c r="Q847" s="3">
        <v>78.034744442059093</v>
      </c>
      <c r="R847" s="13">
        <f t="shared" si="52"/>
        <v>7.6022740000000004</v>
      </c>
      <c r="S847" s="42">
        <f t="shared" si="55"/>
        <v>94.751102817962661</v>
      </c>
      <c r="T847" s="13">
        <v>0</v>
      </c>
      <c r="U847" s="14">
        <f t="shared" si="53"/>
        <v>78.034744442059093</v>
      </c>
      <c r="V847" s="15">
        <f t="shared" si="54"/>
        <v>720.3238454243243</v>
      </c>
    </row>
    <row r="848" spans="1:22" x14ac:dyDescent="0.3">
      <c r="A848" t="s">
        <v>1631</v>
      </c>
      <c r="B848" s="86">
        <v>6.4</v>
      </c>
      <c r="C848" s="78">
        <v>45992</v>
      </c>
      <c r="D848" s="78">
        <v>45994</v>
      </c>
      <c r="E848">
        <v>55</v>
      </c>
      <c r="F848" t="s">
        <v>929</v>
      </c>
      <c r="G848" t="s">
        <v>914</v>
      </c>
      <c r="H848">
        <v>97</v>
      </c>
      <c r="I848">
        <v>19</v>
      </c>
      <c r="J848" t="s">
        <v>24</v>
      </c>
      <c r="K848" s="80" t="s">
        <v>1681</v>
      </c>
      <c r="M848" s="4">
        <v>883</v>
      </c>
      <c r="N848" s="4" t="s">
        <v>879</v>
      </c>
      <c r="O848" s="12">
        <v>46035.73605324074</v>
      </c>
      <c r="P848" s="5">
        <v>8.0123460000000009</v>
      </c>
      <c r="Q848" s="5">
        <v>72.495876277966062</v>
      </c>
      <c r="R848" s="13">
        <f t="shared" si="52"/>
        <v>8.0123460000000009</v>
      </c>
      <c r="S848" s="42">
        <f t="shared" si="55"/>
        <v>94.751102817962661</v>
      </c>
      <c r="T848" s="13">
        <v>0</v>
      </c>
      <c r="U848" s="14">
        <f t="shared" si="53"/>
        <v>72.495876277966062</v>
      </c>
      <c r="V848" s="15">
        <f t="shared" si="54"/>
        <v>759.17861965909196</v>
      </c>
    </row>
    <row r="849" spans="1:22" x14ac:dyDescent="0.3">
      <c r="A849" t="s">
        <v>1631</v>
      </c>
      <c r="B849" s="86">
        <v>6.4</v>
      </c>
      <c r="C849" s="78">
        <v>45992</v>
      </c>
      <c r="D849" s="78">
        <v>45994</v>
      </c>
      <c r="E849">
        <v>54</v>
      </c>
      <c r="F849" t="s">
        <v>906</v>
      </c>
      <c r="G849" t="s">
        <v>918</v>
      </c>
      <c r="H849">
        <v>97</v>
      </c>
      <c r="I849">
        <v>20</v>
      </c>
      <c r="J849" t="s">
        <v>24</v>
      </c>
      <c r="K849" t="s">
        <v>1682</v>
      </c>
      <c r="M849" s="1">
        <v>884</v>
      </c>
      <c r="N849" s="1" t="s">
        <v>880</v>
      </c>
      <c r="O849" s="2">
        <v>46035.739791666667</v>
      </c>
      <c r="P849" s="3">
        <v>7.7707364999999999</v>
      </c>
      <c r="Q849" s="3">
        <v>36.616263334678052</v>
      </c>
      <c r="R849" s="13">
        <f t="shared" si="52"/>
        <v>7.7707364999999999</v>
      </c>
      <c r="S849" s="42">
        <f t="shared" si="55"/>
        <v>94.751102817962661</v>
      </c>
      <c r="T849" s="13">
        <v>0</v>
      </c>
      <c r="U849" s="14">
        <f t="shared" si="53"/>
        <v>36.616263334678052</v>
      </c>
      <c r="V849" s="15">
        <f t="shared" si="54"/>
        <v>736.28585308279526</v>
      </c>
    </row>
    <row r="850" spans="1:22" x14ac:dyDescent="0.3">
      <c r="A850" t="s">
        <v>1631</v>
      </c>
      <c r="B850" s="86">
        <v>6.4</v>
      </c>
      <c r="C850" s="78">
        <v>45992</v>
      </c>
      <c r="D850" s="78">
        <v>45994</v>
      </c>
      <c r="E850">
        <v>50</v>
      </c>
      <c r="F850" t="s">
        <v>913</v>
      </c>
      <c r="G850" t="s">
        <v>922</v>
      </c>
      <c r="H850">
        <v>97</v>
      </c>
      <c r="I850">
        <v>21</v>
      </c>
      <c r="J850" t="s">
        <v>24</v>
      </c>
      <c r="K850" t="s">
        <v>1683</v>
      </c>
      <c r="M850" s="4">
        <v>885</v>
      </c>
      <c r="N850" s="4" t="s">
        <v>881</v>
      </c>
      <c r="O850" s="12">
        <v>46035.743530092594</v>
      </c>
      <c r="P850" s="5">
        <v>7.5269385</v>
      </c>
      <c r="Q850" s="5">
        <v>75.010240245611897</v>
      </c>
      <c r="R850" s="13">
        <f t="shared" si="52"/>
        <v>7.5269385</v>
      </c>
      <c r="S850" s="42">
        <f t="shared" si="55"/>
        <v>94.751102817962661</v>
      </c>
      <c r="T850" s="13">
        <v>0</v>
      </c>
      <c r="U850" s="14">
        <f t="shared" si="53"/>
        <v>75.010240245611897</v>
      </c>
      <c r="V850" s="15">
        <f t="shared" si="54"/>
        <v>713.18572371798166</v>
      </c>
    </row>
    <row r="851" spans="1:22" x14ac:dyDescent="0.3">
      <c r="A851" t="s">
        <v>1631</v>
      </c>
      <c r="B851" s="86">
        <v>6.4</v>
      </c>
      <c r="C851" s="78">
        <v>45992</v>
      </c>
      <c r="D851" s="78">
        <v>45994</v>
      </c>
      <c r="E851">
        <v>51</v>
      </c>
      <c r="F851" t="s">
        <v>910</v>
      </c>
      <c r="G851" t="s">
        <v>926</v>
      </c>
      <c r="H851">
        <v>97</v>
      </c>
      <c r="I851">
        <v>22</v>
      </c>
      <c r="J851" t="s">
        <v>24</v>
      </c>
      <c r="K851" t="s">
        <v>1684</v>
      </c>
      <c r="M851" s="1">
        <v>886</v>
      </c>
      <c r="N851" s="1" t="s">
        <v>882</v>
      </c>
      <c r="O851" s="2">
        <v>46035.74726851852</v>
      </c>
      <c r="P851" s="3">
        <v>8.0662210000000005</v>
      </c>
      <c r="Q851" s="3">
        <v>48.710115080487704</v>
      </c>
      <c r="R851" s="13">
        <f t="shared" si="52"/>
        <v>8.0662210000000005</v>
      </c>
      <c r="S851" s="42">
        <f t="shared" si="55"/>
        <v>94.751102817962661</v>
      </c>
      <c r="T851" s="13">
        <v>0</v>
      </c>
      <c r="U851" s="14">
        <f t="shared" si="53"/>
        <v>48.710115080487704</v>
      </c>
      <c r="V851" s="15">
        <f t="shared" si="54"/>
        <v>764.28333532340969</v>
      </c>
    </row>
    <row r="852" spans="1:22" x14ac:dyDescent="0.3">
      <c r="A852" t="s">
        <v>1631</v>
      </c>
      <c r="B852" s="86">
        <v>6.4</v>
      </c>
      <c r="C852" s="78">
        <v>45992</v>
      </c>
      <c r="D852" s="78">
        <v>45994</v>
      </c>
      <c r="E852">
        <v>56</v>
      </c>
      <c r="F852" t="s">
        <v>921</v>
      </c>
      <c r="G852" t="s">
        <v>930</v>
      </c>
      <c r="H852">
        <v>97</v>
      </c>
      <c r="I852">
        <v>23</v>
      </c>
      <c r="J852" t="s">
        <v>24</v>
      </c>
      <c r="K852" t="s">
        <v>1685</v>
      </c>
      <c r="M852" s="4">
        <v>887</v>
      </c>
      <c r="N852" s="4" t="s">
        <v>883</v>
      </c>
      <c r="O852" s="12">
        <v>46035.751006944447</v>
      </c>
      <c r="P852" s="5">
        <v>8.6862899999999996</v>
      </c>
      <c r="Q852" s="5">
        <v>42.765905627474076</v>
      </c>
      <c r="R852" s="13">
        <f t="shared" si="52"/>
        <v>8.6862899999999996</v>
      </c>
      <c r="S852" s="42">
        <f t="shared" si="55"/>
        <v>94.751102817962661</v>
      </c>
      <c r="T852" s="13">
        <v>0</v>
      </c>
      <c r="U852" s="14">
        <f t="shared" si="53"/>
        <v>42.765905627474076</v>
      </c>
      <c r="V852" s="15">
        <f t="shared" si="54"/>
        <v>823.03555689664086</v>
      </c>
    </row>
    <row r="853" spans="1:22" x14ac:dyDescent="0.3">
      <c r="A853" t="s">
        <v>1631</v>
      </c>
      <c r="B853" s="86">
        <v>6.4</v>
      </c>
      <c r="C853" s="78">
        <v>45992</v>
      </c>
      <c r="D853" s="78">
        <v>45994</v>
      </c>
      <c r="E853">
        <v>52</v>
      </c>
      <c r="F853" t="s">
        <v>917</v>
      </c>
      <c r="G853" t="s">
        <v>933</v>
      </c>
      <c r="H853">
        <v>97</v>
      </c>
      <c r="I853">
        <v>24</v>
      </c>
      <c r="J853" t="s">
        <v>24</v>
      </c>
      <c r="K853" t="s">
        <v>1686</v>
      </c>
      <c r="M853" s="1">
        <v>888</v>
      </c>
      <c r="N853" s="1" t="s">
        <v>884</v>
      </c>
      <c r="O853" s="2">
        <v>46035.754733796297</v>
      </c>
      <c r="P853" s="3">
        <v>7.3071130000000002</v>
      </c>
      <c r="Q853" s="3">
        <v>50.067577313433432</v>
      </c>
      <c r="R853" s="13">
        <f t="shared" si="52"/>
        <v>7.3071130000000002</v>
      </c>
      <c r="S853" s="42">
        <f t="shared" si="55"/>
        <v>94.751102817962661</v>
      </c>
      <c r="T853" s="13">
        <v>0</v>
      </c>
      <c r="U853" s="14">
        <f t="shared" si="53"/>
        <v>50.067577313433432</v>
      </c>
      <c r="V853" s="15">
        <f t="shared" si="54"/>
        <v>692.35701516547158</v>
      </c>
    </row>
    <row r="854" spans="1:22" x14ac:dyDescent="0.3">
      <c r="A854" t="s">
        <v>1631</v>
      </c>
      <c r="B854" s="86">
        <v>6.4</v>
      </c>
      <c r="C854" s="78">
        <v>45992</v>
      </c>
      <c r="D854" s="78">
        <v>45994</v>
      </c>
      <c r="E854">
        <v>53</v>
      </c>
      <c r="F854" t="s">
        <v>925</v>
      </c>
      <c r="G854" t="s">
        <v>907</v>
      </c>
      <c r="H854">
        <v>97</v>
      </c>
      <c r="I854">
        <v>25</v>
      </c>
      <c r="J854" t="s">
        <v>25</v>
      </c>
      <c r="K854" t="s">
        <v>1687</v>
      </c>
      <c r="M854" s="4">
        <v>889</v>
      </c>
      <c r="N854" s="4" t="s">
        <v>885</v>
      </c>
      <c r="O854" s="12">
        <v>46035.758483796293</v>
      </c>
      <c r="P854" s="5">
        <v>7.4709225000000004</v>
      </c>
      <c r="Q854" s="5">
        <v>59.118582915774908</v>
      </c>
      <c r="R854" s="13">
        <f t="shared" si="52"/>
        <v>7.4709225000000004</v>
      </c>
      <c r="S854" s="42">
        <f t="shared" si="55"/>
        <v>94.751102817962661</v>
      </c>
      <c r="T854" s="13">
        <v>0</v>
      </c>
      <c r="U854" s="14">
        <f t="shared" si="53"/>
        <v>59.118582915774908</v>
      </c>
      <c r="V854" s="15">
        <f t="shared" si="54"/>
        <v>707.87814594253064</v>
      </c>
    </row>
    <row r="855" spans="1:22" x14ac:dyDescent="0.3">
      <c r="A855" t="s">
        <v>1631</v>
      </c>
      <c r="B855" s="86">
        <v>6.4</v>
      </c>
      <c r="C855" s="78">
        <v>45992</v>
      </c>
      <c r="D855" s="78">
        <v>45994</v>
      </c>
      <c r="E855">
        <v>49</v>
      </c>
      <c r="F855" t="s">
        <v>932</v>
      </c>
      <c r="G855" t="s">
        <v>15</v>
      </c>
      <c r="H855">
        <v>97</v>
      </c>
      <c r="I855">
        <v>26</v>
      </c>
      <c r="J855" t="s">
        <v>25</v>
      </c>
      <c r="K855" t="s">
        <v>1688</v>
      </c>
      <c r="M855" s="1">
        <v>890</v>
      </c>
      <c r="N855" s="1" t="s">
        <v>886</v>
      </c>
      <c r="O855" s="2">
        <v>46035.76222222222</v>
      </c>
      <c r="P855" s="3">
        <v>8.1206414999999996</v>
      </c>
      <c r="Q855" s="3">
        <v>103.73345418510132</v>
      </c>
      <c r="R855" s="13">
        <f t="shared" si="52"/>
        <v>8.1206414999999996</v>
      </c>
      <c r="S855" s="42">
        <f t="shared" si="55"/>
        <v>94.751102817962661</v>
      </c>
      <c r="T855" s="13">
        <v>0</v>
      </c>
      <c r="U855" s="14">
        <f t="shared" si="53"/>
        <v>103.73345418510132</v>
      </c>
      <c r="V855" s="15">
        <f t="shared" si="54"/>
        <v>769.43973771431445</v>
      </c>
    </row>
    <row r="856" spans="1:22" x14ac:dyDescent="0.3">
      <c r="A856" t="s">
        <v>1631</v>
      </c>
      <c r="B856" s="86">
        <v>6.4</v>
      </c>
      <c r="C856" s="78">
        <v>45992</v>
      </c>
      <c r="D856" s="78">
        <v>45994</v>
      </c>
      <c r="E856">
        <v>55</v>
      </c>
      <c r="F856" t="s">
        <v>929</v>
      </c>
      <c r="G856" t="s">
        <v>914</v>
      </c>
      <c r="H856">
        <v>97</v>
      </c>
      <c r="I856">
        <v>27</v>
      </c>
      <c r="J856" t="s">
        <v>25</v>
      </c>
      <c r="K856" t="s">
        <v>1689</v>
      </c>
      <c r="M856" s="4">
        <v>891</v>
      </c>
      <c r="N856" s="4" t="s">
        <v>887</v>
      </c>
      <c r="O856" s="12">
        <v>46035.765960648147</v>
      </c>
      <c r="P856" s="5">
        <v>8.5055180000000004</v>
      </c>
      <c r="Q856" s="5">
        <v>100.18465966476569</v>
      </c>
      <c r="R856" s="13">
        <f t="shared" si="52"/>
        <v>8.5055180000000004</v>
      </c>
      <c r="S856" s="42">
        <f t="shared" si="55"/>
        <v>94.751102817962661</v>
      </c>
      <c r="T856" s="13">
        <v>0</v>
      </c>
      <c r="U856" s="14">
        <f t="shared" si="53"/>
        <v>100.18465966476569</v>
      </c>
      <c r="V856" s="15">
        <f t="shared" si="54"/>
        <v>805.90721053803213</v>
      </c>
    </row>
    <row r="857" spans="1:22" x14ac:dyDescent="0.3">
      <c r="A857" t="s">
        <v>1631</v>
      </c>
      <c r="B857" s="86">
        <v>6.4</v>
      </c>
      <c r="C857" s="78">
        <v>45992</v>
      </c>
      <c r="D857" s="78">
        <v>45994</v>
      </c>
      <c r="E857">
        <v>54</v>
      </c>
      <c r="F857" t="s">
        <v>906</v>
      </c>
      <c r="G857" t="s">
        <v>918</v>
      </c>
      <c r="H857">
        <v>97</v>
      </c>
      <c r="I857">
        <v>28</v>
      </c>
      <c r="J857" t="s">
        <v>25</v>
      </c>
      <c r="K857" t="s">
        <v>1690</v>
      </c>
      <c r="M857" s="1">
        <v>892</v>
      </c>
      <c r="N857" s="1" t="s">
        <v>888</v>
      </c>
      <c r="O857" s="2">
        <v>46035.769699074073</v>
      </c>
      <c r="P857" s="3">
        <v>8.7832290000000004</v>
      </c>
      <c r="Q857" s="3">
        <v>49.42432082741491</v>
      </c>
      <c r="R857" s="13">
        <f t="shared" si="52"/>
        <v>8.7832290000000004</v>
      </c>
      <c r="S857" s="42">
        <f t="shared" si="55"/>
        <v>94.751102817962661</v>
      </c>
      <c r="T857" s="13">
        <v>0</v>
      </c>
      <c r="U857" s="14">
        <f t="shared" si="53"/>
        <v>49.42432082741491</v>
      </c>
      <c r="V857" s="15">
        <f t="shared" si="54"/>
        <v>832.22063405271138</v>
      </c>
    </row>
    <row r="858" spans="1:22" x14ac:dyDescent="0.3">
      <c r="A858" t="s">
        <v>1631</v>
      </c>
      <c r="B858" s="86">
        <v>6.4</v>
      </c>
      <c r="C858" s="78">
        <v>45992</v>
      </c>
      <c r="D858" s="78">
        <v>45994</v>
      </c>
      <c r="E858">
        <v>50</v>
      </c>
      <c r="F858" t="s">
        <v>913</v>
      </c>
      <c r="G858" t="s">
        <v>922</v>
      </c>
      <c r="H858">
        <v>97</v>
      </c>
      <c r="I858">
        <v>29</v>
      </c>
      <c r="J858" t="s">
        <v>25</v>
      </c>
      <c r="K858" t="s">
        <v>1691</v>
      </c>
      <c r="M858" s="4">
        <v>893</v>
      </c>
      <c r="N858" s="4" t="s">
        <v>889</v>
      </c>
      <c r="O858" s="12">
        <v>46035.773460648146</v>
      </c>
      <c r="P858" s="5">
        <v>7.5966930000000001</v>
      </c>
      <c r="Q858" s="5">
        <v>112.3748406624385</v>
      </c>
      <c r="R858" s="13">
        <f t="shared" si="52"/>
        <v>7.5966930000000001</v>
      </c>
      <c r="S858" s="42">
        <f t="shared" si="55"/>
        <v>94.751102817962661</v>
      </c>
      <c r="T858" s="13">
        <v>0</v>
      </c>
      <c r="U858" s="14">
        <f t="shared" si="53"/>
        <v>112.3748406624385</v>
      </c>
      <c r="V858" s="15">
        <f t="shared" si="54"/>
        <v>719.79503951949721</v>
      </c>
    </row>
    <row r="859" spans="1:22" x14ac:dyDescent="0.3">
      <c r="A859" t="s">
        <v>1631</v>
      </c>
      <c r="B859" s="86">
        <v>6.4</v>
      </c>
      <c r="C859" s="78">
        <v>45992</v>
      </c>
      <c r="D859" s="78">
        <v>45994</v>
      </c>
      <c r="E859">
        <v>51</v>
      </c>
      <c r="F859" t="s">
        <v>910</v>
      </c>
      <c r="G859" t="s">
        <v>926</v>
      </c>
      <c r="H859">
        <v>97</v>
      </c>
      <c r="I859">
        <v>30</v>
      </c>
      <c r="J859" t="s">
        <v>25</v>
      </c>
      <c r="K859" t="s">
        <v>1692</v>
      </c>
      <c r="M859" s="1">
        <v>894</v>
      </c>
      <c r="N859" s="1" t="s">
        <v>890</v>
      </c>
      <c r="O859" s="2">
        <v>46035.777199074073</v>
      </c>
      <c r="P859" s="3">
        <v>7.8689524999999998</v>
      </c>
      <c r="Q859" s="3">
        <v>75.441074397280431</v>
      </c>
      <c r="R859" s="13">
        <f t="shared" si="52"/>
        <v>7.8689524999999998</v>
      </c>
      <c r="S859" s="42">
        <f t="shared" si="55"/>
        <v>94.751102817962661</v>
      </c>
      <c r="T859" s="13">
        <v>0</v>
      </c>
      <c r="U859" s="14">
        <f t="shared" si="53"/>
        <v>75.441074397280431</v>
      </c>
      <c r="V859" s="15">
        <f t="shared" si="54"/>
        <v>745.59192739716434</v>
      </c>
    </row>
    <row r="860" spans="1:22" x14ac:dyDescent="0.3">
      <c r="A860" t="s">
        <v>1631</v>
      </c>
      <c r="B860" s="86">
        <v>6.4</v>
      </c>
      <c r="C860" s="78">
        <v>45992</v>
      </c>
      <c r="D860" s="78">
        <v>45994</v>
      </c>
      <c r="E860">
        <v>56</v>
      </c>
      <c r="F860" t="s">
        <v>921</v>
      </c>
      <c r="G860" t="s">
        <v>930</v>
      </c>
      <c r="H860">
        <v>97</v>
      </c>
      <c r="I860">
        <v>31</v>
      </c>
      <c r="J860" t="s">
        <v>25</v>
      </c>
      <c r="K860" t="s">
        <v>1693</v>
      </c>
      <c r="M860" s="4">
        <v>895</v>
      </c>
      <c r="N860" s="4" t="s">
        <v>891</v>
      </c>
      <c r="O860" s="12">
        <v>46035.7809375</v>
      </c>
      <c r="P860" s="5">
        <v>9.0355229999999995</v>
      </c>
      <c r="Q860" s="5">
        <v>58.619197435863896</v>
      </c>
      <c r="R860" s="13">
        <f t="shared" si="52"/>
        <v>9.0355229999999995</v>
      </c>
      <c r="S860" s="42">
        <f t="shared" si="55"/>
        <v>94.751102817962661</v>
      </c>
      <c r="T860" s="13">
        <v>0</v>
      </c>
      <c r="U860" s="14">
        <f t="shared" si="53"/>
        <v>58.619197435863896</v>
      </c>
      <c r="V860" s="15">
        <f t="shared" si="54"/>
        <v>856.12576878706636</v>
      </c>
    </row>
    <row r="861" spans="1:22" x14ac:dyDescent="0.3">
      <c r="A861" t="s">
        <v>1631</v>
      </c>
      <c r="B861" s="86">
        <v>6.4</v>
      </c>
      <c r="C861" s="78">
        <v>45992</v>
      </c>
      <c r="D861" s="78">
        <v>45994</v>
      </c>
      <c r="E861">
        <v>52</v>
      </c>
      <c r="F861" t="s">
        <v>917</v>
      </c>
      <c r="G861" t="s">
        <v>933</v>
      </c>
      <c r="H861">
        <v>97</v>
      </c>
      <c r="I861">
        <v>32</v>
      </c>
      <c r="J861" t="s">
        <v>25</v>
      </c>
      <c r="K861" t="s">
        <v>1694</v>
      </c>
      <c r="M861" s="1">
        <v>896</v>
      </c>
      <c r="N861" s="1" t="s">
        <v>892</v>
      </c>
      <c r="O861" s="2">
        <v>46035.784675925926</v>
      </c>
      <c r="P861" s="3">
        <v>7.9228474999999996</v>
      </c>
      <c r="Q861" s="3">
        <v>68.590758929245141</v>
      </c>
      <c r="R861" s="13">
        <f t="shared" si="52"/>
        <v>7.9228474999999996</v>
      </c>
      <c r="S861" s="42">
        <f t="shared" si="55"/>
        <v>94.751102817962661</v>
      </c>
      <c r="T861" s="13">
        <v>0</v>
      </c>
      <c r="U861" s="14">
        <f t="shared" si="53"/>
        <v>68.590758929245141</v>
      </c>
      <c r="V861" s="15">
        <f t="shared" si="54"/>
        <v>750.69853808353844</v>
      </c>
    </row>
    <row r="862" spans="1:22" x14ac:dyDescent="0.3">
      <c r="M862" s="4">
        <v>897</v>
      </c>
      <c r="N862" s="4" t="s">
        <v>893</v>
      </c>
      <c r="O862" s="12">
        <v>46035.788414351853</v>
      </c>
      <c r="P862" s="5">
        <v>23.895368000000001</v>
      </c>
      <c r="Q862" s="5">
        <v>-6.6067472025740592</v>
      </c>
      <c r="R862" s="13">
        <f t="shared" si="52"/>
        <v>23.895368000000001</v>
      </c>
      <c r="S862" s="42">
        <f t="shared" si="55"/>
        <v>94.751102817962661</v>
      </c>
      <c r="T862" s="13">
        <v>0</v>
      </c>
      <c r="U862" s="14">
        <f t="shared" si="53"/>
        <v>-6.6067472025740592</v>
      </c>
      <c r="V862" s="15">
        <f t="shared" si="54"/>
        <v>2264.1124702410548</v>
      </c>
    </row>
    <row r="863" spans="1:22" x14ac:dyDescent="0.3">
      <c r="M863" s="1">
        <v>898</v>
      </c>
      <c r="N863" s="1" t="s">
        <v>894</v>
      </c>
      <c r="O863" s="2">
        <v>46035.792164351849</v>
      </c>
      <c r="P863" s="3">
        <v>10.849493000000001</v>
      </c>
      <c r="Q863" s="3">
        <v>-9.4345753128350918</v>
      </c>
      <c r="R863" s="13">
        <f t="shared" si="52"/>
        <v>10.849493000000001</v>
      </c>
      <c r="S863" s="42">
        <f t="shared" si="55"/>
        <v>94.751102817962661</v>
      </c>
      <c r="T863" s="13">
        <v>0</v>
      </c>
      <c r="U863" s="14">
        <f t="shared" si="53"/>
        <v>-9.4345753128350918</v>
      </c>
      <c r="V863" s="15">
        <f t="shared" si="54"/>
        <v>1028.0014267657662</v>
      </c>
    </row>
    <row r="864" spans="1:22" x14ac:dyDescent="0.3">
      <c r="M864" s="4">
        <v>899</v>
      </c>
      <c r="N864" s="4" t="s">
        <v>895</v>
      </c>
      <c r="O864" s="12">
        <v>46035.795914351853</v>
      </c>
      <c r="P864" s="5">
        <v>6.1265865000000002</v>
      </c>
      <c r="Q864" s="5">
        <v>-10.292976850124901</v>
      </c>
      <c r="R864" s="13">
        <f t="shared" si="52"/>
        <v>6.1265865000000002</v>
      </c>
      <c r="S864" s="42">
        <f t="shared" si="55"/>
        <v>94.751102817962661</v>
      </c>
      <c r="T864" s="13">
        <v>0</v>
      </c>
      <c r="U864" s="14">
        <f t="shared" si="53"/>
        <v>-10.292976850124901</v>
      </c>
      <c r="V864" s="15">
        <f t="shared" si="54"/>
        <v>580.50082738464198</v>
      </c>
    </row>
    <row r="865" spans="8:22" x14ac:dyDescent="0.3">
      <c r="M865" s="1">
        <v>900</v>
      </c>
      <c r="N865" s="1" t="s">
        <v>896</v>
      </c>
      <c r="O865" s="2">
        <v>46035.799641203703</v>
      </c>
      <c r="P865" s="3">
        <v>3.7669847500000002</v>
      </c>
      <c r="Q865" s="3">
        <v>-13.595379681797407</v>
      </c>
      <c r="R865" s="13">
        <f t="shared" si="52"/>
        <v>3.7669847500000002</v>
      </c>
      <c r="S865" s="42">
        <f t="shared" si="55"/>
        <v>94.751102817962661</v>
      </c>
      <c r="T865" s="13">
        <v>0</v>
      </c>
      <c r="U865" s="14">
        <f t="shared" si="53"/>
        <v>-13.595379681797407</v>
      </c>
      <c r="V865" s="15">
        <f t="shared" si="54"/>
        <v>356.92595936094739</v>
      </c>
    </row>
    <row r="866" spans="8:22" x14ac:dyDescent="0.3">
      <c r="M866" s="63">
        <v>901</v>
      </c>
      <c r="N866" s="63" t="s">
        <v>897</v>
      </c>
      <c r="O866" s="64">
        <v>46035.803460648145</v>
      </c>
      <c r="P866" s="65">
        <v>3.238448</v>
      </c>
      <c r="Q866" s="65">
        <v>-16.97265857467691</v>
      </c>
      <c r="R866" s="13">
        <f t="shared" si="52"/>
        <v>3.238448</v>
      </c>
      <c r="S866" s="42">
        <f t="shared" si="55"/>
        <v>94.751102817962661</v>
      </c>
      <c r="T866" s="13">
        <v>0</v>
      </c>
      <c r="U866" s="14">
        <f t="shared" si="53"/>
        <v>-16.97265857467691</v>
      </c>
      <c r="V866" s="15">
        <f t="shared" si="54"/>
        <v>306.84651941862552</v>
      </c>
    </row>
    <row r="871" spans="8:22" x14ac:dyDescent="0.3">
      <c r="H871" t="s">
        <v>1697</v>
      </c>
      <c r="J871" s="23"/>
      <c r="M871" s="39"/>
      <c r="N871" s="40"/>
      <c r="O871" s="40"/>
      <c r="P871" s="39"/>
      <c r="Q871" s="39"/>
      <c r="R871" s="39"/>
      <c r="S871" s="44"/>
      <c r="T871" s="39"/>
      <c r="U871" s="38"/>
      <c r="V871" s="38"/>
    </row>
    <row r="872" spans="8:22" x14ac:dyDescent="0.3">
      <c r="J872" s="23"/>
      <c r="M872" s="39"/>
      <c r="N872" s="40"/>
      <c r="O872" s="40"/>
      <c r="P872" s="39"/>
      <c r="Q872" s="39"/>
      <c r="R872" s="39"/>
      <c r="S872" s="44"/>
      <c r="T872" s="39"/>
      <c r="U872" s="38"/>
      <c r="V872" s="38"/>
    </row>
    <row r="873" spans="8:22" x14ac:dyDescent="0.3">
      <c r="J873" s="23"/>
      <c r="M873" s="19"/>
      <c r="N873" s="20"/>
      <c r="O873" s="21"/>
      <c r="P873" s="19"/>
      <c r="Q873" s="19"/>
      <c r="R873" s="19"/>
      <c r="S873" s="44"/>
      <c r="T873" s="19"/>
      <c r="U873" s="18"/>
      <c r="V873" s="18"/>
    </row>
    <row r="874" spans="8:22" x14ac:dyDescent="0.3">
      <c r="J874" s="23"/>
      <c r="M874" s="47"/>
      <c r="N874" s="47"/>
      <c r="O874" s="48"/>
      <c r="P874" s="49"/>
      <c r="Q874" s="49"/>
      <c r="R874" s="9">
        <f t="shared" ref="R874" si="56">P874-0.86</f>
        <v>-0.86</v>
      </c>
      <c r="S874" s="41">
        <v>360.77677560286804</v>
      </c>
      <c r="T874" s="9" t="e">
        <f>#REF!</f>
        <v>#REF!</v>
      </c>
      <c r="U874" s="6" t="e">
        <f t="shared" ref="U874" si="57">Q874+T874</f>
        <v>#REF!</v>
      </c>
      <c r="V874" s="7">
        <f t="shared" ref="V874" si="58">R874*S874</f>
        <v>-310.26802701846651</v>
      </c>
    </row>
    <row r="875" spans="8:22" x14ac:dyDescent="0.3">
      <c r="J875" s="23"/>
      <c r="M875" s="47"/>
      <c r="N875" s="50" t="s">
        <v>7</v>
      </c>
      <c r="O875" s="53"/>
      <c r="P875" s="52"/>
      <c r="Q875" s="51" t="e">
        <f>AVERAGE(Q874:Q874)</f>
        <v>#DIV/0!</v>
      </c>
      <c r="R875" s="52"/>
      <c r="S875" s="54"/>
      <c r="T875" s="52"/>
      <c r="U875" s="55"/>
      <c r="V875" s="55"/>
    </row>
    <row r="876" spans="8:22" x14ac:dyDescent="0.3">
      <c r="J876" s="23"/>
      <c r="M876" s="16"/>
      <c r="N876" s="24" t="s">
        <v>8</v>
      </c>
      <c r="O876" s="25" t="s">
        <v>13</v>
      </c>
      <c r="P876" s="26"/>
      <c r="Q876" s="27">
        <v>0</v>
      </c>
      <c r="R876" s="26"/>
      <c r="S876" s="44"/>
      <c r="T876" s="26"/>
      <c r="U876" s="22"/>
      <c r="V876" s="22"/>
    </row>
    <row r="877" spans="8:22" x14ac:dyDescent="0.3">
      <c r="J877" s="23"/>
      <c r="M877" s="28"/>
      <c r="N877" s="29"/>
      <c r="O877" s="30"/>
      <c r="P877" s="31"/>
      <c r="Q877" s="32" t="s">
        <v>9</v>
      </c>
      <c r="R877" s="32"/>
      <c r="S877" s="45"/>
      <c r="T877" s="32"/>
      <c r="U877" s="33"/>
      <c r="V877" s="33"/>
    </row>
    <row r="878" spans="8:22" x14ac:dyDescent="0.3">
      <c r="J878" s="23"/>
      <c r="M878" s="16"/>
      <c r="N878" s="34"/>
      <c r="O878" s="25"/>
      <c r="P878" s="26"/>
      <c r="Q878" s="26"/>
      <c r="R878" s="26" t="s">
        <v>16</v>
      </c>
      <c r="S878" s="44" t="s">
        <v>10</v>
      </c>
      <c r="T878" s="26" t="s">
        <v>6</v>
      </c>
      <c r="U878" s="22" t="s">
        <v>10</v>
      </c>
      <c r="V878" s="22" t="s">
        <v>6</v>
      </c>
    </row>
    <row r="879" spans="8:22" x14ac:dyDescent="0.3">
      <c r="J879" s="23"/>
      <c r="M879" s="1">
        <v>158</v>
      </c>
      <c r="N879" s="1" t="s">
        <v>175</v>
      </c>
      <c r="O879" s="2">
        <v>46030.514861111114</v>
      </c>
      <c r="P879" s="3">
        <v>5.7233565000000004</v>
      </c>
      <c r="Q879" s="3">
        <v>-9.038291798158518</v>
      </c>
      <c r="R879" s="67">
        <f t="shared" ref="R879:R888" si="59">P879</f>
        <v>5.7233565000000004</v>
      </c>
      <c r="S879" s="46">
        <f>T879/R879</f>
        <v>104.83358847207927</v>
      </c>
      <c r="T879" s="26">
        <v>600</v>
      </c>
      <c r="U879" s="36">
        <f>T879/P879</f>
        <v>104.83358847207927</v>
      </c>
      <c r="V879" s="15">
        <f t="shared" ref="V879:V888" si="60">R879*S879</f>
        <v>600</v>
      </c>
    </row>
    <row r="880" spans="8:22" x14ac:dyDescent="0.3">
      <c r="J880" s="23"/>
      <c r="M880" s="1">
        <v>301</v>
      </c>
      <c r="N880" s="1" t="s">
        <v>315</v>
      </c>
      <c r="O880" s="2">
        <v>46031.043993055559</v>
      </c>
      <c r="P880" s="3">
        <v>6.1094745000000001</v>
      </c>
      <c r="Q880" s="3">
        <v>-11.972246537038425</v>
      </c>
      <c r="R880" s="67">
        <f t="shared" si="59"/>
        <v>6.1094745000000001</v>
      </c>
      <c r="S880" s="46">
        <f t="shared" ref="S880:S883" si="61">T880/R880</f>
        <v>98.208119208943415</v>
      </c>
      <c r="T880" s="26">
        <v>600</v>
      </c>
      <c r="U880" s="36">
        <f t="shared" ref="U880:U883" si="62">T880/P880</f>
        <v>98.208119208943415</v>
      </c>
      <c r="V880" s="15">
        <f t="shared" si="60"/>
        <v>600</v>
      </c>
    </row>
    <row r="881" spans="10:22" x14ac:dyDescent="0.3">
      <c r="J881" s="23"/>
      <c r="M881" s="1">
        <v>413</v>
      </c>
      <c r="N881" s="1" t="s">
        <v>423</v>
      </c>
      <c r="O881" s="2">
        <v>46031.784745370373</v>
      </c>
      <c r="P881" s="3">
        <v>6.3214224999999997</v>
      </c>
      <c r="Q881" s="3">
        <v>-11.726022623732531</v>
      </c>
      <c r="R881" s="67">
        <f t="shared" si="59"/>
        <v>6.3214224999999997</v>
      </c>
      <c r="S881" s="46">
        <f t="shared" si="61"/>
        <v>94.915345398919314</v>
      </c>
      <c r="T881" s="26">
        <v>600</v>
      </c>
      <c r="U881" s="36">
        <f t="shared" si="62"/>
        <v>94.915345398919314</v>
      </c>
      <c r="V881" s="15">
        <f t="shared" si="60"/>
        <v>600</v>
      </c>
    </row>
    <row r="882" spans="10:22" x14ac:dyDescent="0.3">
      <c r="J882" s="23"/>
      <c r="M882" s="1">
        <v>419</v>
      </c>
      <c r="N882" s="1" t="s">
        <v>429</v>
      </c>
      <c r="O882" s="2">
        <v>46031.807222222225</v>
      </c>
      <c r="P882" s="3">
        <v>7.8532935000000004</v>
      </c>
      <c r="Q882" s="3">
        <v>-12.706492910661627</v>
      </c>
      <c r="R882" s="67">
        <f t="shared" si="59"/>
        <v>7.8532935000000004</v>
      </c>
      <c r="S882" s="46">
        <f t="shared" si="61"/>
        <v>94.227982183525924</v>
      </c>
      <c r="T882" s="26">
        <v>740</v>
      </c>
      <c r="U882" s="36">
        <f t="shared" si="62"/>
        <v>94.227982183525924</v>
      </c>
      <c r="V882" s="15">
        <f t="shared" si="60"/>
        <v>740</v>
      </c>
    </row>
    <row r="883" spans="10:22" x14ac:dyDescent="0.3">
      <c r="J883" s="23"/>
      <c r="M883" s="1">
        <v>524</v>
      </c>
      <c r="N883" s="1" t="s">
        <v>527</v>
      </c>
      <c r="O883" s="2">
        <v>46033.556875000002</v>
      </c>
      <c r="P883" s="3">
        <v>6.3349270000000004</v>
      </c>
      <c r="Q883" s="3">
        <v>-8.5219422099060989</v>
      </c>
      <c r="R883" s="67">
        <f t="shared" si="59"/>
        <v>6.3349270000000004</v>
      </c>
      <c r="S883" s="46">
        <f t="shared" si="61"/>
        <v>94.713009321180806</v>
      </c>
      <c r="T883" s="26">
        <v>600</v>
      </c>
      <c r="U883" s="36">
        <f t="shared" si="62"/>
        <v>94.713009321180806</v>
      </c>
      <c r="V883" s="15">
        <f t="shared" si="60"/>
        <v>600</v>
      </c>
    </row>
    <row r="884" spans="10:22" x14ac:dyDescent="0.3">
      <c r="J884" s="23"/>
      <c r="K884" s="22"/>
      <c r="L884" s="22"/>
      <c r="M884" s="1">
        <v>530</v>
      </c>
      <c r="N884" s="1" t="s">
        <v>533</v>
      </c>
      <c r="O884" s="2">
        <v>46033.579236111109</v>
      </c>
      <c r="P884" s="3">
        <v>8.5137359999999997</v>
      </c>
      <c r="Q884" s="3">
        <v>-11.369978414250419</v>
      </c>
      <c r="R884" s="67">
        <f t="shared" si="59"/>
        <v>8.5137359999999997</v>
      </c>
      <c r="S884" s="46">
        <f>T884/R884</f>
        <v>86.91836345406999</v>
      </c>
      <c r="T884" s="26">
        <v>740</v>
      </c>
      <c r="U884" s="36">
        <f>T884/P884</f>
        <v>86.91836345406999</v>
      </c>
      <c r="V884" s="15">
        <f t="shared" si="60"/>
        <v>740</v>
      </c>
    </row>
    <row r="885" spans="10:22" x14ac:dyDescent="0.3">
      <c r="J885" s="23"/>
      <c r="K885" s="22"/>
      <c r="L885" s="22"/>
      <c r="M885" s="1">
        <v>643</v>
      </c>
      <c r="N885" s="1" t="s">
        <v>642</v>
      </c>
      <c r="O885" s="2">
        <v>46034.399814814817</v>
      </c>
      <c r="P885" s="3">
        <v>6.7324000000000002</v>
      </c>
      <c r="Q885" s="3">
        <v>-10.173255779538682</v>
      </c>
      <c r="R885" s="67">
        <f t="shared" si="59"/>
        <v>6.7324000000000002</v>
      </c>
      <c r="S885" s="46">
        <f t="shared" ref="S885:S888" si="63">T885/R885</f>
        <v>89.121264333670013</v>
      </c>
      <c r="T885" s="26">
        <v>600</v>
      </c>
      <c r="U885" s="36">
        <f t="shared" ref="U885:U888" si="64">T885/P885</f>
        <v>89.121264333670013</v>
      </c>
      <c r="V885" s="15">
        <f t="shared" si="60"/>
        <v>600</v>
      </c>
    </row>
    <row r="886" spans="10:22" x14ac:dyDescent="0.3">
      <c r="J886" s="23"/>
      <c r="K886" s="22"/>
      <c r="L886" s="22"/>
      <c r="M886" s="4">
        <v>782</v>
      </c>
      <c r="N886" s="4" t="s">
        <v>781</v>
      </c>
      <c r="O886" s="12">
        <v>46034.920752314814</v>
      </c>
      <c r="P886" s="5">
        <v>6.1601375000000003</v>
      </c>
      <c r="Q886" s="5">
        <v>-10.620367150199199</v>
      </c>
      <c r="R886" s="67">
        <f t="shared" si="59"/>
        <v>6.1601375000000003</v>
      </c>
      <c r="S886" s="46">
        <f t="shared" si="63"/>
        <v>97.400423286006188</v>
      </c>
      <c r="T886" s="26">
        <v>600</v>
      </c>
      <c r="U886" s="36">
        <f t="shared" si="64"/>
        <v>97.400423286006188</v>
      </c>
      <c r="V886" s="15">
        <f t="shared" si="60"/>
        <v>600</v>
      </c>
    </row>
    <row r="887" spans="10:22" x14ac:dyDescent="0.3">
      <c r="J887" s="23"/>
      <c r="K887" s="22"/>
      <c r="L887" s="22"/>
      <c r="M887" s="4">
        <v>788</v>
      </c>
      <c r="N887" s="4" t="s">
        <v>787</v>
      </c>
      <c r="O887" s="12">
        <v>46034.943576388891</v>
      </c>
      <c r="P887" s="5">
        <v>8.2145355000000002</v>
      </c>
      <c r="Q887" s="5">
        <v>-12.153102037847445</v>
      </c>
      <c r="R887" s="67">
        <f t="shared" si="59"/>
        <v>8.2145355000000002</v>
      </c>
      <c r="S887" s="46">
        <f t="shared" si="63"/>
        <v>90.084217178195885</v>
      </c>
      <c r="T887" s="26">
        <v>740</v>
      </c>
      <c r="U887" s="36">
        <f t="shared" si="64"/>
        <v>90.084217178195885</v>
      </c>
      <c r="V887" s="15">
        <f t="shared" si="60"/>
        <v>740</v>
      </c>
    </row>
    <row r="888" spans="10:22" x14ac:dyDescent="0.3">
      <c r="J888" s="23"/>
      <c r="K888" s="22"/>
      <c r="L888" s="22"/>
      <c r="M888" s="1">
        <v>796</v>
      </c>
      <c r="N888" s="1" t="s">
        <v>792</v>
      </c>
      <c r="O888" s="2">
        <v>46035.410509259258</v>
      </c>
      <c r="P888" s="3">
        <v>6.3893680000000002</v>
      </c>
      <c r="Q888" s="3">
        <v>-9.3352246713007574</v>
      </c>
      <c r="R888" s="67">
        <f t="shared" si="59"/>
        <v>6.3893680000000002</v>
      </c>
      <c r="S888" s="46">
        <f t="shared" si="63"/>
        <v>93.906001344733937</v>
      </c>
      <c r="T888" s="26">
        <v>600</v>
      </c>
      <c r="U888" s="36">
        <f t="shared" si="64"/>
        <v>93.906001344733937</v>
      </c>
      <c r="V888" s="15">
        <f t="shared" si="60"/>
        <v>600</v>
      </c>
    </row>
    <row r="889" spans="10:22" x14ac:dyDescent="0.3">
      <c r="J889" s="23"/>
      <c r="K889" s="22"/>
      <c r="L889" s="22"/>
      <c r="M889" s="4">
        <v>899</v>
      </c>
      <c r="N889" s="4" t="s">
        <v>895</v>
      </c>
      <c r="O889" s="12">
        <v>46035.795914351853</v>
      </c>
      <c r="P889" s="5">
        <v>6.1265865000000002</v>
      </c>
      <c r="Q889" s="5">
        <v>-10.292976850124901</v>
      </c>
      <c r="R889" s="67">
        <f t="shared" ref="R889" si="65">P889</f>
        <v>6.1265865000000002</v>
      </c>
      <c r="S889" s="46">
        <f t="shared" ref="S889" si="66">T889/R889</f>
        <v>97.933816816264653</v>
      </c>
      <c r="T889" s="26">
        <v>600</v>
      </c>
      <c r="U889" s="36">
        <f t="shared" ref="U889" si="67">T889/P889</f>
        <v>97.933816816264653</v>
      </c>
      <c r="V889" s="15">
        <f t="shared" ref="V889" si="68">R889*S889</f>
        <v>600</v>
      </c>
    </row>
    <row r="890" spans="10:22" x14ac:dyDescent="0.3">
      <c r="J890" s="56" t="s">
        <v>1696</v>
      </c>
      <c r="K890" s="56"/>
      <c r="L890" s="56"/>
      <c r="M890" s="57"/>
      <c r="N890" s="87" t="s">
        <v>11</v>
      </c>
      <c r="O890" s="87" t="s">
        <v>19</v>
      </c>
      <c r="P890" s="88"/>
      <c r="Q890" s="87"/>
      <c r="R890" s="87"/>
      <c r="S890" s="89">
        <f>AVERAGE(S879:S889)</f>
        <v>94.751102817962661</v>
      </c>
      <c r="T890" s="35"/>
      <c r="U890" s="37"/>
      <c r="V890" s="37"/>
    </row>
    <row r="891" spans="10:22" ht="15.6" x14ac:dyDescent="0.3">
      <c r="J891" s="58" t="s">
        <v>14</v>
      </c>
      <c r="K891" s="58"/>
      <c r="L891" s="58"/>
      <c r="M891" s="59"/>
      <c r="N891" s="60"/>
      <c r="O891" s="60"/>
      <c r="P891" s="17">
        <v>0</v>
      </c>
      <c r="Q891" s="61"/>
      <c r="R891" s="61" t="s">
        <v>18</v>
      </c>
      <c r="S891" s="62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69"/>
  <sheetViews>
    <sheetView tabSelected="1" zoomScale="60" zoomScaleNormal="60" workbookViewId="0">
      <selection activeCell="R1" sqref="R1"/>
    </sheetView>
  </sheetViews>
  <sheetFormatPr defaultRowHeight="14.4" x14ac:dyDescent="0.3"/>
  <cols>
    <col min="1" max="1" width="11.21875" customWidth="1"/>
    <col min="2" max="2" width="8.33203125" customWidth="1"/>
    <col min="3" max="3" width="13.77734375" customWidth="1"/>
    <col min="4" max="4" width="16.21875" customWidth="1"/>
    <col min="5" max="5" width="7.44140625" customWidth="1"/>
    <col min="6" max="6" width="10.109375" customWidth="1"/>
    <col min="7" max="7" width="4.77734375" bestFit="1" customWidth="1"/>
    <col min="8" max="8" width="10.44140625" style="77" customWidth="1"/>
    <col min="9" max="9" width="14.5546875" style="76" customWidth="1"/>
    <col min="10" max="10" width="12.5546875" style="76" customWidth="1"/>
    <col min="11" max="13" width="9.77734375" style="76" customWidth="1"/>
    <col min="14" max="14" width="28.6640625" customWidth="1"/>
    <col min="15" max="15" width="18.33203125" style="10" customWidth="1"/>
    <col min="16" max="16" width="14.109375" customWidth="1"/>
    <col min="17" max="17" width="13.33203125" customWidth="1"/>
  </cols>
  <sheetData>
    <row r="1" spans="1:17" ht="27" x14ac:dyDescent="0.3">
      <c r="A1" s="90" t="s">
        <v>898</v>
      </c>
      <c r="B1" s="90" t="s">
        <v>899</v>
      </c>
      <c r="C1" s="90" t="s">
        <v>1695</v>
      </c>
      <c r="D1" s="90" t="s">
        <v>20</v>
      </c>
      <c r="E1" s="90" t="s">
        <v>900</v>
      </c>
      <c r="F1" s="90" t="s">
        <v>901</v>
      </c>
      <c r="G1" s="90" t="s">
        <v>902</v>
      </c>
      <c r="H1" s="90" t="s">
        <v>903</v>
      </c>
      <c r="I1" s="90" t="s">
        <v>21</v>
      </c>
      <c r="J1" s="90" t="s">
        <v>22</v>
      </c>
      <c r="K1" s="90" t="s">
        <v>904</v>
      </c>
      <c r="L1" s="90" t="s">
        <v>23</v>
      </c>
      <c r="M1" s="71" t="s">
        <v>0</v>
      </c>
      <c r="N1" s="72" t="s">
        <v>1</v>
      </c>
      <c r="O1" s="71" t="s">
        <v>2</v>
      </c>
      <c r="P1" s="8" t="s">
        <v>1698</v>
      </c>
      <c r="Q1" s="8" t="s">
        <v>6</v>
      </c>
    </row>
    <row r="2" spans="1:17" x14ac:dyDescent="0.3">
      <c r="B2" t="s">
        <v>905</v>
      </c>
      <c r="C2" s="79">
        <v>1.1000000000000001</v>
      </c>
      <c r="D2" s="78">
        <v>45943</v>
      </c>
      <c r="E2">
        <v>14</v>
      </c>
      <c r="F2" t="s">
        <v>906</v>
      </c>
      <c r="G2" t="s">
        <v>907</v>
      </c>
      <c r="H2">
        <v>7</v>
      </c>
      <c r="I2">
        <v>1</v>
      </c>
      <c r="J2" t="s">
        <v>908</v>
      </c>
      <c r="K2" t="s">
        <v>909</v>
      </c>
      <c r="L2"/>
      <c r="M2" s="1">
        <v>26</v>
      </c>
      <c r="N2" s="1" t="s">
        <v>43</v>
      </c>
      <c r="O2" s="2">
        <v>46029.518090277779</v>
      </c>
      <c r="P2" s="92">
        <v>-15.321798562638723</v>
      </c>
      <c r="Q2" s="93">
        <v>525.7457284593379</v>
      </c>
    </row>
    <row r="3" spans="1:17" x14ac:dyDescent="0.3">
      <c r="B3" t="s">
        <v>905</v>
      </c>
      <c r="C3" s="79">
        <v>1.1000000000000001</v>
      </c>
      <c r="D3" s="78">
        <v>45943</v>
      </c>
      <c r="E3">
        <v>9</v>
      </c>
      <c r="F3" t="s">
        <v>910</v>
      </c>
      <c r="G3" t="s">
        <v>15</v>
      </c>
      <c r="H3">
        <v>7</v>
      </c>
      <c r="I3">
        <v>2</v>
      </c>
      <c r="J3" t="s">
        <v>908</v>
      </c>
      <c r="K3" t="s">
        <v>911</v>
      </c>
      <c r="L3" t="s">
        <v>912</v>
      </c>
      <c r="M3" s="4">
        <v>27</v>
      </c>
      <c r="N3" s="4" t="s">
        <v>44</v>
      </c>
      <c r="O3" s="12">
        <v>46029.521840277775</v>
      </c>
      <c r="P3" s="92">
        <v>-17.169769983781691</v>
      </c>
      <c r="Q3" s="93">
        <v>609.93743675040685</v>
      </c>
    </row>
    <row r="4" spans="1:17" x14ac:dyDescent="0.3">
      <c r="B4" t="s">
        <v>905</v>
      </c>
      <c r="C4" s="79">
        <v>1.1000000000000001</v>
      </c>
      <c r="D4" s="78">
        <v>45943</v>
      </c>
      <c r="E4">
        <v>10</v>
      </c>
      <c r="F4" t="s">
        <v>913</v>
      </c>
      <c r="G4" t="s">
        <v>914</v>
      </c>
      <c r="H4">
        <v>7</v>
      </c>
      <c r="I4">
        <v>3</v>
      </c>
      <c r="J4" t="s">
        <v>908</v>
      </c>
      <c r="K4" t="s">
        <v>915</v>
      </c>
      <c r="L4" t="s">
        <v>916</v>
      </c>
      <c r="M4" s="1">
        <v>28</v>
      </c>
      <c r="N4" s="1" t="s">
        <v>45</v>
      </c>
      <c r="O4" s="2">
        <v>46029.525578703702</v>
      </c>
      <c r="P4" s="92">
        <v>-18.706144284424131</v>
      </c>
      <c r="Q4" s="93">
        <v>696.17382646473618</v>
      </c>
    </row>
    <row r="5" spans="1:17" x14ac:dyDescent="0.3">
      <c r="B5" t="s">
        <v>905</v>
      </c>
      <c r="C5" s="79">
        <v>1.1000000000000001</v>
      </c>
      <c r="D5" s="78">
        <v>45943</v>
      </c>
      <c r="E5">
        <v>12</v>
      </c>
      <c r="F5" t="s">
        <v>917</v>
      </c>
      <c r="G5" t="s">
        <v>918</v>
      </c>
      <c r="H5">
        <v>7</v>
      </c>
      <c r="I5">
        <v>4</v>
      </c>
      <c r="J5" t="s">
        <v>908</v>
      </c>
      <c r="K5" t="s">
        <v>919</v>
      </c>
      <c r="L5" t="s">
        <v>920</v>
      </c>
      <c r="M5" s="4">
        <v>29</v>
      </c>
      <c r="N5" s="4" t="s">
        <v>46</v>
      </c>
      <c r="O5" s="12">
        <v>46029.529305555552</v>
      </c>
      <c r="P5" s="92">
        <v>-19.011878148523092</v>
      </c>
      <c r="Q5" s="93">
        <v>703.90935387434604</v>
      </c>
    </row>
    <row r="6" spans="1:17" x14ac:dyDescent="0.3">
      <c r="B6" t="s">
        <v>905</v>
      </c>
      <c r="C6" s="79">
        <v>1.1000000000000001</v>
      </c>
      <c r="D6" s="78">
        <v>45943</v>
      </c>
      <c r="E6">
        <v>13</v>
      </c>
      <c r="F6" t="s">
        <v>921</v>
      </c>
      <c r="G6" t="s">
        <v>922</v>
      </c>
      <c r="H6">
        <v>7</v>
      </c>
      <c r="I6">
        <v>5</v>
      </c>
      <c r="J6" t="s">
        <v>908</v>
      </c>
      <c r="K6" t="s">
        <v>923</v>
      </c>
      <c r="L6" t="s">
        <v>924</v>
      </c>
      <c r="M6" s="1">
        <v>30</v>
      </c>
      <c r="N6" s="1" t="s">
        <v>47</v>
      </c>
      <c r="O6" s="2">
        <v>46029.533043981479</v>
      </c>
      <c r="P6" s="92">
        <v>-17.607013603100263</v>
      </c>
      <c r="Q6" s="93">
        <v>640.83487124386772</v>
      </c>
    </row>
    <row r="7" spans="1:17" x14ac:dyDescent="0.3">
      <c r="B7" t="s">
        <v>905</v>
      </c>
      <c r="C7" s="79">
        <v>1.1000000000000001</v>
      </c>
      <c r="D7" s="78">
        <v>45943</v>
      </c>
      <c r="E7">
        <v>16</v>
      </c>
      <c r="F7" t="s">
        <v>925</v>
      </c>
      <c r="G7" t="s">
        <v>926</v>
      </c>
      <c r="H7">
        <v>7</v>
      </c>
      <c r="I7">
        <v>6</v>
      </c>
      <c r="J7" t="s">
        <v>908</v>
      </c>
      <c r="K7" t="s">
        <v>927</v>
      </c>
      <c r="L7" t="s">
        <v>928</v>
      </c>
      <c r="M7" s="4">
        <v>31</v>
      </c>
      <c r="N7" s="4" t="s">
        <v>48</v>
      </c>
      <c r="O7" s="12">
        <v>46029.536770833336</v>
      </c>
      <c r="P7" s="92">
        <v>-18.32105652644238</v>
      </c>
      <c r="Q7" s="93">
        <v>680.09470644318219</v>
      </c>
    </row>
    <row r="8" spans="1:17" x14ac:dyDescent="0.3">
      <c r="B8" t="s">
        <v>905</v>
      </c>
      <c r="C8" s="79">
        <v>1.1000000000000001</v>
      </c>
      <c r="D8" s="78">
        <v>45943</v>
      </c>
      <c r="E8">
        <v>15</v>
      </c>
      <c r="F8" t="s">
        <v>929</v>
      </c>
      <c r="G8" t="s">
        <v>930</v>
      </c>
      <c r="H8">
        <v>7</v>
      </c>
      <c r="I8">
        <v>7</v>
      </c>
      <c r="J8" t="s">
        <v>908</v>
      </c>
      <c r="K8" t="s">
        <v>931</v>
      </c>
      <c r="L8"/>
      <c r="M8" s="1">
        <v>32</v>
      </c>
      <c r="N8" s="1" t="s">
        <v>49</v>
      </c>
      <c r="O8" s="2">
        <v>46029.540509259263</v>
      </c>
      <c r="P8" s="92">
        <v>-19.27915475401673</v>
      </c>
      <c r="Q8" s="93">
        <v>725.88834081506616</v>
      </c>
    </row>
    <row r="9" spans="1:17" x14ac:dyDescent="0.3">
      <c r="B9" t="s">
        <v>905</v>
      </c>
      <c r="C9" s="79">
        <v>1.1000000000000001</v>
      </c>
      <c r="D9" s="78">
        <v>45943</v>
      </c>
      <c r="E9">
        <v>11</v>
      </c>
      <c r="F9" t="s">
        <v>932</v>
      </c>
      <c r="G9" t="s">
        <v>933</v>
      </c>
      <c r="H9">
        <v>7</v>
      </c>
      <c r="I9">
        <v>8</v>
      </c>
      <c r="J9" t="s">
        <v>908</v>
      </c>
      <c r="K9" t="s">
        <v>934</v>
      </c>
      <c r="L9"/>
      <c r="M9" s="4">
        <v>33</v>
      </c>
      <c r="N9" s="4" t="s">
        <v>50</v>
      </c>
      <c r="O9" s="12">
        <v>46029.544236111113</v>
      </c>
      <c r="P9" s="92">
        <v>-18.812640774075803</v>
      </c>
      <c r="Q9" s="93">
        <v>697.66852511168952</v>
      </c>
    </row>
    <row r="10" spans="1:17" x14ac:dyDescent="0.3">
      <c r="B10" t="s">
        <v>905</v>
      </c>
      <c r="C10" s="79">
        <v>1.1000000000000001</v>
      </c>
      <c r="D10" s="78">
        <v>45943</v>
      </c>
      <c r="E10">
        <v>14</v>
      </c>
      <c r="F10" t="s">
        <v>906</v>
      </c>
      <c r="G10" t="s">
        <v>907</v>
      </c>
      <c r="H10">
        <v>7</v>
      </c>
      <c r="I10">
        <v>9</v>
      </c>
      <c r="J10" t="s">
        <v>935</v>
      </c>
      <c r="K10" t="s">
        <v>936</v>
      </c>
      <c r="L10"/>
      <c r="M10" s="1">
        <v>34</v>
      </c>
      <c r="N10" s="1" t="s">
        <v>51</v>
      </c>
      <c r="O10" s="2">
        <v>46029.547962962963</v>
      </c>
      <c r="P10" s="92">
        <v>-15.977336181659197</v>
      </c>
      <c r="Q10" s="93">
        <v>542.83579537240814</v>
      </c>
    </row>
    <row r="11" spans="1:17" x14ac:dyDescent="0.3">
      <c r="B11" t="s">
        <v>905</v>
      </c>
      <c r="C11" s="79">
        <v>1.1000000000000001</v>
      </c>
      <c r="D11" s="78">
        <v>45943</v>
      </c>
      <c r="E11">
        <v>9</v>
      </c>
      <c r="F11" t="s">
        <v>910</v>
      </c>
      <c r="G11" t="s">
        <v>15</v>
      </c>
      <c r="H11">
        <v>7</v>
      </c>
      <c r="I11">
        <v>10</v>
      </c>
      <c r="J11" t="s">
        <v>935</v>
      </c>
      <c r="K11" t="s">
        <v>937</v>
      </c>
      <c r="L11"/>
      <c r="M11" s="4">
        <v>35</v>
      </c>
      <c r="N11" s="4" t="s">
        <v>52</v>
      </c>
      <c r="O11" s="12">
        <v>46029.551701388889</v>
      </c>
      <c r="P11" s="92">
        <v>-18.080319995199385</v>
      </c>
      <c r="Q11" s="93">
        <v>660.16674924961103</v>
      </c>
    </row>
    <row r="12" spans="1:17" x14ac:dyDescent="0.3">
      <c r="B12" t="s">
        <v>905</v>
      </c>
      <c r="C12" s="79">
        <v>1.1000000000000001</v>
      </c>
      <c r="D12" s="78">
        <v>45943</v>
      </c>
      <c r="E12">
        <v>10</v>
      </c>
      <c r="F12" t="s">
        <v>913</v>
      </c>
      <c r="G12" t="s">
        <v>914</v>
      </c>
      <c r="H12">
        <v>7</v>
      </c>
      <c r="I12">
        <v>11</v>
      </c>
      <c r="J12" t="s">
        <v>935</v>
      </c>
      <c r="K12" t="s">
        <v>938</v>
      </c>
      <c r="L12" t="s">
        <v>916</v>
      </c>
      <c r="M12" s="1">
        <v>36</v>
      </c>
      <c r="N12" s="1" t="s">
        <v>53</v>
      </c>
      <c r="O12" s="2">
        <v>46029.555451388886</v>
      </c>
      <c r="P12" s="92">
        <v>-19.080545500560216</v>
      </c>
      <c r="Q12" s="93">
        <v>732.76812363957561</v>
      </c>
    </row>
    <row r="13" spans="1:17" x14ac:dyDescent="0.3">
      <c r="B13" t="s">
        <v>905</v>
      </c>
      <c r="C13" s="79">
        <v>1.1000000000000001</v>
      </c>
      <c r="D13" s="78">
        <v>45943</v>
      </c>
      <c r="E13">
        <v>12</v>
      </c>
      <c r="F13" t="s">
        <v>917</v>
      </c>
      <c r="G13" t="s">
        <v>918</v>
      </c>
      <c r="H13">
        <v>7</v>
      </c>
      <c r="I13">
        <v>12</v>
      </c>
      <c r="J13" t="s">
        <v>935</v>
      </c>
      <c r="K13" t="s">
        <v>939</v>
      </c>
      <c r="L13" t="s">
        <v>920</v>
      </c>
      <c r="M13" s="4">
        <v>37</v>
      </c>
      <c r="N13" s="4" t="s">
        <v>54</v>
      </c>
      <c r="O13" s="12">
        <v>46029.559293981481</v>
      </c>
      <c r="P13" s="92">
        <v>-19.058248152248687</v>
      </c>
      <c r="Q13" s="93">
        <v>723.96527243227285</v>
      </c>
    </row>
    <row r="14" spans="1:17" x14ac:dyDescent="0.3">
      <c r="B14" t="s">
        <v>905</v>
      </c>
      <c r="C14" s="79">
        <v>1.1000000000000001</v>
      </c>
      <c r="D14" s="78">
        <v>45943</v>
      </c>
      <c r="E14">
        <v>13</v>
      </c>
      <c r="F14" t="s">
        <v>921</v>
      </c>
      <c r="G14" t="s">
        <v>922</v>
      </c>
      <c r="H14">
        <v>7</v>
      </c>
      <c r="I14">
        <v>13</v>
      </c>
      <c r="J14" t="s">
        <v>935</v>
      </c>
      <c r="K14" t="s">
        <v>940</v>
      </c>
      <c r="L14" t="s">
        <v>924</v>
      </c>
      <c r="M14" s="1">
        <v>38</v>
      </c>
      <c r="N14" s="1" t="s">
        <v>55</v>
      </c>
      <c r="O14" s="2">
        <v>46029.563020833331</v>
      </c>
      <c r="P14" s="92">
        <v>-18.084867739324753</v>
      </c>
      <c r="Q14" s="93">
        <v>642.29271171182495</v>
      </c>
    </row>
    <row r="15" spans="1:17" x14ac:dyDescent="0.3">
      <c r="B15" t="s">
        <v>905</v>
      </c>
      <c r="C15" s="79">
        <v>1.1000000000000001</v>
      </c>
      <c r="D15" s="78">
        <v>45943</v>
      </c>
      <c r="E15">
        <v>16</v>
      </c>
      <c r="F15" t="s">
        <v>925</v>
      </c>
      <c r="G15" t="s">
        <v>926</v>
      </c>
      <c r="H15">
        <v>7</v>
      </c>
      <c r="I15">
        <v>14</v>
      </c>
      <c r="J15" t="s">
        <v>935</v>
      </c>
      <c r="K15" t="s">
        <v>941</v>
      </c>
      <c r="L15" t="s">
        <v>928</v>
      </c>
      <c r="M15" s="4">
        <v>39</v>
      </c>
      <c r="N15" s="4" t="s">
        <v>56</v>
      </c>
      <c r="O15" s="12">
        <v>46029.566747685189</v>
      </c>
      <c r="P15" s="92">
        <v>-18.21749435186047</v>
      </c>
      <c r="Q15" s="93">
        <v>681.43112337287812</v>
      </c>
    </row>
    <row r="16" spans="1:17" x14ac:dyDescent="0.3">
      <c r="B16" t="s">
        <v>905</v>
      </c>
      <c r="C16" s="79">
        <v>1.1000000000000001</v>
      </c>
      <c r="D16" s="78">
        <v>45943</v>
      </c>
      <c r="E16">
        <v>15</v>
      </c>
      <c r="F16" t="s">
        <v>929</v>
      </c>
      <c r="G16" t="s">
        <v>930</v>
      </c>
      <c r="H16">
        <v>7</v>
      </c>
      <c r="I16">
        <v>15</v>
      </c>
      <c r="J16" t="s">
        <v>935</v>
      </c>
      <c r="K16" t="s">
        <v>942</v>
      </c>
      <c r="L16"/>
      <c r="M16" s="1">
        <v>40</v>
      </c>
      <c r="N16" s="1" t="s">
        <v>57</v>
      </c>
      <c r="O16" s="2">
        <v>46029.570486111108</v>
      </c>
      <c r="P16" s="92">
        <v>-19.698872371697362</v>
      </c>
      <c r="Q16" s="93">
        <v>749.80285590860024</v>
      </c>
    </row>
    <row r="17" spans="2:17" x14ac:dyDescent="0.3">
      <c r="B17" t="s">
        <v>905</v>
      </c>
      <c r="C17" s="79">
        <v>1.1000000000000001</v>
      </c>
      <c r="D17" s="78">
        <v>45943</v>
      </c>
      <c r="E17">
        <v>11</v>
      </c>
      <c r="F17" t="s">
        <v>932</v>
      </c>
      <c r="G17" t="s">
        <v>933</v>
      </c>
      <c r="H17">
        <v>7</v>
      </c>
      <c r="I17">
        <v>16</v>
      </c>
      <c r="J17" t="s">
        <v>935</v>
      </c>
      <c r="K17" t="s">
        <v>943</v>
      </c>
      <c r="L17"/>
      <c r="M17" s="4">
        <v>41</v>
      </c>
      <c r="N17" s="4" t="s">
        <v>58</v>
      </c>
      <c r="O17" s="12">
        <v>46029.574236111112</v>
      </c>
      <c r="P17" s="92">
        <v>-18.999872704130865</v>
      </c>
      <c r="Q17" s="93">
        <v>702.49500416258229</v>
      </c>
    </row>
    <row r="18" spans="2:17" x14ac:dyDescent="0.3">
      <c r="B18" t="s">
        <v>905</v>
      </c>
      <c r="C18" s="79">
        <v>1.1000000000000001</v>
      </c>
      <c r="D18" s="78">
        <v>45943</v>
      </c>
      <c r="E18">
        <v>14</v>
      </c>
      <c r="F18" t="s">
        <v>906</v>
      </c>
      <c r="G18" t="s">
        <v>907</v>
      </c>
      <c r="H18">
        <v>7</v>
      </c>
      <c r="I18">
        <v>17</v>
      </c>
      <c r="J18" t="s">
        <v>24</v>
      </c>
      <c r="K18" t="s">
        <v>944</v>
      </c>
      <c r="L18"/>
      <c r="M18" s="1">
        <v>42</v>
      </c>
      <c r="N18" s="1" t="s">
        <v>59</v>
      </c>
      <c r="O18" s="2">
        <v>46029.578032407408</v>
      </c>
      <c r="P18" s="92">
        <v>-16.305256259150219</v>
      </c>
      <c r="Q18" s="93">
        <v>550.3349661560386</v>
      </c>
    </row>
    <row r="19" spans="2:17" x14ac:dyDescent="0.3">
      <c r="B19" t="s">
        <v>905</v>
      </c>
      <c r="C19" s="79">
        <v>1.1000000000000001</v>
      </c>
      <c r="D19" s="78">
        <v>45943</v>
      </c>
      <c r="E19">
        <v>9</v>
      </c>
      <c r="F19" t="s">
        <v>910</v>
      </c>
      <c r="G19" t="s">
        <v>15</v>
      </c>
      <c r="H19">
        <v>7</v>
      </c>
      <c r="I19">
        <v>18</v>
      </c>
      <c r="J19" t="s">
        <v>24</v>
      </c>
      <c r="K19" t="s">
        <v>945</v>
      </c>
      <c r="L19"/>
      <c r="M19" s="4">
        <v>43</v>
      </c>
      <c r="N19" s="4" t="s">
        <v>60</v>
      </c>
      <c r="O19" s="12">
        <v>46029.581770833334</v>
      </c>
      <c r="P19" s="92">
        <v>-17.9787622440871</v>
      </c>
      <c r="Q19" s="93">
        <v>655.76034921306177</v>
      </c>
    </row>
    <row r="20" spans="2:17" x14ac:dyDescent="0.3">
      <c r="B20" t="s">
        <v>905</v>
      </c>
      <c r="C20" s="79">
        <v>1.1000000000000001</v>
      </c>
      <c r="D20" s="78">
        <v>45943</v>
      </c>
      <c r="E20">
        <v>10</v>
      </c>
      <c r="F20" t="s">
        <v>913</v>
      </c>
      <c r="G20" t="s">
        <v>914</v>
      </c>
      <c r="H20">
        <v>7</v>
      </c>
      <c r="I20">
        <v>19</v>
      </c>
      <c r="J20" t="s">
        <v>24</v>
      </c>
      <c r="K20" t="s">
        <v>946</v>
      </c>
      <c r="L20" t="s">
        <v>916</v>
      </c>
      <c r="M20" s="1">
        <v>44</v>
      </c>
      <c r="N20" s="1" t="s">
        <v>61</v>
      </c>
      <c r="O20" s="2">
        <v>46029.585532407407</v>
      </c>
      <c r="P20" s="92">
        <v>-18.941961943549966</v>
      </c>
      <c r="Q20" s="93">
        <v>697.12564866809396</v>
      </c>
    </row>
    <row r="21" spans="2:17" x14ac:dyDescent="0.3">
      <c r="B21" t="s">
        <v>905</v>
      </c>
      <c r="C21" s="79">
        <v>1.1000000000000001</v>
      </c>
      <c r="D21" s="78">
        <v>45943</v>
      </c>
      <c r="E21">
        <v>12</v>
      </c>
      <c r="F21" t="s">
        <v>917</v>
      </c>
      <c r="G21" t="s">
        <v>918</v>
      </c>
      <c r="H21">
        <v>7</v>
      </c>
      <c r="I21">
        <v>20</v>
      </c>
      <c r="J21" t="s">
        <v>24</v>
      </c>
      <c r="K21" t="s">
        <v>947</v>
      </c>
      <c r="L21" t="s">
        <v>920</v>
      </c>
      <c r="M21" s="4">
        <v>45</v>
      </c>
      <c r="N21" s="4" t="s">
        <v>62</v>
      </c>
      <c r="O21" s="12">
        <v>46029.589259259257</v>
      </c>
      <c r="P21" s="92">
        <v>-18.745306576982649</v>
      </c>
      <c r="Q21" s="93">
        <v>723.22659283470398</v>
      </c>
    </row>
    <row r="22" spans="2:17" x14ac:dyDescent="0.3">
      <c r="B22" t="s">
        <v>905</v>
      </c>
      <c r="C22" s="79">
        <v>1.1000000000000001</v>
      </c>
      <c r="D22" s="78">
        <v>45943</v>
      </c>
      <c r="E22">
        <v>13</v>
      </c>
      <c r="F22" t="s">
        <v>921</v>
      </c>
      <c r="G22" t="s">
        <v>922</v>
      </c>
      <c r="H22">
        <v>7</v>
      </c>
      <c r="I22">
        <v>21</v>
      </c>
      <c r="J22" t="s">
        <v>24</v>
      </c>
      <c r="K22" t="s">
        <v>948</v>
      </c>
      <c r="L22" t="s">
        <v>924</v>
      </c>
      <c r="M22" s="1">
        <v>46</v>
      </c>
      <c r="N22" s="1" t="s">
        <v>63</v>
      </c>
      <c r="O22" s="2">
        <v>46029.593009259261</v>
      </c>
      <c r="P22" s="92">
        <v>-19.084066621286347</v>
      </c>
      <c r="Q22" s="93">
        <v>701.57487620311701</v>
      </c>
    </row>
    <row r="23" spans="2:17" x14ac:dyDescent="0.3">
      <c r="B23" t="s">
        <v>905</v>
      </c>
      <c r="C23" s="79">
        <v>1.1000000000000001</v>
      </c>
      <c r="D23" s="78">
        <v>45943</v>
      </c>
      <c r="E23">
        <v>16</v>
      </c>
      <c r="F23" t="s">
        <v>925</v>
      </c>
      <c r="G23" t="s">
        <v>926</v>
      </c>
      <c r="H23">
        <v>7</v>
      </c>
      <c r="I23">
        <v>22</v>
      </c>
      <c r="J23" t="s">
        <v>24</v>
      </c>
      <c r="K23" t="s">
        <v>949</v>
      </c>
      <c r="L23" t="s">
        <v>928</v>
      </c>
      <c r="M23" s="4">
        <v>47</v>
      </c>
      <c r="N23" s="4" t="s">
        <v>64</v>
      </c>
      <c r="O23" s="12">
        <v>46029.596736111111</v>
      </c>
      <c r="P23" s="92">
        <v>-18.875183747942192</v>
      </c>
      <c r="Q23" s="93">
        <v>680.23986513269926</v>
      </c>
    </row>
    <row r="24" spans="2:17" x14ac:dyDescent="0.3">
      <c r="B24" t="s">
        <v>905</v>
      </c>
      <c r="C24" s="79">
        <v>1.1000000000000001</v>
      </c>
      <c r="D24" s="78">
        <v>45943</v>
      </c>
      <c r="E24">
        <v>15</v>
      </c>
      <c r="F24" t="s">
        <v>929</v>
      </c>
      <c r="G24" t="s">
        <v>930</v>
      </c>
      <c r="H24">
        <v>7</v>
      </c>
      <c r="I24">
        <v>23</v>
      </c>
      <c r="J24" t="s">
        <v>24</v>
      </c>
      <c r="K24" t="s">
        <v>950</v>
      </c>
      <c r="L24"/>
      <c r="M24" s="1">
        <v>48</v>
      </c>
      <c r="N24" s="1" t="s">
        <v>65</v>
      </c>
      <c r="O24" s="2">
        <v>46029.600474537037</v>
      </c>
      <c r="P24" s="92">
        <v>-19.706635774496807</v>
      </c>
      <c r="Q24" s="93">
        <v>772.40691587461038</v>
      </c>
    </row>
    <row r="25" spans="2:17" x14ac:dyDescent="0.3">
      <c r="B25" t="s">
        <v>905</v>
      </c>
      <c r="C25" s="79">
        <v>1.1000000000000001</v>
      </c>
      <c r="D25" s="78">
        <v>45943</v>
      </c>
      <c r="E25">
        <v>11</v>
      </c>
      <c r="F25" t="s">
        <v>932</v>
      </c>
      <c r="G25" t="s">
        <v>933</v>
      </c>
      <c r="H25">
        <v>7</v>
      </c>
      <c r="I25">
        <v>24</v>
      </c>
      <c r="J25" t="s">
        <v>24</v>
      </c>
      <c r="K25" t="s">
        <v>951</v>
      </c>
      <c r="L25"/>
      <c r="M25" s="4">
        <v>49</v>
      </c>
      <c r="N25" s="4" t="s">
        <v>66</v>
      </c>
      <c r="O25" s="12">
        <v>46029.604212962964</v>
      </c>
      <c r="P25" s="92">
        <v>-19.239275754316715</v>
      </c>
      <c r="Q25" s="93">
        <v>723.32480235277478</v>
      </c>
    </row>
    <row r="26" spans="2:17" x14ac:dyDescent="0.3">
      <c r="B26" t="s">
        <v>905</v>
      </c>
      <c r="C26" s="79">
        <v>1.1000000000000001</v>
      </c>
      <c r="D26" s="78">
        <v>45943</v>
      </c>
      <c r="E26">
        <v>14</v>
      </c>
      <c r="F26" t="s">
        <v>906</v>
      </c>
      <c r="G26" t="s">
        <v>907</v>
      </c>
      <c r="H26">
        <v>7</v>
      </c>
      <c r="I26">
        <v>25</v>
      </c>
      <c r="J26" t="s">
        <v>25</v>
      </c>
      <c r="K26" t="s">
        <v>952</v>
      </c>
      <c r="L26"/>
      <c r="M26" s="1">
        <v>50</v>
      </c>
      <c r="N26" s="1" t="s">
        <v>67</v>
      </c>
      <c r="O26" s="2">
        <v>46029.607951388891</v>
      </c>
      <c r="P26" s="92">
        <v>-17.309196843389064</v>
      </c>
      <c r="Q26" s="93">
        <v>581.33222093631821</v>
      </c>
    </row>
    <row r="27" spans="2:17" x14ac:dyDescent="0.3">
      <c r="B27" t="s">
        <v>905</v>
      </c>
      <c r="C27" s="79">
        <v>1.1000000000000001</v>
      </c>
      <c r="D27" s="78">
        <v>45943</v>
      </c>
      <c r="E27">
        <v>9</v>
      </c>
      <c r="F27" t="s">
        <v>910</v>
      </c>
      <c r="G27" t="s">
        <v>15</v>
      </c>
      <c r="H27">
        <v>7</v>
      </c>
      <c r="I27">
        <v>26</v>
      </c>
      <c r="J27" t="s">
        <v>25</v>
      </c>
      <c r="K27" t="s">
        <v>953</v>
      </c>
      <c r="L27"/>
      <c r="M27" s="4">
        <v>51</v>
      </c>
      <c r="N27" s="4" t="s">
        <v>68</v>
      </c>
      <c r="O27" s="12">
        <v>46029.611689814818</v>
      </c>
      <c r="P27" s="92">
        <v>-17.815774988954225</v>
      </c>
      <c r="Q27" s="93">
        <v>626.07378643806294</v>
      </c>
    </row>
    <row r="28" spans="2:17" x14ac:dyDescent="0.3">
      <c r="B28" t="s">
        <v>905</v>
      </c>
      <c r="C28" s="79">
        <v>1.1000000000000001</v>
      </c>
      <c r="D28" s="78">
        <v>45943</v>
      </c>
      <c r="E28">
        <v>10</v>
      </c>
      <c r="F28" t="s">
        <v>913</v>
      </c>
      <c r="G28" t="s">
        <v>914</v>
      </c>
      <c r="H28">
        <v>7</v>
      </c>
      <c r="I28">
        <v>27</v>
      </c>
      <c r="J28" t="s">
        <v>25</v>
      </c>
      <c r="K28" t="s">
        <v>954</v>
      </c>
      <c r="L28" t="s">
        <v>916</v>
      </c>
      <c r="M28" s="1">
        <v>52</v>
      </c>
      <c r="N28" s="1" t="s">
        <v>69</v>
      </c>
      <c r="O28" s="2">
        <v>46029.615439814814</v>
      </c>
      <c r="P28" s="92">
        <v>-19.109430823443375</v>
      </c>
      <c r="Q28" s="93">
        <v>696.88914991546039</v>
      </c>
    </row>
    <row r="29" spans="2:17" x14ac:dyDescent="0.3">
      <c r="B29" t="s">
        <v>905</v>
      </c>
      <c r="C29" s="79">
        <v>1.1000000000000001</v>
      </c>
      <c r="D29" s="78">
        <v>45943</v>
      </c>
      <c r="E29">
        <v>12</v>
      </c>
      <c r="F29" t="s">
        <v>917</v>
      </c>
      <c r="G29" t="s">
        <v>918</v>
      </c>
      <c r="H29">
        <v>7</v>
      </c>
      <c r="I29">
        <v>28</v>
      </c>
      <c r="J29" t="s">
        <v>25</v>
      </c>
      <c r="K29" t="s">
        <v>955</v>
      </c>
      <c r="L29" t="s">
        <v>920</v>
      </c>
      <c r="M29" s="4">
        <v>53</v>
      </c>
      <c r="N29" s="4" t="s">
        <v>70</v>
      </c>
      <c r="O29" s="12">
        <v>46029.619166666664</v>
      </c>
      <c r="P29" s="92">
        <v>-18.972206086348152</v>
      </c>
      <c r="Q29" s="93">
        <v>721.14514798355037</v>
      </c>
    </row>
    <row r="30" spans="2:17" x14ac:dyDescent="0.3">
      <c r="B30" t="s">
        <v>905</v>
      </c>
      <c r="C30" s="79">
        <v>1.1000000000000001</v>
      </c>
      <c r="D30" s="78">
        <v>45943</v>
      </c>
      <c r="E30">
        <v>13</v>
      </c>
      <c r="F30" t="s">
        <v>921</v>
      </c>
      <c r="G30" t="s">
        <v>922</v>
      </c>
      <c r="H30">
        <v>7</v>
      </c>
      <c r="I30">
        <v>29</v>
      </c>
      <c r="J30" t="s">
        <v>25</v>
      </c>
      <c r="K30" t="s">
        <v>956</v>
      </c>
      <c r="L30" t="s">
        <v>924</v>
      </c>
      <c r="M30" s="1">
        <v>54</v>
      </c>
      <c r="N30" s="1" t="s">
        <v>71</v>
      </c>
      <c r="O30" s="2">
        <v>46029.622928240744</v>
      </c>
      <c r="P30" s="92">
        <v>-19.266465222087685</v>
      </c>
      <c r="Q30" s="93">
        <v>687.82156412688414</v>
      </c>
    </row>
    <row r="31" spans="2:17" x14ac:dyDescent="0.3">
      <c r="B31" t="s">
        <v>905</v>
      </c>
      <c r="C31" s="79">
        <v>1.1000000000000001</v>
      </c>
      <c r="D31" s="78">
        <v>45943</v>
      </c>
      <c r="E31">
        <v>16</v>
      </c>
      <c r="F31" t="s">
        <v>925</v>
      </c>
      <c r="G31" t="s">
        <v>926</v>
      </c>
      <c r="H31">
        <v>7</v>
      </c>
      <c r="I31">
        <v>30</v>
      </c>
      <c r="J31" t="s">
        <v>25</v>
      </c>
      <c r="K31" t="s">
        <v>957</v>
      </c>
      <c r="L31" t="s">
        <v>928</v>
      </c>
      <c r="M31" s="4">
        <v>55</v>
      </c>
      <c r="N31" s="4" t="s">
        <v>72</v>
      </c>
      <c r="O31" s="12">
        <v>46029.626666666663</v>
      </c>
      <c r="P31" s="92">
        <v>-18.998655395105569</v>
      </c>
      <c r="Q31" s="93">
        <v>715.50731523922741</v>
      </c>
    </row>
    <row r="32" spans="2:17" x14ac:dyDescent="0.3">
      <c r="B32" t="s">
        <v>905</v>
      </c>
      <c r="C32" s="79">
        <v>1.1000000000000001</v>
      </c>
      <c r="D32" s="78">
        <v>45943</v>
      </c>
      <c r="E32">
        <v>15</v>
      </c>
      <c r="F32" t="s">
        <v>929</v>
      </c>
      <c r="G32" t="s">
        <v>930</v>
      </c>
      <c r="H32">
        <v>7</v>
      </c>
      <c r="I32">
        <v>31</v>
      </c>
      <c r="J32" t="s">
        <v>25</v>
      </c>
      <c r="K32" t="s">
        <v>958</v>
      </c>
      <c r="L32"/>
      <c r="M32" s="1">
        <v>56</v>
      </c>
      <c r="N32" s="1" t="s">
        <v>73</v>
      </c>
      <c r="O32" s="2">
        <v>46029.630416666667</v>
      </c>
      <c r="P32" s="92">
        <v>-19.813442532969212</v>
      </c>
      <c r="Q32" s="93">
        <v>798.61023860781529</v>
      </c>
    </row>
    <row r="33" spans="2:17" x14ac:dyDescent="0.3">
      <c r="B33" t="s">
        <v>905</v>
      </c>
      <c r="C33" s="79">
        <v>1.1000000000000001</v>
      </c>
      <c r="D33" s="78">
        <v>45943</v>
      </c>
      <c r="E33">
        <v>11</v>
      </c>
      <c r="F33" t="s">
        <v>932</v>
      </c>
      <c r="G33" t="s">
        <v>933</v>
      </c>
      <c r="H33">
        <v>7</v>
      </c>
      <c r="I33">
        <v>32</v>
      </c>
      <c r="J33" t="s">
        <v>25</v>
      </c>
      <c r="K33" t="s">
        <v>959</v>
      </c>
      <c r="L33"/>
      <c r="M33" s="4">
        <v>57</v>
      </c>
      <c r="N33" s="4" t="s">
        <v>74</v>
      </c>
      <c r="O33" s="12">
        <v>46029.634143518517</v>
      </c>
      <c r="P33" s="92">
        <v>-19.158275193162126</v>
      </c>
      <c r="Q33" s="93">
        <v>750.09104138782106</v>
      </c>
    </row>
    <row r="34" spans="2:17" x14ac:dyDescent="0.3">
      <c r="B34" t="s">
        <v>905</v>
      </c>
      <c r="C34" s="79">
        <v>1.2</v>
      </c>
      <c r="D34" s="78">
        <v>45944</v>
      </c>
      <c r="E34">
        <v>14</v>
      </c>
      <c r="F34" t="s">
        <v>906</v>
      </c>
      <c r="G34" t="s">
        <v>907</v>
      </c>
      <c r="H34">
        <v>25</v>
      </c>
      <c r="I34">
        <v>1</v>
      </c>
      <c r="J34" t="s">
        <v>908</v>
      </c>
      <c r="K34" t="s">
        <v>960</v>
      </c>
      <c r="L34"/>
      <c r="M34" s="1">
        <v>58</v>
      </c>
      <c r="N34" s="1" t="s">
        <v>75</v>
      </c>
      <c r="O34" s="2">
        <v>46029.63789351852</v>
      </c>
      <c r="P34" s="92">
        <v>-17.33890307132685</v>
      </c>
      <c r="Q34" s="93">
        <v>603.42661472027055</v>
      </c>
    </row>
    <row r="35" spans="2:17" x14ac:dyDescent="0.3">
      <c r="B35" t="s">
        <v>905</v>
      </c>
      <c r="C35" s="79">
        <v>1.2</v>
      </c>
      <c r="D35" s="78">
        <v>45944</v>
      </c>
      <c r="E35">
        <v>9</v>
      </c>
      <c r="F35" t="s">
        <v>910</v>
      </c>
      <c r="G35" t="s">
        <v>15</v>
      </c>
      <c r="H35">
        <v>25</v>
      </c>
      <c r="I35">
        <v>2</v>
      </c>
      <c r="J35" t="s">
        <v>908</v>
      </c>
      <c r="K35" t="s">
        <v>961</v>
      </c>
      <c r="L35"/>
      <c r="M35" s="4">
        <v>59</v>
      </c>
      <c r="N35" s="4" t="s">
        <v>76</v>
      </c>
      <c r="O35" s="12">
        <v>46029.641608796293</v>
      </c>
      <c r="P35" s="92">
        <v>-17.560134940436264</v>
      </c>
      <c r="Q35" s="93">
        <v>596.50035647982895</v>
      </c>
    </row>
    <row r="36" spans="2:17" x14ac:dyDescent="0.3">
      <c r="B36" t="s">
        <v>905</v>
      </c>
      <c r="C36" s="79">
        <v>1.2</v>
      </c>
      <c r="D36" s="78">
        <v>45944</v>
      </c>
      <c r="E36">
        <v>10</v>
      </c>
      <c r="F36" t="s">
        <v>913</v>
      </c>
      <c r="G36" t="s">
        <v>914</v>
      </c>
      <c r="H36">
        <v>25</v>
      </c>
      <c r="I36">
        <v>3</v>
      </c>
      <c r="J36" t="s">
        <v>908</v>
      </c>
      <c r="K36" t="s">
        <v>962</v>
      </c>
      <c r="L36"/>
      <c r="M36" s="1">
        <v>60</v>
      </c>
      <c r="N36" s="1" t="s">
        <v>77</v>
      </c>
      <c r="O36" s="2">
        <v>46029.64534722222</v>
      </c>
      <c r="P36" s="92">
        <v>-17.847344217204448</v>
      </c>
      <c r="Q36" s="93">
        <v>621.9515923344162</v>
      </c>
    </row>
    <row r="37" spans="2:17" x14ac:dyDescent="0.3">
      <c r="B37" t="s">
        <v>905</v>
      </c>
      <c r="C37" s="79">
        <v>1.2</v>
      </c>
      <c r="D37" s="78">
        <v>45944</v>
      </c>
      <c r="E37">
        <v>12</v>
      </c>
      <c r="F37" t="s">
        <v>917</v>
      </c>
      <c r="G37" t="s">
        <v>918</v>
      </c>
      <c r="H37">
        <v>25</v>
      </c>
      <c r="I37">
        <v>4</v>
      </c>
      <c r="J37" t="s">
        <v>908</v>
      </c>
      <c r="K37" t="s">
        <v>963</v>
      </c>
      <c r="L37"/>
      <c r="M37" s="4">
        <v>61</v>
      </c>
      <c r="N37" s="4" t="s">
        <v>78</v>
      </c>
      <c r="O37" s="12">
        <v>46029.649085648147</v>
      </c>
      <c r="P37" s="92">
        <v>-18.338740890068301</v>
      </c>
      <c r="Q37" s="93">
        <v>635.95950062392092</v>
      </c>
    </row>
    <row r="38" spans="2:17" x14ac:dyDescent="0.3">
      <c r="B38" t="s">
        <v>905</v>
      </c>
      <c r="C38" s="79">
        <v>1.2</v>
      </c>
      <c r="D38" s="78">
        <v>45944</v>
      </c>
      <c r="E38">
        <v>13</v>
      </c>
      <c r="F38" t="s">
        <v>921</v>
      </c>
      <c r="G38" t="s">
        <v>922</v>
      </c>
      <c r="H38">
        <v>25</v>
      </c>
      <c r="I38">
        <v>5</v>
      </c>
      <c r="J38" t="s">
        <v>908</v>
      </c>
      <c r="K38" t="s">
        <v>964</v>
      </c>
      <c r="L38"/>
      <c r="M38" s="1">
        <v>62</v>
      </c>
      <c r="N38" s="1" t="s">
        <v>79</v>
      </c>
      <c r="O38" s="2">
        <v>46029.652916666666</v>
      </c>
      <c r="P38" s="92">
        <v>-18.202147626132579</v>
      </c>
      <c r="Q38" s="93">
        <v>642.72624538276852</v>
      </c>
    </row>
    <row r="39" spans="2:17" x14ac:dyDescent="0.3">
      <c r="B39" t="s">
        <v>905</v>
      </c>
      <c r="C39" s="79">
        <v>1.2</v>
      </c>
      <c r="D39" s="78">
        <v>45944</v>
      </c>
      <c r="E39">
        <v>16</v>
      </c>
      <c r="F39" t="s">
        <v>925</v>
      </c>
      <c r="G39" t="s">
        <v>926</v>
      </c>
      <c r="H39">
        <v>25</v>
      </c>
      <c r="I39">
        <v>6</v>
      </c>
      <c r="J39" t="s">
        <v>908</v>
      </c>
      <c r="K39" t="s">
        <v>965</v>
      </c>
      <c r="L39"/>
      <c r="M39" s="4">
        <v>63</v>
      </c>
      <c r="N39" s="4" t="s">
        <v>80</v>
      </c>
      <c r="O39" s="12">
        <v>46029.656655092593</v>
      </c>
      <c r="P39" s="92">
        <v>-18.234134820635489</v>
      </c>
      <c r="Q39" s="93">
        <v>614.09004595805834</v>
      </c>
    </row>
    <row r="40" spans="2:17" x14ac:dyDescent="0.3">
      <c r="B40" t="s">
        <v>905</v>
      </c>
      <c r="C40" s="79">
        <v>1.2</v>
      </c>
      <c r="D40" s="78">
        <v>45944</v>
      </c>
      <c r="E40">
        <v>15</v>
      </c>
      <c r="F40" t="s">
        <v>929</v>
      </c>
      <c r="G40" t="s">
        <v>930</v>
      </c>
      <c r="H40">
        <v>25</v>
      </c>
      <c r="I40">
        <v>7</v>
      </c>
      <c r="J40" t="s">
        <v>908</v>
      </c>
      <c r="K40" t="s">
        <v>966</v>
      </c>
      <c r="L40"/>
      <c r="M40" s="1">
        <v>64</v>
      </c>
      <c r="N40" s="1" t="s">
        <v>81</v>
      </c>
      <c r="O40" s="2">
        <v>46029.660393518519</v>
      </c>
      <c r="P40" s="92">
        <v>-18.305577343099586</v>
      </c>
      <c r="Q40" s="93">
        <v>622.1180226465159</v>
      </c>
    </row>
    <row r="41" spans="2:17" x14ac:dyDescent="0.3">
      <c r="B41" t="s">
        <v>905</v>
      </c>
      <c r="C41" s="79">
        <v>1.2</v>
      </c>
      <c r="D41" s="78">
        <v>45944</v>
      </c>
      <c r="E41">
        <v>11</v>
      </c>
      <c r="F41" t="s">
        <v>932</v>
      </c>
      <c r="G41" t="s">
        <v>933</v>
      </c>
      <c r="H41">
        <v>25</v>
      </c>
      <c r="I41">
        <v>8</v>
      </c>
      <c r="J41" t="s">
        <v>908</v>
      </c>
      <c r="K41" t="s">
        <v>967</v>
      </c>
      <c r="L41"/>
      <c r="M41" s="4">
        <v>65</v>
      </c>
      <c r="N41" s="4" t="s">
        <v>82</v>
      </c>
      <c r="O41" s="12">
        <v>46029.664131944446</v>
      </c>
      <c r="P41" s="92">
        <v>-18.398985670852468</v>
      </c>
      <c r="Q41" s="93">
        <v>621.73484918672</v>
      </c>
    </row>
    <row r="42" spans="2:17" x14ac:dyDescent="0.3">
      <c r="B42" t="s">
        <v>905</v>
      </c>
      <c r="C42" s="79">
        <v>1.2</v>
      </c>
      <c r="D42" s="78">
        <v>45944</v>
      </c>
      <c r="E42">
        <v>14</v>
      </c>
      <c r="F42" t="s">
        <v>906</v>
      </c>
      <c r="G42" t="s">
        <v>907</v>
      </c>
      <c r="H42">
        <v>25</v>
      </c>
      <c r="I42">
        <v>9</v>
      </c>
      <c r="J42" t="s">
        <v>935</v>
      </c>
      <c r="K42" t="s">
        <v>968</v>
      </c>
      <c r="L42"/>
      <c r="M42" s="1">
        <v>66</v>
      </c>
      <c r="N42" s="1" t="s">
        <v>83</v>
      </c>
      <c r="O42" s="2">
        <v>46029.667881944442</v>
      </c>
      <c r="P42" s="92">
        <v>-18.823716493604184</v>
      </c>
      <c r="Q42" s="93">
        <v>669.4521204480144</v>
      </c>
    </row>
    <row r="43" spans="2:17" x14ac:dyDescent="0.3">
      <c r="B43" t="s">
        <v>905</v>
      </c>
      <c r="C43" s="79">
        <v>1.2</v>
      </c>
      <c r="D43" s="78">
        <v>45944</v>
      </c>
      <c r="E43">
        <v>9</v>
      </c>
      <c r="F43" t="s">
        <v>910</v>
      </c>
      <c r="G43" t="s">
        <v>15</v>
      </c>
      <c r="H43">
        <v>25</v>
      </c>
      <c r="I43">
        <v>10</v>
      </c>
      <c r="J43" t="s">
        <v>935</v>
      </c>
      <c r="K43" t="s">
        <v>969</v>
      </c>
      <c r="L43"/>
      <c r="M43" s="4">
        <v>67</v>
      </c>
      <c r="N43" s="4" t="s">
        <v>84</v>
      </c>
      <c r="O43" s="12">
        <v>46029.671620370369</v>
      </c>
      <c r="P43" s="92">
        <v>-18.17816498783181</v>
      </c>
      <c r="Q43" s="93">
        <v>610.33496500227966</v>
      </c>
    </row>
    <row r="44" spans="2:17" x14ac:dyDescent="0.3">
      <c r="B44" t="s">
        <v>905</v>
      </c>
      <c r="C44" s="79">
        <v>1.2</v>
      </c>
      <c r="D44" s="78">
        <v>45944</v>
      </c>
      <c r="E44">
        <v>10</v>
      </c>
      <c r="F44" t="s">
        <v>913</v>
      </c>
      <c r="G44" t="s">
        <v>914</v>
      </c>
      <c r="H44">
        <v>25</v>
      </c>
      <c r="I44">
        <v>11</v>
      </c>
      <c r="J44" t="s">
        <v>935</v>
      </c>
      <c r="K44" t="s">
        <v>970</v>
      </c>
      <c r="L44"/>
      <c r="M44" s="1">
        <v>68</v>
      </c>
      <c r="N44" s="1" t="s">
        <v>85</v>
      </c>
      <c r="O44" s="2">
        <v>46029.675439814811</v>
      </c>
      <c r="P44" s="92">
        <v>-17.904504938158485</v>
      </c>
      <c r="Q44" s="93">
        <v>602.22133331687473</v>
      </c>
    </row>
    <row r="45" spans="2:17" x14ac:dyDescent="0.3">
      <c r="B45" t="s">
        <v>905</v>
      </c>
      <c r="C45" s="79">
        <v>1.2</v>
      </c>
      <c r="D45" s="78">
        <v>45944</v>
      </c>
      <c r="E45">
        <v>12</v>
      </c>
      <c r="F45" t="s">
        <v>917</v>
      </c>
      <c r="G45" t="s">
        <v>918</v>
      </c>
      <c r="H45">
        <v>25</v>
      </c>
      <c r="I45">
        <v>12</v>
      </c>
      <c r="J45" t="s">
        <v>935</v>
      </c>
      <c r="K45" t="s">
        <v>971</v>
      </c>
      <c r="L45"/>
      <c r="M45" s="4">
        <v>69</v>
      </c>
      <c r="N45" s="4" t="s">
        <v>86</v>
      </c>
      <c r="O45" s="12">
        <v>46029.679178240738</v>
      </c>
      <c r="P45" s="92">
        <v>-18.268856232453189</v>
      </c>
      <c r="Q45" s="93">
        <v>609.31667490029508</v>
      </c>
    </row>
    <row r="46" spans="2:17" x14ac:dyDescent="0.3">
      <c r="B46" t="s">
        <v>905</v>
      </c>
      <c r="C46" s="79">
        <v>1.2</v>
      </c>
      <c r="D46" s="78">
        <v>45944</v>
      </c>
      <c r="E46">
        <v>13</v>
      </c>
      <c r="F46" t="s">
        <v>921</v>
      </c>
      <c r="G46" t="s">
        <v>922</v>
      </c>
      <c r="H46">
        <v>25</v>
      </c>
      <c r="I46">
        <v>13</v>
      </c>
      <c r="J46" t="s">
        <v>935</v>
      </c>
      <c r="K46" t="s">
        <v>972</v>
      </c>
      <c r="L46"/>
      <c r="M46" s="1">
        <v>70</v>
      </c>
      <c r="N46" s="1" t="s">
        <v>87</v>
      </c>
      <c r="O46" s="2">
        <v>46029.682916666665</v>
      </c>
      <c r="P46" s="92">
        <v>-19.201120168201008</v>
      </c>
      <c r="Q46" s="93">
        <v>687.18962164663981</v>
      </c>
    </row>
    <row r="47" spans="2:17" x14ac:dyDescent="0.3">
      <c r="B47" t="s">
        <v>905</v>
      </c>
      <c r="C47" s="79">
        <v>1.2</v>
      </c>
      <c r="D47" s="78">
        <v>45944</v>
      </c>
      <c r="E47">
        <v>16</v>
      </c>
      <c r="F47" t="s">
        <v>925</v>
      </c>
      <c r="G47" t="s">
        <v>926</v>
      </c>
      <c r="H47">
        <v>25</v>
      </c>
      <c r="I47">
        <v>14</v>
      </c>
      <c r="J47" t="s">
        <v>935</v>
      </c>
      <c r="K47" t="s">
        <v>973</v>
      </c>
      <c r="L47"/>
      <c r="M47" s="4">
        <v>71</v>
      </c>
      <c r="N47" s="4" t="s">
        <v>88</v>
      </c>
      <c r="O47" s="12">
        <v>46029.686655092592</v>
      </c>
      <c r="P47" s="92">
        <v>-19.112158260272846</v>
      </c>
      <c r="Q47" s="93">
        <v>687.40835456749505</v>
      </c>
    </row>
    <row r="48" spans="2:17" x14ac:dyDescent="0.3">
      <c r="B48" t="s">
        <v>905</v>
      </c>
      <c r="C48" s="79">
        <v>1.2</v>
      </c>
      <c r="D48" s="78">
        <v>45944</v>
      </c>
      <c r="E48">
        <v>15</v>
      </c>
      <c r="F48" t="s">
        <v>929</v>
      </c>
      <c r="G48" t="s">
        <v>930</v>
      </c>
      <c r="H48">
        <v>25</v>
      </c>
      <c r="I48">
        <v>15</v>
      </c>
      <c r="J48" t="s">
        <v>935</v>
      </c>
      <c r="K48" t="s">
        <v>974</v>
      </c>
      <c r="L48"/>
      <c r="M48" s="1">
        <v>72</v>
      </c>
      <c r="N48" s="1" t="s">
        <v>89</v>
      </c>
      <c r="O48" s="2">
        <v>46029.690393518518</v>
      </c>
      <c r="P48" s="92">
        <v>-18.49821531620973</v>
      </c>
      <c r="Q48" s="93">
        <v>628.01864757450448</v>
      </c>
    </row>
    <row r="49" spans="2:17" x14ac:dyDescent="0.3">
      <c r="B49" t="s">
        <v>905</v>
      </c>
      <c r="C49" s="79">
        <v>1.2</v>
      </c>
      <c r="D49" s="78">
        <v>45944</v>
      </c>
      <c r="E49">
        <v>11</v>
      </c>
      <c r="F49" t="s">
        <v>932</v>
      </c>
      <c r="G49" t="s">
        <v>933</v>
      </c>
      <c r="H49">
        <v>25</v>
      </c>
      <c r="I49">
        <v>16</v>
      </c>
      <c r="J49" t="s">
        <v>935</v>
      </c>
      <c r="K49" t="s">
        <v>975</v>
      </c>
      <c r="L49"/>
      <c r="M49" s="4">
        <v>73</v>
      </c>
      <c r="N49" s="4" t="s">
        <v>90</v>
      </c>
      <c r="O49" s="12">
        <v>46029.694131944445</v>
      </c>
      <c r="P49" s="92">
        <v>-18.530486005657362</v>
      </c>
      <c r="Q49" s="93">
        <v>621.90544854734378</v>
      </c>
    </row>
    <row r="50" spans="2:17" x14ac:dyDescent="0.3">
      <c r="B50" t="s">
        <v>905</v>
      </c>
      <c r="C50" s="79">
        <v>1.2</v>
      </c>
      <c r="D50" s="78">
        <v>45944</v>
      </c>
      <c r="E50">
        <v>14</v>
      </c>
      <c r="F50" t="s">
        <v>906</v>
      </c>
      <c r="G50" t="s">
        <v>907</v>
      </c>
      <c r="H50">
        <v>25</v>
      </c>
      <c r="I50">
        <v>17</v>
      </c>
      <c r="J50" t="s">
        <v>24</v>
      </c>
      <c r="K50" t="s">
        <v>976</v>
      </c>
      <c r="L50"/>
      <c r="M50" s="1">
        <v>74</v>
      </c>
      <c r="N50" s="1" t="s">
        <v>91</v>
      </c>
      <c r="O50" s="2">
        <v>46029.697881944441</v>
      </c>
      <c r="P50" s="92">
        <v>-19.360228687138367</v>
      </c>
      <c r="Q50" s="93">
        <v>718.41138916504656</v>
      </c>
    </row>
    <row r="51" spans="2:17" x14ac:dyDescent="0.3">
      <c r="B51" t="s">
        <v>905</v>
      </c>
      <c r="C51" s="79">
        <v>1.2</v>
      </c>
      <c r="D51" s="78">
        <v>45944</v>
      </c>
      <c r="E51">
        <v>9</v>
      </c>
      <c r="F51" t="s">
        <v>910</v>
      </c>
      <c r="G51" t="s">
        <v>15</v>
      </c>
      <c r="H51">
        <v>25</v>
      </c>
      <c r="I51">
        <v>18</v>
      </c>
      <c r="J51" t="s">
        <v>24</v>
      </c>
      <c r="K51" t="s">
        <v>977</v>
      </c>
      <c r="L51"/>
      <c r="M51" s="4">
        <v>75</v>
      </c>
      <c r="N51" s="4" t="s">
        <v>92</v>
      </c>
      <c r="O51" s="12">
        <v>46029.70171296296</v>
      </c>
      <c r="P51" s="92">
        <v>-18.591585752897306</v>
      </c>
      <c r="Q51" s="93">
        <v>639.42222705195468</v>
      </c>
    </row>
    <row r="52" spans="2:17" x14ac:dyDescent="0.3">
      <c r="B52" t="s">
        <v>905</v>
      </c>
      <c r="C52" s="79">
        <v>1.2</v>
      </c>
      <c r="D52" s="78">
        <v>45944</v>
      </c>
      <c r="E52">
        <v>10</v>
      </c>
      <c r="F52" t="s">
        <v>913</v>
      </c>
      <c r="G52" t="s">
        <v>914</v>
      </c>
      <c r="H52">
        <v>25</v>
      </c>
      <c r="I52">
        <v>19</v>
      </c>
      <c r="J52" t="s">
        <v>24</v>
      </c>
      <c r="K52" t="s">
        <v>978</v>
      </c>
      <c r="L52"/>
      <c r="M52" s="1">
        <v>76</v>
      </c>
      <c r="N52" s="1" t="s">
        <v>93</v>
      </c>
      <c r="O52" s="2">
        <v>46029.705462962964</v>
      </c>
      <c r="P52" s="92">
        <v>-18.877404653714017</v>
      </c>
      <c r="Q52" s="93">
        <v>658.96274698610318</v>
      </c>
    </row>
    <row r="53" spans="2:17" x14ac:dyDescent="0.3">
      <c r="B53" t="s">
        <v>905</v>
      </c>
      <c r="C53" s="79">
        <v>1.2</v>
      </c>
      <c r="D53" s="78">
        <v>45944</v>
      </c>
      <c r="E53">
        <v>12</v>
      </c>
      <c r="F53" t="s">
        <v>917</v>
      </c>
      <c r="G53" t="s">
        <v>918</v>
      </c>
      <c r="H53">
        <v>25</v>
      </c>
      <c r="I53">
        <v>20</v>
      </c>
      <c r="J53" t="s">
        <v>24</v>
      </c>
      <c r="K53" t="s">
        <v>979</v>
      </c>
      <c r="L53"/>
      <c r="M53" s="4">
        <v>77</v>
      </c>
      <c r="N53" s="4" t="s">
        <v>94</v>
      </c>
      <c r="O53" s="12">
        <v>46029.709189814814</v>
      </c>
      <c r="P53" s="92">
        <v>-18.635078222088808</v>
      </c>
      <c r="Q53" s="93">
        <v>633.46787824866828</v>
      </c>
    </row>
    <row r="54" spans="2:17" x14ac:dyDescent="0.3">
      <c r="B54" t="s">
        <v>905</v>
      </c>
      <c r="C54" s="79">
        <v>1.2</v>
      </c>
      <c r="D54" s="78">
        <v>45944</v>
      </c>
      <c r="E54">
        <v>13</v>
      </c>
      <c r="F54" t="s">
        <v>921</v>
      </c>
      <c r="G54" t="s">
        <v>922</v>
      </c>
      <c r="H54">
        <v>25</v>
      </c>
      <c r="I54">
        <v>21</v>
      </c>
      <c r="J54" t="s">
        <v>24</v>
      </c>
      <c r="K54" t="s">
        <v>980</v>
      </c>
      <c r="L54"/>
      <c r="M54" s="1">
        <v>78</v>
      </c>
      <c r="N54" s="1" t="s">
        <v>95</v>
      </c>
      <c r="O54" s="2">
        <v>46029.712939814817</v>
      </c>
      <c r="P54" s="92">
        <v>-20.382516889525149</v>
      </c>
      <c r="Q54" s="93">
        <v>740.53634017965771</v>
      </c>
    </row>
    <row r="55" spans="2:17" x14ac:dyDescent="0.3">
      <c r="B55" t="s">
        <v>905</v>
      </c>
      <c r="C55" s="79">
        <v>1.2</v>
      </c>
      <c r="D55" s="78">
        <v>45944</v>
      </c>
      <c r="E55">
        <v>16</v>
      </c>
      <c r="F55" t="s">
        <v>925</v>
      </c>
      <c r="G55" t="s">
        <v>926</v>
      </c>
      <c r="H55">
        <v>25</v>
      </c>
      <c r="I55">
        <v>22</v>
      </c>
      <c r="J55" t="s">
        <v>24</v>
      </c>
      <c r="K55" t="s">
        <v>981</v>
      </c>
      <c r="L55"/>
      <c r="M55" s="4">
        <v>79</v>
      </c>
      <c r="N55" s="4" t="s">
        <v>96</v>
      </c>
      <c r="O55" s="12">
        <v>46029.716689814813</v>
      </c>
      <c r="P55" s="92">
        <v>-19.806460641367625</v>
      </c>
      <c r="Q55" s="93">
        <v>728.86362019465298</v>
      </c>
    </row>
    <row r="56" spans="2:17" x14ac:dyDescent="0.3">
      <c r="B56" t="s">
        <v>905</v>
      </c>
      <c r="C56" s="79">
        <v>1.2</v>
      </c>
      <c r="D56" s="78">
        <v>45944</v>
      </c>
      <c r="E56">
        <v>15</v>
      </c>
      <c r="F56" t="s">
        <v>929</v>
      </c>
      <c r="G56" t="s">
        <v>930</v>
      </c>
      <c r="H56">
        <v>25</v>
      </c>
      <c r="I56">
        <v>23</v>
      </c>
      <c r="J56" t="s">
        <v>24</v>
      </c>
      <c r="K56" t="s">
        <v>982</v>
      </c>
      <c r="L56"/>
      <c r="M56" s="1">
        <v>80</v>
      </c>
      <c r="N56" s="1" t="s">
        <v>97</v>
      </c>
      <c r="O56" s="2">
        <v>46029.720416666663</v>
      </c>
      <c r="P56" s="92">
        <v>-19.911843221148217</v>
      </c>
      <c r="Q56" s="93">
        <v>714.27176085848112</v>
      </c>
    </row>
    <row r="57" spans="2:17" x14ac:dyDescent="0.3">
      <c r="B57" t="s">
        <v>905</v>
      </c>
      <c r="C57" s="79">
        <v>1.2</v>
      </c>
      <c r="D57" s="78">
        <v>45944</v>
      </c>
      <c r="E57">
        <v>11</v>
      </c>
      <c r="F57" t="s">
        <v>932</v>
      </c>
      <c r="G57" t="s">
        <v>933</v>
      </c>
      <c r="H57">
        <v>25</v>
      </c>
      <c r="I57">
        <v>24</v>
      </c>
      <c r="J57" t="s">
        <v>24</v>
      </c>
      <c r="K57" t="s">
        <v>983</v>
      </c>
      <c r="L57"/>
      <c r="M57" s="4">
        <v>81</v>
      </c>
      <c r="N57" s="4" t="s">
        <v>98</v>
      </c>
      <c r="O57" s="12">
        <v>46029.72415509259</v>
      </c>
      <c r="P57" s="92">
        <v>-19.018092114029344</v>
      </c>
      <c r="Q57" s="93">
        <v>649.9873066450175</v>
      </c>
    </row>
    <row r="58" spans="2:17" x14ac:dyDescent="0.3">
      <c r="B58" t="s">
        <v>905</v>
      </c>
      <c r="C58" s="79">
        <v>1.2</v>
      </c>
      <c r="D58" s="78">
        <v>45944</v>
      </c>
      <c r="E58">
        <v>14</v>
      </c>
      <c r="F58" t="s">
        <v>906</v>
      </c>
      <c r="G58" t="s">
        <v>907</v>
      </c>
      <c r="H58">
        <v>25</v>
      </c>
      <c r="I58">
        <v>25</v>
      </c>
      <c r="J58" t="s">
        <v>25</v>
      </c>
      <c r="K58" t="s">
        <v>984</v>
      </c>
      <c r="L58"/>
      <c r="M58" s="1">
        <v>82</v>
      </c>
      <c r="N58" s="1" t="s">
        <v>99</v>
      </c>
      <c r="O58" s="2">
        <v>46029.727905092594</v>
      </c>
      <c r="P58" s="92">
        <v>-19.853729555675638</v>
      </c>
      <c r="Q58" s="93">
        <v>722.72962330042378</v>
      </c>
    </row>
    <row r="59" spans="2:17" x14ac:dyDescent="0.3">
      <c r="B59" t="s">
        <v>905</v>
      </c>
      <c r="C59" s="79">
        <v>1.2</v>
      </c>
      <c r="D59" s="78">
        <v>45944</v>
      </c>
      <c r="E59">
        <v>9</v>
      </c>
      <c r="F59" t="s">
        <v>910</v>
      </c>
      <c r="G59" t="s">
        <v>15</v>
      </c>
      <c r="H59">
        <v>25</v>
      </c>
      <c r="I59">
        <v>26</v>
      </c>
      <c r="J59" t="s">
        <v>25</v>
      </c>
      <c r="K59" t="s">
        <v>985</v>
      </c>
      <c r="L59"/>
      <c r="M59" s="4">
        <v>83</v>
      </c>
      <c r="N59" s="4" t="s">
        <v>100</v>
      </c>
      <c r="O59" s="12">
        <v>46029.73164351852</v>
      </c>
      <c r="P59" s="92">
        <v>-19.112521197776033</v>
      </c>
      <c r="Q59" s="93">
        <v>666.85873538833528</v>
      </c>
    </row>
    <row r="60" spans="2:17" x14ac:dyDescent="0.3">
      <c r="B60" t="s">
        <v>905</v>
      </c>
      <c r="C60" s="79">
        <v>1.2</v>
      </c>
      <c r="D60" s="78">
        <v>45944</v>
      </c>
      <c r="E60">
        <v>10</v>
      </c>
      <c r="F60" t="s">
        <v>913</v>
      </c>
      <c r="G60" t="s">
        <v>914</v>
      </c>
      <c r="H60">
        <v>25</v>
      </c>
      <c r="I60">
        <v>27</v>
      </c>
      <c r="J60" t="s">
        <v>25</v>
      </c>
      <c r="K60" t="s">
        <v>986</v>
      </c>
      <c r="L60"/>
      <c r="M60" s="1">
        <v>84</v>
      </c>
      <c r="N60" s="1" t="s">
        <v>101</v>
      </c>
      <c r="O60" s="2">
        <v>46029.73537037037</v>
      </c>
      <c r="P60" s="92">
        <v>-18.417242671091774</v>
      </c>
      <c r="Q60" s="93">
        <v>640.517739302736</v>
      </c>
    </row>
    <row r="61" spans="2:17" x14ac:dyDescent="0.3">
      <c r="B61" t="s">
        <v>905</v>
      </c>
      <c r="C61" s="79">
        <v>1.2</v>
      </c>
      <c r="D61" s="78">
        <v>45944</v>
      </c>
      <c r="E61">
        <v>12</v>
      </c>
      <c r="F61" t="s">
        <v>917</v>
      </c>
      <c r="G61" t="s">
        <v>918</v>
      </c>
      <c r="H61">
        <v>25</v>
      </c>
      <c r="I61">
        <v>28</v>
      </c>
      <c r="J61" t="s">
        <v>25</v>
      </c>
      <c r="K61" t="s">
        <v>987</v>
      </c>
      <c r="L61"/>
      <c r="M61" s="4">
        <v>85</v>
      </c>
      <c r="N61" s="4" t="s">
        <v>102</v>
      </c>
      <c r="O61" s="12">
        <v>46029.739108796297</v>
      </c>
      <c r="P61" s="92">
        <v>-18.816458590945018</v>
      </c>
      <c r="Q61" s="93">
        <v>665.41515496135219</v>
      </c>
    </row>
    <row r="62" spans="2:17" x14ac:dyDescent="0.3">
      <c r="B62" t="s">
        <v>905</v>
      </c>
      <c r="C62" s="79">
        <v>1.2</v>
      </c>
      <c r="D62" s="78">
        <v>45944</v>
      </c>
      <c r="E62">
        <v>13</v>
      </c>
      <c r="F62" t="s">
        <v>921</v>
      </c>
      <c r="G62" t="s">
        <v>922</v>
      </c>
      <c r="H62">
        <v>25</v>
      </c>
      <c r="I62">
        <v>29</v>
      </c>
      <c r="J62" t="s">
        <v>25</v>
      </c>
      <c r="K62" t="s">
        <v>988</v>
      </c>
      <c r="L62"/>
      <c r="M62" s="1">
        <v>86</v>
      </c>
      <c r="N62" s="1" t="s">
        <v>103</v>
      </c>
      <c r="O62" s="2">
        <v>46029.742858796293</v>
      </c>
      <c r="P62" s="92">
        <v>-20.914443152193499</v>
      </c>
      <c r="Q62" s="93">
        <v>774.17478195098795</v>
      </c>
    </row>
    <row r="63" spans="2:17" x14ac:dyDescent="0.3">
      <c r="B63" t="s">
        <v>905</v>
      </c>
      <c r="C63" s="79">
        <v>1.2</v>
      </c>
      <c r="D63" s="78">
        <v>45944</v>
      </c>
      <c r="E63">
        <v>16</v>
      </c>
      <c r="F63" t="s">
        <v>925</v>
      </c>
      <c r="G63" t="s">
        <v>926</v>
      </c>
      <c r="H63">
        <v>25</v>
      </c>
      <c r="I63">
        <v>30</v>
      </c>
      <c r="J63" t="s">
        <v>25</v>
      </c>
      <c r="K63" t="s">
        <v>989</v>
      </c>
      <c r="L63"/>
      <c r="M63" s="4">
        <v>87</v>
      </c>
      <c r="N63" s="4" t="s">
        <v>104</v>
      </c>
      <c r="O63" s="12">
        <v>46029.74658564815</v>
      </c>
      <c r="P63" s="92">
        <v>-20.117805973530885</v>
      </c>
      <c r="Q63" s="93">
        <v>738.51529915655055</v>
      </c>
    </row>
    <row r="64" spans="2:17" x14ac:dyDescent="0.3">
      <c r="B64" t="s">
        <v>905</v>
      </c>
      <c r="C64" s="79">
        <v>1.2</v>
      </c>
      <c r="D64" s="78">
        <v>45944</v>
      </c>
      <c r="E64">
        <v>15</v>
      </c>
      <c r="F64" t="s">
        <v>929</v>
      </c>
      <c r="G64" t="s">
        <v>930</v>
      </c>
      <c r="H64">
        <v>25</v>
      </c>
      <c r="I64">
        <v>31</v>
      </c>
      <c r="J64" t="s">
        <v>25</v>
      </c>
      <c r="K64" t="s">
        <v>990</v>
      </c>
      <c r="L64" t="s">
        <v>991</v>
      </c>
      <c r="M64" s="1">
        <v>88</v>
      </c>
      <c r="N64" s="1" t="s">
        <v>105</v>
      </c>
      <c r="O64" s="2">
        <v>46029.750335648147</v>
      </c>
      <c r="P64" s="92">
        <v>-20.021565376415534</v>
      </c>
      <c r="Q64" s="93">
        <v>691.86445155747242</v>
      </c>
    </row>
    <row r="65" spans="2:17" x14ac:dyDescent="0.3">
      <c r="B65" t="s">
        <v>905</v>
      </c>
      <c r="C65" s="79">
        <v>1.2</v>
      </c>
      <c r="D65" s="78">
        <v>45944</v>
      </c>
      <c r="E65">
        <v>11</v>
      </c>
      <c r="F65" t="s">
        <v>932</v>
      </c>
      <c r="G65" t="s">
        <v>933</v>
      </c>
      <c r="H65">
        <v>25</v>
      </c>
      <c r="I65">
        <v>32</v>
      </c>
      <c r="J65" t="s">
        <v>25</v>
      </c>
      <c r="K65" t="s">
        <v>992</v>
      </c>
      <c r="L65" t="s">
        <v>993</v>
      </c>
      <c r="M65" s="4">
        <v>89</v>
      </c>
      <c r="N65" s="4" t="s">
        <v>106</v>
      </c>
      <c r="O65" s="12">
        <v>46029.754074074073</v>
      </c>
      <c r="P65" s="92">
        <v>-19.090064810345254</v>
      </c>
      <c r="Q65" s="93">
        <v>673.97316931897342</v>
      </c>
    </row>
    <row r="66" spans="2:17" x14ac:dyDescent="0.3">
      <c r="B66" t="s">
        <v>905</v>
      </c>
      <c r="C66" s="79">
        <v>1.3</v>
      </c>
      <c r="D66" s="78">
        <v>45945</v>
      </c>
      <c r="E66">
        <v>14</v>
      </c>
      <c r="F66" t="s">
        <v>906</v>
      </c>
      <c r="G66" t="s">
        <v>907</v>
      </c>
      <c r="H66">
        <v>49</v>
      </c>
      <c r="I66">
        <v>1</v>
      </c>
      <c r="J66" t="s">
        <v>908</v>
      </c>
      <c r="K66" t="s">
        <v>994</v>
      </c>
      <c r="L66"/>
      <c r="M66" s="1">
        <v>92</v>
      </c>
      <c r="N66" s="1" t="s">
        <v>109</v>
      </c>
      <c r="O66" s="2">
        <v>46029.765300925923</v>
      </c>
      <c r="P66" s="92">
        <v>-18.490755125969063</v>
      </c>
      <c r="Q66" s="93">
        <v>628.18010345370635</v>
      </c>
    </row>
    <row r="67" spans="2:17" x14ac:dyDescent="0.3">
      <c r="B67" t="s">
        <v>905</v>
      </c>
      <c r="C67" s="79">
        <v>1.3</v>
      </c>
      <c r="D67" s="78">
        <v>45945</v>
      </c>
      <c r="E67">
        <v>9</v>
      </c>
      <c r="F67" t="s">
        <v>910</v>
      </c>
      <c r="G67" t="s">
        <v>15</v>
      </c>
      <c r="H67">
        <v>49</v>
      </c>
      <c r="I67">
        <v>2</v>
      </c>
      <c r="J67" t="s">
        <v>908</v>
      </c>
      <c r="K67" t="s">
        <v>995</v>
      </c>
      <c r="L67"/>
      <c r="M67" s="4">
        <v>93</v>
      </c>
      <c r="N67" s="4" t="s">
        <v>110</v>
      </c>
      <c r="O67" s="12">
        <v>46029.769016203703</v>
      </c>
      <c r="P67" s="92">
        <v>-18.857362492016215</v>
      </c>
      <c r="Q67" s="93">
        <v>626.83866471556098</v>
      </c>
    </row>
    <row r="68" spans="2:17" x14ac:dyDescent="0.3">
      <c r="B68" t="s">
        <v>905</v>
      </c>
      <c r="C68" s="79">
        <v>1.3</v>
      </c>
      <c r="D68" s="78">
        <v>45945</v>
      </c>
      <c r="E68">
        <v>10</v>
      </c>
      <c r="F68" t="s">
        <v>913</v>
      </c>
      <c r="G68" t="s">
        <v>914</v>
      </c>
      <c r="H68">
        <v>49</v>
      </c>
      <c r="I68">
        <v>3</v>
      </c>
      <c r="J68" t="s">
        <v>908</v>
      </c>
      <c r="K68" t="s">
        <v>996</v>
      </c>
      <c r="L68"/>
      <c r="M68" s="1">
        <v>94</v>
      </c>
      <c r="N68" s="1" t="s">
        <v>111</v>
      </c>
      <c r="O68" s="2">
        <v>46029.772743055553</v>
      </c>
      <c r="P68" s="92">
        <v>-18.57825261475789</v>
      </c>
      <c r="Q68" s="93">
        <v>613.39106707257031</v>
      </c>
    </row>
    <row r="69" spans="2:17" x14ac:dyDescent="0.3">
      <c r="B69" t="s">
        <v>905</v>
      </c>
      <c r="C69" s="79">
        <v>1.3</v>
      </c>
      <c r="D69" s="78">
        <v>45945</v>
      </c>
      <c r="E69">
        <v>10</v>
      </c>
      <c r="F69" t="s">
        <v>913</v>
      </c>
      <c r="G69" t="s">
        <v>918</v>
      </c>
      <c r="H69">
        <v>49</v>
      </c>
      <c r="I69">
        <v>4</v>
      </c>
      <c r="J69" t="s">
        <v>908</v>
      </c>
      <c r="K69" t="s">
        <v>997</v>
      </c>
      <c r="L69"/>
      <c r="M69" s="4">
        <v>95</v>
      </c>
      <c r="N69" s="4" t="s">
        <v>112</v>
      </c>
      <c r="O69" s="12">
        <v>46029.776469907411</v>
      </c>
      <c r="P69" s="92">
        <v>-19.059780041837705</v>
      </c>
      <c r="Q69" s="93">
        <v>654.08614460181968</v>
      </c>
    </row>
    <row r="70" spans="2:17" x14ac:dyDescent="0.3">
      <c r="B70" t="s">
        <v>905</v>
      </c>
      <c r="C70" s="79">
        <v>1.3</v>
      </c>
      <c r="D70" s="78">
        <v>45945</v>
      </c>
      <c r="E70">
        <v>12</v>
      </c>
      <c r="F70" t="s">
        <v>917</v>
      </c>
      <c r="G70" t="s">
        <v>922</v>
      </c>
      <c r="H70">
        <v>49</v>
      </c>
      <c r="I70">
        <v>5</v>
      </c>
      <c r="J70" t="s">
        <v>908</v>
      </c>
      <c r="K70" t="s">
        <v>998</v>
      </c>
      <c r="L70"/>
      <c r="M70" s="1">
        <v>96</v>
      </c>
      <c r="N70" s="1" t="s">
        <v>113</v>
      </c>
      <c r="O70" s="2">
        <v>46029.78019675926</v>
      </c>
      <c r="P70" s="92">
        <v>-18.875317370944614</v>
      </c>
      <c r="Q70" s="93">
        <v>647.76003984662702</v>
      </c>
    </row>
    <row r="71" spans="2:17" x14ac:dyDescent="0.3">
      <c r="B71" t="s">
        <v>905</v>
      </c>
      <c r="C71" s="79">
        <v>1.3</v>
      </c>
      <c r="D71" s="78">
        <v>45945</v>
      </c>
      <c r="E71">
        <v>13</v>
      </c>
      <c r="F71" t="s">
        <v>921</v>
      </c>
      <c r="G71" t="s">
        <v>926</v>
      </c>
      <c r="H71">
        <v>49</v>
      </c>
      <c r="I71">
        <v>6</v>
      </c>
      <c r="J71" t="s">
        <v>908</v>
      </c>
      <c r="K71" t="s">
        <v>999</v>
      </c>
      <c r="L71"/>
      <c r="M71" s="4">
        <v>97</v>
      </c>
      <c r="N71" s="4" t="s">
        <v>114</v>
      </c>
      <c r="O71" s="12">
        <v>46029.78392361111</v>
      </c>
      <c r="P71" s="92">
        <v>-18.983479985654558</v>
      </c>
      <c r="Q71" s="93">
        <v>631.58986401526488</v>
      </c>
    </row>
    <row r="72" spans="2:17" x14ac:dyDescent="0.3">
      <c r="B72" t="s">
        <v>905</v>
      </c>
      <c r="C72" s="79">
        <v>1.3</v>
      </c>
      <c r="D72" s="78">
        <v>45945</v>
      </c>
      <c r="E72">
        <v>16</v>
      </c>
      <c r="F72" t="s">
        <v>925</v>
      </c>
      <c r="G72" t="s">
        <v>930</v>
      </c>
      <c r="H72">
        <v>49</v>
      </c>
      <c r="I72">
        <v>7</v>
      </c>
      <c r="J72" t="s">
        <v>908</v>
      </c>
      <c r="K72" t="s">
        <v>1000</v>
      </c>
      <c r="L72"/>
      <c r="M72" s="1">
        <v>98</v>
      </c>
      <c r="N72" s="1" t="s">
        <v>115</v>
      </c>
      <c r="O72" s="2">
        <v>46029.78765046296</v>
      </c>
      <c r="P72" s="92">
        <v>-19.264196352116386</v>
      </c>
      <c r="Q72" s="93">
        <v>650.20959273222843</v>
      </c>
    </row>
    <row r="73" spans="2:17" x14ac:dyDescent="0.3">
      <c r="B73" t="s">
        <v>905</v>
      </c>
      <c r="C73" s="79">
        <v>1.3</v>
      </c>
      <c r="D73" s="78">
        <v>45945</v>
      </c>
      <c r="E73">
        <v>15</v>
      </c>
      <c r="F73" t="s">
        <v>929</v>
      </c>
      <c r="G73" t="s">
        <v>933</v>
      </c>
      <c r="H73">
        <v>49</v>
      </c>
      <c r="I73">
        <v>8</v>
      </c>
      <c r="J73" t="s">
        <v>908</v>
      </c>
      <c r="K73" t="s">
        <v>1001</v>
      </c>
      <c r="L73"/>
      <c r="M73" s="4">
        <v>99</v>
      </c>
      <c r="N73" s="4" t="s">
        <v>116</v>
      </c>
      <c r="O73" s="12">
        <v>46029.791377314818</v>
      </c>
      <c r="P73" s="92">
        <v>-18.613706220472324</v>
      </c>
      <c r="Q73" s="93">
        <v>619.09825762415596</v>
      </c>
    </row>
    <row r="74" spans="2:17" x14ac:dyDescent="0.3">
      <c r="B74" t="s">
        <v>905</v>
      </c>
      <c r="C74" s="79">
        <v>1.3</v>
      </c>
      <c r="D74" s="78">
        <v>45945</v>
      </c>
      <c r="E74">
        <v>11</v>
      </c>
      <c r="F74" t="s">
        <v>932</v>
      </c>
      <c r="G74" t="s">
        <v>907</v>
      </c>
      <c r="H74">
        <v>49</v>
      </c>
      <c r="I74">
        <v>9</v>
      </c>
      <c r="J74" t="s">
        <v>935</v>
      </c>
      <c r="K74" t="s">
        <v>1002</v>
      </c>
      <c r="L74"/>
      <c r="M74" s="1">
        <v>100</v>
      </c>
      <c r="N74" s="1" t="s">
        <v>117</v>
      </c>
      <c r="O74" s="2">
        <v>46029.795115740744</v>
      </c>
      <c r="P74" s="92">
        <v>-19.744170220691771</v>
      </c>
      <c r="Q74" s="93">
        <v>701.40759313109197</v>
      </c>
    </row>
    <row r="75" spans="2:17" x14ac:dyDescent="0.3">
      <c r="B75" t="s">
        <v>905</v>
      </c>
      <c r="C75" s="79">
        <v>1.3</v>
      </c>
      <c r="D75" s="78">
        <v>45945</v>
      </c>
      <c r="E75">
        <v>14</v>
      </c>
      <c r="F75" t="s">
        <v>906</v>
      </c>
      <c r="G75" t="s">
        <v>15</v>
      </c>
      <c r="H75">
        <v>49</v>
      </c>
      <c r="I75">
        <v>10</v>
      </c>
      <c r="J75" t="s">
        <v>935</v>
      </c>
      <c r="K75" t="s">
        <v>1003</v>
      </c>
      <c r="L75"/>
      <c r="M75" s="4">
        <v>101</v>
      </c>
      <c r="N75" s="4" t="s">
        <v>118</v>
      </c>
      <c r="O75" s="12">
        <v>46029.798842592594</v>
      </c>
      <c r="P75" s="92">
        <v>-18.715994075650606</v>
      </c>
      <c r="Q75" s="93">
        <v>652.98201000068195</v>
      </c>
    </row>
    <row r="76" spans="2:17" x14ac:dyDescent="0.3">
      <c r="B76" t="s">
        <v>905</v>
      </c>
      <c r="C76" s="79">
        <v>1.3</v>
      </c>
      <c r="D76" s="78">
        <v>45945</v>
      </c>
      <c r="E76">
        <v>9</v>
      </c>
      <c r="F76" t="s">
        <v>910</v>
      </c>
      <c r="G76" t="s">
        <v>914</v>
      </c>
      <c r="H76">
        <v>49</v>
      </c>
      <c r="I76">
        <v>11</v>
      </c>
      <c r="J76" t="s">
        <v>935</v>
      </c>
      <c r="K76" t="s">
        <v>1004</v>
      </c>
      <c r="L76"/>
      <c r="M76" s="1">
        <v>102</v>
      </c>
      <c r="N76" s="1" t="s">
        <v>119</v>
      </c>
      <c r="O76" s="2">
        <v>46029.802569444444</v>
      </c>
      <c r="P76" s="92">
        <v>-18.785523908776057</v>
      </c>
      <c r="Q76" s="93">
        <v>623.01706848560411</v>
      </c>
    </row>
    <row r="77" spans="2:17" x14ac:dyDescent="0.3">
      <c r="B77" t="s">
        <v>905</v>
      </c>
      <c r="C77" s="79">
        <v>1.3</v>
      </c>
      <c r="D77" s="78">
        <v>45945</v>
      </c>
      <c r="E77">
        <v>10</v>
      </c>
      <c r="F77" t="s">
        <v>913</v>
      </c>
      <c r="G77" t="s">
        <v>918</v>
      </c>
      <c r="H77">
        <v>49</v>
      </c>
      <c r="I77">
        <v>12</v>
      </c>
      <c r="J77" t="s">
        <v>935</v>
      </c>
      <c r="K77" t="s">
        <v>1005</v>
      </c>
      <c r="L77"/>
      <c r="M77" s="4">
        <v>103</v>
      </c>
      <c r="N77" s="4" t="s">
        <v>120</v>
      </c>
      <c r="O77" s="12">
        <v>46029.806296296294</v>
      </c>
      <c r="P77" s="92">
        <v>-19.218284552437062</v>
      </c>
      <c r="Q77" s="93">
        <v>667.4312689271128</v>
      </c>
    </row>
    <row r="78" spans="2:17" x14ac:dyDescent="0.3">
      <c r="B78" t="s">
        <v>905</v>
      </c>
      <c r="C78" s="79">
        <v>1.3</v>
      </c>
      <c r="D78" s="78">
        <v>45945</v>
      </c>
      <c r="E78">
        <v>12</v>
      </c>
      <c r="F78" t="s">
        <v>917</v>
      </c>
      <c r="G78" t="s">
        <v>922</v>
      </c>
      <c r="H78">
        <v>49</v>
      </c>
      <c r="I78">
        <v>13</v>
      </c>
      <c r="J78" t="s">
        <v>935</v>
      </c>
      <c r="K78" t="s">
        <v>1006</v>
      </c>
      <c r="L78"/>
      <c r="M78" s="1">
        <v>104</v>
      </c>
      <c r="N78" s="1" t="s">
        <v>121</v>
      </c>
      <c r="O78" s="2">
        <v>46029.810034722221</v>
      </c>
      <c r="P78" s="92">
        <v>-20.266676559931113</v>
      </c>
      <c r="Q78" s="93">
        <v>743.52450570922781</v>
      </c>
    </row>
    <row r="79" spans="2:17" x14ac:dyDescent="0.3">
      <c r="B79" t="s">
        <v>905</v>
      </c>
      <c r="C79" s="79">
        <v>1.3</v>
      </c>
      <c r="D79" s="78">
        <v>45945</v>
      </c>
      <c r="E79">
        <v>13</v>
      </c>
      <c r="F79" t="s">
        <v>921</v>
      </c>
      <c r="G79" t="s">
        <v>926</v>
      </c>
      <c r="H79">
        <v>49</v>
      </c>
      <c r="I79">
        <v>14</v>
      </c>
      <c r="J79" t="s">
        <v>935</v>
      </c>
      <c r="K79" t="s">
        <v>1007</v>
      </c>
      <c r="L79"/>
      <c r="M79" s="4">
        <v>105</v>
      </c>
      <c r="N79" s="4" t="s">
        <v>122</v>
      </c>
      <c r="O79" s="12">
        <v>46029.813773148147</v>
      </c>
      <c r="P79" s="92">
        <v>-19.716116907608377</v>
      </c>
      <c r="Q79" s="93">
        <v>690.51514847779322</v>
      </c>
    </row>
    <row r="80" spans="2:17" x14ac:dyDescent="0.3">
      <c r="B80" t="s">
        <v>905</v>
      </c>
      <c r="C80" s="79">
        <v>1.3</v>
      </c>
      <c r="D80" s="78">
        <v>45945</v>
      </c>
      <c r="E80">
        <v>16</v>
      </c>
      <c r="F80" t="s">
        <v>925</v>
      </c>
      <c r="G80" t="s">
        <v>930</v>
      </c>
      <c r="H80">
        <v>49</v>
      </c>
      <c r="I80">
        <v>15</v>
      </c>
      <c r="J80" t="s">
        <v>935</v>
      </c>
      <c r="K80" t="s">
        <v>1008</v>
      </c>
      <c r="L80"/>
      <c r="M80" s="1">
        <v>106</v>
      </c>
      <c r="N80" s="1" t="s">
        <v>123</v>
      </c>
      <c r="O80" s="2">
        <v>46029.817511574074</v>
      </c>
      <c r="P80" s="92">
        <v>-20.01690503449586</v>
      </c>
      <c r="Q80" s="93">
        <v>726.37896202545755</v>
      </c>
    </row>
    <row r="81" spans="2:17" x14ac:dyDescent="0.3">
      <c r="B81" t="s">
        <v>905</v>
      </c>
      <c r="C81" s="79">
        <v>1.3</v>
      </c>
      <c r="D81" s="78">
        <v>45945</v>
      </c>
      <c r="E81">
        <v>15</v>
      </c>
      <c r="F81" t="s">
        <v>929</v>
      </c>
      <c r="G81" t="s">
        <v>933</v>
      </c>
      <c r="H81">
        <v>49</v>
      </c>
      <c r="I81">
        <v>16</v>
      </c>
      <c r="J81" t="s">
        <v>935</v>
      </c>
      <c r="K81" t="s">
        <v>1009</v>
      </c>
      <c r="L81"/>
      <c r="M81" s="4">
        <v>107</v>
      </c>
      <c r="N81" s="4" t="s">
        <v>124</v>
      </c>
      <c r="O81" s="12">
        <v>46029.821238425924</v>
      </c>
      <c r="P81" s="92">
        <v>-19.551601159283695</v>
      </c>
      <c r="Q81" s="93">
        <v>700.13086939617131</v>
      </c>
    </row>
    <row r="82" spans="2:17" x14ac:dyDescent="0.3">
      <c r="B82" t="s">
        <v>905</v>
      </c>
      <c r="C82" s="79">
        <v>1.3</v>
      </c>
      <c r="D82" s="78">
        <v>45945</v>
      </c>
      <c r="E82">
        <v>11</v>
      </c>
      <c r="F82" t="s">
        <v>932</v>
      </c>
      <c r="G82" t="s">
        <v>907</v>
      </c>
      <c r="H82">
        <v>49</v>
      </c>
      <c r="I82">
        <v>17</v>
      </c>
      <c r="J82" t="s">
        <v>24</v>
      </c>
      <c r="K82" t="s">
        <v>1010</v>
      </c>
      <c r="L82"/>
      <c r="M82" s="1">
        <v>108</v>
      </c>
      <c r="N82" s="1" t="s">
        <v>125</v>
      </c>
      <c r="O82" s="2">
        <v>46029.824988425928</v>
      </c>
      <c r="P82" s="92">
        <v>-20.303534132697266</v>
      </c>
      <c r="Q82" s="93">
        <v>760.80582772333605</v>
      </c>
    </row>
    <row r="83" spans="2:17" x14ac:dyDescent="0.3">
      <c r="B83" t="s">
        <v>905</v>
      </c>
      <c r="C83" s="79">
        <v>1.3</v>
      </c>
      <c r="D83" s="78">
        <v>45945</v>
      </c>
      <c r="E83">
        <v>14</v>
      </c>
      <c r="F83" t="s">
        <v>906</v>
      </c>
      <c r="G83" t="s">
        <v>15</v>
      </c>
      <c r="H83">
        <v>49</v>
      </c>
      <c r="I83">
        <v>18</v>
      </c>
      <c r="J83" t="s">
        <v>24</v>
      </c>
      <c r="K83" t="s">
        <v>1011</v>
      </c>
      <c r="L83"/>
      <c r="M83" s="4">
        <v>109</v>
      </c>
      <c r="N83" s="4" t="s">
        <v>126</v>
      </c>
      <c r="O83" s="12">
        <v>46029.828738425924</v>
      </c>
      <c r="P83" s="92">
        <v>-19.547890231476202</v>
      </c>
      <c r="Q83" s="93">
        <v>674.64893418427107</v>
      </c>
    </row>
    <row r="84" spans="2:17" x14ac:dyDescent="0.3">
      <c r="B84" t="s">
        <v>905</v>
      </c>
      <c r="C84" s="79">
        <v>1.3</v>
      </c>
      <c r="D84" s="78">
        <v>45945</v>
      </c>
      <c r="E84">
        <v>9</v>
      </c>
      <c r="F84" t="s">
        <v>910</v>
      </c>
      <c r="G84" t="s">
        <v>914</v>
      </c>
      <c r="H84">
        <v>49</v>
      </c>
      <c r="I84">
        <v>19</v>
      </c>
      <c r="J84" t="s">
        <v>24</v>
      </c>
      <c r="K84" t="s">
        <v>1012</v>
      </c>
      <c r="L84"/>
      <c r="M84" s="1">
        <v>110</v>
      </c>
      <c r="N84" s="1" t="s">
        <v>127</v>
      </c>
      <c r="O84" s="2">
        <v>46029.832476851851</v>
      </c>
      <c r="P84" s="92">
        <v>-19.317890134220445</v>
      </c>
      <c r="Q84" s="93">
        <v>668.65569005327791</v>
      </c>
    </row>
    <row r="85" spans="2:17" x14ac:dyDescent="0.3">
      <c r="B85" t="s">
        <v>905</v>
      </c>
      <c r="C85" s="79">
        <v>1.3</v>
      </c>
      <c r="D85" s="78">
        <v>45945</v>
      </c>
      <c r="E85">
        <v>10</v>
      </c>
      <c r="F85" t="s">
        <v>913</v>
      </c>
      <c r="G85" t="s">
        <v>918</v>
      </c>
      <c r="H85">
        <v>49</v>
      </c>
      <c r="I85">
        <v>20</v>
      </c>
      <c r="J85" t="s">
        <v>24</v>
      </c>
      <c r="K85" t="s">
        <v>1013</v>
      </c>
      <c r="L85"/>
      <c r="M85" s="4">
        <v>111</v>
      </c>
      <c r="N85" s="4" t="s">
        <v>128</v>
      </c>
      <c r="O85" s="12">
        <v>46029.836215277777</v>
      </c>
      <c r="P85" s="92">
        <v>-18.943306992299469</v>
      </c>
      <c r="Q85" s="93">
        <v>652.33936064581917</v>
      </c>
    </row>
    <row r="86" spans="2:17" x14ac:dyDescent="0.3">
      <c r="B86" t="s">
        <v>905</v>
      </c>
      <c r="C86" s="79">
        <v>1.3</v>
      </c>
      <c r="D86" s="78">
        <v>45945</v>
      </c>
      <c r="E86">
        <v>12</v>
      </c>
      <c r="F86" t="s">
        <v>917</v>
      </c>
      <c r="G86" t="s">
        <v>922</v>
      </c>
      <c r="H86">
        <v>49</v>
      </c>
      <c r="I86">
        <v>21</v>
      </c>
      <c r="J86" t="s">
        <v>24</v>
      </c>
      <c r="K86" t="s">
        <v>1014</v>
      </c>
      <c r="L86"/>
      <c r="M86" s="1">
        <v>112</v>
      </c>
      <c r="N86" s="1" t="s">
        <v>129</v>
      </c>
      <c r="O86" s="2">
        <v>46029.839953703704</v>
      </c>
      <c r="P86" s="92">
        <v>-20.870147486935199</v>
      </c>
      <c r="Q86" s="93">
        <v>801.36190538475159</v>
      </c>
    </row>
    <row r="87" spans="2:17" x14ac:dyDescent="0.3">
      <c r="B87" t="s">
        <v>905</v>
      </c>
      <c r="C87" s="79">
        <v>1.3</v>
      </c>
      <c r="D87" s="78">
        <v>45945</v>
      </c>
      <c r="E87">
        <v>13</v>
      </c>
      <c r="F87" t="s">
        <v>921</v>
      </c>
      <c r="G87" t="s">
        <v>926</v>
      </c>
      <c r="H87">
        <v>49</v>
      </c>
      <c r="I87">
        <v>22</v>
      </c>
      <c r="J87" t="s">
        <v>24</v>
      </c>
      <c r="K87" t="s">
        <v>1015</v>
      </c>
      <c r="L87"/>
      <c r="M87" s="4">
        <v>113</v>
      </c>
      <c r="N87" s="4" t="s">
        <v>130</v>
      </c>
      <c r="O87" s="12">
        <v>46029.843692129631</v>
      </c>
      <c r="P87" s="92">
        <v>-20.264084750600386</v>
      </c>
      <c r="Q87" s="93">
        <v>577.71855600149536</v>
      </c>
    </row>
    <row r="88" spans="2:17" x14ac:dyDescent="0.3">
      <c r="B88" t="s">
        <v>905</v>
      </c>
      <c r="C88" s="79">
        <v>1.3</v>
      </c>
      <c r="D88" s="78">
        <v>45945</v>
      </c>
      <c r="E88">
        <v>16</v>
      </c>
      <c r="F88" t="s">
        <v>925</v>
      </c>
      <c r="G88" t="s">
        <v>930</v>
      </c>
      <c r="H88">
        <v>49</v>
      </c>
      <c r="I88">
        <v>23</v>
      </c>
      <c r="J88" t="s">
        <v>24</v>
      </c>
      <c r="K88" t="s">
        <v>1016</v>
      </c>
      <c r="L88"/>
      <c r="M88" s="1">
        <v>114</v>
      </c>
      <c r="N88" s="1" t="s">
        <v>131</v>
      </c>
      <c r="O88" s="2">
        <v>46029.847453703704</v>
      </c>
      <c r="P88" s="92">
        <v>-20.895310031631933</v>
      </c>
      <c r="Q88" s="93">
        <v>781.71185317574566</v>
      </c>
    </row>
    <row r="89" spans="2:17" x14ac:dyDescent="0.3">
      <c r="B89" t="s">
        <v>905</v>
      </c>
      <c r="C89" s="79">
        <v>1.3</v>
      </c>
      <c r="D89" s="78">
        <v>45945</v>
      </c>
      <c r="E89">
        <v>15</v>
      </c>
      <c r="F89" t="s">
        <v>929</v>
      </c>
      <c r="G89" t="s">
        <v>933</v>
      </c>
      <c r="H89">
        <v>49</v>
      </c>
      <c r="I89">
        <v>24</v>
      </c>
      <c r="J89" t="s">
        <v>24</v>
      </c>
      <c r="K89" t="s">
        <v>1017</v>
      </c>
      <c r="L89"/>
      <c r="M89" s="4">
        <v>115</v>
      </c>
      <c r="N89" s="4" t="s">
        <v>132</v>
      </c>
      <c r="O89" s="12">
        <v>46029.851168981484</v>
      </c>
      <c r="P89" s="92">
        <v>-19.466174656350091</v>
      </c>
      <c r="Q89" s="93">
        <v>701.39338046566922</v>
      </c>
    </row>
    <row r="90" spans="2:17" x14ac:dyDescent="0.3">
      <c r="B90" t="s">
        <v>905</v>
      </c>
      <c r="C90" s="79">
        <v>1.3</v>
      </c>
      <c r="D90" s="78">
        <v>45945</v>
      </c>
      <c r="E90">
        <v>11</v>
      </c>
      <c r="F90" t="s">
        <v>932</v>
      </c>
      <c r="G90" t="s">
        <v>907</v>
      </c>
      <c r="H90">
        <v>49</v>
      </c>
      <c r="I90">
        <v>25</v>
      </c>
      <c r="J90" t="s">
        <v>25</v>
      </c>
      <c r="K90" t="s">
        <v>1018</v>
      </c>
      <c r="L90"/>
      <c r="M90" s="1">
        <v>116</v>
      </c>
      <c r="N90" s="1" t="s">
        <v>133</v>
      </c>
      <c r="O90" s="2">
        <v>46029.854895833334</v>
      </c>
      <c r="P90" s="92">
        <v>-20.699219875529799</v>
      </c>
      <c r="Q90" s="93">
        <v>794.84511403513784</v>
      </c>
    </row>
    <row r="91" spans="2:17" x14ac:dyDescent="0.3">
      <c r="B91" t="s">
        <v>905</v>
      </c>
      <c r="C91" s="79">
        <v>1.3</v>
      </c>
      <c r="D91" s="78">
        <v>45945</v>
      </c>
      <c r="E91">
        <v>14</v>
      </c>
      <c r="F91" t="s">
        <v>906</v>
      </c>
      <c r="G91" t="s">
        <v>15</v>
      </c>
      <c r="H91">
        <v>49</v>
      </c>
      <c r="I91">
        <v>26</v>
      </c>
      <c r="J91" t="s">
        <v>25</v>
      </c>
      <c r="K91" t="s">
        <v>1019</v>
      </c>
      <c r="L91"/>
      <c r="M91" s="4">
        <v>117</v>
      </c>
      <c r="N91" s="4" t="s">
        <v>134</v>
      </c>
      <c r="O91" s="12">
        <v>46029.858622685184</v>
      </c>
      <c r="P91" s="92">
        <v>-19.693274356327315</v>
      </c>
      <c r="Q91" s="93">
        <v>710.56007590779302</v>
      </c>
    </row>
    <row r="92" spans="2:17" x14ac:dyDescent="0.3">
      <c r="B92" t="s">
        <v>905</v>
      </c>
      <c r="C92" s="79">
        <v>1.3</v>
      </c>
      <c r="D92" s="78">
        <v>45945</v>
      </c>
      <c r="E92">
        <v>9</v>
      </c>
      <c r="F92" t="s">
        <v>910</v>
      </c>
      <c r="G92" t="s">
        <v>914</v>
      </c>
      <c r="H92">
        <v>49</v>
      </c>
      <c r="I92">
        <v>27</v>
      </c>
      <c r="J92" t="s">
        <v>25</v>
      </c>
      <c r="K92" t="s">
        <v>1020</v>
      </c>
      <c r="L92"/>
      <c r="M92" s="1">
        <v>118</v>
      </c>
      <c r="N92" s="1" t="s">
        <v>135</v>
      </c>
      <c r="O92" s="2">
        <v>46029.862372685187</v>
      </c>
      <c r="P92" s="92">
        <v>-19.365424589449383</v>
      </c>
      <c r="Q92" s="93">
        <v>691.41973725639639</v>
      </c>
    </row>
    <row r="93" spans="2:17" x14ac:dyDescent="0.3">
      <c r="B93" t="s">
        <v>905</v>
      </c>
      <c r="C93" s="79">
        <v>1.3</v>
      </c>
      <c r="D93" s="78">
        <v>45945</v>
      </c>
      <c r="E93">
        <v>12</v>
      </c>
      <c r="F93" t="s">
        <v>917</v>
      </c>
      <c r="G93" t="s">
        <v>918</v>
      </c>
      <c r="H93">
        <v>49</v>
      </c>
      <c r="I93">
        <v>28</v>
      </c>
      <c r="J93" t="s">
        <v>25</v>
      </c>
      <c r="K93" t="s">
        <v>1021</v>
      </c>
      <c r="L93"/>
      <c r="M93" s="4">
        <v>119</v>
      </c>
      <c r="N93" s="4" t="s">
        <v>136</v>
      </c>
      <c r="O93" s="12">
        <v>46029.866203703707</v>
      </c>
      <c r="P93" s="92">
        <v>-19.134358885290485</v>
      </c>
      <c r="Q93" s="93">
        <v>675.82612188568146</v>
      </c>
    </row>
    <row r="94" spans="2:17" x14ac:dyDescent="0.3">
      <c r="B94" t="s">
        <v>905</v>
      </c>
      <c r="C94" s="79">
        <v>1.3</v>
      </c>
      <c r="D94" s="78">
        <v>45945</v>
      </c>
      <c r="E94">
        <v>13</v>
      </c>
      <c r="F94" t="s">
        <v>921</v>
      </c>
      <c r="G94" t="s">
        <v>922</v>
      </c>
      <c r="H94">
        <v>49</v>
      </c>
      <c r="I94">
        <v>29</v>
      </c>
      <c r="J94" t="s">
        <v>25</v>
      </c>
      <c r="K94" t="s">
        <v>1022</v>
      </c>
      <c r="L94"/>
      <c r="M94" s="1">
        <v>120</v>
      </c>
      <c r="N94" s="1" t="s">
        <v>137</v>
      </c>
      <c r="O94" s="2">
        <v>46029.869930555556</v>
      </c>
      <c r="P94" s="92">
        <v>-21.285733408477483</v>
      </c>
      <c r="Q94" s="93">
        <v>824.1378912268251</v>
      </c>
    </row>
    <row r="95" spans="2:17" x14ac:dyDescent="0.3">
      <c r="B95" t="s">
        <v>905</v>
      </c>
      <c r="C95" s="79">
        <v>1.3</v>
      </c>
      <c r="D95" s="78">
        <v>45945</v>
      </c>
      <c r="E95">
        <v>16</v>
      </c>
      <c r="F95" t="s">
        <v>925</v>
      </c>
      <c r="G95" t="s">
        <v>926</v>
      </c>
      <c r="H95">
        <v>49</v>
      </c>
      <c r="I95">
        <v>30</v>
      </c>
      <c r="J95" t="s">
        <v>25</v>
      </c>
      <c r="K95" t="s">
        <v>1023</v>
      </c>
      <c r="L95"/>
      <c r="M95" s="4">
        <v>121</v>
      </c>
      <c r="N95" s="4" t="s">
        <v>138</v>
      </c>
      <c r="O95" s="12">
        <v>46029.873680555553</v>
      </c>
      <c r="P95" s="92">
        <v>-20.568311078600939</v>
      </c>
      <c r="Q95" s="93">
        <v>781.31939410787368</v>
      </c>
    </row>
    <row r="96" spans="2:17" x14ac:dyDescent="0.3">
      <c r="B96" t="s">
        <v>905</v>
      </c>
      <c r="C96" s="79">
        <v>1.3</v>
      </c>
      <c r="D96" s="78">
        <v>45945</v>
      </c>
      <c r="E96">
        <v>15</v>
      </c>
      <c r="F96" t="s">
        <v>929</v>
      </c>
      <c r="G96" t="s">
        <v>930</v>
      </c>
      <c r="H96">
        <v>49</v>
      </c>
      <c r="I96">
        <v>31</v>
      </c>
      <c r="J96" t="s">
        <v>25</v>
      </c>
      <c r="K96" t="s">
        <v>1024</v>
      </c>
      <c r="L96"/>
      <c r="M96" s="1">
        <v>122</v>
      </c>
      <c r="N96" s="1" t="s">
        <v>139</v>
      </c>
      <c r="O96" s="2">
        <v>46029.877418981479</v>
      </c>
      <c r="P96" s="92">
        <v>-21.077692982767182</v>
      </c>
      <c r="Q96" s="93">
        <v>788.45055160815923</v>
      </c>
    </row>
    <row r="97" spans="2:17" x14ac:dyDescent="0.3">
      <c r="B97" t="s">
        <v>905</v>
      </c>
      <c r="C97" s="79">
        <v>1.3</v>
      </c>
      <c r="D97" s="78">
        <v>45945</v>
      </c>
      <c r="E97">
        <v>11</v>
      </c>
      <c r="F97" t="s">
        <v>932</v>
      </c>
      <c r="G97" t="s">
        <v>933</v>
      </c>
      <c r="H97">
        <v>49</v>
      </c>
      <c r="I97">
        <v>32</v>
      </c>
      <c r="J97" t="s">
        <v>25</v>
      </c>
      <c r="K97" t="s">
        <v>1025</v>
      </c>
      <c r="L97"/>
      <c r="M97" s="4">
        <v>123</v>
      </c>
      <c r="N97" s="4" t="s">
        <v>140</v>
      </c>
      <c r="O97" s="12">
        <v>46029.88113425926</v>
      </c>
      <c r="P97" s="92">
        <v>-19.654568164724353</v>
      </c>
      <c r="Q97" s="93">
        <v>721.45266268774606</v>
      </c>
    </row>
    <row r="98" spans="2:17" x14ac:dyDescent="0.3">
      <c r="B98" t="s">
        <v>905</v>
      </c>
      <c r="C98" s="79">
        <v>1.4</v>
      </c>
      <c r="D98" s="78">
        <v>45947</v>
      </c>
      <c r="E98">
        <v>14</v>
      </c>
      <c r="F98" t="s">
        <v>906</v>
      </c>
      <c r="G98" t="s">
        <v>907</v>
      </c>
      <c r="H98">
        <v>97</v>
      </c>
      <c r="I98">
        <v>1</v>
      </c>
      <c r="J98" t="s">
        <v>908</v>
      </c>
      <c r="K98" t="s">
        <v>1026</v>
      </c>
      <c r="L98"/>
      <c r="M98" s="1">
        <v>124</v>
      </c>
      <c r="N98" s="1" t="s">
        <v>141</v>
      </c>
      <c r="O98" s="2">
        <v>46029.884884259256</v>
      </c>
      <c r="P98" s="92">
        <v>-17.273892197945948</v>
      </c>
      <c r="Q98" s="93">
        <v>545.94633195126767</v>
      </c>
    </row>
    <row r="99" spans="2:17" x14ac:dyDescent="0.3">
      <c r="B99" t="s">
        <v>905</v>
      </c>
      <c r="C99" s="79">
        <v>1.4</v>
      </c>
      <c r="D99" s="78">
        <v>45947</v>
      </c>
      <c r="E99">
        <v>9</v>
      </c>
      <c r="F99" t="s">
        <v>910</v>
      </c>
      <c r="G99" t="s">
        <v>15</v>
      </c>
      <c r="H99">
        <v>97</v>
      </c>
      <c r="I99">
        <v>2</v>
      </c>
      <c r="J99" t="s">
        <v>908</v>
      </c>
      <c r="K99" t="s">
        <v>1027</v>
      </c>
      <c r="L99"/>
      <c r="M99" s="4">
        <v>125</v>
      </c>
      <c r="N99" s="4" t="s">
        <v>142</v>
      </c>
      <c r="O99" s="12">
        <v>46029.88863425926</v>
      </c>
      <c r="P99" s="92">
        <v>-16.649710932114854</v>
      </c>
      <c r="Q99" s="93">
        <v>518.78337004872253</v>
      </c>
    </row>
    <row r="100" spans="2:17" x14ac:dyDescent="0.3">
      <c r="B100" t="s">
        <v>905</v>
      </c>
      <c r="C100" s="79">
        <v>1.4</v>
      </c>
      <c r="D100" s="78">
        <v>45947</v>
      </c>
      <c r="E100">
        <v>10</v>
      </c>
      <c r="F100" t="s">
        <v>913</v>
      </c>
      <c r="G100" t="s">
        <v>914</v>
      </c>
      <c r="H100">
        <v>97</v>
      </c>
      <c r="I100">
        <v>3</v>
      </c>
      <c r="J100" t="s">
        <v>908</v>
      </c>
      <c r="K100" t="s">
        <v>1028</v>
      </c>
      <c r="L100"/>
      <c r="M100" s="1">
        <v>126</v>
      </c>
      <c r="N100" s="1" t="s">
        <v>143</v>
      </c>
      <c r="O100" s="2">
        <v>46029.892361111109</v>
      </c>
      <c r="P100" s="92">
        <v>-17.363424362756497</v>
      </c>
      <c r="Q100" s="93">
        <v>539.63012868631949</v>
      </c>
    </row>
    <row r="101" spans="2:17" x14ac:dyDescent="0.3">
      <c r="B101" t="s">
        <v>905</v>
      </c>
      <c r="C101" s="79">
        <v>1.4</v>
      </c>
      <c r="D101" s="78">
        <v>45947</v>
      </c>
      <c r="E101">
        <v>12</v>
      </c>
      <c r="F101" t="s">
        <v>917</v>
      </c>
      <c r="G101" t="s">
        <v>918</v>
      </c>
      <c r="H101">
        <v>97</v>
      </c>
      <c r="I101">
        <v>4</v>
      </c>
      <c r="J101" t="s">
        <v>908</v>
      </c>
      <c r="K101" t="s">
        <v>1029</v>
      </c>
      <c r="L101"/>
      <c r="M101" s="4">
        <v>127</v>
      </c>
      <c r="N101" s="4" t="s">
        <v>144</v>
      </c>
      <c r="O101" s="12">
        <v>46029.896111111113</v>
      </c>
      <c r="P101" s="92">
        <v>-17.563342066403592</v>
      </c>
      <c r="Q101" s="93">
        <v>560.92515479134806</v>
      </c>
    </row>
    <row r="102" spans="2:17" x14ac:dyDescent="0.3">
      <c r="B102" t="s">
        <v>905</v>
      </c>
      <c r="C102" s="79">
        <v>1.4</v>
      </c>
      <c r="D102" s="78">
        <v>45947</v>
      </c>
      <c r="E102">
        <v>13</v>
      </c>
      <c r="F102" t="s">
        <v>921</v>
      </c>
      <c r="G102" t="s">
        <v>922</v>
      </c>
      <c r="H102">
        <v>97</v>
      </c>
      <c r="I102">
        <v>5</v>
      </c>
      <c r="J102" t="s">
        <v>908</v>
      </c>
      <c r="K102" t="s">
        <v>1030</v>
      </c>
      <c r="L102"/>
      <c r="M102" s="1">
        <v>128</v>
      </c>
      <c r="N102" s="1" t="s">
        <v>145</v>
      </c>
      <c r="O102" s="2">
        <v>46029.899861111109</v>
      </c>
      <c r="P102" s="92">
        <v>-17.555731049768024</v>
      </c>
      <c r="Q102" s="93">
        <v>551.79583865928601</v>
      </c>
    </row>
    <row r="103" spans="2:17" x14ac:dyDescent="0.3">
      <c r="B103" t="s">
        <v>905</v>
      </c>
      <c r="C103" s="79">
        <v>1.4</v>
      </c>
      <c r="D103" s="78">
        <v>45947</v>
      </c>
      <c r="E103">
        <v>16</v>
      </c>
      <c r="F103" t="s">
        <v>925</v>
      </c>
      <c r="G103" t="s">
        <v>926</v>
      </c>
      <c r="H103">
        <v>97</v>
      </c>
      <c r="I103">
        <v>6</v>
      </c>
      <c r="J103" t="s">
        <v>908</v>
      </c>
      <c r="K103" t="s">
        <v>1031</v>
      </c>
      <c r="L103"/>
      <c r="M103" s="4">
        <v>129</v>
      </c>
      <c r="N103" s="4" t="s">
        <v>146</v>
      </c>
      <c r="O103" s="12">
        <v>46029.903599537036</v>
      </c>
      <c r="P103" s="92">
        <v>-18.320689493455212</v>
      </c>
      <c r="Q103" s="93">
        <v>595.90787783390817</v>
      </c>
    </row>
    <row r="104" spans="2:17" x14ac:dyDescent="0.3">
      <c r="B104" t="s">
        <v>905</v>
      </c>
      <c r="C104" s="79">
        <v>1.4</v>
      </c>
      <c r="D104" s="78">
        <v>45947</v>
      </c>
      <c r="E104">
        <v>15</v>
      </c>
      <c r="F104" t="s">
        <v>929</v>
      </c>
      <c r="G104" t="s">
        <v>930</v>
      </c>
      <c r="H104">
        <v>97</v>
      </c>
      <c r="I104">
        <v>7</v>
      </c>
      <c r="J104" t="s">
        <v>908</v>
      </c>
      <c r="K104" t="s">
        <v>1032</v>
      </c>
      <c r="L104"/>
      <c r="M104" s="1">
        <v>130</v>
      </c>
      <c r="N104" s="1" t="s">
        <v>147</v>
      </c>
      <c r="O104" s="2">
        <v>46029.907337962963</v>
      </c>
      <c r="P104" s="92">
        <v>-17.98835045968956</v>
      </c>
      <c r="Q104" s="93">
        <v>582.04223832528464</v>
      </c>
    </row>
    <row r="105" spans="2:17" x14ac:dyDescent="0.3">
      <c r="B105" t="s">
        <v>905</v>
      </c>
      <c r="C105" s="79">
        <v>1.4</v>
      </c>
      <c r="D105" s="78">
        <v>45947</v>
      </c>
      <c r="E105">
        <v>11</v>
      </c>
      <c r="F105" t="s">
        <v>932</v>
      </c>
      <c r="G105" t="s">
        <v>933</v>
      </c>
      <c r="H105">
        <v>97</v>
      </c>
      <c r="I105">
        <v>8</v>
      </c>
      <c r="J105" t="s">
        <v>908</v>
      </c>
      <c r="K105" t="s">
        <v>1033</v>
      </c>
      <c r="L105"/>
      <c r="M105" s="4">
        <v>131</v>
      </c>
      <c r="N105" s="4" t="s">
        <v>148</v>
      </c>
      <c r="O105" s="12">
        <v>46029.911134259259</v>
      </c>
      <c r="P105" s="92">
        <v>-18.665450173544059</v>
      </c>
      <c r="Q105" s="93">
        <v>642.54877656719054</v>
      </c>
    </row>
    <row r="106" spans="2:17" x14ac:dyDescent="0.3">
      <c r="B106" t="s">
        <v>905</v>
      </c>
      <c r="C106" s="79">
        <v>1.4</v>
      </c>
      <c r="D106" s="78">
        <v>45947</v>
      </c>
      <c r="E106">
        <v>14</v>
      </c>
      <c r="F106" t="s">
        <v>906</v>
      </c>
      <c r="G106" t="s">
        <v>907</v>
      </c>
      <c r="H106">
        <v>97</v>
      </c>
      <c r="I106">
        <v>9</v>
      </c>
      <c r="J106" t="s">
        <v>935</v>
      </c>
      <c r="K106" t="s">
        <v>1034</v>
      </c>
      <c r="L106"/>
      <c r="M106" s="1">
        <v>132</v>
      </c>
      <c r="N106" s="1" t="s">
        <v>149</v>
      </c>
      <c r="O106" s="2">
        <v>46029.914872685185</v>
      </c>
      <c r="P106" s="92">
        <v>-18.424240050740408</v>
      </c>
      <c r="Q106" s="93">
        <v>626.92455659026541</v>
      </c>
    </row>
    <row r="107" spans="2:17" x14ac:dyDescent="0.3">
      <c r="B107" t="s">
        <v>905</v>
      </c>
      <c r="C107" s="79">
        <v>1.4</v>
      </c>
      <c r="D107" s="78">
        <v>45947</v>
      </c>
      <c r="E107">
        <v>9</v>
      </c>
      <c r="F107" t="s">
        <v>910</v>
      </c>
      <c r="G107" t="s">
        <v>15</v>
      </c>
      <c r="H107">
        <v>97</v>
      </c>
      <c r="I107">
        <v>10</v>
      </c>
      <c r="J107" t="s">
        <v>935</v>
      </c>
      <c r="K107" t="s">
        <v>1035</v>
      </c>
      <c r="L107"/>
      <c r="M107" s="4">
        <v>133</v>
      </c>
      <c r="N107" s="4" t="s">
        <v>150</v>
      </c>
      <c r="O107" s="12">
        <v>46029.918611111112</v>
      </c>
      <c r="P107" s="92">
        <v>-17.560823154032935</v>
      </c>
      <c r="Q107" s="93">
        <v>579.65252076111278</v>
      </c>
    </row>
    <row r="108" spans="2:17" x14ac:dyDescent="0.3">
      <c r="B108" t="s">
        <v>905</v>
      </c>
      <c r="C108" s="79">
        <v>1.4</v>
      </c>
      <c r="D108" s="78">
        <v>45947</v>
      </c>
      <c r="E108">
        <v>10</v>
      </c>
      <c r="F108" t="s">
        <v>913</v>
      </c>
      <c r="G108" t="s">
        <v>914</v>
      </c>
      <c r="H108">
        <v>97</v>
      </c>
      <c r="I108">
        <v>11</v>
      </c>
      <c r="J108" t="s">
        <v>935</v>
      </c>
      <c r="K108" t="s">
        <v>1036</v>
      </c>
      <c r="L108"/>
      <c r="M108" s="1">
        <v>134</v>
      </c>
      <c r="N108" s="1" t="s">
        <v>151</v>
      </c>
      <c r="O108" s="2">
        <v>46029.922361111108</v>
      </c>
      <c r="P108" s="92">
        <v>-17.64242741841187</v>
      </c>
      <c r="Q108" s="93">
        <v>570.66547340993191</v>
      </c>
    </row>
    <row r="109" spans="2:17" x14ac:dyDescent="0.3">
      <c r="B109" t="s">
        <v>905</v>
      </c>
      <c r="C109" s="79">
        <v>1.4</v>
      </c>
      <c r="D109" s="78">
        <v>45947</v>
      </c>
      <c r="E109">
        <v>12</v>
      </c>
      <c r="F109" t="s">
        <v>917</v>
      </c>
      <c r="G109" t="s">
        <v>918</v>
      </c>
      <c r="H109">
        <v>97</v>
      </c>
      <c r="I109">
        <v>12</v>
      </c>
      <c r="J109" t="s">
        <v>935</v>
      </c>
      <c r="K109" t="s">
        <v>1037</v>
      </c>
      <c r="L109"/>
      <c r="M109" s="4">
        <v>135</v>
      </c>
      <c r="N109" s="4" t="s">
        <v>152</v>
      </c>
      <c r="O109" s="12">
        <v>46029.926099537035</v>
      </c>
      <c r="P109" s="92">
        <v>-18.143639451945806</v>
      </c>
      <c r="Q109" s="93">
        <v>578.00626772520206</v>
      </c>
    </row>
    <row r="110" spans="2:17" x14ac:dyDescent="0.3">
      <c r="B110" t="s">
        <v>905</v>
      </c>
      <c r="C110" s="79">
        <v>1.4</v>
      </c>
      <c r="D110" s="78">
        <v>45947</v>
      </c>
      <c r="E110">
        <v>13</v>
      </c>
      <c r="F110" t="s">
        <v>921</v>
      </c>
      <c r="G110" t="s">
        <v>922</v>
      </c>
      <c r="H110">
        <v>97</v>
      </c>
      <c r="I110">
        <v>13</v>
      </c>
      <c r="J110" t="s">
        <v>935</v>
      </c>
      <c r="K110" t="s">
        <v>1038</v>
      </c>
      <c r="L110"/>
      <c r="M110" s="1">
        <v>136</v>
      </c>
      <c r="N110" s="1" t="s">
        <v>153</v>
      </c>
      <c r="O110" s="2">
        <v>46029.929837962962</v>
      </c>
      <c r="P110" s="92">
        <v>-18.652028237688651</v>
      </c>
      <c r="Q110" s="93">
        <v>617.48999978047527</v>
      </c>
    </row>
    <row r="111" spans="2:17" x14ac:dyDescent="0.3">
      <c r="B111" t="s">
        <v>905</v>
      </c>
      <c r="C111" s="79">
        <v>1.4</v>
      </c>
      <c r="D111" s="78">
        <v>45947</v>
      </c>
      <c r="E111">
        <v>16</v>
      </c>
      <c r="F111" t="s">
        <v>925</v>
      </c>
      <c r="G111" t="s">
        <v>926</v>
      </c>
      <c r="H111">
        <v>97</v>
      </c>
      <c r="I111">
        <v>14</v>
      </c>
      <c r="J111" t="s">
        <v>935</v>
      </c>
      <c r="K111" t="s">
        <v>1039</v>
      </c>
      <c r="L111"/>
      <c r="M111" s="4">
        <v>137</v>
      </c>
      <c r="N111" s="4" t="s">
        <v>154</v>
      </c>
      <c r="O111" s="12">
        <v>46029.933576388888</v>
      </c>
      <c r="P111" s="92">
        <v>-18.679549111592749</v>
      </c>
      <c r="Q111" s="93">
        <v>647.85194841636041</v>
      </c>
    </row>
    <row r="112" spans="2:17" x14ac:dyDescent="0.3">
      <c r="B112" t="s">
        <v>905</v>
      </c>
      <c r="C112" s="79">
        <v>1.4</v>
      </c>
      <c r="D112" s="78">
        <v>45947</v>
      </c>
      <c r="E112">
        <v>15</v>
      </c>
      <c r="F112" t="s">
        <v>929</v>
      </c>
      <c r="G112" t="s">
        <v>930</v>
      </c>
      <c r="H112">
        <v>97</v>
      </c>
      <c r="I112">
        <v>15</v>
      </c>
      <c r="J112" t="s">
        <v>935</v>
      </c>
      <c r="K112" t="s">
        <v>1040</v>
      </c>
      <c r="L112"/>
      <c r="M112" s="1">
        <v>138</v>
      </c>
      <c r="N112" s="1" t="s">
        <v>155</v>
      </c>
      <c r="O112" s="2">
        <v>46029.937326388892</v>
      </c>
      <c r="P112" s="92">
        <v>-18.724824336782547</v>
      </c>
      <c r="Q112" s="93">
        <v>643.98392414602279</v>
      </c>
    </row>
    <row r="113" spans="2:17" x14ac:dyDescent="0.3">
      <c r="B113" t="s">
        <v>905</v>
      </c>
      <c r="C113" s="79">
        <v>1.4</v>
      </c>
      <c r="D113" s="78">
        <v>45947</v>
      </c>
      <c r="E113">
        <v>11</v>
      </c>
      <c r="F113" t="s">
        <v>932</v>
      </c>
      <c r="G113" t="s">
        <v>933</v>
      </c>
      <c r="H113">
        <v>97</v>
      </c>
      <c r="I113">
        <v>16</v>
      </c>
      <c r="J113" t="s">
        <v>935</v>
      </c>
      <c r="K113" t="s">
        <v>1041</v>
      </c>
      <c r="L113"/>
      <c r="M113" s="4">
        <v>139</v>
      </c>
      <c r="N113" s="4" t="s">
        <v>156</v>
      </c>
      <c r="O113" s="12">
        <v>46029.941064814811</v>
      </c>
      <c r="P113" s="92">
        <v>-18.445321408531527</v>
      </c>
      <c r="Q113" s="93">
        <v>648.99639961174728</v>
      </c>
    </row>
    <row r="114" spans="2:17" x14ac:dyDescent="0.3">
      <c r="B114" t="s">
        <v>905</v>
      </c>
      <c r="C114" s="79">
        <v>1.4</v>
      </c>
      <c r="D114" s="78">
        <v>45947</v>
      </c>
      <c r="E114">
        <v>14</v>
      </c>
      <c r="F114" t="s">
        <v>906</v>
      </c>
      <c r="G114" t="s">
        <v>907</v>
      </c>
      <c r="H114">
        <v>97</v>
      </c>
      <c r="I114">
        <v>17</v>
      </c>
      <c r="J114" t="s">
        <v>24</v>
      </c>
      <c r="K114" t="s">
        <v>1042</v>
      </c>
      <c r="L114"/>
      <c r="M114" s="1">
        <v>140</v>
      </c>
      <c r="N114" s="1" t="s">
        <v>157</v>
      </c>
      <c r="O114" s="2">
        <v>46029.944884259261</v>
      </c>
      <c r="P114" s="92">
        <v>-19.136211752803185</v>
      </c>
      <c r="Q114" s="93">
        <v>666.4483209864793</v>
      </c>
    </row>
    <row r="115" spans="2:17" x14ac:dyDescent="0.3">
      <c r="B115" t="s">
        <v>905</v>
      </c>
      <c r="C115" s="79">
        <v>1.4</v>
      </c>
      <c r="D115" s="78">
        <v>45947</v>
      </c>
      <c r="E115">
        <v>9</v>
      </c>
      <c r="F115" t="s">
        <v>910</v>
      </c>
      <c r="G115" t="s">
        <v>15</v>
      </c>
      <c r="H115">
        <v>97</v>
      </c>
      <c r="I115">
        <v>18</v>
      </c>
      <c r="J115" t="s">
        <v>24</v>
      </c>
      <c r="K115" t="s">
        <v>1043</v>
      </c>
      <c r="L115"/>
      <c r="M115" s="4">
        <v>141</v>
      </c>
      <c r="N115" s="4" t="s">
        <v>158</v>
      </c>
      <c r="O115" s="12">
        <v>46029.948622685188</v>
      </c>
      <c r="P115" s="92">
        <v>-18.034352755140844</v>
      </c>
      <c r="Q115" s="93">
        <v>618.06802888321624</v>
      </c>
    </row>
    <row r="116" spans="2:17" x14ac:dyDescent="0.3">
      <c r="B116" t="s">
        <v>905</v>
      </c>
      <c r="C116" s="79">
        <v>1.4</v>
      </c>
      <c r="D116" s="78">
        <v>45947</v>
      </c>
      <c r="E116">
        <v>10</v>
      </c>
      <c r="F116" t="s">
        <v>913</v>
      </c>
      <c r="G116" t="s">
        <v>914</v>
      </c>
      <c r="H116">
        <v>97</v>
      </c>
      <c r="I116">
        <v>19</v>
      </c>
      <c r="J116" t="s">
        <v>24</v>
      </c>
      <c r="K116" t="s">
        <v>1044</v>
      </c>
      <c r="L116"/>
      <c r="M116" s="1">
        <v>142</v>
      </c>
      <c r="N116" s="1" t="s">
        <v>159</v>
      </c>
      <c r="O116" s="2">
        <v>46029.952349537038</v>
      </c>
      <c r="P116" s="92">
        <v>-18.072782403037305</v>
      </c>
      <c r="Q116" s="93">
        <v>584.3499014344161</v>
      </c>
    </row>
    <row r="117" spans="2:17" x14ac:dyDescent="0.3">
      <c r="B117" t="s">
        <v>905</v>
      </c>
      <c r="C117" s="79">
        <v>1.4</v>
      </c>
      <c r="D117" s="78">
        <v>45947</v>
      </c>
      <c r="E117">
        <v>12</v>
      </c>
      <c r="F117" t="s">
        <v>917</v>
      </c>
      <c r="G117" t="s">
        <v>918</v>
      </c>
      <c r="H117">
        <v>97</v>
      </c>
      <c r="I117">
        <v>20</v>
      </c>
      <c r="J117" t="s">
        <v>24</v>
      </c>
      <c r="K117" t="s">
        <v>1045</v>
      </c>
      <c r="L117"/>
      <c r="M117" s="4">
        <v>143</v>
      </c>
      <c r="N117" s="4" t="s">
        <v>160</v>
      </c>
      <c r="O117" s="12">
        <v>46029.956099537034</v>
      </c>
      <c r="P117" s="92">
        <v>-18.13822378712775</v>
      </c>
      <c r="Q117" s="93">
        <v>601.67106628725935</v>
      </c>
    </row>
    <row r="118" spans="2:17" x14ac:dyDescent="0.3">
      <c r="B118" t="s">
        <v>905</v>
      </c>
      <c r="C118" s="79">
        <v>1.4</v>
      </c>
      <c r="D118" s="78">
        <v>45947</v>
      </c>
      <c r="E118">
        <v>13</v>
      </c>
      <c r="F118" t="s">
        <v>921</v>
      </c>
      <c r="G118" t="s">
        <v>922</v>
      </c>
      <c r="H118">
        <v>97</v>
      </c>
      <c r="I118">
        <v>21</v>
      </c>
      <c r="J118" t="s">
        <v>24</v>
      </c>
      <c r="K118" t="s">
        <v>1046</v>
      </c>
      <c r="L118"/>
      <c r="M118" s="1">
        <v>144</v>
      </c>
      <c r="N118" s="1" t="s">
        <v>161</v>
      </c>
      <c r="O118" s="2">
        <v>46029.959849537037</v>
      </c>
      <c r="P118" s="92">
        <v>-19.851775104007469</v>
      </c>
      <c r="Q118" s="93">
        <v>708.01743006367303</v>
      </c>
    </row>
    <row r="119" spans="2:17" x14ac:dyDescent="0.3">
      <c r="B119" t="s">
        <v>905</v>
      </c>
      <c r="C119" s="79">
        <v>1.4</v>
      </c>
      <c r="D119" s="78">
        <v>45947</v>
      </c>
      <c r="E119">
        <v>16</v>
      </c>
      <c r="F119" t="s">
        <v>925</v>
      </c>
      <c r="G119" t="s">
        <v>926</v>
      </c>
      <c r="H119">
        <v>97</v>
      </c>
      <c r="I119">
        <v>22</v>
      </c>
      <c r="J119" t="s">
        <v>24</v>
      </c>
      <c r="K119" t="s">
        <v>1047</v>
      </c>
      <c r="L119"/>
      <c r="M119" s="4">
        <v>145</v>
      </c>
      <c r="N119" s="4" t="s">
        <v>162</v>
      </c>
      <c r="O119" s="12">
        <v>46029.963599537034</v>
      </c>
      <c r="P119" s="92">
        <v>-19.035983627511463</v>
      </c>
      <c r="Q119" s="93">
        <v>652.79648734136447</v>
      </c>
    </row>
    <row r="120" spans="2:17" x14ac:dyDescent="0.3">
      <c r="B120" t="s">
        <v>905</v>
      </c>
      <c r="C120" s="79">
        <v>1.4</v>
      </c>
      <c r="D120" s="78">
        <v>45947</v>
      </c>
      <c r="E120">
        <v>15</v>
      </c>
      <c r="F120" t="s">
        <v>929</v>
      </c>
      <c r="G120" t="s">
        <v>930</v>
      </c>
      <c r="H120">
        <v>97</v>
      </c>
      <c r="I120">
        <v>23</v>
      </c>
      <c r="J120" t="s">
        <v>24</v>
      </c>
      <c r="K120" t="s">
        <v>1048</v>
      </c>
      <c r="L120"/>
      <c r="M120" s="1">
        <v>146</v>
      </c>
      <c r="N120" s="1" t="s">
        <v>163</v>
      </c>
      <c r="O120" s="2">
        <v>46029.967349537037</v>
      </c>
      <c r="P120" s="92">
        <v>-19.507632863460191</v>
      </c>
      <c r="Q120" s="93">
        <v>675.17864022457491</v>
      </c>
    </row>
    <row r="121" spans="2:17" x14ac:dyDescent="0.3">
      <c r="B121" t="s">
        <v>905</v>
      </c>
      <c r="C121" s="79">
        <v>1.4</v>
      </c>
      <c r="D121" s="78">
        <v>45947</v>
      </c>
      <c r="E121">
        <v>11</v>
      </c>
      <c r="F121" t="s">
        <v>932</v>
      </c>
      <c r="G121" t="s">
        <v>933</v>
      </c>
      <c r="H121">
        <v>97</v>
      </c>
      <c r="I121">
        <v>24</v>
      </c>
      <c r="J121" t="s">
        <v>24</v>
      </c>
      <c r="K121" t="s">
        <v>1049</v>
      </c>
      <c r="L121"/>
      <c r="M121" s="4">
        <v>147</v>
      </c>
      <c r="N121" s="4" t="s">
        <v>164</v>
      </c>
      <c r="O121" s="12">
        <v>46029.971168981479</v>
      </c>
      <c r="P121" s="92">
        <v>-19.002236195831429</v>
      </c>
      <c r="Q121" s="93">
        <v>695.7316230678847</v>
      </c>
    </row>
    <row r="122" spans="2:17" x14ac:dyDescent="0.3">
      <c r="B122" t="s">
        <v>905</v>
      </c>
      <c r="C122" s="79">
        <v>1.4</v>
      </c>
      <c r="D122" s="78">
        <v>45947</v>
      </c>
      <c r="E122">
        <v>14</v>
      </c>
      <c r="F122" t="s">
        <v>906</v>
      </c>
      <c r="G122" t="s">
        <v>907</v>
      </c>
      <c r="H122">
        <v>97</v>
      </c>
      <c r="I122">
        <v>25</v>
      </c>
      <c r="J122" t="s">
        <v>25</v>
      </c>
      <c r="K122" t="s">
        <v>1050</v>
      </c>
      <c r="L122"/>
      <c r="M122" s="1">
        <v>148</v>
      </c>
      <c r="N122" s="1" t="s">
        <v>165</v>
      </c>
      <c r="O122" s="2">
        <v>46029.974895833337</v>
      </c>
      <c r="P122" s="92">
        <v>-19.622904222570305</v>
      </c>
      <c r="Q122" s="93">
        <v>702.65020646899814</v>
      </c>
    </row>
    <row r="123" spans="2:17" x14ac:dyDescent="0.3">
      <c r="B123" t="s">
        <v>905</v>
      </c>
      <c r="C123" s="79">
        <v>1.4</v>
      </c>
      <c r="D123" s="78">
        <v>45947</v>
      </c>
      <c r="E123">
        <v>9</v>
      </c>
      <c r="F123" t="s">
        <v>910</v>
      </c>
      <c r="G123" t="s">
        <v>15</v>
      </c>
      <c r="H123">
        <v>97</v>
      </c>
      <c r="I123">
        <v>26</v>
      </c>
      <c r="J123" t="s">
        <v>25</v>
      </c>
      <c r="K123" t="s">
        <v>1051</v>
      </c>
      <c r="L123"/>
      <c r="M123" s="4">
        <v>149</v>
      </c>
      <c r="N123" s="4" t="s">
        <v>166</v>
      </c>
      <c r="O123" s="12">
        <v>46029.978645833333</v>
      </c>
      <c r="P123" s="92">
        <v>-18.39218974096309</v>
      </c>
      <c r="Q123" s="93">
        <v>623.2933627014213</v>
      </c>
    </row>
    <row r="124" spans="2:17" x14ac:dyDescent="0.3">
      <c r="B124" t="s">
        <v>905</v>
      </c>
      <c r="C124" s="79">
        <v>1.4</v>
      </c>
      <c r="D124" s="78">
        <v>45947</v>
      </c>
      <c r="E124">
        <v>10</v>
      </c>
      <c r="F124" t="s">
        <v>913</v>
      </c>
      <c r="G124" t="s">
        <v>914</v>
      </c>
      <c r="H124">
        <v>97</v>
      </c>
      <c r="I124">
        <v>27</v>
      </c>
      <c r="J124" t="s">
        <v>25</v>
      </c>
      <c r="K124" t="s">
        <v>1052</v>
      </c>
      <c r="L124"/>
      <c r="M124" s="1">
        <v>150</v>
      </c>
      <c r="N124" s="1" t="s">
        <v>167</v>
      </c>
      <c r="O124" s="2">
        <v>46029.982418981483</v>
      </c>
      <c r="P124" s="92">
        <v>-18.354679151760291</v>
      </c>
      <c r="Q124" s="93">
        <v>616.81736170157058</v>
      </c>
    </row>
    <row r="125" spans="2:17" x14ac:dyDescent="0.3">
      <c r="B125" t="s">
        <v>905</v>
      </c>
      <c r="C125" s="79">
        <v>1.4</v>
      </c>
      <c r="D125" s="78">
        <v>45947</v>
      </c>
      <c r="E125">
        <v>12</v>
      </c>
      <c r="F125" t="s">
        <v>917</v>
      </c>
      <c r="G125" t="s">
        <v>918</v>
      </c>
      <c r="H125">
        <v>97</v>
      </c>
      <c r="I125">
        <v>28</v>
      </c>
      <c r="J125" t="s">
        <v>25</v>
      </c>
      <c r="K125" t="s">
        <v>1053</v>
      </c>
      <c r="L125"/>
      <c r="M125" s="4">
        <v>151</v>
      </c>
      <c r="N125" s="4" t="s">
        <v>168</v>
      </c>
      <c r="O125" s="12">
        <v>46029.986157407409</v>
      </c>
      <c r="P125" s="92">
        <v>-17.70194830648666</v>
      </c>
      <c r="Q125" s="93">
        <v>565.7761270023193</v>
      </c>
    </row>
    <row r="126" spans="2:17" x14ac:dyDescent="0.3">
      <c r="B126" t="s">
        <v>905</v>
      </c>
      <c r="C126" s="79">
        <v>1.4</v>
      </c>
      <c r="D126" s="78">
        <v>45947</v>
      </c>
      <c r="E126">
        <v>13</v>
      </c>
      <c r="F126" t="s">
        <v>921</v>
      </c>
      <c r="G126" t="s">
        <v>922</v>
      </c>
      <c r="H126">
        <v>97</v>
      </c>
      <c r="I126">
        <v>29</v>
      </c>
      <c r="J126" t="s">
        <v>25</v>
      </c>
      <c r="K126" t="s">
        <v>1054</v>
      </c>
      <c r="L126"/>
      <c r="M126" s="1">
        <v>152</v>
      </c>
      <c r="N126" s="1" t="s">
        <v>169</v>
      </c>
      <c r="O126" s="2">
        <v>46029.989895833336</v>
      </c>
      <c r="P126" s="92">
        <v>-20.04103327871341</v>
      </c>
      <c r="Q126" s="93">
        <v>744.7849322544638</v>
      </c>
    </row>
    <row r="127" spans="2:17" x14ac:dyDescent="0.3">
      <c r="B127" t="s">
        <v>905</v>
      </c>
      <c r="C127" s="79">
        <v>1.4</v>
      </c>
      <c r="D127" s="78">
        <v>45947</v>
      </c>
      <c r="E127">
        <v>16</v>
      </c>
      <c r="F127" t="s">
        <v>925</v>
      </c>
      <c r="G127" t="s">
        <v>926</v>
      </c>
      <c r="H127">
        <v>97</v>
      </c>
      <c r="I127">
        <v>30</v>
      </c>
      <c r="J127" t="s">
        <v>25</v>
      </c>
      <c r="K127" t="s">
        <v>1055</v>
      </c>
      <c r="L127"/>
      <c r="M127" s="4">
        <v>153</v>
      </c>
      <c r="N127" s="4" t="s">
        <v>170</v>
      </c>
      <c r="O127" s="12">
        <v>46029.993645833332</v>
      </c>
      <c r="P127" s="92">
        <v>-19.66233711307763</v>
      </c>
      <c r="Q127" s="93">
        <v>717.40067915128736</v>
      </c>
    </row>
    <row r="128" spans="2:17" x14ac:dyDescent="0.3">
      <c r="B128" t="s">
        <v>905</v>
      </c>
      <c r="C128" s="79">
        <v>1.4</v>
      </c>
      <c r="D128" s="78">
        <v>45947</v>
      </c>
      <c r="E128">
        <v>15</v>
      </c>
      <c r="F128" t="s">
        <v>929</v>
      </c>
      <c r="G128" t="s">
        <v>930</v>
      </c>
      <c r="H128">
        <v>97</v>
      </c>
      <c r="I128">
        <v>31</v>
      </c>
      <c r="J128" t="s">
        <v>25</v>
      </c>
      <c r="K128" t="s">
        <v>1056</v>
      </c>
      <c r="L128"/>
      <c r="M128" s="1">
        <v>154</v>
      </c>
      <c r="N128" s="1" t="s">
        <v>171</v>
      </c>
      <c r="O128" s="2">
        <v>46029.997418981482</v>
      </c>
      <c r="P128" s="92">
        <v>-19.926701917850941</v>
      </c>
      <c r="Q128" s="93">
        <v>737.47611643639459</v>
      </c>
    </row>
    <row r="129" spans="2:17" x14ac:dyDescent="0.3">
      <c r="B129" t="s">
        <v>905</v>
      </c>
      <c r="C129" s="79">
        <v>1.4</v>
      </c>
      <c r="D129" s="78">
        <v>45947</v>
      </c>
      <c r="E129">
        <v>11</v>
      </c>
      <c r="F129" t="s">
        <v>932</v>
      </c>
      <c r="G129" t="s">
        <v>933</v>
      </c>
      <c r="H129">
        <v>97</v>
      </c>
      <c r="I129">
        <v>32</v>
      </c>
      <c r="J129" t="s">
        <v>25</v>
      </c>
      <c r="K129" t="s">
        <v>1057</v>
      </c>
      <c r="L129"/>
      <c r="M129" s="4">
        <v>155</v>
      </c>
      <c r="N129" s="4" t="s">
        <v>172</v>
      </c>
      <c r="O129" s="12">
        <v>46030.001238425924</v>
      </c>
      <c r="P129" s="92">
        <v>-19.249317499956646</v>
      </c>
      <c r="Q129" s="93">
        <v>707.38051315053065</v>
      </c>
    </row>
    <row r="130" spans="2:17" x14ac:dyDescent="0.3">
      <c r="B130" t="s">
        <v>1058</v>
      </c>
      <c r="C130" s="81">
        <v>2.1</v>
      </c>
      <c r="D130" s="78">
        <v>45952</v>
      </c>
      <c r="E130">
        <v>20</v>
      </c>
      <c r="F130" t="s">
        <v>932</v>
      </c>
      <c r="G130" t="s">
        <v>907</v>
      </c>
      <c r="H130">
        <v>7</v>
      </c>
      <c r="I130">
        <v>1</v>
      </c>
      <c r="J130" t="s">
        <v>908</v>
      </c>
      <c r="K130" t="s">
        <v>1059</v>
      </c>
      <c r="L130"/>
      <c r="M130" s="66">
        <v>169</v>
      </c>
      <c r="N130" s="1" t="s">
        <v>183</v>
      </c>
      <c r="O130" s="2">
        <v>46030.549930555557</v>
      </c>
      <c r="P130" s="92">
        <v>-16.880291436921148</v>
      </c>
      <c r="Q130" s="93">
        <v>642.10482027493697</v>
      </c>
    </row>
    <row r="131" spans="2:17" x14ac:dyDescent="0.3">
      <c r="B131" t="s">
        <v>1058</v>
      </c>
      <c r="C131" s="81">
        <v>2.1</v>
      </c>
      <c r="D131" s="78">
        <v>45952</v>
      </c>
      <c r="E131">
        <v>19</v>
      </c>
      <c r="F131" t="s">
        <v>917</v>
      </c>
      <c r="G131" t="s">
        <v>15</v>
      </c>
      <c r="H131">
        <v>7</v>
      </c>
      <c r="I131">
        <v>2</v>
      </c>
      <c r="J131" t="s">
        <v>908</v>
      </c>
      <c r="K131" s="78" t="s">
        <v>1060</v>
      </c>
      <c r="L131"/>
      <c r="M131" s="4">
        <v>170</v>
      </c>
      <c r="N131" s="4" t="s">
        <v>184</v>
      </c>
      <c r="O131" s="12">
        <v>46030.553680555553</v>
      </c>
      <c r="P131" s="92">
        <v>-17.295044329613063</v>
      </c>
      <c r="Q131" s="93">
        <v>674.49946431957585</v>
      </c>
    </row>
    <row r="132" spans="2:17" x14ac:dyDescent="0.3">
      <c r="B132" t="s">
        <v>1058</v>
      </c>
      <c r="C132" s="81">
        <v>2.1</v>
      </c>
      <c r="D132" s="78">
        <v>45952</v>
      </c>
      <c r="E132">
        <v>17</v>
      </c>
      <c r="F132" t="s">
        <v>913</v>
      </c>
      <c r="G132" t="s">
        <v>914</v>
      </c>
      <c r="H132">
        <v>7</v>
      </c>
      <c r="I132">
        <v>3</v>
      </c>
      <c r="J132" t="s">
        <v>908</v>
      </c>
      <c r="K132" t="s">
        <v>1061</v>
      </c>
      <c r="L132"/>
      <c r="M132" s="1">
        <v>171</v>
      </c>
      <c r="N132" s="1" t="s">
        <v>185</v>
      </c>
      <c r="O132" s="2">
        <v>46030.55740740741</v>
      </c>
      <c r="P132" s="92">
        <v>-17.060024212245761</v>
      </c>
      <c r="Q132" s="93">
        <v>658.52968707067362</v>
      </c>
    </row>
    <row r="133" spans="2:17" x14ac:dyDescent="0.3">
      <c r="B133" t="s">
        <v>1058</v>
      </c>
      <c r="C133" s="81">
        <v>2.1</v>
      </c>
      <c r="D133" s="78">
        <v>45952</v>
      </c>
      <c r="E133">
        <v>22</v>
      </c>
      <c r="F133" t="s">
        <v>925</v>
      </c>
      <c r="G133" t="s">
        <v>918</v>
      </c>
      <c r="H133">
        <v>7</v>
      </c>
      <c r="I133">
        <v>4</v>
      </c>
      <c r="J133" t="s">
        <v>908</v>
      </c>
      <c r="K133" t="s">
        <v>1062</v>
      </c>
      <c r="L133"/>
      <c r="M133" s="4">
        <v>172</v>
      </c>
      <c r="N133" s="4" t="s">
        <v>186</v>
      </c>
      <c r="O133" s="12">
        <v>46030.56113425926</v>
      </c>
      <c r="P133" s="92">
        <v>-16.974636007510963</v>
      </c>
      <c r="Q133" s="93">
        <v>659.63979099128892</v>
      </c>
    </row>
    <row r="134" spans="2:17" x14ac:dyDescent="0.3">
      <c r="B134" t="s">
        <v>1058</v>
      </c>
      <c r="C134" s="81">
        <v>2.1</v>
      </c>
      <c r="D134" s="78">
        <v>45952</v>
      </c>
      <c r="E134">
        <v>21</v>
      </c>
      <c r="F134" t="s">
        <v>906</v>
      </c>
      <c r="G134" t="s">
        <v>922</v>
      </c>
      <c r="H134">
        <v>7</v>
      </c>
      <c r="I134">
        <v>5</v>
      </c>
      <c r="J134" t="s">
        <v>908</v>
      </c>
      <c r="K134" t="s">
        <v>1063</v>
      </c>
      <c r="L134"/>
      <c r="M134" s="1">
        <v>173</v>
      </c>
      <c r="N134" s="1" t="s">
        <v>187</v>
      </c>
      <c r="O134" s="2">
        <v>46030.56486111111</v>
      </c>
      <c r="P134" s="92">
        <v>-16.933433001498614</v>
      </c>
      <c r="Q134" s="93">
        <v>621.72461606761567</v>
      </c>
    </row>
    <row r="135" spans="2:17" x14ac:dyDescent="0.3">
      <c r="B135" t="s">
        <v>1058</v>
      </c>
      <c r="C135" s="81">
        <v>2.1</v>
      </c>
      <c r="D135" s="78">
        <v>45952</v>
      </c>
      <c r="E135">
        <v>24</v>
      </c>
      <c r="F135" t="s">
        <v>929</v>
      </c>
      <c r="G135" t="s">
        <v>926</v>
      </c>
      <c r="H135">
        <v>7</v>
      </c>
      <c r="I135">
        <v>6</v>
      </c>
      <c r="J135" t="s">
        <v>908</v>
      </c>
      <c r="K135" t="s">
        <v>1064</v>
      </c>
      <c r="L135"/>
      <c r="M135" s="4">
        <v>174</v>
      </c>
      <c r="N135" s="4" t="s">
        <v>188</v>
      </c>
      <c r="O135" s="12">
        <v>46030.56858796296</v>
      </c>
      <c r="P135" s="92">
        <v>-16.979991522151423</v>
      </c>
      <c r="Q135" s="93">
        <v>616.1804447884283</v>
      </c>
    </row>
    <row r="136" spans="2:17" x14ac:dyDescent="0.3">
      <c r="B136" t="s">
        <v>1058</v>
      </c>
      <c r="C136" s="81">
        <v>2.1</v>
      </c>
      <c r="D136" s="78">
        <v>45952</v>
      </c>
      <c r="E136">
        <v>18</v>
      </c>
      <c r="F136" t="s">
        <v>910</v>
      </c>
      <c r="G136" t="s">
        <v>930</v>
      </c>
      <c r="H136">
        <v>7</v>
      </c>
      <c r="I136">
        <v>7</v>
      </c>
      <c r="J136" t="s">
        <v>908</v>
      </c>
      <c r="K136" t="s">
        <v>1065</v>
      </c>
      <c r="L136"/>
      <c r="M136" s="1">
        <v>175</v>
      </c>
      <c r="N136" s="1" t="s">
        <v>189</v>
      </c>
      <c r="O136" s="2">
        <v>46030.572314814817</v>
      </c>
      <c r="P136" s="92">
        <v>-18.080455108817606</v>
      </c>
      <c r="Q136" s="93">
        <v>707.53410468819857</v>
      </c>
    </row>
    <row r="137" spans="2:17" x14ac:dyDescent="0.3">
      <c r="B137" t="s">
        <v>1058</v>
      </c>
      <c r="C137" s="81">
        <v>2.1</v>
      </c>
      <c r="D137" s="78">
        <v>45952</v>
      </c>
      <c r="E137">
        <v>23</v>
      </c>
      <c r="F137" t="s">
        <v>921</v>
      </c>
      <c r="G137" t="s">
        <v>933</v>
      </c>
      <c r="H137">
        <v>7</v>
      </c>
      <c r="I137">
        <v>8</v>
      </c>
      <c r="J137" t="s">
        <v>908</v>
      </c>
      <c r="K137" t="s">
        <v>1066</v>
      </c>
      <c r="L137"/>
      <c r="M137" s="4">
        <v>176</v>
      </c>
      <c r="N137" s="4" t="s">
        <v>190</v>
      </c>
      <c r="O137" s="12">
        <v>46030.576041666667</v>
      </c>
      <c r="P137" s="92">
        <v>-17.374329514483474</v>
      </c>
      <c r="Q137" s="93">
        <v>659.90329380822573</v>
      </c>
    </row>
    <row r="138" spans="2:17" x14ac:dyDescent="0.3">
      <c r="B138" t="s">
        <v>1058</v>
      </c>
      <c r="C138" s="81">
        <v>2.1</v>
      </c>
      <c r="D138" s="78">
        <v>45952</v>
      </c>
      <c r="E138">
        <v>20</v>
      </c>
      <c r="F138" t="s">
        <v>932</v>
      </c>
      <c r="G138" t="s">
        <v>907</v>
      </c>
      <c r="H138">
        <v>7</v>
      </c>
      <c r="I138">
        <v>9</v>
      </c>
      <c r="J138" t="s">
        <v>935</v>
      </c>
      <c r="K138" t="s">
        <v>1034</v>
      </c>
      <c r="L138"/>
      <c r="M138" s="1">
        <v>177</v>
      </c>
      <c r="N138" s="1" t="s">
        <v>191</v>
      </c>
      <c r="O138" s="2">
        <v>46030.579768518517</v>
      </c>
      <c r="P138" s="92">
        <v>-8.9579689246661349</v>
      </c>
      <c r="Q138" s="93">
        <v>649.88762848485294</v>
      </c>
    </row>
    <row r="139" spans="2:17" x14ac:dyDescent="0.3">
      <c r="B139" t="s">
        <v>1058</v>
      </c>
      <c r="C139" s="81">
        <v>2.1</v>
      </c>
      <c r="D139" s="78">
        <v>45952</v>
      </c>
      <c r="E139">
        <v>19</v>
      </c>
      <c r="F139" t="s">
        <v>917</v>
      </c>
      <c r="G139" t="s">
        <v>15</v>
      </c>
      <c r="H139">
        <v>7</v>
      </c>
      <c r="I139">
        <v>10</v>
      </c>
      <c r="J139" t="s">
        <v>935</v>
      </c>
      <c r="K139" t="s">
        <v>1067</v>
      </c>
      <c r="L139"/>
      <c r="M139" s="4">
        <v>178</v>
      </c>
      <c r="N139" s="4" t="s">
        <v>192</v>
      </c>
      <c r="O139" s="12">
        <v>46030.583495370367</v>
      </c>
      <c r="P139" s="92">
        <v>-13.456807843471875</v>
      </c>
      <c r="Q139" s="93">
        <v>619.47148221815598</v>
      </c>
    </row>
    <row r="140" spans="2:17" x14ac:dyDescent="0.3">
      <c r="B140" t="s">
        <v>1058</v>
      </c>
      <c r="C140" s="81">
        <v>2.1</v>
      </c>
      <c r="D140" s="78">
        <v>45952</v>
      </c>
      <c r="E140">
        <v>17</v>
      </c>
      <c r="F140" t="s">
        <v>913</v>
      </c>
      <c r="G140" t="s">
        <v>914</v>
      </c>
      <c r="H140">
        <v>7</v>
      </c>
      <c r="I140">
        <v>11</v>
      </c>
      <c r="J140" t="s">
        <v>935</v>
      </c>
      <c r="K140" t="s">
        <v>1068</v>
      </c>
      <c r="L140"/>
      <c r="M140" s="1">
        <v>179</v>
      </c>
      <c r="N140" s="1" t="s">
        <v>193</v>
      </c>
      <c r="O140" s="2">
        <v>46030.587233796294</v>
      </c>
      <c r="P140" s="92">
        <v>-10.117914610542263</v>
      </c>
      <c r="Q140" s="93">
        <v>639.33263988424039</v>
      </c>
    </row>
    <row r="141" spans="2:17" x14ac:dyDescent="0.3">
      <c r="B141" t="s">
        <v>1058</v>
      </c>
      <c r="C141" s="81">
        <v>2.1</v>
      </c>
      <c r="D141" s="78">
        <v>45952</v>
      </c>
      <c r="E141">
        <v>22</v>
      </c>
      <c r="F141" t="s">
        <v>925</v>
      </c>
      <c r="G141" t="s">
        <v>918</v>
      </c>
      <c r="H141">
        <v>7</v>
      </c>
      <c r="I141">
        <v>12</v>
      </c>
      <c r="J141" t="s">
        <v>935</v>
      </c>
      <c r="K141" t="s">
        <v>1069</v>
      </c>
      <c r="L141"/>
      <c r="M141" s="4">
        <v>180</v>
      </c>
      <c r="N141" s="4" t="s">
        <v>194</v>
      </c>
      <c r="O141" s="12">
        <v>46030.590960648151</v>
      </c>
      <c r="P141" s="92">
        <v>-9.0353081582041703</v>
      </c>
      <c r="Q141" s="93">
        <v>662.37336030758718</v>
      </c>
    </row>
    <row r="142" spans="2:17" x14ac:dyDescent="0.3">
      <c r="B142" t="s">
        <v>1058</v>
      </c>
      <c r="C142" s="81">
        <v>2.1</v>
      </c>
      <c r="D142" s="78">
        <v>45952</v>
      </c>
      <c r="E142">
        <v>21</v>
      </c>
      <c r="F142" t="s">
        <v>906</v>
      </c>
      <c r="G142" t="s">
        <v>922</v>
      </c>
      <c r="H142">
        <v>7</v>
      </c>
      <c r="I142">
        <v>13</v>
      </c>
      <c r="J142" t="s">
        <v>935</v>
      </c>
      <c r="K142" t="s">
        <v>1070</v>
      </c>
      <c r="L142"/>
      <c r="M142" s="1">
        <v>181</v>
      </c>
      <c r="N142" s="1" t="s">
        <v>195</v>
      </c>
      <c r="O142" s="2">
        <v>46030.594687500001</v>
      </c>
      <c r="P142" s="92">
        <v>-11.424756674203557</v>
      </c>
      <c r="Q142" s="93">
        <v>692.41163917624624</v>
      </c>
    </row>
    <row r="143" spans="2:17" x14ac:dyDescent="0.3">
      <c r="B143" t="s">
        <v>1058</v>
      </c>
      <c r="C143" s="81">
        <v>2.1</v>
      </c>
      <c r="D143" s="78">
        <v>45952</v>
      </c>
      <c r="E143">
        <v>24</v>
      </c>
      <c r="F143" t="s">
        <v>929</v>
      </c>
      <c r="G143" t="s">
        <v>926</v>
      </c>
      <c r="H143">
        <v>7</v>
      </c>
      <c r="I143">
        <v>14</v>
      </c>
      <c r="J143" t="s">
        <v>935</v>
      </c>
      <c r="K143" t="s">
        <v>1071</v>
      </c>
      <c r="L143"/>
      <c r="M143" s="4">
        <v>182</v>
      </c>
      <c r="N143" s="4" t="s">
        <v>196</v>
      </c>
      <c r="O143" s="12">
        <v>46030.598414351851</v>
      </c>
      <c r="P143" s="92">
        <v>-11.305018208952628</v>
      </c>
      <c r="Q143" s="93">
        <v>628.37988615399797</v>
      </c>
    </row>
    <row r="144" spans="2:17" x14ac:dyDescent="0.3">
      <c r="B144" t="s">
        <v>1058</v>
      </c>
      <c r="C144" s="81">
        <v>2.1</v>
      </c>
      <c r="D144" s="78">
        <v>45952</v>
      </c>
      <c r="E144">
        <v>18</v>
      </c>
      <c r="F144" t="s">
        <v>910</v>
      </c>
      <c r="G144" t="s">
        <v>930</v>
      </c>
      <c r="H144">
        <v>7</v>
      </c>
      <c r="I144">
        <v>15</v>
      </c>
      <c r="J144" t="s">
        <v>935</v>
      </c>
      <c r="K144" t="s">
        <v>1072</v>
      </c>
      <c r="L144"/>
      <c r="M144" s="1">
        <v>183</v>
      </c>
      <c r="N144" s="1" t="s">
        <v>197</v>
      </c>
      <c r="O144" s="2">
        <v>46030.602141203701</v>
      </c>
      <c r="P144" s="92">
        <v>-14.199052577668294</v>
      </c>
      <c r="Q144" s="93">
        <v>693.34943821638694</v>
      </c>
    </row>
    <row r="145" spans="2:17" x14ac:dyDescent="0.3">
      <c r="B145" t="s">
        <v>1058</v>
      </c>
      <c r="C145" s="81">
        <v>2.1</v>
      </c>
      <c r="D145" s="78">
        <v>45952</v>
      </c>
      <c r="E145">
        <v>23</v>
      </c>
      <c r="F145" t="s">
        <v>921</v>
      </c>
      <c r="G145" t="s">
        <v>933</v>
      </c>
      <c r="H145">
        <v>7</v>
      </c>
      <c r="I145">
        <v>16</v>
      </c>
      <c r="J145" t="s">
        <v>935</v>
      </c>
      <c r="K145" t="s">
        <v>1073</v>
      </c>
      <c r="L145"/>
      <c r="M145" s="4">
        <v>184</v>
      </c>
      <c r="N145" s="4" t="s">
        <v>198</v>
      </c>
      <c r="O145" s="12">
        <v>46030.605868055558</v>
      </c>
      <c r="P145" s="92">
        <v>-11.476347247039122</v>
      </c>
      <c r="Q145" s="93">
        <v>703.60065478136517</v>
      </c>
    </row>
    <row r="146" spans="2:17" x14ac:dyDescent="0.3">
      <c r="B146" t="s">
        <v>1074</v>
      </c>
      <c r="C146" s="81">
        <v>2.1</v>
      </c>
      <c r="D146" s="78">
        <v>45952</v>
      </c>
      <c r="E146">
        <v>20</v>
      </c>
      <c r="F146" t="s">
        <v>932</v>
      </c>
      <c r="G146" t="s">
        <v>907</v>
      </c>
      <c r="H146">
        <v>7</v>
      </c>
      <c r="I146">
        <v>17</v>
      </c>
      <c r="J146" t="s">
        <v>24</v>
      </c>
      <c r="K146" t="s">
        <v>1075</v>
      </c>
      <c r="L146"/>
      <c r="M146" s="1">
        <v>185</v>
      </c>
      <c r="N146" s="1" t="s">
        <v>199</v>
      </c>
      <c r="O146" s="2">
        <v>46030.609618055554</v>
      </c>
      <c r="P146" s="92">
        <v>-3.1284549651378653</v>
      </c>
      <c r="Q146" s="93">
        <v>651.81822958032035</v>
      </c>
    </row>
    <row r="147" spans="2:17" x14ac:dyDescent="0.3">
      <c r="B147" t="s">
        <v>1074</v>
      </c>
      <c r="C147" s="81">
        <v>2.1</v>
      </c>
      <c r="D147" s="78">
        <v>45952</v>
      </c>
      <c r="E147">
        <v>19</v>
      </c>
      <c r="F147" t="s">
        <v>917</v>
      </c>
      <c r="G147" t="s">
        <v>15</v>
      </c>
      <c r="H147">
        <v>7</v>
      </c>
      <c r="I147">
        <v>18</v>
      </c>
      <c r="J147" t="s">
        <v>24</v>
      </c>
      <c r="K147" t="s">
        <v>1076</v>
      </c>
      <c r="L147"/>
      <c r="M147" s="4">
        <v>186</v>
      </c>
      <c r="N147" s="4" t="s">
        <v>200</v>
      </c>
      <c r="O147" s="12">
        <v>46030.613333333335</v>
      </c>
      <c r="P147" s="92">
        <v>-10.41847100879162</v>
      </c>
      <c r="Q147" s="93">
        <v>636.56917659500311</v>
      </c>
    </row>
    <row r="148" spans="2:17" x14ac:dyDescent="0.3">
      <c r="B148" t="s">
        <v>1074</v>
      </c>
      <c r="C148" s="81">
        <v>2.1</v>
      </c>
      <c r="D148" s="78">
        <v>45952</v>
      </c>
      <c r="E148">
        <v>17</v>
      </c>
      <c r="F148" t="s">
        <v>913</v>
      </c>
      <c r="G148" t="s">
        <v>914</v>
      </c>
      <c r="H148">
        <v>7</v>
      </c>
      <c r="I148">
        <v>19</v>
      </c>
      <c r="J148" t="s">
        <v>24</v>
      </c>
      <c r="K148" t="s">
        <v>1077</v>
      </c>
      <c r="L148"/>
      <c r="M148" s="1">
        <v>187</v>
      </c>
      <c r="N148" s="1" t="s">
        <v>201</v>
      </c>
      <c r="O148" s="2">
        <v>46030.617071759261</v>
      </c>
      <c r="P148" s="92">
        <v>-5.4567352482788678</v>
      </c>
      <c r="Q148" s="93">
        <v>666.49887069983265</v>
      </c>
    </row>
    <row r="149" spans="2:17" x14ac:dyDescent="0.3">
      <c r="B149" t="s">
        <v>1074</v>
      </c>
      <c r="C149" s="81">
        <v>2.1</v>
      </c>
      <c r="D149" s="78">
        <v>45952</v>
      </c>
      <c r="E149">
        <v>22</v>
      </c>
      <c r="F149" t="s">
        <v>925</v>
      </c>
      <c r="G149" t="s">
        <v>918</v>
      </c>
      <c r="H149">
        <v>7</v>
      </c>
      <c r="I149">
        <v>20</v>
      </c>
      <c r="J149" t="s">
        <v>24</v>
      </c>
      <c r="K149" t="s">
        <v>1078</v>
      </c>
      <c r="L149"/>
      <c r="M149" s="4">
        <v>188</v>
      </c>
      <c r="N149" s="4" t="s">
        <v>202</v>
      </c>
      <c r="O149" s="12">
        <v>46030.620810185188</v>
      </c>
      <c r="P149" s="92">
        <v>-3.7941731160036345</v>
      </c>
      <c r="Q149" s="93">
        <v>697.49285656706502</v>
      </c>
    </row>
    <row r="150" spans="2:17" x14ac:dyDescent="0.3">
      <c r="B150" t="s">
        <v>1074</v>
      </c>
      <c r="C150" s="81">
        <v>2.1</v>
      </c>
      <c r="D150" s="78">
        <v>45952</v>
      </c>
      <c r="E150">
        <v>21</v>
      </c>
      <c r="F150" t="s">
        <v>906</v>
      </c>
      <c r="G150" t="s">
        <v>922</v>
      </c>
      <c r="H150">
        <v>7</v>
      </c>
      <c r="I150">
        <v>21</v>
      </c>
      <c r="J150" t="s">
        <v>24</v>
      </c>
      <c r="K150" t="s">
        <v>1079</v>
      </c>
      <c r="L150"/>
      <c r="M150" s="1">
        <v>189</v>
      </c>
      <c r="N150" s="1" t="s">
        <v>203</v>
      </c>
      <c r="O150" s="2">
        <v>46030.624571759261</v>
      </c>
      <c r="P150" s="92">
        <v>-6.129497366844145</v>
      </c>
      <c r="Q150" s="93">
        <v>688.31209058617276</v>
      </c>
    </row>
    <row r="151" spans="2:17" x14ac:dyDescent="0.3">
      <c r="B151" t="s">
        <v>1074</v>
      </c>
      <c r="C151" s="81">
        <v>2.1</v>
      </c>
      <c r="D151" s="78">
        <v>45952</v>
      </c>
      <c r="E151">
        <v>24</v>
      </c>
      <c r="F151" t="s">
        <v>929</v>
      </c>
      <c r="G151" t="s">
        <v>926</v>
      </c>
      <c r="H151">
        <v>7</v>
      </c>
      <c r="I151">
        <v>22</v>
      </c>
      <c r="J151" t="s">
        <v>24</v>
      </c>
      <c r="K151" t="s">
        <v>1080</v>
      </c>
      <c r="L151"/>
      <c r="M151" s="4">
        <v>190</v>
      </c>
      <c r="N151" s="4" t="s">
        <v>204</v>
      </c>
      <c r="O151" s="12">
        <v>46030.628310185188</v>
      </c>
      <c r="P151" s="92">
        <v>-5.8667092223825454</v>
      </c>
      <c r="Q151" s="93">
        <v>624.5287749555132</v>
      </c>
    </row>
    <row r="152" spans="2:17" x14ac:dyDescent="0.3">
      <c r="B152" t="s">
        <v>1074</v>
      </c>
      <c r="C152" s="81">
        <v>2.1</v>
      </c>
      <c r="D152" s="78">
        <v>45952</v>
      </c>
      <c r="E152">
        <v>18</v>
      </c>
      <c r="F152" t="s">
        <v>910</v>
      </c>
      <c r="G152" t="s">
        <v>930</v>
      </c>
      <c r="H152">
        <v>7</v>
      </c>
      <c r="I152">
        <v>23</v>
      </c>
      <c r="J152" t="s">
        <v>24</v>
      </c>
      <c r="K152" t="s">
        <v>1081</v>
      </c>
      <c r="L152"/>
      <c r="M152" s="1">
        <v>191</v>
      </c>
      <c r="N152" s="1" t="s">
        <v>205</v>
      </c>
      <c r="O152" s="2">
        <v>46030.632210648146</v>
      </c>
      <c r="P152" s="92">
        <v>-10.868935872588509</v>
      </c>
      <c r="Q152" s="93">
        <v>694.62303516491465</v>
      </c>
    </row>
    <row r="153" spans="2:17" x14ac:dyDescent="0.3">
      <c r="B153" t="s">
        <v>1074</v>
      </c>
      <c r="C153" s="81">
        <v>2.1</v>
      </c>
      <c r="D153" s="78">
        <v>45952</v>
      </c>
      <c r="E153">
        <v>23</v>
      </c>
      <c r="F153" t="s">
        <v>921</v>
      </c>
      <c r="G153" t="s">
        <v>933</v>
      </c>
      <c r="H153">
        <v>7</v>
      </c>
      <c r="I153">
        <v>24</v>
      </c>
      <c r="J153" t="s">
        <v>24</v>
      </c>
      <c r="K153" t="s">
        <v>1082</v>
      </c>
      <c r="L153"/>
      <c r="M153" s="4">
        <v>192</v>
      </c>
      <c r="N153" s="4" t="s">
        <v>206</v>
      </c>
      <c r="O153" s="12">
        <v>46030.635972222219</v>
      </c>
      <c r="P153" s="92">
        <v>-5.051216769760341</v>
      </c>
      <c r="Q153" s="93">
        <v>671.1498233327552</v>
      </c>
    </row>
    <row r="154" spans="2:17" x14ac:dyDescent="0.3">
      <c r="B154" t="s">
        <v>1074</v>
      </c>
      <c r="C154" s="81">
        <v>2.1</v>
      </c>
      <c r="D154" s="78">
        <v>45952</v>
      </c>
      <c r="E154">
        <v>20</v>
      </c>
      <c r="F154" t="s">
        <v>932</v>
      </c>
      <c r="G154" t="s">
        <v>907</v>
      </c>
      <c r="H154">
        <v>7</v>
      </c>
      <c r="I154">
        <v>25</v>
      </c>
      <c r="J154" t="s">
        <v>25</v>
      </c>
      <c r="K154" t="s">
        <v>1083</v>
      </c>
      <c r="L154"/>
      <c r="M154" s="1">
        <v>193</v>
      </c>
      <c r="N154" s="1" t="s">
        <v>207</v>
      </c>
      <c r="O154" s="2">
        <v>46030.639710648145</v>
      </c>
      <c r="P154" s="92">
        <v>1.7549626405568399</v>
      </c>
      <c r="Q154" s="93">
        <v>660.43664776598803</v>
      </c>
    </row>
    <row r="155" spans="2:17" x14ac:dyDescent="0.3">
      <c r="B155" t="s">
        <v>1074</v>
      </c>
      <c r="C155" s="81">
        <v>2.1</v>
      </c>
      <c r="D155" s="78">
        <v>45952</v>
      </c>
      <c r="E155">
        <v>19</v>
      </c>
      <c r="F155" t="s">
        <v>917</v>
      </c>
      <c r="G155" t="s">
        <v>15</v>
      </c>
      <c r="H155">
        <v>7</v>
      </c>
      <c r="I155">
        <v>26</v>
      </c>
      <c r="J155" t="s">
        <v>25</v>
      </c>
      <c r="K155" t="s">
        <v>1084</v>
      </c>
      <c r="L155"/>
      <c r="M155" s="4">
        <v>194</v>
      </c>
      <c r="N155" s="4" t="s">
        <v>208</v>
      </c>
      <c r="O155" s="12">
        <v>46030.643553240741</v>
      </c>
      <c r="P155" s="92">
        <v>-8.1104073104466856</v>
      </c>
      <c r="Q155" s="93">
        <v>655.54815411830089</v>
      </c>
    </row>
    <row r="156" spans="2:17" x14ac:dyDescent="0.3">
      <c r="B156" t="s">
        <v>1074</v>
      </c>
      <c r="C156" s="81">
        <v>2.1</v>
      </c>
      <c r="D156" s="78">
        <v>45952</v>
      </c>
      <c r="E156">
        <v>17</v>
      </c>
      <c r="F156" t="s">
        <v>913</v>
      </c>
      <c r="G156" t="s">
        <v>914</v>
      </c>
      <c r="H156">
        <v>7</v>
      </c>
      <c r="I156">
        <v>27</v>
      </c>
      <c r="J156" t="s">
        <v>25</v>
      </c>
      <c r="K156" t="s">
        <v>1085</v>
      </c>
      <c r="L156"/>
      <c r="M156" s="1">
        <v>195</v>
      </c>
      <c r="N156" s="1" t="s">
        <v>209</v>
      </c>
      <c r="O156" s="2">
        <v>46030.647291666668</v>
      </c>
      <c r="P156" s="92">
        <v>0.29941192647460918</v>
      </c>
      <c r="Q156" s="93">
        <v>633.56575613787936</v>
      </c>
    </row>
    <row r="157" spans="2:17" x14ac:dyDescent="0.3">
      <c r="B157" t="s">
        <v>1074</v>
      </c>
      <c r="C157" s="81">
        <v>2.1</v>
      </c>
      <c r="D157" s="78">
        <v>45952</v>
      </c>
      <c r="E157">
        <v>22</v>
      </c>
      <c r="F157" t="s">
        <v>925</v>
      </c>
      <c r="G157" t="s">
        <v>918</v>
      </c>
      <c r="H157">
        <v>7</v>
      </c>
      <c r="I157">
        <v>28</v>
      </c>
      <c r="J157" t="s">
        <v>25</v>
      </c>
      <c r="K157" t="s">
        <v>1086</v>
      </c>
      <c r="L157"/>
      <c r="M157" s="4">
        <v>196</v>
      </c>
      <c r="N157" s="4" t="s">
        <v>210</v>
      </c>
      <c r="O157" s="12">
        <v>46030.651030092595</v>
      </c>
      <c r="P157" s="92">
        <v>3.1600711773456007</v>
      </c>
      <c r="Q157" s="93">
        <v>648.15742597184556</v>
      </c>
    </row>
    <row r="158" spans="2:17" x14ac:dyDescent="0.3">
      <c r="B158" t="s">
        <v>1074</v>
      </c>
      <c r="C158" s="81">
        <v>2.1</v>
      </c>
      <c r="D158" s="78">
        <v>45952</v>
      </c>
      <c r="E158">
        <v>21</v>
      </c>
      <c r="F158" t="s">
        <v>906</v>
      </c>
      <c r="G158" t="s">
        <v>922</v>
      </c>
      <c r="H158">
        <v>7</v>
      </c>
      <c r="I158">
        <v>29</v>
      </c>
      <c r="J158" t="s">
        <v>25</v>
      </c>
      <c r="K158" t="s">
        <v>1087</v>
      </c>
      <c r="L158"/>
      <c r="M158" s="1">
        <v>197</v>
      </c>
      <c r="N158" s="1" t="s">
        <v>211</v>
      </c>
      <c r="O158" s="2">
        <v>46030.65483796296</v>
      </c>
      <c r="P158" s="92">
        <v>4.2525234309120939E-2</v>
      </c>
      <c r="Q158" s="93">
        <v>660.31247644574512</v>
      </c>
    </row>
    <row r="159" spans="2:17" x14ac:dyDescent="0.3">
      <c r="B159" t="s">
        <v>1074</v>
      </c>
      <c r="C159" s="81">
        <v>2.1</v>
      </c>
      <c r="D159" s="78">
        <v>45952</v>
      </c>
      <c r="E159">
        <v>24</v>
      </c>
      <c r="F159" t="s">
        <v>929</v>
      </c>
      <c r="G159" t="s">
        <v>926</v>
      </c>
      <c r="H159">
        <v>7</v>
      </c>
      <c r="I159">
        <v>30</v>
      </c>
      <c r="J159" t="s">
        <v>25</v>
      </c>
      <c r="K159" t="s">
        <v>1088</v>
      </c>
      <c r="L159"/>
      <c r="M159" s="4">
        <v>198</v>
      </c>
      <c r="N159" s="4" t="s">
        <v>212</v>
      </c>
      <c r="O159" s="12">
        <v>46030.658645833333</v>
      </c>
      <c r="P159" s="92">
        <v>-2.9897568719142735</v>
      </c>
      <c r="Q159" s="93">
        <v>663.54363117849186</v>
      </c>
    </row>
    <row r="160" spans="2:17" x14ac:dyDescent="0.3">
      <c r="B160" t="s">
        <v>1074</v>
      </c>
      <c r="C160" s="81">
        <v>2.1</v>
      </c>
      <c r="D160" s="78">
        <v>45952</v>
      </c>
      <c r="E160">
        <v>18</v>
      </c>
      <c r="F160" t="s">
        <v>910</v>
      </c>
      <c r="G160" t="s">
        <v>930</v>
      </c>
      <c r="H160">
        <v>7</v>
      </c>
      <c r="I160">
        <v>31</v>
      </c>
      <c r="J160" t="s">
        <v>25</v>
      </c>
      <c r="K160" t="s">
        <v>1089</v>
      </c>
      <c r="L160"/>
      <c r="M160" s="1">
        <v>199</v>
      </c>
      <c r="N160" s="1" t="s">
        <v>213</v>
      </c>
      <c r="O160" s="2">
        <v>46030.662395833337</v>
      </c>
      <c r="P160" s="92">
        <v>-8.4293935278968348</v>
      </c>
      <c r="Q160" s="93">
        <v>724.91212020273269</v>
      </c>
    </row>
    <row r="161" spans="2:17" x14ac:dyDescent="0.3">
      <c r="B161" t="s">
        <v>1074</v>
      </c>
      <c r="C161" s="81">
        <v>2.1</v>
      </c>
      <c r="D161" s="78">
        <v>45952</v>
      </c>
      <c r="E161">
        <v>23</v>
      </c>
      <c r="F161" t="s">
        <v>921</v>
      </c>
      <c r="G161" t="s">
        <v>933</v>
      </c>
      <c r="H161">
        <v>7</v>
      </c>
      <c r="I161">
        <v>32</v>
      </c>
      <c r="J161" t="s">
        <v>25</v>
      </c>
      <c r="K161" t="s">
        <v>1090</v>
      </c>
      <c r="L161"/>
      <c r="M161" s="4">
        <v>200</v>
      </c>
      <c r="N161" s="4" t="s">
        <v>214</v>
      </c>
      <c r="O161" s="12">
        <v>46030.666145833333</v>
      </c>
      <c r="P161" s="92">
        <v>-0.78800525765811014</v>
      </c>
      <c r="Q161" s="93">
        <v>695.15425722286352</v>
      </c>
    </row>
    <row r="162" spans="2:17" x14ac:dyDescent="0.3">
      <c r="B162" t="s">
        <v>1074</v>
      </c>
      <c r="C162" s="81">
        <v>2.2000000000000002</v>
      </c>
      <c r="D162" s="78">
        <v>45953</v>
      </c>
      <c r="E162">
        <v>20</v>
      </c>
      <c r="F162" t="s">
        <v>932</v>
      </c>
      <c r="G162" t="s">
        <v>907</v>
      </c>
      <c r="H162">
        <v>25</v>
      </c>
      <c r="I162">
        <v>1</v>
      </c>
      <c r="J162" t="s">
        <v>908</v>
      </c>
      <c r="K162" t="s">
        <v>1091</v>
      </c>
      <c r="L162"/>
      <c r="M162" s="1">
        <v>201</v>
      </c>
      <c r="N162" s="1" t="s">
        <v>215</v>
      </c>
      <c r="O162" s="2">
        <v>46030.669895833336</v>
      </c>
      <c r="P162" s="92">
        <v>-15.582352121986215</v>
      </c>
      <c r="Q162" s="93">
        <v>572.15031794219215</v>
      </c>
    </row>
    <row r="163" spans="2:17" x14ac:dyDescent="0.3">
      <c r="B163" t="s">
        <v>1074</v>
      </c>
      <c r="C163" s="81">
        <v>2.2000000000000002</v>
      </c>
      <c r="D163" s="78">
        <v>45953</v>
      </c>
      <c r="E163">
        <v>19</v>
      </c>
      <c r="F163" t="s">
        <v>917</v>
      </c>
      <c r="G163" t="s">
        <v>15</v>
      </c>
      <c r="H163">
        <v>25</v>
      </c>
      <c r="I163">
        <v>2</v>
      </c>
      <c r="J163" t="s">
        <v>908</v>
      </c>
      <c r="K163" t="s">
        <v>1092</v>
      </c>
      <c r="L163"/>
      <c r="M163" s="4">
        <v>202</v>
      </c>
      <c r="N163" s="4" t="s">
        <v>216</v>
      </c>
      <c r="O163" s="12">
        <v>46030.673726851855</v>
      </c>
      <c r="P163" s="92">
        <v>-15.461824202918081</v>
      </c>
      <c r="Q163" s="93">
        <v>557.06480536033871</v>
      </c>
    </row>
    <row r="164" spans="2:17" x14ac:dyDescent="0.3">
      <c r="B164" t="s">
        <v>1074</v>
      </c>
      <c r="C164" s="81">
        <v>2.2000000000000002</v>
      </c>
      <c r="D164" s="78">
        <v>45953</v>
      </c>
      <c r="E164">
        <v>17</v>
      </c>
      <c r="F164" t="s">
        <v>913</v>
      </c>
      <c r="G164" t="s">
        <v>914</v>
      </c>
      <c r="H164">
        <v>25</v>
      </c>
      <c r="I164">
        <v>3</v>
      </c>
      <c r="J164" t="s">
        <v>908</v>
      </c>
      <c r="K164" t="s">
        <v>1093</v>
      </c>
      <c r="L164"/>
      <c r="M164" s="1">
        <v>203</v>
      </c>
      <c r="N164" s="1" t="s">
        <v>217</v>
      </c>
      <c r="O164" s="2">
        <v>46030.677465277775</v>
      </c>
      <c r="P164" s="92">
        <v>-15.999185973076678</v>
      </c>
      <c r="Q164" s="93">
        <v>606.15222494393208</v>
      </c>
    </row>
    <row r="165" spans="2:17" x14ac:dyDescent="0.3">
      <c r="B165" t="s">
        <v>1074</v>
      </c>
      <c r="C165" s="81">
        <v>2.2000000000000002</v>
      </c>
      <c r="D165" s="78">
        <v>45953</v>
      </c>
      <c r="E165">
        <v>22</v>
      </c>
      <c r="F165" t="s">
        <v>925</v>
      </c>
      <c r="G165" t="s">
        <v>918</v>
      </c>
      <c r="H165">
        <v>25</v>
      </c>
      <c r="I165">
        <v>4</v>
      </c>
      <c r="J165" t="s">
        <v>908</v>
      </c>
      <c r="K165" t="s">
        <v>1094</v>
      </c>
      <c r="L165"/>
      <c r="M165" s="4">
        <v>204</v>
      </c>
      <c r="N165" s="4" t="s">
        <v>218</v>
      </c>
      <c r="O165" s="12">
        <v>46030.681238425925</v>
      </c>
      <c r="P165" s="92">
        <v>-14.130337029823293</v>
      </c>
      <c r="Q165" s="93">
        <v>583.52480883107728</v>
      </c>
    </row>
    <row r="166" spans="2:17" x14ac:dyDescent="0.3">
      <c r="B166" t="s">
        <v>1074</v>
      </c>
      <c r="C166" s="81">
        <v>2.2000000000000002</v>
      </c>
      <c r="D166" s="78">
        <v>45953</v>
      </c>
      <c r="E166">
        <v>21</v>
      </c>
      <c r="F166" t="s">
        <v>906</v>
      </c>
      <c r="G166" t="s">
        <v>922</v>
      </c>
      <c r="H166">
        <v>25</v>
      </c>
      <c r="I166">
        <v>5</v>
      </c>
      <c r="J166" t="s">
        <v>908</v>
      </c>
      <c r="K166" t="s">
        <v>1095</v>
      </c>
      <c r="L166"/>
      <c r="M166" s="1">
        <v>205</v>
      </c>
      <c r="N166" s="1" t="s">
        <v>219</v>
      </c>
      <c r="O166" s="2">
        <v>46030.684965277775</v>
      </c>
      <c r="P166" s="92">
        <v>-15.128392768847238</v>
      </c>
      <c r="Q166" s="93">
        <v>619.18135434132739</v>
      </c>
    </row>
    <row r="167" spans="2:17" x14ac:dyDescent="0.3">
      <c r="B167" t="s">
        <v>1074</v>
      </c>
      <c r="C167" s="81">
        <v>2.2000000000000002</v>
      </c>
      <c r="D167" s="78">
        <v>45953</v>
      </c>
      <c r="E167">
        <v>24</v>
      </c>
      <c r="F167" t="s">
        <v>929</v>
      </c>
      <c r="G167" t="s">
        <v>926</v>
      </c>
      <c r="H167">
        <v>25</v>
      </c>
      <c r="I167">
        <v>6</v>
      </c>
      <c r="J167" t="s">
        <v>908</v>
      </c>
      <c r="K167" t="s">
        <v>1096</v>
      </c>
      <c r="L167"/>
      <c r="M167" s="4">
        <v>206</v>
      </c>
      <c r="N167" s="4" t="s">
        <v>220</v>
      </c>
      <c r="O167" s="12">
        <v>46030.688703703701</v>
      </c>
      <c r="P167" s="92">
        <v>-18.057576085276899</v>
      </c>
      <c r="Q167" s="93">
        <v>737.15926874857121</v>
      </c>
    </row>
    <row r="168" spans="2:17" x14ac:dyDescent="0.3">
      <c r="B168" t="s">
        <v>1074</v>
      </c>
      <c r="C168" s="81">
        <v>2.2000000000000002</v>
      </c>
      <c r="D168" s="78">
        <v>45953</v>
      </c>
      <c r="E168">
        <v>18</v>
      </c>
      <c r="F168" t="s">
        <v>910</v>
      </c>
      <c r="G168" t="s">
        <v>930</v>
      </c>
      <c r="H168">
        <v>25</v>
      </c>
      <c r="I168">
        <v>7</v>
      </c>
      <c r="J168" t="s">
        <v>908</v>
      </c>
      <c r="K168" t="s">
        <v>1097</v>
      </c>
      <c r="L168"/>
      <c r="M168" s="1">
        <v>207</v>
      </c>
      <c r="N168" s="1" t="s">
        <v>221</v>
      </c>
      <c r="O168" s="2">
        <v>46030.692442129628</v>
      </c>
      <c r="P168" s="92">
        <v>-16.567732022206545</v>
      </c>
      <c r="Q168" s="93">
        <v>638.10419183620547</v>
      </c>
    </row>
    <row r="169" spans="2:17" x14ac:dyDescent="0.3">
      <c r="B169" t="s">
        <v>1074</v>
      </c>
      <c r="C169" s="81">
        <v>2.2000000000000002</v>
      </c>
      <c r="D169" s="78">
        <v>45953</v>
      </c>
      <c r="E169">
        <v>23</v>
      </c>
      <c r="F169" t="s">
        <v>921</v>
      </c>
      <c r="G169" t="s">
        <v>933</v>
      </c>
      <c r="H169">
        <v>25</v>
      </c>
      <c r="I169">
        <v>8</v>
      </c>
      <c r="J169" t="s">
        <v>908</v>
      </c>
      <c r="K169" t="s">
        <v>1098</v>
      </c>
      <c r="L169"/>
      <c r="M169" s="4">
        <v>208</v>
      </c>
      <c r="N169" s="4" t="s">
        <v>222</v>
      </c>
      <c r="O169" s="12">
        <v>46030.696180555555</v>
      </c>
      <c r="P169" s="92">
        <v>-16.521968318337386</v>
      </c>
      <c r="Q169" s="93">
        <v>649.91657494676383</v>
      </c>
    </row>
    <row r="170" spans="2:17" x14ac:dyDescent="0.3">
      <c r="B170" t="s">
        <v>1074</v>
      </c>
      <c r="C170" s="81">
        <v>2.2000000000000002</v>
      </c>
      <c r="D170" s="78">
        <v>45953</v>
      </c>
      <c r="E170">
        <v>20</v>
      </c>
      <c r="F170" t="s">
        <v>932</v>
      </c>
      <c r="G170" t="s">
        <v>907</v>
      </c>
      <c r="H170">
        <v>25</v>
      </c>
      <c r="I170">
        <v>9</v>
      </c>
      <c r="J170" t="s">
        <v>935</v>
      </c>
      <c r="K170" t="s">
        <v>1099</v>
      </c>
      <c r="L170"/>
      <c r="M170" s="1">
        <v>209</v>
      </c>
      <c r="N170" s="1" t="s">
        <v>223</v>
      </c>
      <c r="O170" s="2">
        <v>46030.699918981481</v>
      </c>
      <c r="P170" s="92">
        <v>-0.31785206505414926</v>
      </c>
      <c r="Q170" s="93">
        <v>541.72408068304503</v>
      </c>
    </row>
    <row r="171" spans="2:17" x14ac:dyDescent="0.3">
      <c r="B171" t="s">
        <v>1074</v>
      </c>
      <c r="C171" s="81">
        <v>2.2000000000000002</v>
      </c>
      <c r="D171" s="78">
        <v>45953</v>
      </c>
      <c r="E171">
        <v>19</v>
      </c>
      <c r="F171" t="s">
        <v>917</v>
      </c>
      <c r="G171" t="s">
        <v>15</v>
      </c>
      <c r="H171">
        <v>25</v>
      </c>
      <c r="I171">
        <v>10</v>
      </c>
      <c r="J171" t="s">
        <v>935</v>
      </c>
      <c r="K171" t="s">
        <v>1100</v>
      </c>
      <c r="L171"/>
      <c r="M171" s="4">
        <v>210</v>
      </c>
      <c r="N171" s="4" t="s">
        <v>224</v>
      </c>
      <c r="O171" s="12">
        <v>46030.703726851854</v>
      </c>
      <c r="P171" s="92">
        <v>-4.7986881179460115</v>
      </c>
      <c r="Q171" s="93">
        <v>550.43142277870732</v>
      </c>
    </row>
    <row r="172" spans="2:17" x14ac:dyDescent="0.3">
      <c r="B172" t="s">
        <v>1074</v>
      </c>
      <c r="C172" s="81">
        <v>2.2000000000000002</v>
      </c>
      <c r="D172" s="78">
        <v>45953</v>
      </c>
      <c r="E172">
        <v>17</v>
      </c>
      <c r="F172" t="s">
        <v>913</v>
      </c>
      <c r="G172" t="s">
        <v>914</v>
      </c>
      <c r="H172">
        <v>25</v>
      </c>
      <c r="I172">
        <v>11</v>
      </c>
      <c r="J172" t="s">
        <v>935</v>
      </c>
      <c r="K172" t="s">
        <v>1101</v>
      </c>
      <c r="L172"/>
      <c r="M172" s="1">
        <v>211</v>
      </c>
      <c r="N172" s="1" t="s">
        <v>225</v>
      </c>
      <c r="O172" s="2">
        <v>46030.707453703704</v>
      </c>
      <c r="P172" s="92">
        <v>2.4706725982210314</v>
      </c>
      <c r="Q172" s="93">
        <v>573.63786288088272</v>
      </c>
    </row>
    <row r="173" spans="2:17" x14ac:dyDescent="0.3">
      <c r="B173" t="s">
        <v>1074</v>
      </c>
      <c r="C173" s="81">
        <v>2.2000000000000002</v>
      </c>
      <c r="D173" s="78">
        <v>45953</v>
      </c>
      <c r="E173">
        <v>22</v>
      </c>
      <c r="F173" t="s">
        <v>925</v>
      </c>
      <c r="G173" t="s">
        <v>918</v>
      </c>
      <c r="H173">
        <v>25</v>
      </c>
      <c r="I173">
        <v>12</v>
      </c>
      <c r="J173" t="s">
        <v>935</v>
      </c>
      <c r="K173" t="s">
        <v>1102</v>
      </c>
      <c r="L173"/>
      <c r="M173" s="4">
        <v>212</v>
      </c>
      <c r="N173" s="4" t="s">
        <v>226</v>
      </c>
      <c r="O173" s="12">
        <v>46030.711192129631</v>
      </c>
      <c r="P173" s="92">
        <v>-1.4524765730355855</v>
      </c>
      <c r="Q173" s="93">
        <v>646.62861692787772</v>
      </c>
    </row>
    <row r="174" spans="2:17" x14ac:dyDescent="0.3">
      <c r="B174" t="s">
        <v>1074</v>
      </c>
      <c r="C174" s="81">
        <v>2.2000000000000002</v>
      </c>
      <c r="D174" s="78">
        <v>45953</v>
      </c>
      <c r="E174">
        <v>21</v>
      </c>
      <c r="F174" t="s">
        <v>906</v>
      </c>
      <c r="G174" t="s">
        <v>922</v>
      </c>
      <c r="H174">
        <v>25</v>
      </c>
      <c r="I174">
        <v>13</v>
      </c>
      <c r="J174" t="s">
        <v>935</v>
      </c>
      <c r="K174" t="s">
        <v>1103</v>
      </c>
      <c r="L174"/>
      <c r="M174" s="1">
        <v>213</v>
      </c>
      <c r="N174" s="1" t="s">
        <v>227</v>
      </c>
      <c r="O174" s="2">
        <v>46030.714930555558</v>
      </c>
      <c r="P174" s="92">
        <v>0.30186130439236614</v>
      </c>
      <c r="Q174" s="93">
        <v>608.50314193149995</v>
      </c>
    </row>
    <row r="175" spans="2:17" x14ac:dyDescent="0.3">
      <c r="B175" t="s">
        <v>1074</v>
      </c>
      <c r="C175" s="81">
        <v>2.2000000000000002</v>
      </c>
      <c r="D175" s="78">
        <v>45953</v>
      </c>
      <c r="E175">
        <v>24</v>
      </c>
      <c r="F175" t="s">
        <v>929</v>
      </c>
      <c r="G175" t="s">
        <v>926</v>
      </c>
      <c r="H175">
        <v>25</v>
      </c>
      <c r="I175">
        <v>14</v>
      </c>
      <c r="J175" t="s">
        <v>935</v>
      </c>
      <c r="K175" t="s">
        <v>1104</v>
      </c>
      <c r="L175"/>
      <c r="M175" s="4">
        <v>214</v>
      </c>
      <c r="N175" s="4" t="s">
        <v>228</v>
      </c>
      <c r="O175" s="12">
        <v>46030.718680555554</v>
      </c>
      <c r="P175" s="92">
        <v>-4.7867931630031988</v>
      </c>
      <c r="Q175" s="93">
        <v>690.97151716451594</v>
      </c>
    </row>
    <row r="176" spans="2:17" x14ac:dyDescent="0.3">
      <c r="B176" t="s">
        <v>1074</v>
      </c>
      <c r="C176" s="81">
        <v>2.2000000000000002</v>
      </c>
      <c r="D176" s="78">
        <v>45953</v>
      </c>
      <c r="E176">
        <v>18</v>
      </c>
      <c r="F176" t="s">
        <v>910</v>
      </c>
      <c r="G176" t="s">
        <v>930</v>
      </c>
      <c r="H176">
        <v>25</v>
      </c>
      <c r="I176">
        <v>15</v>
      </c>
      <c r="J176" t="s">
        <v>935</v>
      </c>
      <c r="K176" t="s">
        <v>1105</v>
      </c>
      <c r="L176"/>
      <c r="M176" s="1">
        <v>215</v>
      </c>
      <c r="N176" s="1" t="s">
        <v>229</v>
      </c>
      <c r="O176" s="2">
        <v>46030.722407407404</v>
      </c>
      <c r="P176" s="92">
        <v>-5.433387174383169</v>
      </c>
      <c r="Q176" s="93">
        <v>625.56137247402341</v>
      </c>
    </row>
    <row r="177" spans="2:17" x14ac:dyDescent="0.3">
      <c r="B177" t="s">
        <v>1074</v>
      </c>
      <c r="C177" s="81">
        <v>2.2000000000000002</v>
      </c>
      <c r="D177" s="78">
        <v>45953</v>
      </c>
      <c r="E177">
        <v>23</v>
      </c>
      <c r="F177" t="s">
        <v>921</v>
      </c>
      <c r="G177" t="s">
        <v>933</v>
      </c>
      <c r="H177">
        <v>25</v>
      </c>
      <c r="I177">
        <v>16</v>
      </c>
      <c r="J177" t="s">
        <v>935</v>
      </c>
      <c r="K177" t="s">
        <v>1106</v>
      </c>
      <c r="L177"/>
      <c r="M177" s="4">
        <v>216</v>
      </c>
      <c r="N177" s="4" t="s">
        <v>230</v>
      </c>
      <c r="O177" s="12">
        <v>46030.726145833331</v>
      </c>
      <c r="P177" s="92">
        <v>0.55037093370299794</v>
      </c>
      <c r="Q177" s="93">
        <v>636.68088814522548</v>
      </c>
    </row>
    <row r="178" spans="2:17" x14ac:dyDescent="0.3">
      <c r="B178" t="s">
        <v>1074</v>
      </c>
      <c r="C178" s="81">
        <v>2.2000000000000002</v>
      </c>
      <c r="D178" s="78">
        <v>45953</v>
      </c>
      <c r="E178">
        <v>20</v>
      </c>
      <c r="F178" t="s">
        <v>932</v>
      </c>
      <c r="G178" t="s">
        <v>907</v>
      </c>
      <c r="H178">
        <v>25</v>
      </c>
      <c r="I178">
        <v>17</v>
      </c>
      <c r="J178" t="s">
        <v>24</v>
      </c>
      <c r="K178" t="s">
        <v>1107</v>
      </c>
      <c r="L178"/>
      <c r="M178" s="1">
        <v>217</v>
      </c>
      <c r="N178" s="1" t="s">
        <v>231</v>
      </c>
      <c r="O178" s="2">
        <v>46030.729884259257</v>
      </c>
      <c r="P178" s="92">
        <v>8.8358801878783595</v>
      </c>
      <c r="Q178" s="93">
        <v>577.06960569829516</v>
      </c>
    </row>
    <row r="179" spans="2:17" x14ac:dyDescent="0.3">
      <c r="B179" t="s">
        <v>1074</v>
      </c>
      <c r="C179" s="81">
        <v>2.2000000000000002</v>
      </c>
      <c r="D179" s="78">
        <v>45953</v>
      </c>
      <c r="E179">
        <v>19</v>
      </c>
      <c r="F179" t="s">
        <v>917</v>
      </c>
      <c r="G179" t="s">
        <v>15</v>
      </c>
      <c r="H179">
        <v>25</v>
      </c>
      <c r="I179">
        <v>18</v>
      </c>
      <c r="J179" t="s">
        <v>24</v>
      </c>
      <c r="K179" t="s">
        <v>1108</v>
      </c>
      <c r="L179"/>
      <c r="M179" s="4">
        <v>218</v>
      </c>
      <c r="N179" s="4" t="s">
        <v>232</v>
      </c>
      <c r="O179" s="12">
        <v>46030.733622685184</v>
      </c>
      <c r="P179" s="92">
        <v>1.6473469652000907</v>
      </c>
      <c r="Q179" s="93">
        <v>576.58334303863342</v>
      </c>
    </row>
    <row r="180" spans="2:17" x14ac:dyDescent="0.3">
      <c r="B180" t="s">
        <v>1074</v>
      </c>
      <c r="C180" s="81">
        <v>2.2000000000000002</v>
      </c>
      <c r="D180" s="78">
        <v>45953</v>
      </c>
      <c r="E180">
        <v>17</v>
      </c>
      <c r="F180" t="s">
        <v>913</v>
      </c>
      <c r="G180" t="s">
        <v>914</v>
      </c>
      <c r="H180">
        <v>25</v>
      </c>
      <c r="I180">
        <v>19</v>
      </c>
      <c r="J180" t="s">
        <v>24</v>
      </c>
      <c r="K180" t="s">
        <v>1109</v>
      </c>
      <c r="L180"/>
      <c r="M180" s="1">
        <v>219</v>
      </c>
      <c r="N180" s="1" t="s">
        <v>233</v>
      </c>
      <c r="O180" s="2">
        <v>46030.737361111111</v>
      </c>
      <c r="P180" s="92">
        <v>13.68606308741029</v>
      </c>
      <c r="Q180" s="93">
        <v>603.41666585447467</v>
      </c>
    </row>
    <row r="181" spans="2:17" x14ac:dyDescent="0.3">
      <c r="B181" t="s">
        <v>1074</v>
      </c>
      <c r="C181" s="81">
        <v>2.2000000000000002</v>
      </c>
      <c r="D181" s="78">
        <v>45953</v>
      </c>
      <c r="E181">
        <v>22</v>
      </c>
      <c r="F181" t="s">
        <v>925</v>
      </c>
      <c r="G181" t="s">
        <v>918</v>
      </c>
      <c r="H181">
        <v>25</v>
      </c>
      <c r="I181">
        <v>20</v>
      </c>
      <c r="J181" t="s">
        <v>24</v>
      </c>
      <c r="K181" t="s">
        <v>1110</v>
      </c>
      <c r="L181"/>
      <c r="M181" s="4">
        <v>220</v>
      </c>
      <c r="N181" s="4" t="s">
        <v>234</v>
      </c>
      <c r="O181" s="12">
        <v>46030.741099537037</v>
      </c>
      <c r="P181" s="92">
        <v>7.6886644172121859</v>
      </c>
      <c r="Q181" s="93">
        <v>679.08565457372219</v>
      </c>
    </row>
    <row r="182" spans="2:17" x14ac:dyDescent="0.3">
      <c r="B182" t="s">
        <v>1074</v>
      </c>
      <c r="C182" s="81">
        <v>2.2000000000000002</v>
      </c>
      <c r="D182" s="78">
        <v>45953</v>
      </c>
      <c r="E182">
        <v>21</v>
      </c>
      <c r="F182" t="s">
        <v>906</v>
      </c>
      <c r="G182" t="s">
        <v>922</v>
      </c>
      <c r="H182">
        <v>25</v>
      </c>
      <c r="I182">
        <v>21</v>
      </c>
      <c r="J182" t="s">
        <v>24</v>
      </c>
      <c r="K182" t="s">
        <v>1111</v>
      </c>
      <c r="L182"/>
      <c r="M182" s="1">
        <v>221</v>
      </c>
      <c r="N182" s="1" t="s">
        <v>235</v>
      </c>
      <c r="O182" s="2">
        <v>46030.744837962964</v>
      </c>
      <c r="P182" s="92">
        <v>11.18997808016754</v>
      </c>
      <c r="Q182" s="93">
        <v>652.35101503146575</v>
      </c>
    </row>
    <row r="183" spans="2:17" x14ac:dyDescent="0.3">
      <c r="B183" t="s">
        <v>1074</v>
      </c>
      <c r="C183" s="81">
        <v>2.2000000000000002</v>
      </c>
      <c r="D183" s="78">
        <v>45953</v>
      </c>
      <c r="E183">
        <v>24</v>
      </c>
      <c r="F183" t="s">
        <v>929</v>
      </c>
      <c r="G183" t="s">
        <v>926</v>
      </c>
      <c r="H183">
        <v>25</v>
      </c>
      <c r="I183">
        <v>22</v>
      </c>
      <c r="J183" t="s">
        <v>24</v>
      </c>
      <c r="K183" t="s">
        <v>1112</v>
      </c>
      <c r="L183"/>
      <c r="M183" s="4">
        <v>222</v>
      </c>
      <c r="N183" s="4" t="s">
        <v>236</v>
      </c>
      <c r="O183" s="12">
        <v>46030.748576388891</v>
      </c>
      <c r="P183" s="92">
        <v>4.8178596079788631</v>
      </c>
      <c r="Q183" s="93">
        <v>686.05132927293619</v>
      </c>
    </row>
    <row r="184" spans="2:17" x14ac:dyDescent="0.3">
      <c r="B184" t="s">
        <v>1074</v>
      </c>
      <c r="C184" s="81">
        <v>2.2000000000000002</v>
      </c>
      <c r="D184" s="78">
        <v>45953</v>
      </c>
      <c r="E184">
        <v>18</v>
      </c>
      <c r="F184" t="s">
        <v>910</v>
      </c>
      <c r="G184" t="s">
        <v>930</v>
      </c>
      <c r="H184">
        <v>25</v>
      </c>
      <c r="I184">
        <v>23</v>
      </c>
      <c r="J184" t="s">
        <v>24</v>
      </c>
      <c r="K184" t="s">
        <v>1113</v>
      </c>
      <c r="L184"/>
      <c r="M184" s="1">
        <v>223</v>
      </c>
      <c r="N184" s="1" t="s">
        <v>237</v>
      </c>
      <c r="O184" s="2">
        <v>46030.752314814818</v>
      </c>
      <c r="P184" s="92">
        <v>3.6491096025864693</v>
      </c>
      <c r="Q184" s="93">
        <v>616.29267746971618</v>
      </c>
    </row>
    <row r="185" spans="2:17" x14ac:dyDescent="0.3">
      <c r="B185" t="s">
        <v>1074</v>
      </c>
      <c r="C185" s="81">
        <v>2.2000000000000002</v>
      </c>
      <c r="D185" s="78">
        <v>45953</v>
      </c>
      <c r="E185">
        <v>23</v>
      </c>
      <c r="F185" t="s">
        <v>921</v>
      </c>
      <c r="G185" t="s">
        <v>933</v>
      </c>
      <c r="H185">
        <v>25</v>
      </c>
      <c r="I185">
        <v>24</v>
      </c>
      <c r="J185" t="s">
        <v>24</v>
      </c>
      <c r="K185" t="s">
        <v>1114</v>
      </c>
      <c r="L185"/>
      <c r="M185" s="4">
        <v>224</v>
      </c>
      <c r="N185" s="4" t="s">
        <v>238</v>
      </c>
      <c r="O185" s="12">
        <v>46030.756053240744</v>
      </c>
      <c r="P185" s="92">
        <v>8.6360111972867593</v>
      </c>
      <c r="Q185" s="93">
        <v>702.79749705832864</v>
      </c>
    </row>
    <row r="186" spans="2:17" x14ac:dyDescent="0.3">
      <c r="B186" t="s">
        <v>1074</v>
      </c>
      <c r="C186" s="81">
        <v>2.2000000000000002</v>
      </c>
      <c r="D186" s="78">
        <v>45953</v>
      </c>
      <c r="E186">
        <v>20</v>
      </c>
      <c r="F186" t="s">
        <v>932</v>
      </c>
      <c r="G186" t="s">
        <v>907</v>
      </c>
      <c r="H186">
        <v>25</v>
      </c>
      <c r="I186">
        <v>25</v>
      </c>
      <c r="J186" t="s">
        <v>25</v>
      </c>
      <c r="K186" t="s">
        <v>1115</v>
      </c>
      <c r="L186"/>
      <c r="M186" s="1">
        <v>225</v>
      </c>
      <c r="N186" s="1" t="s">
        <v>239</v>
      </c>
      <c r="O186" s="2">
        <v>46030.759791666664</v>
      </c>
      <c r="P186" s="92">
        <v>15.510602006126513</v>
      </c>
      <c r="Q186" s="93">
        <v>622.30463494351579</v>
      </c>
    </row>
    <row r="187" spans="2:17" x14ac:dyDescent="0.3">
      <c r="B187" t="s">
        <v>1074</v>
      </c>
      <c r="C187" s="81">
        <v>2.2000000000000002</v>
      </c>
      <c r="D187" s="78">
        <v>45953</v>
      </c>
      <c r="E187">
        <v>19</v>
      </c>
      <c r="F187" t="s">
        <v>917</v>
      </c>
      <c r="G187" t="s">
        <v>15</v>
      </c>
      <c r="H187">
        <v>25</v>
      </c>
      <c r="I187">
        <v>26</v>
      </c>
      <c r="J187" t="s">
        <v>25</v>
      </c>
      <c r="K187" t="s">
        <v>1116</v>
      </c>
      <c r="L187"/>
      <c r="M187" s="4">
        <v>226</v>
      </c>
      <c r="N187" s="4" t="s">
        <v>240</v>
      </c>
      <c r="O187" s="12">
        <v>46030.763541666667</v>
      </c>
      <c r="P187" s="92">
        <v>9.0833559305342462</v>
      </c>
      <c r="Q187" s="93">
        <v>570.98620589297059</v>
      </c>
    </row>
    <row r="188" spans="2:17" x14ac:dyDescent="0.3">
      <c r="B188" t="s">
        <v>1074</v>
      </c>
      <c r="C188" s="81">
        <v>2.2000000000000002</v>
      </c>
      <c r="D188" s="78">
        <v>45953</v>
      </c>
      <c r="E188">
        <v>17</v>
      </c>
      <c r="F188" t="s">
        <v>913</v>
      </c>
      <c r="G188" t="s">
        <v>914</v>
      </c>
      <c r="H188">
        <v>25</v>
      </c>
      <c r="I188">
        <v>27</v>
      </c>
      <c r="J188" t="s">
        <v>25</v>
      </c>
      <c r="K188" t="s">
        <v>1117</v>
      </c>
      <c r="L188"/>
      <c r="M188" s="1">
        <v>227</v>
      </c>
      <c r="N188" s="1" t="s">
        <v>241</v>
      </c>
      <c r="O188" s="2">
        <v>46030.76730324074</v>
      </c>
      <c r="P188" s="92">
        <v>23.299900823208063</v>
      </c>
      <c r="Q188" s="93">
        <v>610.81265268713651</v>
      </c>
    </row>
    <row r="189" spans="2:17" x14ac:dyDescent="0.3">
      <c r="B189" t="s">
        <v>1074</v>
      </c>
      <c r="C189" s="81">
        <v>2.2000000000000002</v>
      </c>
      <c r="D189" s="78">
        <v>45953</v>
      </c>
      <c r="E189">
        <v>22</v>
      </c>
      <c r="F189" t="s">
        <v>925</v>
      </c>
      <c r="G189" t="s">
        <v>918</v>
      </c>
      <c r="H189">
        <v>25</v>
      </c>
      <c r="I189">
        <v>28</v>
      </c>
      <c r="J189" t="s">
        <v>25</v>
      </c>
      <c r="K189" t="s">
        <v>1118</v>
      </c>
      <c r="L189"/>
      <c r="M189" s="4">
        <v>228</v>
      </c>
      <c r="N189" s="4" t="s">
        <v>242</v>
      </c>
      <c r="O189" s="12">
        <v>46030.77103009259</v>
      </c>
      <c r="P189" s="92">
        <v>16.717536100963478</v>
      </c>
      <c r="Q189" s="93">
        <v>653.40407878818462</v>
      </c>
    </row>
    <row r="190" spans="2:17" x14ac:dyDescent="0.3">
      <c r="B190" t="s">
        <v>1074</v>
      </c>
      <c r="C190" s="81">
        <v>2.2000000000000002</v>
      </c>
      <c r="D190" s="78">
        <v>45953</v>
      </c>
      <c r="E190">
        <v>21</v>
      </c>
      <c r="F190" t="s">
        <v>906</v>
      </c>
      <c r="G190" t="s">
        <v>922</v>
      </c>
      <c r="H190">
        <v>25</v>
      </c>
      <c r="I190">
        <v>29</v>
      </c>
      <c r="J190" t="s">
        <v>25</v>
      </c>
      <c r="K190" t="s">
        <v>1119</v>
      </c>
      <c r="L190"/>
      <c r="M190" s="1">
        <v>229</v>
      </c>
      <c r="N190" s="1" t="s">
        <v>243</v>
      </c>
      <c r="O190" s="2">
        <v>46030.774780092594</v>
      </c>
      <c r="P190" s="92">
        <v>17.316329395881308</v>
      </c>
      <c r="Q190" s="93">
        <v>704.11733254503156</v>
      </c>
    </row>
    <row r="191" spans="2:17" x14ac:dyDescent="0.3">
      <c r="B191" t="s">
        <v>1074</v>
      </c>
      <c r="C191" s="81">
        <v>2.2000000000000002</v>
      </c>
      <c r="D191" s="78">
        <v>45953</v>
      </c>
      <c r="E191">
        <v>24</v>
      </c>
      <c r="F191" t="s">
        <v>929</v>
      </c>
      <c r="G191" t="s">
        <v>926</v>
      </c>
      <c r="H191">
        <v>25</v>
      </c>
      <c r="I191">
        <v>30</v>
      </c>
      <c r="J191" t="s">
        <v>25</v>
      </c>
      <c r="K191" t="s">
        <v>1120</v>
      </c>
      <c r="L191"/>
      <c r="M191" s="4">
        <v>230</v>
      </c>
      <c r="N191" s="4" t="s">
        <v>244</v>
      </c>
      <c r="O191" s="12">
        <v>46030.778506944444</v>
      </c>
      <c r="P191" s="92">
        <v>12.258953855618419</v>
      </c>
      <c r="Q191" s="93">
        <v>714.73973655529903</v>
      </c>
    </row>
    <row r="192" spans="2:17" x14ac:dyDescent="0.3">
      <c r="B192" t="s">
        <v>1074</v>
      </c>
      <c r="C192" s="81">
        <v>2.2000000000000002</v>
      </c>
      <c r="D192" s="78">
        <v>45953</v>
      </c>
      <c r="E192">
        <v>18</v>
      </c>
      <c r="F192" t="s">
        <v>910</v>
      </c>
      <c r="G192" t="s">
        <v>930</v>
      </c>
      <c r="H192">
        <v>25</v>
      </c>
      <c r="I192">
        <v>31</v>
      </c>
      <c r="J192" t="s">
        <v>25</v>
      </c>
      <c r="K192" t="s">
        <v>1121</v>
      </c>
      <c r="L192"/>
      <c r="M192" s="1">
        <v>231</v>
      </c>
      <c r="N192" s="1" t="s">
        <v>245</v>
      </c>
      <c r="O192" s="2">
        <v>46030.78224537037</v>
      </c>
      <c r="P192" s="92">
        <v>10.537744346309639</v>
      </c>
      <c r="Q192" s="93">
        <v>648.83778626562992</v>
      </c>
    </row>
    <row r="193" spans="2:17" x14ac:dyDescent="0.3">
      <c r="B193" t="s">
        <v>1074</v>
      </c>
      <c r="C193" s="81">
        <v>2.2000000000000002</v>
      </c>
      <c r="D193" s="78">
        <v>45953</v>
      </c>
      <c r="E193">
        <v>23</v>
      </c>
      <c r="F193" t="s">
        <v>921</v>
      </c>
      <c r="G193" t="s">
        <v>933</v>
      </c>
      <c r="H193">
        <v>25</v>
      </c>
      <c r="I193">
        <v>32</v>
      </c>
      <c r="J193" t="s">
        <v>25</v>
      </c>
      <c r="K193" t="s">
        <v>1122</v>
      </c>
      <c r="L193"/>
      <c r="M193" s="4">
        <v>232</v>
      </c>
      <c r="N193" s="4" t="s">
        <v>246</v>
      </c>
      <c r="O193" s="12">
        <v>46030.785995370374</v>
      </c>
      <c r="P193" s="92">
        <v>15.313640598034789</v>
      </c>
      <c r="Q193" s="93">
        <v>736.00557932065976</v>
      </c>
    </row>
    <row r="194" spans="2:17" x14ac:dyDescent="0.3">
      <c r="B194" t="s">
        <v>1074</v>
      </c>
      <c r="C194" s="81">
        <v>2.2999999999999998</v>
      </c>
      <c r="D194" s="78">
        <v>45954</v>
      </c>
      <c r="E194">
        <v>20</v>
      </c>
      <c r="F194" t="s">
        <v>932</v>
      </c>
      <c r="G194" t="s">
        <v>907</v>
      </c>
      <c r="H194">
        <v>49</v>
      </c>
      <c r="I194">
        <v>1</v>
      </c>
      <c r="J194" t="s">
        <v>908</v>
      </c>
      <c r="K194" t="s">
        <v>1123</v>
      </c>
      <c r="L194"/>
      <c r="M194" s="1">
        <v>233</v>
      </c>
      <c r="N194" s="1" t="s">
        <v>247</v>
      </c>
      <c r="O194" s="2">
        <v>46030.789722222224</v>
      </c>
      <c r="P194" s="92">
        <v>-16.696024327238515</v>
      </c>
      <c r="Q194" s="93">
        <v>662.26956047445003</v>
      </c>
    </row>
    <row r="195" spans="2:17" x14ac:dyDescent="0.3">
      <c r="B195" t="s">
        <v>1074</v>
      </c>
      <c r="C195" s="81">
        <v>2.2999999999999998</v>
      </c>
      <c r="D195" s="78">
        <v>45954</v>
      </c>
      <c r="E195">
        <v>19</v>
      </c>
      <c r="F195" t="s">
        <v>917</v>
      </c>
      <c r="G195" t="s">
        <v>15</v>
      </c>
      <c r="H195">
        <v>49</v>
      </c>
      <c r="I195">
        <v>2</v>
      </c>
      <c r="J195" t="s">
        <v>908</v>
      </c>
      <c r="K195" t="s">
        <v>1124</v>
      </c>
      <c r="L195"/>
      <c r="M195" s="4">
        <v>234</v>
      </c>
      <c r="N195" s="4" t="s">
        <v>248</v>
      </c>
      <c r="O195" s="12">
        <v>46030.793483796297</v>
      </c>
      <c r="P195" s="92">
        <v>-17.542913907889947</v>
      </c>
      <c r="Q195" s="93">
        <v>660.65973923757292</v>
      </c>
    </row>
    <row r="196" spans="2:17" x14ac:dyDescent="0.3">
      <c r="B196" t="s">
        <v>1125</v>
      </c>
      <c r="C196" s="81">
        <v>2.2999999999999998</v>
      </c>
      <c r="D196" s="78">
        <v>45954</v>
      </c>
      <c r="E196">
        <v>17</v>
      </c>
      <c r="F196" t="s">
        <v>913</v>
      </c>
      <c r="G196" t="s">
        <v>914</v>
      </c>
      <c r="H196">
        <v>49</v>
      </c>
      <c r="I196">
        <v>3</v>
      </c>
      <c r="J196" t="s">
        <v>908</v>
      </c>
      <c r="K196" t="s">
        <v>1126</v>
      </c>
      <c r="L196"/>
      <c r="M196" s="1">
        <v>235</v>
      </c>
      <c r="N196" s="1" t="s">
        <v>249</v>
      </c>
      <c r="O196" s="2">
        <v>46030.797210648147</v>
      </c>
      <c r="P196" s="92">
        <v>-16.48892793312644</v>
      </c>
      <c r="Q196" s="93">
        <v>638.39593048178199</v>
      </c>
    </row>
    <row r="197" spans="2:17" x14ac:dyDescent="0.3">
      <c r="B197" t="s">
        <v>1125</v>
      </c>
      <c r="C197" s="81">
        <v>2.2999999999999998</v>
      </c>
      <c r="D197" s="78">
        <v>45954</v>
      </c>
      <c r="E197">
        <v>22</v>
      </c>
      <c r="F197" t="s">
        <v>925</v>
      </c>
      <c r="G197" t="s">
        <v>918</v>
      </c>
      <c r="H197">
        <v>49</v>
      </c>
      <c r="I197">
        <v>4</v>
      </c>
      <c r="J197" t="s">
        <v>908</v>
      </c>
      <c r="K197" t="s">
        <v>1127</v>
      </c>
      <c r="L197"/>
      <c r="M197" s="4">
        <v>236</v>
      </c>
      <c r="N197" s="4" t="s">
        <v>250</v>
      </c>
      <c r="O197" s="12">
        <v>46030.80096064815</v>
      </c>
      <c r="P197" s="92">
        <v>-17.557562687512764</v>
      </c>
      <c r="Q197" s="93">
        <v>675.84241907536614</v>
      </c>
    </row>
    <row r="198" spans="2:17" x14ac:dyDescent="0.3">
      <c r="B198" t="s">
        <v>1125</v>
      </c>
      <c r="C198" s="81">
        <v>2.2999999999999998</v>
      </c>
      <c r="D198" s="78">
        <v>45954</v>
      </c>
      <c r="E198">
        <v>21</v>
      </c>
      <c r="F198" t="s">
        <v>906</v>
      </c>
      <c r="G198" t="s">
        <v>922</v>
      </c>
      <c r="H198">
        <v>49</v>
      </c>
      <c r="I198">
        <v>5</v>
      </c>
      <c r="J198" t="s">
        <v>908</v>
      </c>
      <c r="K198" t="s">
        <v>1128</v>
      </c>
      <c r="L198"/>
      <c r="M198" s="1">
        <v>237</v>
      </c>
      <c r="N198" s="1" t="s">
        <v>251</v>
      </c>
      <c r="O198" s="2">
        <v>46030.804710648146</v>
      </c>
      <c r="P198" s="92">
        <v>-16.598619049998536</v>
      </c>
      <c r="Q198" s="93">
        <v>664.91467963626769</v>
      </c>
    </row>
    <row r="199" spans="2:17" x14ac:dyDescent="0.3">
      <c r="B199" t="s">
        <v>1125</v>
      </c>
      <c r="C199" s="81">
        <v>2.2999999999999998</v>
      </c>
      <c r="D199" s="78">
        <v>45954</v>
      </c>
      <c r="E199">
        <v>24</v>
      </c>
      <c r="F199" t="s">
        <v>929</v>
      </c>
      <c r="G199" t="s">
        <v>926</v>
      </c>
      <c r="H199">
        <v>49</v>
      </c>
      <c r="I199">
        <v>6</v>
      </c>
      <c r="J199" t="s">
        <v>908</v>
      </c>
      <c r="K199" t="s">
        <v>1129</v>
      </c>
      <c r="L199"/>
      <c r="M199" s="4">
        <v>238</v>
      </c>
      <c r="N199" s="4" t="s">
        <v>252</v>
      </c>
      <c r="O199" s="12">
        <v>46030.808449074073</v>
      </c>
      <c r="P199" s="92">
        <v>-15.581431959796783</v>
      </c>
      <c r="Q199" s="93">
        <v>638.04208248830832</v>
      </c>
    </row>
    <row r="200" spans="2:17" x14ac:dyDescent="0.3">
      <c r="B200" t="s">
        <v>1125</v>
      </c>
      <c r="C200" s="81">
        <v>2.2999999999999998</v>
      </c>
      <c r="D200" s="78">
        <v>45954</v>
      </c>
      <c r="E200">
        <v>18</v>
      </c>
      <c r="F200" t="s">
        <v>910</v>
      </c>
      <c r="G200" t="s">
        <v>930</v>
      </c>
      <c r="H200">
        <v>49</v>
      </c>
      <c r="I200">
        <v>7</v>
      </c>
      <c r="J200" t="s">
        <v>908</v>
      </c>
      <c r="K200" t="s">
        <v>1130</v>
      </c>
      <c r="L200"/>
      <c r="M200" s="1">
        <v>239</v>
      </c>
      <c r="N200" s="1" t="s">
        <v>253</v>
      </c>
      <c r="O200" s="2">
        <v>46030.812199074076</v>
      </c>
      <c r="P200" s="92">
        <v>-16.411805439039398</v>
      </c>
      <c r="Q200" s="93">
        <v>624.64484505646533</v>
      </c>
    </row>
    <row r="201" spans="2:17" x14ac:dyDescent="0.3">
      <c r="B201" t="s">
        <v>1125</v>
      </c>
      <c r="C201" s="81">
        <v>2.2999999999999998</v>
      </c>
      <c r="D201" s="78">
        <v>45954</v>
      </c>
      <c r="E201">
        <v>23</v>
      </c>
      <c r="F201" t="s">
        <v>921</v>
      </c>
      <c r="G201" t="s">
        <v>933</v>
      </c>
      <c r="H201">
        <v>49</v>
      </c>
      <c r="I201">
        <v>8</v>
      </c>
      <c r="J201" t="s">
        <v>908</v>
      </c>
      <c r="K201" t="s">
        <v>1131</v>
      </c>
      <c r="L201"/>
      <c r="M201" s="4">
        <v>240</v>
      </c>
      <c r="N201" s="4" t="s">
        <v>254</v>
      </c>
      <c r="O201" s="12">
        <v>46030.815937500003</v>
      </c>
      <c r="P201" s="92">
        <v>-16.632644444884836</v>
      </c>
      <c r="Q201" s="93">
        <v>605.45637284483701</v>
      </c>
    </row>
    <row r="202" spans="2:17" x14ac:dyDescent="0.3">
      <c r="B202" t="s">
        <v>1125</v>
      </c>
      <c r="C202" s="81">
        <v>2.2999999999999998</v>
      </c>
      <c r="D202" s="78">
        <v>45954</v>
      </c>
      <c r="E202">
        <v>20</v>
      </c>
      <c r="F202" t="s">
        <v>932</v>
      </c>
      <c r="G202" t="s">
        <v>907</v>
      </c>
      <c r="H202">
        <v>49</v>
      </c>
      <c r="I202">
        <v>9</v>
      </c>
      <c r="J202" t="s">
        <v>935</v>
      </c>
      <c r="K202" t="s">
        <v>1132</v>
      </c>
      <c r="L202"/>
      <c r="M202" s="1">
        <v>241</v>
      </c>
      <c r="N202" s="1" t="s">
        <v>255</v>
      </c>
      <c r="O202" s="2">
        <v>46030.819664351853</v>
      </c>
      <c r="P202" s="92">
        <v>4.0700493306824859</v>
      </c>
      <c r="Q202" s="93">
        <v>638.17582366993588</v>
      </c>
    </row>
    <row r="203" spans="2:17" x14ac:dyDescent="0.3">
      <c r="B203" t="s">
        <v>1125</v>
      </c>
      <c r="C203" s="81">
        <v>2.2999999999999998</v>
      </c>
      <c r="D203" s="78">
        <v>45954</v>
      </c>
      <c r="E203">
        <v>19</v>
      </c>
      <c r="F203" t="s">
        <v>917</v>
      </c>
      <c r="G203" t="s">
        <v>15</v>
      </c>
      <c r="H203">
        <v>49</v>
      </c>
      <c r="I203">
        <v>10</v>
      </c>
      <c r="J203" t="s">
        <v>935</v>
      </c>
      <c r="K203" t="s">
        <v>1133</v>
      </c>
      <c r="L203"/>
      <c r="M203" s="4">
        <v>242</v>
      </c>
      <c r="N203" s="4" t="s">
        <v>256</v>
      </c>
      <c r="O203" s="12">
        <v>46030.82340277778</v>
      </c>
      <c r="P203" s="92">
        <v>1.1615012267154847</v>
      </c>
      <c r="Q203" s="93">
        <v>643.68474753887506</v>
      </c>
    </row>
    <row r="204" spans="2:17" x14ac:dyDescent="0.3">
      <c r="B204" t="s">
        <v>1125</v>
      </c>
      <c r="C204" s="81">
        <v>2.2999999999999998</v>
      </c>
      <c r="D204" s="78">
        <v>45954</v>
      </c>
      <c r="E204">
        <v>17</v>
      </c>
      <c r="F204" t="s">
        <v>913</v>
      </c>
      <c r="G204" t="s">
        <v>914</v>
      </c>
      <c r="H204">
        <v>49</v>
      </c>
      <c r="I204">
        <v>11</v>
      </c>
      <c r="J204" t="s">
        <v>935</v>
      </c>
      <c r="K204" t="s">
        <v>1134</v>
      </c>
      <c r="L204"/>
      <c r="M204" s="1">
        <v>243</v>
      </c>
      <c r="N204" s="1" t="s">
        <v>257</v>
      </c>
      <c r="O204" s="2">
        <v>46030.827141203707</v>
      </c>
      <c r="P204" s="92">
        <v>12.47050462780418</v>
      </c>
      <c r="Q204" s="93">
        <v>666.49598079119676</v>
      </c>
    </row>
    <row r="205" spans="2:17" x14ac:dyDescent="0.3">
      <c r="B205" t="s">
        <v>1125</v>
      </c>
      <c r="C205" s="81">
        <v>2.2999999999999998</v>
      </c>
      <c r="D205" s="78">
        <v>45954</v>
      </c>
      <c r="E205">
        <v>22</v>
      </c>
      <c r="F205" t="s">
        <v>925</v>
      </c>
      <c r="G205" t="s">
        <v>918</v>
      </c>
      <c r="H205">
        <v>49</v>
      </c>
      <c r="I205">
        <v>12</v>
      </c>
      <c r="J205" t="s">
        <v>935</v>
      </c>
      <c r="K205" t="s">
        <v>1135</v>
      </c>
      <c r="L205"/>
      <c r="M205" s="4">
        <v>244</v>
      </c>
      <c r="N205" s="4" t="s">
        <v>258</v>
      </c>
      <c r="O205" s="12">
        <v>46030.830891203703</v>
      </c>
      <c r="P205" s="92">
        <v>1.4985145799525581</v>
      </c>
      <c r="Q205" s="93">
        <v>711.82268172839383</v>
      </c>
    </row>
    <row r="206" spans="2:17" x14ac:dyDescent="0.3">
      <c r="B206" t="s">
        <v>1125</v>
      </c>
      <c r="C206" s="81">
        <v>2.2999999999999998</v>
      </c>
      <c r="D206" s="78">
        <v>45954</v>
      </c>
      <c r="E206">
        <v>21</v>
      </c>
      <c r="F206" t="s">
        <v>906</v>
      </c>
      <c r="G206" t="s">
        <v>922</v>
      </c>
      <c r="H206">
        <v>49</v>
      </c>
      <c r="I206">
        <v>13</v>
      </c>
      <c r="J206" t="s">
        <v>935</v>
      </c>
      <c r="K206" t="s">
        <v>1136</v>
      </c>
      <c r="L206"/>
      <c r="M206" s="1">
        <v>245</v>
      </c>
      <c r="N206" s="1" t="s">
        <v>259</v>
      </c>
      <c r="O206" s="2">
        <v>46030.834629629629</v>
      </c>
      <c r="P206" s="92">
        <v>6.8959860241048396</v>
      </c>
      <c r="Q206" s="93">
        <v>722.32432545811992</v>
      </c>
    </row>
    <row r="207" spans="2:17" x14ac:dyDescent="0.3">
      <c r="B207" t="s">
        <v>1125</v>
      </c>
      <c r="C207" s="81">
        <v>2.2999999999999998</v>
      </c>
      <c r="D207" s="78">
        <v>45954</v>
      </c>
      <c r="E207">
        <v>24</v>
      </c>
      <c r="F207" t="s">
        <v>929</v>
      </c>
      <c r="G207" t="s">
        <v>926</v>
      </c>
      <c r="H207">
        <v>49</v>
      </c>
      <c r="I207">
        <v>14</v>
      </c>
      <c r="J207" t="s">
        <v>935</v>
      </c>
      <c r="K207" t="s">
        <v>1137</v>
      </c>
      <c r="L207"/>
      <c r="M207" s="4">
        <v>246</v>
      </c>
      <c r="N207" s="4" t="s">
        <v>260</v>
      </c>
      <c r="O207" s="12">
        <v>46030.838368055556</v>
      </c>
      <c r="P207" s="92">
        <v>4.6107838637915002</v>
      </c>
      <c r="Q207" s="93">
        <v>635.04448922400786</v>
      </c>
    </row>
    <row r="208" spans="2:17" x14ac:dyDescent="0.3">
      <c r="B208" t="s">
        <v>1125</v>
      </c>
      <c r="C208" s="81">
        <v>2.2999999999999998</v>
      </c>
      <c r="D208" s="78">
        <v>45954</v>
      </c>
      <c r="E208">
        <v>18</v>
      </c>
      <c r="F208" t="s">
        <v>910</v>
      </c>
      <c r="G208" t="s">
        <v>930</v>
      </c>
      <c r="H208">
        <v>49</v>
      </c>
      <c r="I208">
        <v>15</v>
      </c>
      <c r="J208" t="s">
        <v>935</v>
      </c>
      <c r="K208" t="s">
        <v>1138</v>
      </c>
      <c r="L208"/>
      <c r="M208" s="1">
        <v>247</v>
      </c>
      <c r="N208" s="1" t="s">
        <v>261</v>
      </c>
      <c r="O208" s="2">
        <v>46030.842094907406</v>
      </c>
      <c r="P208" s="92">
        <v>9.3871166488323325</v>
      </c>
      <c r="Q208" s="93">
        <v>641.64309815090496</v>
      </c>
    </row>
    <row r="209" spans="2:17" x14ac:dyDescent="0.3">
      <c r="B209" t="s">
        <v>1125</v>
      </c>
      <c r="C209" s="81">
        <v>2.2999999999999998</v>
      </c>
      <c r="D209" s="78">
        <v>45954</v>
      </c>
      <c r="E209">
        <v>23</v>
      </c>
      <c r="F209" t="s">
        <v>921</v>
      </c>
      <c r="G209" t="s">
        <v>933</v>
      </c>
      <c r="H209">
        <v>49</v>
      </c>
      <c r="I209">
        <v>16</v>
      </c>
      <c r="J209" t="s">
        <v>935</v>
      </c>
      <c r="K209" t="s">
        <v>1139</v>
      </c>
      <c r="L209"/>
      <c r="M209" s="4">
        <v>248</v>
      </c>
      <c r="N209" s="4" t="s">
        <v>262</v>
      </c>
      <c r="O209" s="12">
        <v>46030.84584490741</v>
      </c>
      <c r="P209" s="92">
        <v>7.2620076354187351</v>
      </c>
      <c r="Q209" s="93">
        <v>689.05091231039592</v>
      </c>
    </row>
    <row r="210" spans="2:17" x14ac:dyDescent="0.3">
      <c r="B210" t="s">
        <v>1125</v>
      </c>
      <c r="C210" s="81">
        <v>2.2999999999999998</v>
      </c>
      <c r="D210" s="78">
        <v>45954</v>
      </c>
      <c r="E210">
        <v>20</v>
      </c>
      <c r="F210" t="s">
        <v>932</v>
      </c>
      <c r="G210" t="s">
        <v>907</v>
      </c>
      <c r="H210">
        <v>49</v>
      </c>
      <c r="I210">
        <v>17</v>
      </c>
      <c r="J210" t="s">
        <v>24</v>
      </c>
      <c r="K210" t="s">
        <v>1140</v>
      </c>
      <c r="L210"/>
      <c r="M210" s="1">
        <v>249</v>
      </c>
      <c r="N210" s="1" t="s">
        <v>263</v>
      </c>
      <c r="O210" s="2">
        <v>46030.849583333336</v>
      </c>
      <c r="P210" s="92">
        <v>19.634709901029566</v>
      </c>
      <c r="Q210" s="93">
        <v>666.07514376803067</v>
      </c>
    </row>
    <row r="211" spans="2:17" x14ac:dyDescent="0.3">
      <c r="B211" t="s">
        <v>1125</v>
      </c>
      <c r="C211" s="81">
        <v>2.2999999999999998</v>
      </c>
      <c r="D211" s="78">
        <v>45954</v>
      </c>
      <c r="E211">
        <v>19</v>
      </c>
      <c r="F211" t="s">
        <v>917</v>
      </c>
      <c r="G211" t="s">
        <v>15</v>
      </c>
      <c r="H211">
        <v>49</v>
      </c>
      <c r="I211">
        <v>18</v>
      </c>
      <c r="J211" t="s">
        <v>24</v>
      </c>
      <c r="K211" t="s">
        <v>1141</v>
      </c>
      <c r="L211"/>
      <c r="M211" s="4">
        <v>250</v>
      </c>
      <c r="N211" s="4" t="s">
        <v>264</v>
      </c>
      <c r="O211" s="12">
        <v>46030.853321759256</v>
      </c>
      <c r="P211" s="92">
        <v>14.366860879451368</v>
      </c>
      <c r="Q211" s="93">
        <v>674.20047721463368</v>
      </c>
    </row>
    <row r="212" spans="2:17" x14ac:dyDescent="0.3">
      <c r="B212" t="s">
        <v>1125</v>
      </c>
      <c r="C212" s="81">
        <v>2.2999999999999998</v>
      </c>
      <c r="D212" s="78">
        <v>45954</v>
      </c>
      <c r="E212">
        <v>17</v>
      </c>
      <c r="F212" t="s">
        <v>913</v>
      </c>
      <c r="G212" t="s">
        <v>914</v>
      </c>
      <c r="H212">
        <v>49</v>
      </c>
      <c r="I212">
        <v>19</v>
      </c>
      <c r="J212" t="s">
        <v>24</v>
      </c>
      <c r="K212" t="s">
        <v>1142</v>
      </c>
      <c r="L212"/>
      <c r="M212" s="1">
        <v>251</v>
      </c>
      <c r="N212" s="1" t="s">
        <v>265</v>
      </c>
      <c r="O212" s="2">
        <v>46030.857094907406</v>
      </c>
      <c r="P212" s="92">
        <v>34.468357464324811</v>
      </c>
      <c r="Q212" s="93">
        <v>668.16956952027033</v>
      </c>
    </row>
    <row r="213" spans="2:17" x14ac:dyDescent="0.3">
      <c r="B213" t="s">
        <v>1125</v>
      </c>
      <c r="C213" s="81">
        <v>2.2999999999999998</v>
      </c>
      <c r="D213" s="78">
        <v>45954</v>
      </c>
      <c r="E213">
        <v>22</v>
      </c>
      <c r="F213" t="s">
        <v>925</v>
      </c>
      <c r="G213" t="s">
        <v>918</v>
      </c>
      <c r="H213">
        <v>49</v>
      </c>
      <c r="I213">
        <v>20</v>
      </c>
      <c r="J213" t="s">
        <v>24</v>
      </c>
      <c r="K213" t="s">
        <v>1143</v>
      </c>
      <c r="L213"/>
      <c r="M213" s="4">
        <v>252</v>
      </c>
      <c r="N213" s="4" t="s">
        <v>266</v>
      </c>
      <c r="O213" s="12">
        <v>46030.860844907409</v>
      </c>
      <c r="P213" s="92">
        <v>14.930098569890216</v>
      </c>
      <c r="Q213" s="93">
        <v>732.55019610309432</v>
      </c>
    </row>
    <row r="214" spans="2:17" x14ac:dyDescent="0.3">
      <c r="B214" t="s">
        <v>1125</v>
      </c>
      <c r="C214" s="81">
        <v>2.2999999999999998</v>
      </c>
      <c r="D214" s="78">
        <v>45954</v>
      </c>
      <c r="E214">
        <v>21</v>
      </c>
      <c r="F214" t="s">
        <v>906</v>
      </c>
      <c r="G214" t="s">
        <v>922</v>
      </c>
      <c r="H214">
        <v>49</v>
      </c>
      <c r="I214">
        <v>21</v>
      </c>
      <c r="J214" t="s">
        <v>24</v>
      </c>
      <c r="K214" t="s">
        <v>1144</v>
      </c>
      <c r="L214"/>
      <c r="M214" s="1">
        <v>253</v>
      </c>
      <c r="N214" s="1" t="s">
        <v>267</v>
      </c>
      <c r="O214" s="2">
        <v>46030.864571759259</v>
      </c>
      <c r="P214" s="92">
        <v>25.66682039567139</v>
      </c>
      <c r="Q214" s="93">
        <v>722.56267185725847</v>
      </c>
    </row>
    <row r="215" spans="2:17" x14ac:dyDescent="0.3">
      <c r="B215" t="s">
        <v>1125</v>
      </c>
      <c r="C215" s="81">
        <v>2.2999999999999998</v>
      </c>
      <c r="D215" s="78">
        <v>45954</v>
      </c>
      <c r="E215">
        <v>24</v>
      </c>
      <c r="F215" t="s">
        <v>929</v>
      </c>
      <c r="G215" t="s">
        <v>926</v>
      </c>
      <c r="H215">
        <v>49</v>
      </c>
      <c r="I215">
        <v>22</v>
      </c>
      <c r="J215" t="s">
        <v>24</v>
      </c>
      <c r="K215" t="s">
        <v>1145</v>
      </c>
      <c r="L215"/>
      <c r="M215" s="4">
        <v>254</v>
      </c>
      <c r="N215" s="4" t="s">
        <v>268</v>
      </c>
      <c r="O215" s="12">
        <v>46030.868321759262</v>
      </c>
      <c r="P215" s="92">
        <v>17.571688264611936</v>
      </c>
      <c r="Q215" s="93">
        <v>698.52611734329491</v>
      </c>
    </row>
    <row r="216" spans="2:17" x14ac:dyDescent="0.3">
      <c r="B216" t="s">
        <v>1125</v>
      </c>
      <c r="C216" s="81">
        <v>2.2999999999999998</v>
      </c>
      <c r="D216" s="78">
        <v>45954</v>
      </c>
      <c r="E216">
        <v>18</v>
      </c>
      <c r="F216" t="s">
        <v>910</v>
      </c>
      <c r="G216" t="s">
        <v>930</v>
      </c>
      <c r="H216">
        <v>49</v>
      </c>
      <c r="I216">
        <v>23</v>
      </c>
      <c r="J216" t="s">
        <v>24</v>
      </c>
      <c r="K216" t="s">
        <v>1146</v>
      </c>
      <c r="L216"/>
      <c r="M216" s="1">
        <v>255</v>
      </c>
      <c r="N216" s="1" t="s">
        <v>269</v>
      </c>
      <c r="O216" s="2">
        <v>46030.872048611112</v>
      </c>
      <c r="P216" s="92">
        <v>29.512375092352457</v>
      </c>
      <c r="Q216" s="93">
        <v>654.56937522619126</v>
      </c>
    </row>
    <row r="217" spans="2:17" x14ac:dyDescent="0.3">
      <c r="B217" t="s">
        <v>1125</v>
      </c>
      <c r="C217" s="81">
        <v>2.2999999999999998</v>
      </c>
      <c r="D217" s="78">
        <v>45954</v>
      </c>
      <c r="E217">
        <v>23</v>
      </c>
      <c r="F217" t="s">
        <v>921</v>
      </c>
      <c r="G217" t="s">
        <v>933</v>
      </c>
      <c r="H217">
        <v>49</v>
      </c>
      <c r="I217">
        <v>24</v>
      </c>
      <c r="J217" t="s">
        <v>24</v>
      </c>
      <c r="K217" t="s">
        <v>1147</v>
      </c>
      <c r="L217"/>
      <c r="M217" s="4">
        <v>256</v>
      </c>
      <c r="N217" s="4" t="s">
        <v>270</v>
      </c>
      <c r="O217" s="12">
        <v>46030.875787037039</v>
      </c>
      <c r="P217" s="92">
        <v>24.123263341995859</v>
      </c>
      <c r="Q217" s="93">
        <v>716.41323053326983</v>
      </c>
    </row>
    <row r="218" spans="2:17" x14ac:dyDescent="0.3">
      <c r="B218" t="s">
        <v>1125</v>
      </c>
      <c r="C218" s="81">
        <v>2.2999999999999998</v>
      </c>
      <c r="D218" s="78">
        <v>45954</v>
      </c>
      <c r="E218">
        <v>20</v>
      </c>
      <c r="F218" t="s">
        <v>932</v>
      </c>
      <c r="G218" t="s">
        <v>907</v>
      </c>
      <c r="H218">
        <v>49</v>
      </c>
      <c r="I218">
        <v>25</v>
      </c>
      <c r="J218" t="s">
        <v>25</v>
      </c>
      <c r="K218" t="s">
        <v>1148</v>
      </c>
      <c r="L218"/>
      <c r="M218" s="1">
        <v>257</v>
      </c>
      <c r="N218" s="1" t="s">
        <v>271</v>
      </c>
      <c r="O218" s="2">
        <v>46030.879525462966</v>
      </c>
      <c r="P218" s="92">
        <v>31.262226963138488</v>
      </c>
      <c r="Q218" s="93">
        <v>706.03798477470298</v>
      </c>
    </row>
    <row r="219" spans="2:17" x14ac:dyDescent="0.3">
      <c r="B219" t="s">
        <v>1125</v>
      </c>
      <c r="C219" s="81">
        <v>2.2999999999999998</v>
      </c>
      <c r="D219" s="78">
        <v>45954</v>
      </c>
      <c r="E219">
        <v>19</v>
      </c>
      <c r="F219" t="s">
        <v>917</v>
      </c>
      <c r="G219" t="s">
        <v>15</v>
      </c>
      <c r="H219">
        <v>49</v>
      </c>
      <c r="I219">
        <v>26</v>
      </c>
      <c r="J219" t="s">
        <v>25</v>
      </c>
      <c r="K219" t="s">
        <v>1149</v>
      </c>
      <c r="L219"/>
      <c r="M219" s="4">
        <v>258</v>
      </c>
      <c r="N219" s="4" t="s">
        <v>272</v>
      </c>
      <c r="O219" s="12">
        <v>46030.883263888885</v>
      </c>
      <c r="P219" s="92">
        <v>29.823437084604169</v>
      </c>
      <c r="Q219" s="93">
        <v>642.57814940906405</v>
      </c>
    </row>
    <row r="220" spans="2:17" x14ac:dyDescent="0.3">
      <c r="B220" t="s">
        <v>1125</v>
      </c>
      <c r="C220" s="81">
        <v>2.2999999999999998</v>
      </c>
      <c r="D220" s="78">
        <v>45954</v>
      </c>
      <c r="E220">
        <v>17</v>
      </c>
      <c r="F220" t="s">
        <v>913</v>
      </c>
      <c r="G220" t="s">
        <v>914</v>
      </c>
      <c r="H220">
        <v>49</v>
      </c>
      <c r="I220">
        <v>27</v>
      </c>
      <c r="J220" t="s">
        <v>25</v>
      </c>
      <c r="K220" t="s">
        <v>1150</v>
      </c>
      <c r="L220"/>
      <c r="M220" s="1">
        <v>259</v>
      </c>
      <c r="N220" s="1" t="s">
        <v>273</v>
      </c>
      <c r="O220" s="2">
        <v>46030.887013888889</v>
      </c>
      <c r="P220" s="92">
        <v>54.450563661409248</v>
      </c>
      <c r="Q220" s="93">
        <v>676.54201384302269</v>
      </c>
    </row>
    <row r="221" spans="2:17" x14ac:dyDescent="0.3">
      <c r="B221" t="s">
        <v>1125</v>
      </c>
      <c r="C221" s="81">
        <v>2.2999999999999998</v>
      </c>
      <c r="D221" s="78">
        <v>45954</v>
      </c>
      <c r="E221">
        <v>22</v>
      </c>
      <c r="F221" t="s">
        <v>925</v>
      </c>
      <c r="G221" t="s">
        <v>918</v>
      </c>
      <c r="H221">
        <v>49</v>
      </c>
      <c r="I221">
        <v>28</v>
      </c>
      <c r="J221" t="s">
        <v>25</v>
      </c>
      <c r="K221" t="s">
        <v>1151</v>
      </c>
      <c r="L221"/>
      <c r="M221" s="4">
        <v>260</v>
      </c>
      <c r="N221" s="4" t="s">
        <v>274</v>
      </c>
      <c r="O221" s="12">
        <v>46030.890740740739</v>
      </c>
      <c r="P221" s="92">
        <v>23.334440068101522</v>
      </c>
      <c r="Q221" s="93">
        <v>771.93676090242775</v>
      </c>
    </row>
    <row r="222" spans="2:17" x14ac:dyDescent="0.3">
      <c r="B222" t="s">
        <v>1125</v>
      </c>
      <c r="C222" s="81">
        <v>2.2999999999999998</v>
      </c>
      <c r="D222" s="78">
        <v>45954</v>
      </c>
      <c r="E222">
        <v>21</v>
      </c>
      <c r="F222" t="s">
        <v>906</v>
      </c>
      <c r="G222" t="s">
        <v>922</v>
      </c>
      <c r="H222">
        <v>49</v>
      </c>
      <c r="I222">
        <v>29</v>
      </c>
      <c r="J222" t="s">
        <v>25</v>
      </c>
      <c r="K222" t="s">
        <v>1152</v>
      </c>
      <c r="L222"/>
      <c r="M222" s="1">
        <v>261</v>
      </c>
      <c r="N222" s="1" t="s">
        <v>275</v>
      </c>
      <c r="O222" s="2">
        <v>46030.894479166665</v>
      </c>
      <c r="P222" s="92">
        <v>35.82392475110759</v>
      </c>
      <c r="Q222" s="93">
        <v>784.0421144228992</v>
      </c>
    </row>
    <row r="223" spans="2:17" x14ac:dyDescent="0.3">
      <c r="B223" t="s">
        <v>1125</v>
      </c>
      <c r="C223" s="81">
        <v>2.2999999999999998</v>
      </c>
      <c r="D223" s="78">
        <v>45954</v>
      </c>
      <c r="E223">
        <v>24</v>
      </c>
      <c r="F223" t="s">
        <v>929</v>
      </c>
      <c r="G223" t="s">
        <v>926</v>
      </c>
      <c r="H223">
        <v>49</v>
      </c>
      <c r="I223">
        <v>30</v>
      </c>
      <c r="J223" t="s">
        <v>25</v>
      </c>
      <c r="K223" t="s">
        <v>1153</v>
      </c>
      <c r="L223"/>
      <c r="M223" s="4">
        <v>262</v>
      </c>
      <c r="N223" s="4" t="s">
        <v>276</v>
      </c>
      <c r="O223" s="12">
        <v>46030.898217592592</v>
      </c>
      <c r="P223" s="92">
        <v>30.619561050637564</v>
      </c>
      <c r="Q223" s="93">
        <v>736.04040035094533</v>
      </c>
    </row>
    <row r="224" spans="2:17" x14ac:dyDescent="0.3">
      <c r="B224" t="s">
        <v>1125</v>
      </c>
      <c r="C224" s="81">
        <v>2.2999999999999998</v>
      </c>
      <c r="D224" s="78">
        <v>45954</v>
      </c>
      <c r="E224">
        <v>18</v>
      </c>
      <c r="F224" t="s">
        <v>910</v>
      </c>
      <c r="G224" t="s">
        <v>930</v>
      </c>
      <c r="H224">
        <v>49</v>
      </c>
      <c r="I224">
        <v>31</v>
      </c>
      <c r="J224" t="s">
        <v>25</v>
      </c>
      <c r="K224" t="s">
        <v>1154</v>
      </c>
      <c r="L224"/>
      <c r="M224" s="1">
        <v>263</v>
      </c>
      <c r="N224" s="1" t="s">
        <v>277</v>
      </c>
      <c r="O224" s="2">
        <v>46030.901956018519</v>
      </c>
      <c r="P224" s="92">
        <v>45.282898341155175</v>
      </c>
      <c r="Q224" s="93">
        <v>682.22229508140799</v>
      </c>
    </row>
    <row r="225" spans="2:17" x14ac:dyDescent="0.3">
      <c r="B225" t="s">
        <v>1125</v>
      </c>
      <c r="C225" s="81">
        <v>2.2999999999999998</v>
      </c>
      <c r="D225" s="78">
        <v>45954</v>
      </c>
      <c r="E225">
        <v>23</v>
      </c>
      <c r="F225" t="s">
        <v>921</v>
      </c>
      <c r="G225" t="s">
        <v>933</v>
      </c>
      <c r="H225">
        <v>49</v>
      </c>
      <c r="I225">
        <v>32</v>
      </c>
      <c r="J225" t="s">
        <v>25</v>
      </c>
      <c r="K225" t="s">
        <v>1155</v>
      </c>
      <c r="L225"/>
      <c r="M225" s="4">
        <v>264</v>
      </c>
      <c r="N225" s="4" t="s">
        <v>278</v>
      </c>
      <c r="O225" s="12">
        <v>46030.905694444446</v>
      </c>
      <c r="P225" s="92">
        <v>34.772977134511464</v>
      </c>
      <c r="Q225" s="93">
        <v>780.02855245863316</v>
      </c>
    </row>
    <row r="226" spans="2:17" x14ac:dyDescent="0.3">
      <c r="B226" t="s">
        <v>1125</v>
      </c>
      <c r="C226" s="81">
        <v>2.4</v>
      </c>
      <c r="D226" s="78">
        <v>45956</v>
      </c>
      <c r="E226">
        <v>20</v>
      </c>
      <c r="F226" t="s">
        <v>932</v>
      </c>
      <c r="G226" t="s">
        <v>907</v>
      </c>
      <c r="H226">
        <v>97</v>
      </c>
      <c r="I226">
        <v>1</v>
      </c>
      <c r="J226" t="s">
        <v>908</v>
      </c>
      <c r="K226" t="s">
        <v>1156</v>
      </c>
      <c r="L226"/>
      <c r="M226" s="1">
        <v>267</v>
      </c>
      <c r="N226" s="1" t="s">
        <v>281</v>
      </c>
      <c r="O226" s="2">
        <v>46030.916921296295</v>
      </c>
      <c r="P226" s="92">
        <v>-14.5637823693628</v>
      </c>
      <c r="Q226" s="93">
        <v>555.71469689628555</v>
      </c>
    </row>
    <row r="227" spans="2:17" x14ac:dyDescent="0.3">
      <c r="B227" t="s">
        <v>1125</v>
      </c>
      <c r="C227" s="81">
        <v>2.4</v>
      </c>
      <c r="D227" s="78">
        <v>45956</v>
      </c>
      <c r="E227">
        <v>19</v>
      </c>
      <c r="F227" t="s">
        <v>917</v>
      </c>
      <c r="G227" t="s">
        <v>15</v>
      </c>
      <c r="H227">
        <v>97</v>
      </c>
      <c r="I227">
        <v>2</v>
      </c>
      <c r="J227" t="s">
        <v>908</v>
      </c>
      <c r="K227" t="s">
        <v>1157</v>
      </c>
      <c r="L227"/>
      <c r="M227" s="4">
        <v>268</v>
      </c>
      <c r="N227" s="4" t="s">
        <v>282</v>
      </c>
      <c r="O227" s="12">
        <v>46030.920682870368</v>
      </c>
      <c r="P227" s="92">
        <v>-13.177320657051318</v>
      </c>
      <c r="Q227" s="93">
        <v>530.42856483835862</v>
      </c>
    </row>
    <row r="228" spans="2:17" x14ac:dyDescent="0.3">
      <c r="B228" t="s">
        <v>1125</v>
      </c>
      <c r="C228" s="81">
        <v>2.4</v>
      </c>
      <c r="D228" s="78">
        <v>45956</v>
      </c>
      <c r="E228">
        <v>17</v>
      </c>
      <c r="F228" t="s">
        <v>913</v>
      </c>
      <c r="G228" t="s">
        <v>914</v>
      </c>
      <c r="H228">
        <v>97</v>
      </c>
      <c r="I228">
        <v>3</v>
      </c>
      <c r="J228" t="s">
        <v>908</v>
      </c>
      <c r="K228" t="s">
        <v>1158</v>
      </c>
      <c r="L228"/>
      <c r="M228" s="1">
        <v>269</v>
      </c>
      <c r="N228" s="1" t="s">
        <v>283</v>
      </c>
      <c r="O228" s="2">
        <v>46030.924409722225</v>
      </c>
      <c r="P228" s="92">
        <v>-12.811065369791461</v>
      </c>
      <c r="Q228" s="93">
        <v>585.64860742519045</v>
      </c>
    </row>
    <row r="229" spans="2:17" x14ac:dyDescent="0.3">
      <c r="B229" t="s">
        <v>1125</v>
      </c>
      <c r="C229" s="81">
        <v>2.4</v>
      </c>
      <c r="D229" s="78">
        <v>45956</v>
      </c>
      <c r="E229">
        <v>22</v>
      </c>
      <c r="F229" t="s">
        <v>925</v>
      </c>
      <c r="G229" t="s">
        <v>918</v>
      </c>
      <c r="H229">
        <v>97</v>
      </c>
      <c r="I229">
        <v>4</v>
      </c>
      <c r="J229" t="s">
        <v>908</v>
      </c>
      <c r="K229" t="s">
        <v>1159</v>
      </c>
      <c r="L229"/>
      <c r="M229" s="4">
        <v>270</v>
      </c>
      <c r="N229" s="4" t="s">
        <v>284</v>
      </c>
      <c r="O229" s="12">
        <v>46030.928136574075</v>
      </c>
      <c r="P229" s="92">
        <v>-14.371321134182075</v>
      </c>
      <c r="Q229" s="93">
        <v>580.54474452079808</v>
      </c>
    </row>
    <row r="230" spans="2:17" x14ac:dyDescent="0.3">
      <c r="B230" t="s">
        <v>1125</v>
      </c>
      <c r="C230" s="81">
        <v>2.4</v>
      </c>
      <c r="D230" s="78">
        <v>45956</v>
      </c>
      <c r="E230">
        <v>21</v>
      </c>
      <c r="F230" t="s">
        <v>906</v>
      </c>
      <c r="G230" t="s">
        <v>922</v>
      </c>
      <c r="H230">
        <v>97</v>
      </c>
      <c r="I230">
        <v>5</v>
      </c>
      <c r="J230" t="s">
        <v>908</v>
      </c>
      <c r="K230" t="s">
        <v>1160</v>
      </c>
      <c r="L230"/>
      <c r="M230" s="1">
        <v>271</v>
      </c>
      <c r="N230" s="1" t="s">
        <v>285</v>
      </c>
      <c r="O230" s="2">
        <v>46030.931863425925</v>
      </c>
      <c r="P230" s="92">
        <v>-13.106478592862961</v>
      </c>
      <c r="Q230" s="93">
        <v>644.70237438313995</v>
      </c>
    </row>
    <row r="231" spans="2:17" x14ac:dyDescent="0.3">
      <c r="B231" t="s">
        <v>1125</v>
      </c>
      <c r="C231" s="81">
        <v>2.4</v>
      </c>
      <c r="D231" s="78">
        <v>45956</v>
      </c>
      <c r="E231">
        <v>24</v>
      </c>
      <c r="F231" t="s">
        <v>929</v>
      </c>
      <c r="G231" t="s">
        <v>926</v>
      </c>
      <c r="H231">
        <v>97</v>
      </c>
      <c r="I231">
        <v>6</v>
      </c>
      <c r="J231" t="s">
        <v>908</v>
      </c>
      <c r="K231" t="s">
        <v>1161</v>
      </c>
      <c r="L231"/>
      <c r="M231" s="4">
        <v>272</v>
      </c>
      <c r="N231" s="4" t="s">
        <v>286</v>
      </c>
      <c r="O231" s="12">
        <v>46030.935590277775</v>
      </c>
      <c r="P231" s="92">
        <v>-15.275966710316554</v>
      </c>
      <c r="Q231" s="93">
        <v>592.85461829670214</v>
      </c>
    </row>
    <row r="232" spans="2:17" x14ac:dyDescent="0.3">
      <c r="B232" t="s">
        <v>1125</v>
      </c>
      <c r="C232" s="81">
        <v>2.4</v>
      </c>
      <c r="D232" s="78">
        <v>45956</v>
      </c>
      <c r="E232">
        <v>18</v>
      </c>
      <c r="F232" t="s">
        <v>910</v>
      </c>
      <c r="G232" t="s">
        <v>930</v>
      </c>
      <c r="H232">
        <v>97</v>
      </c>
      <c r="I232">
        <v>7</v>
      </c>
      <c r="J232" t="s">
        <v>908</v>
      </c>
      <c r="K232" t="s">
        <v>1162</v>
      </c>
      <c r="L232"/>
      <c r="M232" s="1">
        <v>273</v>
      </c>
      <c r="N232" s="1" t="s">
        <v>287</v>
      </c>
      <c r="O232" s="2">
        <v>46030.939317129632</v>
      </c>
      <c r="P232" s="92">
        <v>-13.57081541638734</v>
      </c>
      <c r="Q232" s="93">
        <v>593.33240073266177</v>
      </c>
    </row>
    <row r="233" spans="2:17" x14ac:dyDescent="0.3">
      <c r="B233" t="s">
        <v>1125</v>
      </c>
      <c r="C233" s="81">
        <v>2.4</v>
      </c>
      <c r="D233" s="78">
        <v>45956</v>
      </c>
      <c r="E233">
        <v>23</v>
      </c>
      <c r="F233" t="s">
        <v>921</v>
      </c>
      <c r="G233" t="s">
        <v>933</v>
      </c>
      <c r="H233">
        <v>97</v>
      </c>
      <c r="I233">
        <v>8</v>
      </c>
      <c r="J233" t="s">
        <v>908</v>
      </c>
      <c r="K233" t="s">
        <v>1163</v>
      </c>
      <c r="L233"/>
      <c r="M233" s="4">
        <v>274</v>
      </c>
      <c r="N233" s="4" t="s">
        <v>288</v>
      </c>
      <c r="O233" s="12">
        <v>46030.943055555559</v>
      </c>
      <c r="P233" s="92">
        <v>-14.138783399056814</v>
      </c>
      <c r="Q233" s="93">
        <v>597.48856310666883</v>
      </c>
    </row>
    <row r="234" spans="2:17" x14ac:dyDescent="0.3">
      <c r="B234" t="s">
        <v>1125</v>
      </c>
      <c r="C234" s="81">
        <v>2.4</v>
      </c>
      <c r="D234" s="78">
        <v>45956</v>
      </c>
      <c r="E234">
        <v>20</v>
      </c>
      <c r="F234" t="s">
        <v>932</v>
      </c>
      <c r="G234" t="s">
        <v>907</v>
      </c>
      <c r="H234">
        <v>97</v>
      </c>
      <c r="I234">
        <v>9</v>
      </c>
      <c r="J234" t="s">
        <v>935</v>
      </c>
      <c r="K234" t="s">
        <v>1164</v>
      </c>
      <c r="L234"/>
      <c r="M234" s="1">
        <v>275</v>
      </c>
      <c r="N234" s="1" t="s">
        <v>289</v>
      </c>
      <c r="O234" s="2">
        <v>46030.946782407409</v>
      </c>
      <c r="P234" s="92">
        <v>22.289959537248041</v>
      </c>
      <c r="Q234" s="93">
        <v>576.93254822806898</v>
      </c>
    </row>
    <row r="235" spans="2:17" x14ac:dyDescent="0.3">
      <c r="B235" t="s">
        <v>1125</v>
      </c>
      <c r="C235" s="81">
        <v>2.4</v>
      </c>
      <c r="D235" s="78">
        <v>45956</v>
      </c>
      <c r="E235">
        <v>19</v>
      </c>
      <c r="F235" t="s">
        <v>917</v>
      </c>
      <c r="G235" t="s">
        <v>15</v>
      </c>
      <c r="H235">
        <v>97</v>
      </c>
      <c r="I235">
        <v>10</v>
      </c>
      <c r="J235" t="s">
        <v>935</v>
      </c>
      <c r="K235" t="s">
        <v>1165</v>
      </c>
      <c r="L235"/>
      <c r="M235" s="4">
        <v>276</v>
      </c>
      <c r="N235" s="4" t="s">
        <v>290</v>
      </c>
      <c r="O235" s="12">
        <v>46030.950497685182</v>
      </c>
      <c r="P235" s="92">
        <v>32.507089311001891</v>
      </c>
      <c r="Q235" s="93">
        <v>549.2058646393084</v>
      </c>
    </row>
    <row r="236" spans="2:17" x14ac:dyDescent="0.3">
      <c r="B236" t="s">
        <v>1125</v>
      </c>
      <c r="C236" s="81">
        <v>2.4</v>
      </c>
      <c r="D236" s="78">
        <v>45956</v>
      </c>
      <c r="E236">
        <v>17</v>
      </c>
      <c r="F236" t="s">
        <v>913</v>
      </c>
      <c r="G236" t="s">
        <v>914</v>
      </c>
      <c r="H236">
        <v>97</v>
      </c>
      <c r="I236">
        <v>11</v>
      </c>
      <c r="J236" t="s">
        <v>935</v>
      </c>
      <c r="K236" t="s">
        <v>1166</v>
      </c>
      <c r="L236"/>
      <c r="M236" s="1">
        <v>277</v>
      </c>
      <c r="N236" s="1" t="s">
        <v>291</v>
      </c>
      <c r="O236" s="2">
        <v>46030.954224537039</v>
      </c>
      <c r="P236" s="92">
        <v>39.659604814837557</v>
      </c>
      <c r="Q236" s="93">
        <v>568.96109057244234</v>
      </c>
    </row>
    <row r="237" spans="2:17" x14ac:dyDescent="0.3">
      <c r="B237" t="s">
        <v>1125</v>
      </c>
      <c r="C237" s="81">
        <v>2.4</v>
      </c>
      <c r="D237" s="78">
        <v>45956</v>
      </c>
      <c r="E237">
        <v>22</v>
      </c>
      <c r="F237" t="s">
        <v>925</v>
      </c>
      <c r="G237" t="s">
        <v>918</v>
      </c>
      <c r="H237">
        <v>97</v>
      </c>
      <c r="I237">
        <v>12</v>
      </c>
      <c r="J237" t="s">
        <v>935</v>
      </c>
      <c r="K237" t="s">
        <v>1167</v>
      </c>
      <c r="L237"/>
      <c r="M237" s="4">
        <v>278</v>
      </c>
      <c r="N237" s="4" t="s">
        <v>292</v>
      </c>
      <c r="O237" s="12">
        <v>46030.958055555559</v>
      </c>
      <c r="P237" s="92">
        <v>18.150435186512752</v>
      </c>
      <c r="Q237" s="93">
        <v>656.27309480596114</v>
      </c>
    </row>
    <row r="238" spans="2:17" x14ac:dyDescent="0.3">
      <c r="B238" t="s">
        <v>1125</v>
      </c>
      <c r="C238" s="81">
        <v>2.4</v>
      </c>
      <c r="D238" s="78">
        <v>45956</v>
      </c>
      <c r="E238">
        <v>21</v>
      </c>
      <c r="F238" t="s">
        <v>906</v>
      </c>
      <c r="G238" t="s">
        <v>922</v>
      </c>
      <c r="H238">
        <v>97</v>
      </c>
      <c r="I238">
        <v>13</v>
      </c>
      <c r="J238" t="s">
        <v>935</v>
      </c>
      <c r="K238" t="s">
        <v>1168</v>
      </c>
      <c r="L238"/>
      <c r="M238" s="1">
        <v>279</v>
      </c>
      <c r="N238" s="1" t="s">
        <v>293</v>
      </c>
      <c r="O238" s="2">
        <v>46030.961759259262</v>
      </c>
      <c r="P238" s="92">
        <v>30.995032149326224</v>
      </c>
      <c r="Q238" s="93">
        <v>633.38904533112384</v>
      </c>
    </row>
    <row r="239" spans="2:17" x14ac:dyDescent="0.3">
      <c r="B239" t="s">
        <v>1125</v>
      </c>
      <c r="C239" s="81">
        <v>2.4</v>
      </c>
      <c r="D239" s="78">
        <v>45956</v>
      </c>
      <c r="E239">
        <v>24</v>
      </c>
      <c r="F239" t="s">
        <v>929</v>
      </c>
      <c r="G239" t="s">
        <v>926</v>
      </c>
      <c r="H239">
        <v>97</v>
      </c>
      <c r="I239">
        <v>14</v>
      </c>
      <c r="J239" t="s">
        <v>935</v>
      </c>
      <c r="K239" t="s">
        <v>1169</v>
      </c>
      <c r="L239"/>
      <c r="M239" s="4">
        <v>280</v>
      </c>
      <c r="N239" s="4" t="s">
        <v>294</v>
      </c>
      <c r="O239" s="12">
        <v>46030.965486111112</v>
      </c>
      <c r="P239" s="92">
        <v>17.927918087361103</v>
      </c>
      <c r="Q239" s="93">
        <v>619.39838174233194</v>
      </c>
    </row>
    <row r="240" spans="2:17" x14ac:dyDescent="0.3">
      <c r="B240" t="s">
        <v>1125</v>
      </c>
      <c r="C240" s="81">
        <v>2.4</v>
      </c>
      <c r="D240" s="78">
        <v>45956</v>
      </c>
      <c r="E240">
        <v>18</v>
      </c>
      <c r="F240" t="s">
        <v>910</v>
      </c>
      <c r="G240" t="s">
        <v>930</v>
      </c>
      <c r="H240">
        <v>97</v>
      </c>
      <c r="I240">
        <v>15</v>
      </c>
      <c r="J240" t="s">
        <v>935</v>
      </c>
      <c r="K240" t="s">
        <v>1170</v>
      </c>
      <c r="L240"/>
      <c r="M240" s="1">
        <v>281</v>
      </c>
      <c r="N240" s="1" t="s">
        <v>295</v>
      </c>
      <c r="O240" s="2">
        <v>46030.969212962962</v>
      </c>
      <c r="P240" s="92">
        <v>32.089086794091685</v>
      </c>
      <c r="Q240" s="93">
        <v>627.5989949401237</v>
      </c>
    </row>
    <row r="241" spans="2:17" x14ac:dyDescent="0.3">
      <c r="B241" t="s">
        <v>1125</v>
      </c>
      <c r="C241" s="81">
        <v>2.4</v>
      </c>
      <c r="D241" s="78">
        <v>45956</v>
      </c>
      <c r="E241">
        <v>23</v>
      </c>
      <c r="F241" t="s">
        <v>921</v>
      </c>
      <c r="G241" t="s">
        <v>933</v>
      </c>
      <c r="H241">
        <v>97</v>
      </c>
      <c r="I241">
        <v>16</v>
      </c>
      <c r="J241" t="s">
        <v>935</v>
      </c>
      <c r="K241" t="s">
        <v>1171</v>
      </c>
      <c r="L241"/>
      <c r="M241" s="4">
        <v>282</v>
      </c>
      <c r="N241" s="4" t="s">
        <v>296</v>
      </c>
      <c r="O241" s="12">
        <v>46030.972939814812</v>
      </c>
      <c r="P241" s="92">
        <v>22.680128080222296</v>
      </c>
      <c r="Q241" s="93">
        <v>645.70450942209413</v>
      </c>
    </row>
    <row r="242" spans="2:17" x14ac:dyDescent="0.3">
      <c r="B242" t="s">
        <v>1125</v>
      </c>
      <c r="C242" s="81">
        <v>2.4</v>
      </c>
      <c r="D242" s="78">
        <v>45956</v>
      </c>
      <c r="E242">
        <v>20</v>
      </c>
      <c r="F242" t="s">
        <v>932</v>
      </c>
      <c r="G242" t="s">
        <v>907</v>
      </c>
      <c r="H242">
        <v>97</v>
      </c>
      <c r="I242">
        <v>17</v>
      </c>
      <c r="J242" t="s">
        <v>24</v>
      </c>
      <c r="K242" t="s">
        <v>1172</v>
      </c>
      <c r="L242"/>
      <c r="M242" s="1">
        <v>283</v>
      </c>
      <c r="N242" s="1" t="s">
        <v>297</v>
      </c>
      <c r="O242" s="2">
        <v>46030.976678240739</v>
      </c>
      <c r="P242" s="92">
        <v>55.355917332546078</v>
      </c>
      <c r="Q242" s="93">
        <v>537.17607512333427</v>
      </c>
    </row>
    <row r="243" spans="2:17" x14ac:dyDescent="0.3">
      <c r="B243" t="s">
        <v>1125</v>
      </c>
      <c r="C243" s="81">
        <v>2.4</v>
      </c>
      <c r="D243" s="78">
        <v>45956</v>
      </c>
      <c r="E243">
        <v>19</v>
      </c>
      <c r="F243" t="s">
        <v>917</v>
      </c>
      <c r="G243" t="s">
        <v>15</v>
      </c>
      <c r="H243">
        <v>97</v>
      </c>
      <c r="I243">
        <v>18</v>
      </c>
      <c r="J243" t="s">
        <v>24</v>
      </c>
      <c r="K243" t="s">
        <v>1173</v>
      </c>
      <c r="L243"/>
      <c r="M243" s="4">
        <v>284</v>
      </c>
      <c r="N243" s="4" t="s">
        <v>298</v>
      </c>
      <c r="O243" s="12">
        <v>46030.980416666665</v>
      </c>
      <c r="P243" s="92">
        <v>57.977584231806198</v>
      </c>
      <c r="Q243" s="93">
        <v>595.839514913225</v>
      </c>
    </row>
    <row r="244" spans="2:17" x14ac:dyDescent="0.3">
      <c r="B244" t="s">
        <v>1125</v>
      </c>
      <c r="C244" s="81">
        <v>2.4</v>
      </c>
      <c r="D244" s="78">
        <v>45956</v>
      </c>
      <c r="E244">
        <v>17</v>
      </c>
      <c r="F244" t="s">
        <v>913</v>
      </c>
      <c r="G244" t="s">
        <v>914</v>
      </c>
      <c r="H244">
        <v>97</v>
      </c>
      <c r="I244">
        <v>19</v>
      </c>
      <c r="J244" t="s">
        <v>24</v>
      </c>
      <c r="K244" t="s">
        <v>1174</v>
      </c>
      <c r="L244"/>
      <c r="M244" s="1">
        <v>285</v>
      </c>
      <c r="N244" s="1" t="s">
        <v>299</v>
      </c>
      <c r="O244" s="2">
        <v>46030.984143518515</v>
      </c>
      <c r="P244" s="92">
        <v>74.892464644806324</v>
      </c>
      <c r="Q244" s="93">
        <v>590.60574824686921</v>
      </c>
    </row>
    <row r="245" spans="2:17" x14ac:dyDescent="0.3">
      <c r="B245" t="s">
        <v>1125</v>
      </c>
      <c r="C245" s="81">
        <v>2.4</v>
      </c>
      <c r="D245" s="78">
        <v>45956</v>
      </c>
      <c r="E245">
        <v>22</v>
      </c>
      <c r="F245" t="s">
        <v>925</v>
      </c>
      <c r="G245" t="s">
        <v>918</v>
      </c>
      <c r="H245">
        <v>97</v>
      </c>
      <c r="I245">
        <v>20</v>
      </c>
      <c r="J245" t="s">
        <v>24</v>
      </c>
      <c r="K245" t="s">
        <v>1175</v>
      </c>
      <c r="L245"/>
      <c r="M245" s="4">
        <v>286</v>
      </c>
      <c r="N245" s="4" t="s">
        <v>300</v>
      </c>
      <c r="O245" s="12">
        <v>46030.987893518519</v>
      </c>
      <c r="P245" s="92">
        <v>45.12579750347583</v>
      </c>
      <c r="Q245" s="93">
        <v>645.83488693957167</v>
      </c>
    </row>
    <row r="246" spans="2:17" x14ac:dyDescent="0.3">
      <c r="B246" t="s">
        <v>1176</v>
      </c>
      <c r="C246" s="81">
        <v>2.4</v>
      </c>
      <c r="D246" s="78">
        <v>45956</v>
      </c>
      <c r="E246">
        <v>21</v>
      </c>
      <c r="F246" t="s">
        <v>906</v>
      </c>
      <c r="G246" t="s">
        <v>922</v>
      </c>
      <c r="H246">
        <v>97</v>
      </c>
      <c r="I246">
        <v>21</v>
      </c>
      <c r="J246" t="s">
        <v>24</v>
      </c>
      <c r="K246" t="s">
        <v>1177</v>
      </c>
      <c r="L246"/>
      <c r="M246" s="1">
        <v>287</v>
      </c>
      <c r="N246" s="1" t="s">
        <v>301</v>
      </c>
      <c r="O246" s="2">
        <v>46030.991620370369</v>
      </c>
      <c r="P246" s="92">
        <v>64.202088762312528</v>
      </c>
      <c r="Q246" s="93">
        <v>645.13334977430748</v>
      </c>
    </row>
    <row r="247" spans="2:17" x14ac:dyDescent="0.3">
      <c r="B247" t="s">
        <v>1176</v>
      </c>
      <c r="C247" s="81">
        <v>2.4</v>
      </c>
      <c r="D247" s="78">
        <v>45956</v>
      </c>
      <c r="E247">
        <v>24</v>
      </c>
      <c r="F247" t="s">
        <v>929</v>
      </c>
      <c r="G247" t="s">
        <v>926</v>
      </c>
      <c r="H247">
        <v>97</v>
      </c>
      <c r="I247">
        <v>22</v>
      </c>
      <c r="J247" t="s">
        <v>24</v>
      </c>
      <c r="K247" t="s">
        <v>1178</v>
      </c>
      <c r="L247"/>
      <c r="M247" s="4">
        <v>288</v>
      </c>
      <c r="N247" s="4" t="s">
        <v>302</v>
      </c>
      <c r="O247" s="12">
        <v>46030.995358796295</v>
      </c>
      <c r="P247" s="92">
        <v>42.753617673841006</v>
      </c>
      <c r="Q247" s="93">
        <v>639.33624042614747</v>
      </c>
    </row>
    <row r="248" spans="2:17" x14ac:dyDescent="0.3">
      <c r="B248" t="s">
        <v>1176</v>
      </c>
      <c r="C248" s="81">
        <v>2.4</v>
      </c>
      <c r="D248" s="78">
        <v>45956</v>
      </c>
      <c r="E248">
        <v>18</v>
      </c>
      <c r="F248" t="s">
        <v>910</v>
      </c>
      <c r="G248" t="s">
        <v>930</v>
      </c>
      <c r="H248">
        <v>97</v>
      </c>
      <c r="I248">
        <v>23</v>
      </c>
      <c r="J248" t="s">
        <v>24</v>
      </c>
      <c r="K248" t="s">
        <v>1179</v>
      </c>
      <c r="L248"/>
      <c r="M248" s="1">
        <v>289</v>
      </c>
      <c r="N248" s="1" t="s">
        <v>303</v>
      </c>
      <c r="O248" s="2">
        <v>46030.999097222222</v>
      </c>
      <c r="P248" s="92">
        <v>64.089364643003506</v>
      </c>
      <c r="Q248" s="93">
        <v>621.56330231506809</v>
      </c>
    </row>
    <row r="249" spans="2:17" x14ac:dyDescent="0.3">
      <c r="B249" t="s">
        <v>1176</v>
      </c>
      <c r="C249" s="81">
        <v>2.4</v>
      </c>
      <c r="D249" s="78">
        <v>45956</v>
      </c>
      <c r="E249">
        <v>23</v>
      </c>
      <c r="F249" t="s">
        <v>921</v>
      </c>
      <c r="G249" t="s">
        <v>933</v>
      </c>
      <c r="H249">
        <v>97</v>
      </c>
      <c r="I249">
        <v>24</v>
      </c>
      <c r="J249" t="s">
        <v>24</v>
      </c>
      <c r="K249" t="s">
        <v>1180</v>
      </c>
      <c r="L249"/>
      <c r="M249" s="4">
        <v>290</v>
      </c>
      <c r="N249" s="4" t="s">
        <v>304</v>
      </c>
      <c r="O249" s="12">
        <v>46031.002835648149</v>
      </c>
      <c r="P249" s="92">
        <v>41.817087336116721</v>
      </c>
      <c r="Q249" s="93">
        <v>695.66060711632269</v>
      </c>
    </row>
    <row r="250" spans="2:17" x14ac:dyDescent="0.3">
      <c r="B250" t="s">
        <v>1176</v>
      </c>
      <c r="C250" s="81">
        <v>2.4</v>
      </c>
      <c r="D250" s="78">
        <v>45956</v>
      </c>
      <c r="E250">
        <v>20</v>
      </c>
      <c r="F250" t="s">
        <v>932</v>
      </c>
      <c r="G250" t="s">
        <v>907</v>
      </c>
      <c r="H250">
        <v>97</v>
      </c>
      <c r="I250">
        <v>25</v>
      </c>
      <c r="J250" t="s">
        <v>25</v>
      </c>
      <c r="K250" t="s">
        <v>1181</v>
      </c>
      <c r="L250"/>
      <c r="M250" s="1">
        <v>291</v>
      </c>
      <c r="N250" s="1" t="s">
        <v>305</v>
      </c>
      <c r="O250" s="2">
        <v>46031.006550925929</v>
      </c>
      <c r="P250" s="92">
        <v>74.663097032424758</v>
      </c>
      <c r="Q250" s="93">
        <v>570.02159229073243</v>
      </c>
    </row>
    <row r="251" spans="2:17" x14ac:dyDescent="0.3">
      <c r="B251" t="s">
        <v>1176</v>
      </c>
      <c r="C251" s="81">
        <v>2.4</v>
      </c>
      <c r="D251" s="78">
        <v>45956</v>
      </c>
      <c r="E251">
        <v>19</v>
      </c>
      <c r="F251" t="s">
        <v>917</v>
      </c>
      <c r="G251" t="s">
        <v>15</v>
      </c>
      <c r="H251">
        <v>97</v>
      </c>
      <c r="I251">
        <v>26</v>
      </c>
      <c r="J251" t="s">
        <v>25</v>
      </c>
      <c r="K251" t="s">
        <v>1182</v>
      </c>
      <c r="L251"/>
      <c r="M251" s="4">
        <v>292</v>
      </c>
      <c r="N251" s="4" t="s">
        <v>306</v>
      </c>
      <c r="O251" s="12">
        <v>46031.010277777779</v>
      </c>
      <c r="P251" s="92">
        <v>87.235337636235869</v>
      </c>
      <c r="Q251" s="93">
        <v>580.1788631372666</v>
      </c>
    </row>
    <row r="252" spans="2:17" x14ac:dyDescent="0.3">
      <c r="B252" t="s">
        <v>1176</v>
      </c>
      <c r="C252" s="81">
        <v>2.4</v>
      </c>
      <c r="D252" s="78">
        <v>45956</v>
      </c>
      <c r="E252">
        <v>17</v>
      </c>
      <c r="F252" t="s">
        <v>913</v>
      </c>
      <c r="G252" t="s">
        <v>914</v>
      </c>
      <c r="H252">
        <v>97</v>
      </c>
      <c r="I252">
        <v>27</v>
      </c>
      <c r="J252" t="s">
        <v>25</v>
      </c>
      <c r="K252" t="s">
        <v>1183</v>
      </c>
      <c r="L252"/>
      <c r="M252" s="1">
        <v>293</v>
      </c>
      <c r="N252" s="1" t="s">
        <v>307</v>
      </c>
      <c r="O252" s="2">
        <v>46031.014016203706</v>
      </c>
      <c r="P252" s="92">
        <v>104.35332317158309</v>
      </c>
      <c r="Q252" s="93">
        <v>612.70312669056045</v>
      </c>
    </row>
    <row r="253" spans="2:17" x14ac:dyDescent="0.3">
      <c r="B253" t="s">
        <v>1176</v>
      </c>
      <c r="C253" s="81">
        <v>2.4</v>
      </c>
      <c r="D253" s="78">
        <v>45956</v>
      </c>
      <c r="E253">
        <v>22</v>
      </c>
      <c r="F253" t="s">
        <v>925</v>
      </c>
      <c r="G253" t="s">
        <v>918</v>
      </c>
      <c r="H253">
        <v>97</v>
      </c>
      <c r="I253">
        <v>28</v>
      </c>
      <c r="J253" t="s">
        <v>25</v>
      </c>
      <c r="K253" t="s">
        <v>1184</v>
      </c>
      <c r="L253"/>
      <c r="M253" s="4">
        <v>294</v>
      </c>
      <c r="N253" s="4" t="s">
        <v>308</v>
      </c>
      <c r="O253" s="12">
        <v>46031.017731481479</v>
      </c>
      <c r="P253" s="92">
        <v>60.587372323427715</v>
      </c>
      <c r="Q253" s="93">
        <v>687.05573833835797</v>
      </c>
    </row>
    <row r="254" spans="2:17" x14ac:dyDescent="0.3">
      <c r="B254" t="s">
        <v>1176</v>
      </c>
      <c r="C254" s="81">
        <v>2.4</v>
      </c>
      <c r="D254" s="78">
        <v>45956</v>
      </c>
      <c r="E254">
        <v>21</v>
      </c>
      <c r="F254" t="s">
        <v>906</v>
      </c>
      <c r="G254" t="s">
        <v>922</v>
      </c>
      <c r="H254">
        <v>97</v>
      </c>
      <c r="I254">
        <v>29</v>
      </c>
      <c r="J254" t="s">
        <v>25</v>
      </c>
      <c r="K254" t="s">
        <v>1185</v>
      </c>
      <c r="L254"/>
      <c r="M254" s="1">
        <v>295</v>
      </c>
      <c r="N254" s="1" t="s">
        <v>309</v>
      </c>
      <c r="O254" s="2">
        <v>46031.021458333336</v>
      </c>
      <c r="P254" s="92">
        <v>90.255574437717627</v>
      </c>
      <c r="Q254" s="93">
        <v>650.66411377244617</v>
      </c>
    </row>
    <row r="255" spans="2:17" x14ac:dyDescent="0.3">
      <c r="B255" t="s">
        <v>1176</v>
      </c>
      <c r="C255" s="81">
        <v>2.4</v>
      </c>
      <c r="D255" s="78">
        <v>45956</v>
      </c>
      <c r="E255">
        <v>24</v>
      </c>
      <c r="F255" t="s">
        <v>929</v>
      </c>
      <c r="G255" t="s">
        <v>926</v>
      </c>
      <c r="H255">
        <v>97</v>
      </c>
      <c r="I255">
        <v>30</v>
      </c>
      <c r="J255" t="s">
        <v>25</v>
      </c>
      <c r="K255" t="s">
        <v>1186</v>
      </c>
      <c r="L255"/>
      <c r="M255" s="4">
        <v>296</v>
      </c>
      <c r="N255" s="4" t="s">
        <v>310</v>
      </c>
      <c r="O255" s="12">
        <v>46031.025185185186</v>
      </c>
      <c r="P255" s="92">
        <v>62.53452969842742</v>
      </c>
      <c r="Q255" s="93">
        <v>671.04029105789766</v>
      </c>
    </row>
    <row r="256" spans="2:17" x14ac:dyDescent="0.3">
      <c r="B256" t="s">
        <v>1176</v>
      </c>
      <c r="C256" s="81">
        <v>2.4</v>
      </c>
      <c r="D256" s="78">
        <v>45956</v>
      </c>
      <c r="E256">
        <v>18</v>
      </c>
      <c r="F256" t="s">
        <v>910</v>
      </c>
      <c r="G256" t="s">
        <v>930</v>
      </c>
      <c r="H256">
        <v>97</v>
      </c>
      <c r="I256">
        <v>31</v>
      </c>
      <c r="J256" t="s">
        <v>25</v>
      </c>
      <c r="K256" s="80" t="s">
        <v>1187</v>
      </c>
      <c r="L256"/>
      <c r="M256" s="1">
        <v>297</v>
      </c>
      <c r="N256" s="1" t="s">
        <v>311</v>
      </c>
      <c r="O256" s="2">
        <v>46031.028923611113</v>
      </c>
      <c r="P256" s="92">
        <v>97.754585010558742</v>
      </c>
      <c r="Q256" s="93">
        <v>619.71935110312768</v>
      </c>
    </row>
    <row r="257" spans="1:17" x14ac:dyDescent="0.3">
      <c r="B257" t="s">
        <v>1176</v>
      </c>
      <c r="C257" s="81">
        <v>2.4</v>
      </c>
      <c r="D257" s="78">
        <v>45956</v>
      </c>
      <c r="E257">
        <v>23</v>
      </c>
      <c r="F257" t="s">
        <v>921</v>
      </c>
      <c r="G257" t="s">
        <v>933</v>
      </c>
      <c r="H257">
        <v>97</v>
      </c>
      <c r="I257">
        <v>32</v>
      </c>
      <c r="J257" t="s">
        <v>25</v>
      </c>
      <c r="K257" t="s">
        <v>1188</v>
      </c>
      <c r="L257"/>
      <c r="M257" s="4">
        <v>298</v>
      </c>
      <c r="N257" s="4" t="s">
        <v>312</v>
      </c>
      <c r="O257" s="12">
        <v>46031.03266203704</v>
      </c>
      <c r="P257" s="92">
        <v>59.349593156976226</v>
      </c>
      <c r="Q257" s="93">
        <v>735.31190649692951</v>
      </c>
    </row>
    <row r="258" spans="1:17" x14ac:dyDescent="0.3">
      <c r="A258">
        <v>2</v>
      </c>
      <c r="B258" s="83">
        <v>3.1</v>
      </c>
      <c r="C258" s="78">
        <v>45961</v>
      </c>
      <c r="D258" s="78">
        <v>45963</v>
      </c>
      <c r="E258">
        <v>25</v>
      </c>
      <c r="F258" t="s">
        <v>917</v>
      </c>
      <c r="G258" t="s">
        <v>907</v>
      </c>
      <c r="H258">
        <v>7</v>
      </c>
      <c r="I258">
        <v>1</v>
      </c>
      <c r="J258" t="s">
        <v>908</v>
      </c>
      <c r="K258" t="s">
        <v>1189</v>
      </c>
      <c r="L258"/>
      <c r="M258" s="66">
        <v>313</v>
      </c>
      <c r="N258" s="1" t="s">
        <v>323</v>
      </c>
      <c r="O258" s="2">
        <v>46031.410960648151</v>
      </c>
      <c r="P258" s="92">
        <v>-15.419169156105916</v>
      </c>
      <c r="Q258" s="93">
        <v>590.30117082686093</v>
      </c>
    </row>
    <row r="259" spans="1:17" x14ac:dyDescent="0.3">
      <c r="A259">
        <v>2</v>
      </c>
      <c r="B259" s="83">
        <v>3.1</v>
      </c>
      <c r="C259" s="78">
        <v>45961</v>
      </c>
      <c r="D259" s="78">
        <v>45963</v>
      </c>
      <c r="E259">
        <v>27</v>
      </c>
      <c r="F259" t="s">
        <v>913</v>
      </c>
      <c r="G259" t="s">
        <v>15</v>
      </c>
      <c r="H259">
        <v>7</v>
      </c>
      <c r="I259">
        <v>2</v>
      </c>
      <c r="J259" t="s">
        <v>908</v>
      </c>
      <c r="K259" t="s">
        <v>1190</v>
      </c>
      <c r="L259"/>
      <c r="M259" s="4">
        <v>314</v>
      </c>
      <c r="N259" s="4" t="s">
        <v>324</v>
      </c>
      <c r="O259" s="12">
        <v>46031.414675925924</v>
      </c>
      <c r="P259" s="92">
        <v>-14.807412741523192</v>
      </c>
      <c r="Q259" s="93">
        <v>594.11978239707912</v>
      </c>
    </row>
    <row r="260" spans="1:17" x14ac:dyDescent="0.3">
      <c r="A260">
        <v>2</v>
      </c>
      <c r="B260" s="83">
        <v>3.1</v>
      </c>
      <c r="C260" s="78">
        <v>45961</v>
      </c>
      <c r="D260" s="78">
        <v>45963</v>
      </c>
      <c r="E260">
        <v>26</v>
      </c>
      <c r="F260" t="s">
        <v>932</v>
      </c>
      <c r="G260" t="s">
        <v>914</v>
      </c>
      <c r="H260">
        <v>7</v>
      </c>
      <c r="I260">
        <v>3</v>
      </c>
      <c r="J260" t="s">
        <v>908</v>
      </c>
      <c r="K260" t="s">
        <v>1191</v>
      </c>
      <c r="L260"/>
      <c r="M260" s="1">
        <v>315</v>
      </c>
      <c r="N260" s="1" t="s">
        <v>325</v>
      </c>
      <c r="O260" s="2">
        <v>46031.418414351851</v>
      </c>
      <c r="P260" s="92">
        <v>-16.826297007988927</v>
      </c>
      <c r="Q260" s="93">
        <v>676.70806515071104</v>
      </c>
    </row>
    <row r="261" spans="1:17" x14ac:dyDescent="0.3">
      <c r="A261">
        <v>2</v>
      </c>
      <c r="B261" s="83">
        <v>3.1</v>
      </c>
      <c r="C261" s="78">
        <v>45961</v>
      </c>
      <c r="D261" s="78">
        <v>45963</v>
      </c>
      <c r="E261">
        <v>29</v>
      </c>
      <c r="F261" t="s">
        <v>921</v>
      </c>
      <c r="G261" t="s">
        <v>918</v>
      </c>
      <c r="H261">
        <v>7</v>
      </c>
      <c r="I261">
        <v>4</v>
      </c>
      <c r="J261" t="s">
        <v>908</v>
      </c>
      <c r="K261" t="s">
        <v>1192</v>
      </c>
      <c r="L261"/>
      <c r="M261" s="4">
        <v>316</v>
      </c>
      <c r="N261" s="4" t="s">
        <v>326</v>
      </c>
      <c r="O261" s="12">
        <v>46031.422129629631</v>
      </c>
      <c r="P261" s="92">
        <v>-15.318903403369564</v>
      </c>
      <c r="Q261" s="93">
        <v>615.8585279166042</v>
      </c>
    </row>
    <row r="262" spans="1:17" x14ac:dyDescent="0.3">
      <c r="A262">
        <v>2</v>
      </c>
      <c r="B262" s="83">
        <v>3.1</v>
      </c>
      <c r="C262" s="78">
        <v>45961</v>
      </c>
      <c r="D262" s="78">
        <v>45963</v>
      </c>
      <c r="E262">
        <v>32</v>
      </c>
      <c r="F262" t="s">
        <v>925</v>
      </c>
      <c r="G262" t="s">
        <v>922</v>
      </c>
      <c r="H262">
        <v>7</v>
      </c>
      <c r="I262">
        <v>5</v>
      </c>
      <c r="J262" t="s">
        <v>908</v>
      </c>
      <c r="K262" t="s">
        <v>1193</v>
      </c>
      <c r="L262"/>
      <c r="M262" s="1">
        <v>317</v>
      </c>
      <c r="N262" s="1" t="s">
        <v>327</v>
      </c>
      <c r="O262" s="2">
        <v>46031.425844907404</v>
      </c>
      <c r="P262" s="92">
        <v>-16.518993142985629</v>
      </c>
      <c r="Q262" s="93">
        <v>644.8691363240996</v>
      </c>
    </row>
    <row r="263" spans="1:17" x14ac:dyDescent="0.3">
      <c r="A263">
        <v>2</v>
      </c>
      <c r="B263" s="83">
        <v>3.1</v>
      </c>
      <c r="C263" s="78">
        <v>45961</v>
      </c>
      <c r="D263" s="78">
        <v>45963</v>
      </c>
      <c r="E263">
        <v>30</v>
      </c>
      <c r="F263" t="s">
        <v>929</v>
      </c>
      <c r="G263" t="s">
        <v>926</v>
      </c>
      <c r="H263">
        <v>7</v>
      </c>
      <c r="I263">
        <v>6</v>
      </c>
      <c r="J263" t="s">
        <v>908</v>
      </c>
      <c r="K263" t="s">
        <v>1194</v>
      </c>
      <c r="L263"/>
      <c r="M263" s="4">
        <v>318</v>
      </c>
      <c r="N263" s="4" t="s">
        <v>328</v>
      </c>
      <c r="O263" s="12">
        <v>46031.429571759261</v>
      </c>
      <c r="P263" s="92">
        <v>-15.730103648023903</v>
      </c>
      <c r="Q263" s="93">
        <v>629.47667754466727</v>
      </c>
    </row>
    <row r="264" spans="1:17" x14ac:dyDescent="0.3">
      <c r="A264">
        <v>2</v>
      </c>
      <c r="B264" s="83">
        <v>3.1</v>
      </c>
      <c r="C264" s="78">
        <v>45961</v>
      </c>
      <c r="D264" s="78">
        <v>45963</v>
      </c>
      <c r="E264">
        <v>28</v>
      </c>
      <c r="F264" t="s">
        <v>910</v>
      </c>
      <c r="G264" t="s">
        <v>930</v>
      </c>
      <c r="H264">
        <v>7</v>
      </c>
      <c r="I264">
        <v>7</v>
      </c>
      <c r="J264" t="s">
        <v>908</v>
      </c>
      <c r="K264" t="s">
        <v>1195</v>
      </c>
      <c r="L264"/>
      <c r="M264" s="1">
        <v>319</v>
      </c>
      <c r="N264" s="1" t="s">
        <v>329</v>
      </c>
      <c r="O264" s="2">
        <v>46031.433310185188</v>
      </c>
      <c r="P264" s="92">
        <v>-15.722200062121567</v>
      </c>
      <c r="Q264" s="93">
        <v>627.62149832704301</v>
      </c>
    </row>
    <row r="265" spans="1:17" x14ac:dyDescent="0.3">
      <c r="A265">
        <v>2</v>
      </c>
      <c r="B265" s="83">
        <v>3.1</v>
      </c>
      <c r="C265" s="78">
        <v>45961</v>
      </c>
      <c r="D265" s="78">
        <v>45963</v>
      </c>
      <c r="E265">
        <v>31</v>
      </c>
      <c r="F265" t="s">
        <v>906</v>
      </c>
      <c r="G265" t="s">
        <v>933</v>
      </c>
      <c r="H265">
        <v>7</v>
      </c>
      <c r="I265">
        <v>8</v>
      </c>
      <c r="J265" t="s">
        <v>908</v>
      </c>
      <c r="K265" t="s">
        <v>1196</v>
      </c>
      <c r="L265"/>
      <c r="M265" s="4">
        <v>320</v>
      </c>
      <c r="N265" s="4" t="s">
        <v>330</v>
      </c>
      <c r="O265" s="12">
        <v>46031.437037037038</v>
      </c>
      <c r="P265" s="92">
        <v>-16.614532491737972</v>
      </c>
      <c r="Q265" s="93">
        <v>618.51198517546982</v>
      </c>
    </row>
    <row r="266" spans="1:17" x14ac:dyDescent="0.3">
      <c r="A266">
        <v>2</v>
      </c>
      <c r="B266" s="83">
        <v>3.1</v>
      </c>
      <c r="C266" s="78">
        <v>45961</v>
      </c>
      <c r="D266" s="78">
        <v>45963</v>
      </c>
      <c r="E266">
        <v>25</v>
      </c>
      <c r="F266" t="s">
        <v>917</v>
      </c>
      <c r="G266" t="s">
        <v>907</v>
      </c>
      <c r="H266">
        <v>7</v>
      </c>
      <c r="I266">
        <v>9</v>
      </c>
      <c r="J266" t="s">
        <v>935</v>
      </c>
      <c r="K266" t="s">
        <v>1197</v>
      </c>
      <c r="L266"/>
      <c r="M266" s="1">
        <v>321</v>
      </c>
      <c r="N266" s="1" t="s">
        <v>331</v>
      </c>
      <c r="O266" s="2">
        <v>46031.440763888888</v>
      </c>
      <c r="P266" s="92">
        <v>-8.9920502932354385</v>
      </c>
      <c r="Q266" s="93">
        <v>572.85280261848447</v>
      </c>
    </row>
    <row r="267" spans="1:17" x14ac:dyDescent="0.3">
      <c r="A267">
        <v>2</v>
      </c>
      <c r="B267" s="83">
        <v>3.1</v>
      </c>
      <c r="C267" s="78">
        <v>45961</v>
      </c>
      <c r="D267" s="78">
        <v>45963</v>
      </c>
      <c r="E267">
        <v>27</v>
      </c>
      <c r="F267" t="s">
        <v>913</v>
      </c>
      <c r="G267" t="s">
        <v>15</v>
      </c>
      <c r="H267">
        <v>7</v>
      </c>
      <c r="I267">
        <v>10</v>
      </c>
      <c r="J267" t="s">
        <v>935</v>
      </c>
      <c r="K267" t="s">
        <v>1198</v>
      </c>
      <c r="L267"/>
      <c r="M267" s="4">
        <v>322</v>
      </c>
      <c r="N267" s="4" t="s">
        <v>332</v>
      </c>
      <c r="O267" s="12">
        <v>46031.444479166668</v>
      </c>
      <c r="P267" s="92">
        <v>0.35308548980528853</v>
      </c>
      <c r="Q267" s="93">
        <v>598.36349479008993</v>
      </c>
    </row>
    <row r="268" spans="1:17" x14ac:dyDescent="0.3">
      <c r="A268">
        <v>2</v>
      </c>
      <c r="B268" s="83">
        <v>3.1</v>
      </c>
      <c r="C268" s="78">
        <v>45961</v>
      </c>
      <c r="D268" s="78">
        <v>45963</v>
      </c>
      <c r="E268">
        <v>26</v>
      </c>
      <c r="F268" t="s">
        <v>932</v>
      </c>
      <c r="G268" t="s">
        <v>914</v>
      </c>
      <c r="H268">
        <v>7</v>
      </c>
      <c r="I268">
        <v>11</v>
      </c>
      <c r="J268" t="s">
        <v>935</v>
      </c>
      <c r="K268" t="s">
        <v>1199</v>
      </c>
      <c r="L268"/>
      <c r="M268" s="1">
        <v>323</v>
      </c>
      <c r="N268" s="1" t="s">
        <v>333</v>
      </c>
      <c r="O268" s="2">
        <v>46031.448206018518</v>
      </c>
      <c r="P268" s="92">
        <v>-3.1438698085278651</v>
      </c>
      <c r="Q268" s="93">
        <v>605.30183379614095</v>
      </c>
    </row>
    <row r="269" spans="1:17" x14ac:dyDescent="0.3">
      <c r="A269">
        <v>2</v>
      </c>
      <c r="B269" s="83">
        <v>3.1</v>
      </c>
      <c r="C269" s="78">
        <v>45961</v>
      </c>
      <c r="D269" s="78">
        <v>45963</v>
      </c>
      <c r="E269">
        <v>29</v>
      </c>
      <c r="F269" t="s">
        <v>921</v>
      </c>
      <c r="G269" t="s">
        <v>918</v>
      </c>
      <c r="H269">
        <v>7</v>
      </c>
      <c r="I269">
        <v>12</v>
      </c>
      <c r="J269" t="s">
        <v>935</v>
      </c>
      <c r="K269" t="s">
        <v>1200</v>
      </c>
      <c r="L269"/>
      <c r="M269" s="4">
        <v>324</v>
      </c>
      <c r="N269" s="4" t="s">
        <v>334</v>
      </c>
      <c r="O269" s="12">
        <v>46031.451932870368</v>
      </c>
      <c r="P269" s="92">
        <v>3.6195401620567469</v>
      </c>
      <c r="Q269" s="93">
        <v>623.27843940272749</v>
      </c>
    </row>
    <row r="270" spans="1:17" x14ac:dyDescent="0.3">
      <c r="A270">
        <v>2</v>
      </c>
      <c r="B270" s="83">
        <v>3.1</v>
      </c>
      <c r="C270" s="78">
        <v>45961</v>
      </c>
      <c r="D270" s="78">
        <v>45963</v>
      </c>
      <c r="E270">
        <v>32</v>
      </c>
      <c r="F270" t="s">
        <v>925</v>
      </c>
      <c r="G270" t="s">
        <v>922</v>
      </c>
      <c r="H270">
        <v>7</v>
      </c>
      <c r="I270">
        <v>13</v>
      </c>
      <c r="J270" t="s">
        <v>935</v>
      </c>
      <c r="K270" s="78" t="s">
        <v>1201</v>
      </c>
      <c r="L270" s="78"/>
      <c r="M270" s="1">
        <v>325</v>
      </c>
      <c r="N270" s="1" t="s">
        <v>335</v>
      </c>
      <c r="O270" s="2">
        <v>46031.455659722225</v>
      </c>
      <c r="P270" s="92">
        <v>-6.4837253745920274</v>
      </c>
      <c r="Q270" s="93">
        <v>644.95659159200056</v>
      </c>
    </row>
    <row r="271" spans="1:17" x14ac:dyDescent="0.3">
      <c r="A271">
        <v>2</v>
      </c>
      <c r="B271" s="83">
        <v>3.1</v>
      </c>
      <c r="C271" s="78">
        <v>45961</v>
      </c>
      <c r="D271" s="78">
        <v>45963</v>
      </c>
      <c r="E271">
        <v>30</v>
      </c>
      <c r="F271" t="s">
        <v>929</v>
      </c>
      <c r="G271" t="s">
        <v>926</v>
      </c>
      <c r="H271">
        <v>7</v>
      </c>
      <c r="I271">
        <v>14</v>
      </c>
      <c r="J271" t="s">
        <v>935</v>
      </c>
      <c r="K271" t="s">
        <v>1202</v>
      </c>
      <c r="L271"/>
      <c r="M271" s="4">
        <v>326</v>
      </c>
      <c r="N271" s="4" t="s">
        <v>336</v>
      </c>
      <c r="O271" s="12">
        <v>46031.459386574075</v>
      </c>
      <c r="P271" s="92">
        <v>-8.6375563769334605</v>
      </c>
      <c r="Q271" s="93">
        <v>664.19821917230968</v>
      </c>
    </row>
    <row r="272" spans="1:17" x14ac:dyDescent="0.3">
      <c r="A272">
        <v>2</v>
      </c>
      <c r="B272" s="83">
        <v>3.1</v>
      </c>
      <c r="C272" s="78">
        <v>45961</v>
      </c>
      <c r="D272" s="78">
        <v>45963</v>
      </c>
      <c r="E272">
        <v>28</v>
      </c>
      <c r="F272" t="s">
        <v>910</v>
      </c>
      <c r="G272" t="s">
        <v>930</v>
      </c>
      <c r="H272">
        <v>7</v>
      </c>
      <c r="I272">
        <v>15</v>
      </c>
      <c r="J272" t="s">
        <v>935</v>
      </c>
      <c r="K272" t="s">
        <v>1203</v>
      </c>
      <c r="L272"/>
      <c r="M272" s="1">
        <v>327</v>
      </c>
      <c r="N272" s="1" t="s">
        <v>337</v>
      </c>
      <c r="O272" s="2">
        <v>46031.463125000002</v>
      </c>
      <c r="P272" s="92">
        <v>-1.5237700063564417</v>
      </c>
      <c r="Q272" s="93">
        <v>638.39602523288477</v>
      </c>
    </row>
    <row r="273" spans="1:17" x14ac:dyDescent="0.3">
      <c r="A273">
        <v>2</v>
      </c>
      <c r="B273" s="83">
        <v>3.1</v>
      </c>
      <c r="C273" s="78">
        <v>45961</v>
      </c>
      <c r="D273" s="78">
        <v>45963</v>
      </c>
      <c r="E273">
        <v>31</v>
      </c>
      <c r="F273" t="s">
        <v>906</v>
      </c>
      <c r="G273" t="s">
        <v>933</v>
      </c>
      <c r="H273">
        <v>7</v>
      </c>
      <c r="I273">
        <v>16</v>
      </c>
      <c r="J273" t="s">
        <v>935</v>
      </c>
      <c r="K273" t="s">
        <v>1204</v>
      </c>
      <c r="L273"/>
      <c r="M273" s="4">
        <v>328</v>
      </c>
      <c r="N273" s="4" t="s">
        <v>338</v>
      </c>
      <c r="O273" s="12">
        <v>46031.466863425929</v>
      </c>
      <c r="P273" s="92">
        <v>-9.746555418002707</v>
      </c>
      <c r="Q273" s="93">
        <v>661.9207342894257</v>
      </c>
    </row>
    <row r="274" spans="1:17" x14ac:dyDescent="0.3">
      <c r="A274">
        <v>2</v>
      </c>
      <c r="B274" s="83">
        <v>3.1</v>
      </c>
      <c r="C274" s="78">
        <v>45961</v>
      </c>
      <c r="D274" s="78">
        <v>45963</v>
      </c>
      <c r="E274">
        <v>25</v>
      </c>
      <c r="F274" t="s">
        <v>917</v>
      </c>
      <c r="G274" t="s">
        <v>907</v>
      </c>
      <c r="H274">
        <v>7</v>
      </c>
      <c r="I274">
        <v>17</v>
      </c>
      <c r="J274" t="s">
        <v>24</v>
      </c>
      <c r="K274" t="s">
        <v>1205</v>
      </c>
      <c r="L274"/>
      <c r="M274" s="1">
        <v>329</v>
      </c>
      <c r="N274" s="1" t="s">
        <v>339</v>
      </c>
      <c r="O274" s="2">
        <v>46031.470601851855</v>
      </c>
      <c r="P274" s="92">
        <v>-9.2114144635395139</v>
      </c>
      <c r="Q274" s="93">
        <v>627.06019279394934</v>
      </c>
    </row>
    <row r="275" spans="1:17" x14ac:dyDescent="0.3">
      <c r="A275">
        <v>2</v>
      </c>
      <c r="B275" s="83">
        <v>3.1</v>
      </c>
      <c r="C275" s="78">
        <v>45961</v>
      </c>
      <c r="D275" s="78">
        <v>45963</v>
      </c>
      <c r="E275">
        <v>27</v>
      </c>
      <c r="F275" t="s">
        <v>913</v>
      </c>
      <c r="G275" t="s">
        <v>15</v>
      </c>
      <c r="H275">
        <v>7</v>
      </c>
      <c r="I275">
        <v>18</v>
      </c>
      <c r="J275" t="s">
        <v>24</v>
      </c>
      <c r="K275" t="s">
        <v>1206</v>
      </c>
      <c r="L275"/>
      <c r="M275" s="4">
        <v>330</v>
      </c>
      <c r="N275" s="4" t="s">
        <v>340</v>
      </c>
      <c r="O275" s="12">
        <v>46031.474328703705</v>
      </c>
      <c r="P275" s="92">
        <v>12.862152552283126</v>
      </c>
      <c r="Q275" s="93">
        <v>601.40391555286419</v>
      </c>
    </row>
    <row r="276" spans="1:17" x14ac:dyDescent="0.3">
      <c r="A276">
        <v>2</v>
      </c>
      <c r="B276" s="83">
        <v>3.1</v>
      </c>
      <c r="C276" s="78">
        <v>45961</v>
      </c>
      <c r="D276" s="78">
        <v>45963</v>
      </c>
      <c r="E276">
        <v>26</v>
      </c>
      <c r="F276" t="s">
        <v>932</v>
      </c>
      <c r="G276" t="s">
        <v>914</v>
      </c>
      <c r="H276">
        <v>7</v>
      </c>
      <c r="I276">
        <v>19</v>
      </c>
      <c r="J276" t="s">
        <v>24</v>
      </c>
      <c r="K276" t="s">
        <v>1207</v>
      </c>
      <c r="L276"/>
      <c r="M276" s="1">
        <v>331</v>
      </c>
      <c r="N276" s="1" t="s">
        <v>341</v>
      </c>
      <c r="O276" s="2">
        <v>46031.478055555555</v>
      </c>
      <c r="P276" s="92">
        <v>4.4795959627159743</v>
      </c>
      <c r="Q276" s="93">
        <v>613.22174685183461</v>
      </c>
    </row>
    <row r="277" spans="1:17" x14ac:dyDescent="0.3">
      <c r="A277">
        <v>2</v>
      </c>
      <c r="B277" s="83">
        <v>3.1</v>
      </c>
      <c r="C277" s="78">
        <v>45961</v>
      </c>
      <c r="D277" s="78">
        <v>45963</v>
      </c>
      <c r="E277">
        <v>29</v>
      </c>
      <c r="F277" t="s">
        <v>921</v>
      </c>
      <c r="G277" t="s">
        <v>918</v>
      </c>
      <c r="H277">
        <v>7</v>
      </c>
      <c r="I277">
        <v>20</v>
      </c>
      <c r="J277" t="s">
        <v>24</v>
      </c>
      <c r="K277" t="s">
        <v>1208</v>
      </c>
      <c r="L277"/>
      <c r="M277" s="4">
        <v>332</v>
      </c>
      <c r="N277" s="4" t="s">
        <v>342</v>
      </c>
      <c r="O277" s="12">
        <v>46031.481793981482</v>
      </c>
      <c r="P277" s="92">
        <v>8.7051043335613443</v>
      </c>
      <c r="Q277" s="93">
        <v>724.65183892329173</v>
      </c>
    </row>
    <row r="278" spans="1:17" x14ac:dyDescent="0.3">
      <c r="A278">
        <v>2</v>
      </c>
      <c r="B278" s="83">
        <v>3.1</v>
      </c>
      <c r="C278" s="78">
        <v>45961</v>
      </c>
      <c r="D278" s="78">
        <v>45963</v>
      </c>
      <c r="E278">
        <v>32</v>
      </c>
      <c r="F278" t="s">
        <v>925</v>
      </c>
      <c r="G278" t="s">
        <v>922</v>
      </c>
      <c r="H278">
        <v>7</v>
      </c>
      <c r="I278">
        <v>21</v>
      </c>
      <c r="J278" t="s">
        <v>24</v>
      </c>
      <c r="K278" t="s">
        <v>1209</v>
      </c>
      <c r="L278"/>
      <c r="M278" s="1">
        <v>333</v>
      </c>
      <c r="N278" s="1" t="s">
        <v>343</v>
      </c>
      <c r="O278" s="2">
        <v>46031.485532407409</v>
      </c>
      <c r="P278" s="92">
        <v>2.6855507518786554</v>
      </c>
      <c r="Q278" s="93">
        <v>661.02017243269245</v>
      </c>
    </row>
    <row r="279" spans="1:17" x14ac:dyDescent="0.3">
      <c r="A279">
        <v>2</v>
      </c>
      <c r="B279" s="83">
        <v>3.1</v>
      </c>
      <c r="C279" s="78">
        <v>45961</v>
      </c>
      <c r="D279" s="78">
        <v>45963</v>
      </c>
      <c r="E279">
        <v>30</v>
      </c>
      <c r="F279" t="s">
        <v>929</v>
      </c>
      <c r="G279" t="s">
        <v>926</v>
      </c>
      <c r="H279">
        <v>7</v>
      </c>
      <c r="I279">
        <v>22</v>
      </c>
      <c r="J279" t="s">
        <v>24</v>
      </c>
      <c r="K279" t="s">
        <v>1210</v>
      </c>
      <c r="L279"/>
      <c r="M279" s="4">
        <v>334</v>
      </c>
      <c r="N279" s="4" t="s">
        <v>344</v>
      </c>
      <c r="O279" s="12">
        <v>46031.489270833335</v>
      </c>
      <c r="P279" s="92">
        <v>-2.4099095350278281</v>
      </c>
      <c r="Q279" s="93">
        <v>675.95981569175763</v>
      </c>
    </row>
    <row r="280" spans="1:17" x14ac:dyDescent="0.3">
      <c r="A280">
        <v>2</v>
      </c>
      <c r="B280" s="83">
        <v>3.1</v>
      </c>
      <c r="C280" s="78">
        <v>45961</v>
      </c>
      <c r="D280" s="78">
        <v>45963</v>
      </c>
      <c r="E280">
        <v>28</v>
      </c>
      <c r="F280" t="s">
        <v>910</v>
      </c>
      <c r="G280" t="s">
        <v>930</v>
      </c>
      <c r="H280">
        <v>7</v>
      </c>
      <c r="I280">
        <v>23</v>
      </c>
      <c r="J280" t="s">
        <v>24</v>
      </c>
      <c r="K280" t="s">
        <v>1211</v>
      </c>
      <c r="L280"/>
      <c r="M280" s="1">
        <v>335</v>
      </c>
      <c r="N280" s="1" t="s">
        <v>345</v>
      </c>
      <c r="O280" s="2">
        <v>46031.493009259262</v>
      </c>
      <c r="P280" s="92">
        <v>9.8076309940283561</v>
      </c>
      <c r="Q280" s="93">
        <v>683.7085608802106</v>
      </c>
    </row>
    <row r="281" spans="1:17" x14ac:dyDescent="0.3">
      <c r="A281">
        <v>2</v>
      </c>
      <c r="B281" s="83">
        <v>3.1</v>
      </c>
      <c r="C281" s="78">
        <v>45961</v>
      </c>
      <c r="D281" s="78">
        <v>45963</v>
      </c>
      <c r="E281">
        <v>31</v>
      </c>
      <c r="F281" t="s">
        <v>906</v>
      </c>
      <c r="G281" t="s">
        <v>933</v>
      </c>
      <c r="H281">
        <v>7</v>
      </c>
      <c r="I281">
        <v>24</v>
      </c>
      <c r="J281" t="s">
        <v>24</v>
      </c>
      <c r="K281" t="s">
        <v>1212</v>
      </c>
      <c r="L281"/>
      <c r="M281" s="4">
        <v>336</v>
      </c>
      <c r="N281" s="4" t="s">
        <v>346</v>
      </c>
      <c r="O281" s="12">
        <v>46031.496736111112</v>
      </c>
      <c r="P281" s="92">
        <v>-3.1984216599564586</v>
      </c>
      <c r="Q281" s="93">
        <v>690.24543946362189</v>
      </c>
    </row>
    <row r="282" spans="1:17" x14ac:dyDescent="0.3">
      <c r="A282">
        <v>2</v>
      </c>
      <c r="B282" s="83">
        <v>3.1</v>
      </c>
      <c r="C282" s="78">
        <v>45961</v>
      </c>
      <c r="D282" s="78">
        <v>45963</v>
      </c>
      <c r="E282">
        <v>25</v>
      </c>
      <c r="F282" t="s">
        <v>917</v>
      </c>
      <c r="G282" t="s">
        <v>907</v>
      </c>
      <c r="H282">
        <v>7</v>
      </c>
      <c r="I282">
        <v>25</v>
      </c>
      <c r="J282" t="s">
        <v>25</v>
      </c>
      <c r="K282" t="s">
        <v>1213</v>
      </c>
      <c r="L282"/>
      <c r="M282" s="1">
        <v>337</v>
      </c>
      <c r="N282" s="1" t="s">
        <v>347</v>
      </c>
      <c r="O282" s="2">
        <v>46031.500462962962</v>
      </c>
      <c r="P282" s="92">
        <v>1.8342634186060653</v>
      </c>
      <c r="Q282" s="93">
        <v>587.55912128686043</v>
      </c>
    </row>
    <row r="283" spans="1:17" x14ac:dyDescent="0.3">
      <c r="A283">
        <v>2</v>
      </c>
      <c r="B283" s="83">
        <v>3.1</v>
      </c>
      <c r="C283" s="78">
        <v>45961</v>
      </c>
      <c r="D283" s="78">
        <v>45963</v>
      </c>
      <c r="E283">
        <v>27</v>
      </c>
      <c r="F283" t="s">
        <v>913</v>
      </c>
      <c r="G283" t="s">
        <v>15</v>
      </c>
      <c r="H283">
        <v>7</v>
      </c>
      <c r="I283">
        <v>26</v>
      </c>
      <c r="J283" t="s">
        <v>25</v>
      </c>
      <c r="K283" t="s">
        <v>1214</v>
      </c>
      <c r="L283"/>
      <c r="M283" s="4">
        <v>338</v>
      </c>
      <c r="N283" s="4" t="s">
        <v>348</v>
      </c>
      <c r="O283" s="12">
        <v>46031.504189814812</v>
      </c>
      <c r="P283" s="92">
        <v>14.556107330580943</v>
      </c>
      <c r="Q283" s="93">
        <v>636.35565498480275</v>
      </c>
    </row>
    <row r="284" spans="1:17" x14ac:dyDescent="0.3">
      <c r="A284">
        <v>2</v>
      </c>
      <c r="B284" s="83">
        <v>3.1</v>
      </c>
      <c r="C284" s="78">
        <v>45961</v>
      </c>
      <c r="D284" s="78">
        <v>45963</v>
      </c>
      <c r="E284">
        <v>26</v>
      </c>
      <c r="F284" t="s">
        <v>932</v>
      </c>
      <c r="G284" t="s">
        <v>914</v>
      </c>
      <c r="H284">
        <v>7</v>
      </c>
      <c r="I284">
        <v>27</v>
      </c>
      <c r="J284" t="s">
        <v>25</v>
      </c>
      <c r="K284" t="s">
        <v>1215</v>
      </c>
      <c r="L284"/>
      <c r="M284" s="1">
        <v>339</v>
      </c>
      <c r="N284" s="1" t="s">
        <v>349</v>
      </c>
      <c r="O284" s="2">
        <v>46031.507928240739</v>
      </c>
      <c r="P284" s="92">
        <v>11.03755244901828</v>
      </c>
      <c r="Q284" s="93">
        <v>610.03237735543053</v>
      </c>
    </row>
    <row r="285" spans="1:17" x14ac:dyDescent="0.3">
      <c r="A285">
        <v>2</v>
      </c>
      <c r="B285" s="83">
        <v>3.1</v>
      </c>
      <c r="C285" s="78">
        <v>45961</v>
      </c>
      <c r="D285" s="78">
        <v>45963</v>
      </c>
      <c r="E285">
        <v>29</v>
      </c>
      <c r="F285" t="s">
        <v>921</v>
      </c>
      <c r="G285" t="s">
        <v>918</v>
      </c>
      <c r="H285">
        <v>7</v>
      </c>
      <c r="I285">
        <v>28</v>
      </c>
      <c r="J285" t="s">
        <v>25</v>
      </c>
      <c r="K285" t="s">
        <v>1216</v>
      </c>
      <c r="L285"/>
      <c r="M285" s="4">
        <v>340</v>
      </c>
      <c r="N285" s="4" t="s">
        <v>350</v>
      </c>
      <c r="O285" s="12">
        <v>46031.511666666665</v>
      </c>
      <c r="P285" s="92">
        <v>23.129140993061956</v>
      </c>
      <c r="Q285" s="93">
        <v>679.96939810970537</v>
      </c>
    </row>
    <row r="286" spans="1:17" x14ac:dyDescent="0.3">
      <c r="A286">
        <v>2</v>
      </c>
      <c r="B286" s="83">
        <v>3.1</v>
      </c>
      <c r="C286" s="78">
        <v>45961</v>
      </c>
      <c r="D286" s="78">
        <v>45963</v>
      </c>
      <c r="E286">
        <v>32</v>
      </c>
      <c r="F286" t="s">
        <v>925</v>
      </c>
      <c r="G286" t="s">
        <v>922</v>
      </c>
      <c r="H286">
        <v>7</v>
      </c>
      <c r="I286">
        <v>29</v>
      </c>
      <c r="J286" t="s">
        <v>25</v>
      </c>
      <c r="K286" t="s">
        <v>1217</v>
      </c>
      <c r="L286"/>
      <c r="M286" s="1">
        <v>341</v>
      </c>
      <c r="N286" s="1" t="s">
        <v>351</v>
      </c>
      <c r="O286" s="2">
        <v>46031.515416666669</v>
      </c>
      <c r="P286" s="92">
        <v>11.65147959299687</v>
      </c>
      <c r="Q286" s="93">
        <v>649.76928435743332</v>
      </c>
    </row>
    <row r="287" spans="1:17" x14ac:dyDescent="0.3">
      <c r="A287">
        <v>2</v>
      </c>
      <c r="B287" s="83">
        <v>3.1</v>
      </c>
      <c r="C287" s="78">
        <v>45961</v>
      </c>
      <c r="D287" s="78">
        <v>45963</v>
      </c>
      <c r="E287">
        <v>30</v>
      </c>
      <c r="F287" t="s">
        <v>929</v>
      </c>
      <c r="G287" t="s">
        <v>926</v>
      </c>
      <c r="H287">
        <v>7</v>
      </c>
      <c r="I287">
        <v>30</v>
      </c>
      <c r="J287" t="s">
        <v>25</v>
      </c>
      <c r="K287" t="s">
        <v>1218</v>
      </c>
      <c r="L287"/>
      <c r="M287" s="4">
        <v>342</v>
      </c>
      <c r="N287" s="4" t="s">
        <v>352</v>
      </c>
      <c r="O287" s="12">
        <v>46031.519143518519</v>
      </c>
      <c r="P287" s="92">
        <v>3.421563941514532</v>
      </c>
      <c r="Q287" s="93">
        <v>673.4543596554937</v>
      </c>
    </row>
    <row r="288" spans="1:17" x14ac:dyDescent="0.3">
      <c r="A288">
        <v>2</v>
      </c>
      <c r="B288" s="83">
        <v>3.1</v>
      </c>
      <c r="C288" s="78">
        <v>45961</v>
      </c>
      <c r="D288" s="78">
        <v>45963</v>
      </c>
      <c r="E288">
        <v>28</v>
      </c>
      <c r="F288" t="s">
        <v>910</v>
      </c>
      <c r="G288" t="s">
        <v>930</v>
      </c>
      <c r="H288">
        <v>7</v>
      </c>
      <c r="I288">
        <v>31</v>
      </c>
      <c r="J288" t="s">
        <v>25</v>
      </c>
      <c r="K288" t="s">
        <v>1219</v>
      </c>
      <c r="L288"/>
      <c r="M288" s="1">
        <v>343</v>
      </c>
      <c r="N288" s="1" t="s">
        <v>353</v>
      </c>
      <c r="O288" s="2">
        <v>46031.522881944446</v>
      </c>
      <c r="P288" s="92">
        <v>18.486492533187054</v>
      </c>
      <c r="Q288" s="93">
        <v>697.25157288373907</v>
      </c>
    </row>
    <row r="289" spans="1:17" x14ac:dyDescent="0.3">
      <c r="A289">
        <v>2</v>
      </c>
      <c r="B289" s="83">
        <v>3.1</v>
      </c>
      <c r="C289" s="78">
        <v>45961</v>
      </c>
      <c r="D289" s="78">
        <v>45963</v>
      </c>
      <c r="E289">
        <v>31</v>
      </c>
      <c r="F289" t="s">
        <v>906</v>
      </c>
      <c r="G289" t="s">
        <v>933</v>
      </c>
      <c r="H289">
        <v>7</v>
      </c>
      <c r="I289">
        <v>32</v>
      </c>
      <c r="J289" t="s">
        <v>25</v>
      </c>
      <c r="K289" t="s">
        <v>1220</v>
      </c>
      <c r="L289"/>
      <c r="M289" s="4">
        <v>344</v>
      </c>
      <c r="N289" s="4" t="s">
        <v>354</v>
      </c>
      <c r="O289" s="12">
        <v>46031.526620370372</v>
      </c>
      <c r="P289" s="92">
        <v>2.258910847854076</v>
      </c>
      <c r="Q289" s="93">
        <v>712.17226592224074</v>
      </c>
    </row>
    <row r="290" spans="1:17" x14ac:dyDescent="0.3">
      <c r="A290">
        <v>2</v>
      </c>
      <c r="B290" s="83">
        <v>3.2</v>
      </c>
      <c r="C290" s="78">
        <v>45992</v>
      </c>
      <c r="D290" s="78">
        <v>45964</v>
      </c>
      <c r="E290">
        <v>25</v>
      </c>
      <c r="F290" t="s">
        <v>917</v>
      </c>
      <c r="G290" t="s">
        <v>907</v>
      </c>
      <c r="H290">
        <v>25</v>
      </c>
      <c r="I290">
        <v>1</v>
      </c>
      <c r="J290" t="s">
        <v>908</v>
      </c>
      <c r="K290" t="s">
        <v>26</v>
      </c>
      <c r="L290"/>
      <c r="M290" s="1">
        <v>345</v>
      </c>
      <c r="N290" s="1" t="s">
        <v>355</v>
      </c>
      <c r="O290" s="2">
        <v>46031.530370370368</v>
      </c>
      <c r="P290" s="92">
        <v>-14.852744762192591</v>
      </c>
      <c r="Q290" s="93">
        <v>552.3506537418366</v>
      </c>
    </row>
    <row r="291" spans="1:17" x14ac:dyDescent="0.3">
      <c r="A291">
        <v>2</v>
      </c>
      <c r="B291" s="83">
        <v>3.2</v>
      </c>
      <c r="C291" s="78">
        <v>45992</v>
      </c>
      <c r="D291" s="78">
        <v>45964</v>
      </c>
      <c r="E291">
        <v>27</v>
      </c>
      <c r="F291" t="s">
        <v>913</v>
      </c>
      <c r="G291" t="s">
        <v>15</v>
      </c>
      <c r="H291">
        <v>25</v>
      </c>
      <c r="I291">
        <v>2</v>
      </c>
      <c r="J291" t="s">
        <v>908</v>
      </c>
      <c r="K291" t="s">
        <v>1221</v>
      </c>
      <c r="L291"/>
      <c r="M291" s="4">
        <v>346</v>
      </c>
      <c r="N291" s="4" t="s">
        <v>356</v>
      </c>
      <c r="O291" s="12">
        <v>46031.534097222226</v>
      </c>
      <c r="P291" s="92">
        <v>-12.983343328123386</v>
      </c>
      <c r="Q291" s="93">
        <v>536.81445753942944</v>
      </c>
    </row>
    <row r="292" spans="1:17" x14ac:dyDescent="0.3">
      <c r="A292">
        <v>2</v>
      </c>
      <c r="B292" s="83">
        <v>3.2</v>
      </c>
      <c r="C292" s="78">
        <v>45992</v>
      </c>
      <c r="D292" s="78">
        <v>45964</v>
      </c>
      <c r="E292">
        <v>26</v>
      </c>
      <c r="F292" t="s">
        <v>932</v>
      </c>
      <c r="G292" t="s">
        <v>914</v>
      </c>
      <c r="H292">
        <v>25</v>
      </c>
      <c r="I292">
        <v>3</v>
      </c>
      <c r="J292" t="s">
        <v>908</v>
      </c>
      <c r="K292" t="s">
        <v>1222</v>
      </c>
      <c r="L292"/>
      <c r="M292" s="1">
        <v>347</v>
      </c>
      <c r="N292" s="1" t="s">
        <v>357</v>
      </c>
      <c r="O292" s="2">
        <v>46031.537835648145</v>
      </c>
      <c r="P292" s="92">
        <v>-13.928029080022649</v>
      </c>
      <c r="Q292" s="93">
        <v>550.59429992445132</v>
      </c>
    </row>
    <row r="293" spans="1:17" x14ac:dyDescent="0.3">
      <c r="A293">
        <v>2</v>
      </c>
      <c r="B293" s="83">
        <v>3.2</v>
      </c>
      <c r="C293" s="78">
        <v>45992</v>
      </c>
      <c r="D293" s="78">
        <v>45964</v>
      </c>
      <c r="E293">
        <v>29</v>
      </c>
      <c r="F293" t="s">
        <v>921</v>
      </c>
      <c r="G293" t="s">
        <v>918</v>
      </c>
      <c r="H293">
        <v>25</v>
      </c>
      <c r="I293">
        <v>4</v>
      </c>
      <c r="J293" t="s">
        <v>908</v>
      </c>
      <c r="K293" t="s">
        <v>1223</v>
      </c>
      <c r="L293"/>
      <c r="M293" s="4">
        <v>348</v>
      </c>
      <c r="N293" s="4" t="s">
        <v>358</v>
      </c>
      <c r="O293" s="12">
        <v>46031.541585648149</v>
      </c>
      <c r="P293" s="92">
        <v>-13.844706169851094</v>
      </c>
      <c r="Q293" s="93">
        <v>593.2605320211743</v>
      </c>
    </row>
    <row r="294" spans="1:17" x14ac:dyDescent="0.3">
      <c r="A294">
        <v>2</v>
      </c>
      <c r="B294" s="83">
        <v>3.2</v>
      </c>
      <c r="C294" s="78">
        <v>45992</v>
      </c>
      <c r="D294" s="78">
        <v>45964</v>
      </c>
      <c r="E294">
        <v>32</v>
      </c>
      <c r="F294" t="s">
        <v>925</v>
      </c>
      <c r="G294" t="s">
        <v>922</v>
      </c>
      <c r="H294">
        <v>25</v>
      </c>
      <c r="I294">
        <v>5</v>
      </c>
      <c r="J294" t="s">
        <v>908</v>
      </c>
      <c r="K294" t="s">
        <v>1224</v>
      </c>
      <c r="L294"/>
      <c r="M294" s="1">
        <v>349</v>
      </c>
      <c r="N294" s="1" t="s">
        <v>359</v>
      </c>
      <c r="O294" s="2">
        <v>46031.545312499999</v>
      </c>
      <c r="P294" s="92">
        <v>-15.018299891611271</v>
      </c>
      <c r="Q294" s="93">
        <v>584.04262360797748</v>
      </c>
    </row>
    <row r="295" spans="1:17" x14ac:dyDescent="0.3">
      <c r="A295">
        <v>2</v>
      </c>
      <c r="B295" s="83">
        <v>3.2</v>
      </c>
      <c r="C295" s="78">
        <v>45992</v>
      </c>
      <c r="D295" s="78">
        <v>45964</v>
      </c>
      <c r="E295">
        <v>30</v>
      </c>
      <c r="F295" t="s">
        <v>929</v>
      </c>
      <c r="G295" t="s">
        <v>926</v>
      </c>
      <c r="H295">
        <v>25</v>
      </c>
      <c r="I295">
        <v>6</v>
      </c>
      <c r="J295" t="s">
        <v>908</v>
      </c>
      <c r="K295" t="s">
        <v>1225</v>
      </c>
      <c r="L295"/>
      <c r="M295" s="4">
        <v>350</v>
      </c>
      <c r="N295" s="4" t="s">
        <v>360</v>
      </c>
      <c r="O295" s="12">
        <v>46031.549050925925</v>
      </c>
      <c r="P295" s="92">
        <v>-13.584299480782869</v>
      </c>
      <c r="Q295" s="93">
        <v>645.54319566954655</v>
      </c>
    </row>
    <row r="296" spans="1:17" x14ac:dyDescent="0.3">
      <c r="A296">
        <v>3</v>
      </c>
      <c r="B296" s="83">
        <v>3.2</v>
      </c>
      <c r="C296" s="78">
        <v>45992</v>
      </c>
      <c r="D296" s="78">
        <v>45964</v>
      </c>
      <c r="E296">
        <v>28</v>
      </c>
      <c r="F296" t="s">
        <v>910</v>
      </c>
      <c r="G296" t="s">
        <v>930</v>
      </c>
      <c r="H296">
        <v>25</v>
      </c>
      <c r="I296">
        <v>7</v>
      </c>
      <c r="J296" t="s">
        <v>908</v>
      </c>
      <c r="K296" t="s">
        <v>1226</v>
      </c>
      <c r="L296"/>
      <c r="M296" s="1">
        <v>351</v>
      </c>
      <c r="N296" s="1" t="s">
        <v>361</v>
      </c>
      <c r="O296" s="2">
        <v>46031.552777777775</v>
      </c>
      <c r="P296" s="92">
        <v>-16.180140356038613</v>
      </c>
      <c r="Q296" s="93">
        <v>651.02719999844464</v>
      </c>
    </row>
    <row r="297" spans="1:17" x14ac:dyDescent="0.3">
      <c r="A297">
        <v>3</v>
      </c>
      <c r="B297" s="83">
        <v>3.2</v>
      </c>
      <c r="C297" s="78">
        <v>45992</v>
      </c>
      <c r="D297" s="78">
        <v>45964</v>
      </c>
      <c r="E297">
        <v>31</v>
      </c>
      <c r="F297" t="s">
        <v>906</v>
      </c>
      <c r="G297" t="s">
        <v>933</v>
      </c>
      <c r="H297">
        <v>25</v>
      </c>
      <c r="I297">
        <v>8</v>
      </c>
      <c r="J297" t="s">
        <v>908</v>
      </c>
      <c r="K297" t="s">
        <v>1227</v>
      </c>
      <c r="L297"/>
      <c r="M297" s="4">
        <v>352</v>
      </c>
      <c r="N297" s="4" t="s">
        <v>362</v>
      </c>
      <c r="O297" s="12">
        <v>46031.556527777779</v>
      </c>
      <c r="P297" s="92">
        <v>-16.200221329402712</v>
      </c>
      <c r="Q297" s="93">
        <v>639.28971763466382</v>
      </c>
    </row>
    <row r="298" spans="1:17" x14ac:dyDescent="0.3">
      <c r="A298">
        <v>3</v>
      </c>
      <c r="B298" s="83">
        <v>3.2</v>
      </c>
      <c r="C298" s="78">
        <v>45992</v>
      </c>
      <c r="D298" s="78">
        <v>45964</v>
      </c>
      <c r="E298">
        <v>25</v>
      </c>
      <c r="F298" t="s">
        <v>917</v>
      </c>
      <c r="G298" t="s">
        <v>907</v>
      </c>
      <c r="H298">
        <v>25</v>
      </c>
      <c r="I298">
        <v>9</v>
      </c>
      <c r="J298" t="s">
        <v>935</v>
      </c>
      <c r="K298" t="s">
        <v>1228</v>
      </c>
      <c r="L298"/>
      <c r="M298" s="1">
        <v>353</v>
      </c>
      <c r="N298" s="1" t="s">
        <v>363</v>
      </c>
      <c r="O298" s="2">
        <v>46031.560254629629</v>
      </c>
      <c r="P298" s="92">
        <v>-4.7564027480992879</v>
      </c>
      <c r="Q298" s="93">
        <v>631.49449703027869</v>
      </c>
    </row>
    <row r="299" spans="1:17" x14ac:dyDescent="0.3">
      <c r="A299">
        <v>3</v>
      </c>
      <c r="B299" s="83">
        <v>3.2</v>
      </c>
      <c r="C299" s="78">
        <v>45992</v>
      </c>
      <c r="D299" s="78">
        <v>45964</v>
      </c>
      <c r="E299">
        <v>27</v>
      </c>
      <c r="F299" t="s">
        <v>913</v>
      </c>
      <c r="G299" t="s">
        <v>15</v>
      </c>
      <c r="H299">
        <v>25</v>
      </c>
      <c r="I299">
        <v>10</v>
      </c>
      <c r="J299" t="s">
        <v>935</v>
      </c>
      <c r="K299" t="s">
        <v>1229</v>
      </c>
      <c r="L299"/>
      <c r="M299" s="4">
        <v>354</v>
      </c>
      <c r="N299" s="4" t="s">
        <v>364</v>
      </c>
      <c r="O299" s="12">
        <v>46031.563993055555</v>
      </c>
      <c r="P299" s="92">
        <v>16.86926882699581</v>
      </c>
      <c r="Q299" s="93">
        <v>607.12418175663879</v>
      </c>
    </row>
    <row r="300" spans="1:17" x14ac:dyDescent="0.3">
      <c r="A300">
        <v>3</v>
      </c>
      <c r="B300" s="83">
        <v>3.2</v>
      </c>
      <c r="C300" s="78">
        <v>45992</v>
      </c>
      <c r="D300" s="78">
        <v>45964</v>
      </c>
      <c r="E300">
        <v>26</v>
      </c>
      <c r="F300" t="s">
        <v>932</v>
      </c>
      <c r="G300" t="s">
        <v>914</v>
      </c>
      <c r="H300">
        <v>25</v>
      </c>
      <c r="I300">
        <v>11</v>
      </c>
      <c r="J300" t="s">
        <v>935</v>
      </c>
      <c r="K300" t="s">
        <v>1230</v>
      </c>
      <c r="L300"/>
      <c r="M300" s="1">
        <v>355</v>
      </c>
      <c r="N300" s="1" t="s">
        <v>365</v>
      </c>
      <c r="O300" s="2">
        <v>46031.567731481482</v>
      </c>
      <c r="P300" s="92">
        <v>1.9613785231009633</v>
      </c>
      <c r="Q300" s="93">
        <v>608.41947670771174</v>
      </c>
    </row>
    <row r="301" spans="1:17" x14ac:dyDescent="0.3">
      <c r="A301">
        <v>3</v>
      </c>
      <c r="B301" s="83">
        <v>3.2</v>
      </c>
      <c r="C301" s="78">
        <v>45992</v>
      </c>
      <c r="D301" s="78">
        <v>45964</v>
      </c>
      <c r="E301">
        <v>29</v>
      </c>
      <c r="F301" t="s">
        <v>921</v>
      </c>
      <c r="G301" t="s">
        <v>918</v>
      </c>
      <c r="H301">
        <v>25</v>
      </c>
      <c r="I301">
        <v>12</v>
      </c>
      <c r="J301" t="s">
        <v>935</v>
      </c>
      <c r="K301" t="s">
        <v>1231</v>
      </c>
      <c r="L301"/>
      <c r="M301" s="4">
        <v>356</v>
      </c>
      <c r="N301" s="4" t="s">
        <v>366</v>
      </c>
      <c r="O301" s="12">
        <v>46031.571469907409</v>
      </c>
      <c r="P301" s="92">
        <v>14.194135085640777</v>
      </c>
      <c r="Q301" s="93">
        <v>659.31948488821286</v>
      </c>
    </row>
    <row r="302" spans="1:17" x14ac:dyDescent="0.3">
      <c r="A302">
        <v>3</v>
      </c>
      <c r="B302" s="83">
        <v>3.2</v>
      </c>
      <c r="C302" s="78">
        <v>45992</v>
      </c>
      <c r="D302" s="78">
        <v>45964</v>
      </c>
      <c r="E302">
        <v>32</v>
      </c>
      <c r="F302" t="s">
        <v>925</v>
      </c>
      <c r="G302" t="s">
        <v>922</v>
      </c>
      <c r="H302">
        <v>25</v>
      </c>
      <c r="I302">
        <v>13</v>
      </c>
      <c r="J302" t="s">
        <v>935</v>
      </c>
      <c r="K302" t="s">
        <v>1232</v>
      </c>
      <c r="L302"/>
      <c r="M302" s="1">
        <v>357</v>
      </c>
      <c r="N302" s="1" t="s">
        <v>367</v>
      </c>
      <c r="O302" s="2">
        <v>46031.575208333335</v>
      </c>
      <c r="P302" s="92">
        <v>3.324316885842447</v>
      </c>
      <c r="Q302" s="93">
        <v>621.86968000602997</v>
      </c>
    </row>
    <row r="303" spans="1:17" x14ac:dyDescent="0.3">
      <c r="A303">
        <v>3</v>
      </c>
      <c r="B303" s="83">
        <v>3.2</v>
      </c>
      <c r="C303" s="78">
        <v>45992</v>
      </c>
      <c r="D303" s="78">
        <v>45964</v>
      </c>
      <c r="E303">
        <v>30</v>
      </c>
      <c r="F303" t="s">
        <v>929</v>
      </c>
      <c r="G303" t="s">
        <v>926</v>
      </c>
      <c r="H303">
        <v>25</v>
      </c>
      <c r="I303">
        <v>14</v>
      </c>
      <c r="J303" t="s">
        <v>935</v>
      </c>
      <c r="K303" t="s">
        <v>1233</v>
      </c>
      <c r="L303"/>
      <c r="M303" s="4">
        <v>358</v>
      </c>
      <c r="N303" s="4" t="s">
        <v>368</v>
      </c>
      <c r="O303" s="12">
        <v>46031.578946759262</v>
      </c>
      <c r="P303" s="92">
        <v>4.7320916643409614</v>
      </c>
      <c r="Q303" s="93">
        <v>661.61473560287516</v>
      </c>
    </row>
    <row r="304" spans="1:17" x14ac:dyDescent="0.3">
      <c r="A304">
        <v>3</v>
      </c>
      <c r="B304" s="83">
        <v>3.2</v>
      </c>
      <c r="C304" s="78">
        <v>45992</v>
      </c>
      <c r="D304" s="78">
        <v>45964</v>
      </c>
      <c r="E304">
        <v>28</v>
      </c>
      <c r="F304" t="s">
        <v>910</v>
      </c>
      <c r="G304" t="s">
        <v>930</v>
      </c>
      <c r="H304">
        <v>25</v>
      </c>
      <c r="I304">
        <v>15</v>
      </c>
      <c r="J304" t="s">
        <v>935</v>
      </c>
      <c r="K304" t="s">
        <v>1234</v>
      </c>
      <c r="L304"/>
      <c r="M304" s="1">
        <v>359</v>
      </c>
      <c r="N304" s="1" t="s">
        <v>369</v>
      </c>
      <c r="O304" s="2">
        <v>46031.582685185182</v>
      </c>
      <c r="P304" s="92">
        <v>2.7025030787603974</v>
      </c>
      <c r="Q304" s="93">
        <v>674.56697448033356</v>
      </c>
    </row>
    <row r="305" spans="1:17" x14ac:dyDescent="0.3">
      <c r="A305">
        <v>3</v>
      </c>
      <c r="B305" s="83">
        <v>3.2</v>
      </c>
      <c r="C305" s="78">
        <v>45992</v>
      </c>
      <c r="D305" s="78">
        <v>45964</v>
      </c>
      <c r="E305">
        <v>31</v>
      </c>
      <c r="F305" t="s">
        <v>906</v>
      </c>
      <c r="G305" t="s">
        <v>933</v>
      </c>
      <c r="H305">
        <v>25</v>
      </c>
      <c r="I305">
        <v>16</v>
      </c>
      <c r="J305" t="s">
        <v>935</v>
      </c>
      <c r="K305" t="s">
        <v>1235</v>
      </c>
      <c r="L305"/>
      <c r="M305" s="4">
        <v>360</v>
      </c>
      <c r="N305" s="4" t="s">
        <v>370</v>
      </c>
      <c r="O305" s="12">
        <v>46031.586423611108</v>
      </c>
      <c r="P305" s="92">
        <v>-3.4962455835566235</v>
      </c>
      <c r="Q305" s="93">
        <v>699.72306064964278</v>
      </c>
    </row>
    <row r="306" spans="1:17" x14ac:dyDescent="0.3">
      <c r="A306">
        <v>3</v>
      </c>
      <c r="B306" s="83">
        <v>3.2</v>
      </c>
      <c r="C306" s="78">
        <v>45992</v>
      </c>
      <c r="D306" s="78">
        <v>45964</v>
      </c>
      <c r="E306">
        <v>25</v>
      </c>
      <c r="F306" t="s">
        <v>917</v>
      </c>
      <c r="G306" t="s">
        <v>907</v>
      </c>
      <c r="H306">
        <v>25</v>
      </c>
      <c r="I306">
        <v>17</v>
      </c>
      <c r="J306" t="s">
        <v>24</v>
      </c>
      <c r="K306" t="s">
        <v>1236</v>
      </c>
      <c r="L306"/>
      <c r="M306" s="1">
        <v>361</v>
      </c>
      <c r="N306" s="1" t="s">
        <v>371</v>
      </c>
      <c r="O306" s="2">
        <v>46031.590173611112</v>
      </c>
      <c r="P306" s="92">
        <v>3.968908516259213</v>
      </c>
      <c r="Q306" s="93">
        <v>602.23028729609098</v>
      </c>
    </row>
    <row r="307" spans="1:17" x14ac:dyDescent="0.3">
      <c r="A307">
        <v>3</v>
      </c>
      <c r="B307" s="83">
        <v>3.2</v>
      </c>
      <c r="C307" s="78">
        <v>45992</v>
      </c>
      <c r="D307" s="78">
        <v>45964</v>
      </c>
      <c r="E307">
        <v>27</v>
      </c>
      <c r="F307" t="s">
        <v>913</v>
      </c>
      <c r="G307" t="s">
        <v>15</v>
      </c>
      <c r="H307">
        <v>25</v>
      </c>
      <c r="I307">
        <v>18</v>
      </c>
      <c r="J307" t="s">
        <v>24</v>
      </c>
      <c r="K307" t="s">
        <v>1237</v>
      </c>
      <c r="L307"/>
      <c r="M307" s="4">
        <v>362</v>
      </c>
      <c r="N307" s="4" t="s">
        <v>372</v>
      </c>
      <c r="O307" s="12">
        <v>46031.593923611108</v>
      </c>
      <c r="P307" s="92">
        <v>37.167459771278352</v>
      </c>
      <c r="Q307" s="93">
        <v>622.51247148754703</v>
      </c>
    </row>
    <row r="308" spans="1:17" x14ac:dyDescent="0.3">
      <c r="A308">
        <v>3</v>
      </c>
      <c r="B308" s="83">
        <v>3.2</v>
      </c>
      <c r="C308" s="78">
        <v>45992</v>
      </c>
      <c r="D308" s="78">
        <v>45964</v>
      </c>
      <c r="E308">
        <v>26</v>
      </c>
      <c r="F308" t="s">
        <v>932</v>
      </c>
      <c r="G308" t="s">
        <v>914</v>
      </c>
      <c r="H308">
        <v>25</v>
      </c>
      <c r="I308">
        <v>19</v>
      </c>
      <c r="J308" t="s">
        <v>24</v>
      </c>
      <c r="K308" t="s">
        <v>1238</v>
      </c>
      <c r="L308"/>
      <c r="M308" s="1">
        <v>363</v>
      </c>
      <c r="N308" s="1" t="s">
        <v>373</v>
      </c>
      <c r="O308" s="2">
        <v>46031.597662037035</v>
      </c>
      <c r="P308" s="92">
        <v>13.498556340456178</v>
      </c>
      <c r="Q308" s="93">
        <v>586.24426023305557</v>
      </c>
    </row>
    <row r="309" spans="1:17" x14ac:dyDescent="0.3">
      <c r="A309">
        <v>3</v>
      </c>
      <c r="B309" s="83">
        <v>3.2</v>
      </c>
      <c r="C309" s="78">
        <v>45992</v>
      </c>
      <c r="D309" s="78">
        <v>45964</v>
      </c>
      <c r="E309">
        <v>29</v>
      </c>
      <c r="F309" t="s">
        <v>921</v>
      </c>
      <c r="G309" t="s">
        <v>918</v>
      </c>
      <c r="H309">
        <v>25</v>
      </c>
      <c r="I309">
        <v>20</v>
      </c>
      <c r="J309" t="s">
        <v>24</v>
      </c>
      <c r="K309" t="s">
        <v>1239</v>
      </c>
      <c r="L309"/>
      <c r="M309" s="4">
        <v>364</v>
      </c>
      <c r="N309" s="4" t="s">
        <v>374</v>
      </c>
      <c r="O309" s="12">
        <v>46031.601400462961</v>
      </c>
      <c r="P309" s="92">
        <v>32.985968416879217</v>
      </c>
      <c r="Q309" s="93">
        <v>660.85971144007021</v>
      </c>
    </row>
    <row r="310" spans="1:17" x14ac:dyDescent="0.3">
      <c r="A310">
        <v>3</v>
      </c>
      <c r="B310" s="83">
        <v>3.2</v>
      </c>
      <c r="C310" s="78">
        <v>45992</v>
      </c>
      <c r="D310" s="78">
        <v>45964</v>
      </c>
      <c r="E310">
        <v>32</v>
      </c>
      <c r="F310" t="s">
        <v>925</v>
      </c>
      <c r="G310" t="s">
        <v>922</v>
      </c>
      <c r="H310">
        <v>25</v>
      </c>
      <c r="I310">
        <v>21</v>
      </c>
      <c r="J310" t="s">
        <v>24</v>
      </c>
      <c r="K310" t="s">
        <v>1240</v>
      </c>
      <c r="L310"/>
      <c r="M310" s="1">
        <v>365</v>
      </c>
      <c r="N310" s="1" t="s">
        <v>375</v>
      </c>
      <c r="O310" s="2">
        <v>46031.605196759258</v>
      </c>
      <c r="P310" s="92">
        <v>18.420123563489383</v>
      </c>
      <c r="Q310" s="93">
        <v>647.67495335629644</v>
      </c>
    </row>
    <row r="311" spans="1:17" x14ac:dyDescent="0.3">
      <c r="A311">
        <v>3</v>
      </c>
      <c r="B311" s="83">
        <v>3.2</v>
      </c>
      <c r="C311" s="78">
        <v>45992</v>
      </c>
      <c r="D311" s="78">
        <v>45964</v>
      </c>
      <c r="E311">
        <v>30</v>
      </c>
      <c r="F311" t="s">
        <v>929</v>
      </c>
      <c r="G311" t="s">
        <v>926</v>
      </c>
      <c r="H311">
        <v>25</v>
      </c>
      <c r="I311">
        <v>22</v>
      </c>
      <c r="J311" t="s">
        <v>24</v>
      </c>
      <c r="K311" t="s">
        <v>1241</v>
      </c>
      <c r="L311"/>
      <c r="M311" s="4">
        <v>366</v>
      </c>
      <c r="N311" s="4" t="s">
        <v>376</v>
      </c>
      <c r="O311" s="12">
        <v>46031.608923611115</v>
      </c>
      <c r="P311" s="92">
        <v>15.015153720046177</v>
      </c>
      <c r="Q311" s="93">
        <v>705.9494398691196</v>
      </c>
    </row>
    <row r="312" spans="1:17" x14ac:dyDescent="0.3">
      <c r="A312">
        <v>3</v>
      </c>
      <c r="B312" s="83">
        <v>3.2</v>
      </c>
      <c r="C312" s="78">
        <v>45992</v>
      </c>
      <c r="D312" s="78">
        <v>45964</v>
      </c>
      <c r="E312">
        <v>28</v>
      </c>
      <c r="F312" t="s">
        <v>910</v>
      </c>
      <c r="G312" t="s">
        <v>930</v>
      </c>
      <c r="H312">
        <v>25</v>
      </c>
      <c r="I312">
        <v>23</v>
      </c>
      <c r="J312" t="s">
        <v>24</v>
      </c>
      <c r="K312" t="s">
        <v>1242</v>
      </c>
      <c r="L312"/>
      <c r="M312" s="1">
        <v>367</v>
      </c>
      <c r="N312" s="1" t="s">
        <v>377</v>
      </c>
      <c r="O312" s="2">
        <v>46031.612662037034</v>
      </c>
      <c r="P312" s="92">
        <v>19.728350203354015</v>
      </c>
      <c r="Q312" s="93">
        <v>668.44865889362075</v>
      </c>
    </row>
    <row r="313" spans="1:17" x14ac:dyDescent="0.3">
      <c r="A313">
        <v>3</v>
      </c>
      <c r="B313" s="83">
        <v>3.2</v>
      </c>
      <c r="C313" s="78">
        <v>45992</v>
      </c>
      <c r="D313" s="78">
        <v>45964</v>
      </c>
      <c r="E313">
        <v>31</v>
      </c>
      <c r="F313" t="s">
        <v>906</v>
      </c>
      <c r="G313" t="s">
        <v>933</v>
      </c>
      <c r="H313">
        <v>25</v>
      </c>
      <c r="I313">
        <v>24</v>
      </c>
      <c r="J313" t="s">
        <v>24</v>
      </c>
      <c r="K313" t="s">
        <v>1243</v>
      </c>
      <c r="L313"/>
      <c r="M313" s="4">
        <v>368</v>
      </c>
      <c r="N313" s="4" t="s">
        <v>378</v>
      </c>
      <c r="O313" s="12">
        <v>46031.616400462961</v>
      </c>
      <c r="P313" s="92">
        <v>8.4083316853490153</v>
      </c>
      <c r="Q313" s="93">
        <v>676.15424495474008</v>
      </c>
    </row>
    <row r="314" spans="1:17" x14ac:dyDescent="0.3">
      <c r="A314">
        <v>3</v>
      </c>
      <c r="B314" s="83">
        <v>3.2</v>
      </c>
      <c r="C314" s="78">
        <v>45992</v>
      </c>
      <c r="D314" s="78">
        <v>45964</v>
      </c>
      <c r="E314">
        <v>25</v>
      </c>
      <c r="F314" t="s">
        <v>917</v>
      </c>
      <c r="G314" t="s">
        <v>907</v>
      </c>
      <c r="H314">
        <v>25</v>
      </c>
      <c r="I314">
        <v>25</v>
      </c>
      <c r="J314" t="s">
        <v>25</v>
      </c>
      <c r="K314" t="s">
        <v>1244</v>
      </c>
      <c r="L314"/>
      <c r="M314" s="1">
        <v>369</v>
      </c>
      <c r="N314" s="1" t="s">
        <v>379</v>
      </c>
      <c r="O314" s="2">
        <v>46031.620138888888</v>
      </c>
      <c r="P314" s="92">
        <v>10.361474112377577</v>
      </c>
      <c r="Q314" s="93">
        <v>618.33129482239599</v>
      </c>
    </row>
    <row r="315" spans="1:17" x14ac:dyDescent="0.3">
      <c r="A315">
        <v>3</v>
      </c>
      <c r="B315" s="83">
        <v>3.2</v>
      </c>
      <c r="C315" s="78">
        <v>45992</v>
      </c>
      <c r="D315" s="78">
        <v>45964</v>
      </c>
      <c r="E315">
        <v>27</v>
      </c>
      <c r="F315" t="s">
        <v>913</v>
      </c>
      <c r="G315" t="s">
        <v>15</v>
      </c>
      <c r="H315">
        <v>25</v>
      </c>
      <c r="I315">
        <v>26</v>
      </c>
      <c r="J315" t="s">
        <v>25</v>
      </c>
      <c r="K315" t="s">
        <v>1245</v>
      </c>
      <c r="L315"/>
      <c r="M315" s="4">
        <v>370</v>
      </c>
      <c r="N315" s="4" t="s">
        <v>380</v>
      </c>
      <c r="O315" s="12">
        <v>46031.623877314814</v>
      </c>
      <c r="P315" s="92">
        <v>52.483337010641677</v>
      </c>
      <c r="Q315" s="93">
        <v>643.1355227713907</v>
      </c>
    </row>
    <row r="316" spans="1:17" x14ac:dyDescent="0.3">
      <c r="A316">
        <v>3</v>
      </c>
      <c r="B316" s="83">
        <v>3.2</v>
      </c>
      <c r="C316" s="78">
        <v>45992</v>
      </c>
      <c r="D316" s="78">
        <v>45964</v>
      </c>
      <c r="E316">
        <v>26</v>
      </c>
      <c r="F316" t="s">
        <v>932</v>
      </c>
      <c r="G316" t="s">
        <v>914</v>
      </c>
      <c r="H316">
        <v>25</v>
      </c>
      <c r="I316">
        <v>27</v>
      </c>
      <c r="J316" t="s">
        <v>25</v>
      </c>
      <c r="K316" t="s">
        <v>1246</v>
      </c>
      <c r="L316"/>
      <c r="M316" s="1">
        <v>371</v>
      </c>
      <c r="N316" s="1" t="s">
        <v>381</v>
      </c>
      <c r="O316" s="2">
        <v>46031.627615740741</v>
      </c>
      <c r="P316" s="92">
        <v>21.014691818112492</v>
      </c>
      <c r="Q316" s="93">
        <v>632.04286903783759</v>
      </c>
    </row>
    <row r="317" spans="1:17" x14ac:dyDescent="0.3">
      <c r="A317">
        <v>3</v>
      </c>
      <c r="B317" s="83">
        <v>3.2</v>
      </c>
      <c r="C317" s="78">
        <v>45992</v>
      </c>
      <c r="D317" s="78">
        <v>45964</v>
      </c>
      <c r="E317">
        <v>29</v>
      </c>
      <c r="F317" t="s">
        <v>921</v>
      </c>
      <c r="G317" t="s">
        <v>918</v>
      </c>
      <c r="H317">
        <v>25</v>
      </c>
      <c r="I317">
        <v>28</v>
      </c>
      <c r="J317" t="s">
        <v>25</v>
      </c>
      <c r="K317" t="s">
        <v>1247</v>
      </c>
      <c r="L317"/>
      <c r="M317" s="4">
        <v>372</v>
      </c>
      <c r="N317" s="4" t="s">
        <v>382</v>
      </c>
      <c r="O317" s="12">
        <v>46031.631354166668</v>
      </c>
      <c r="P317" s="92">
        <v>49.27051162032982</v>
      </c>
      <c r="Q317" s="93">
        <v>689.25505356141718</v>
      </c>
    </row>
    <row r="318" spans="1:17" x14ac:dyDescent="0.3">
      <c r="A318">
        <v>3</v>
      </c>
      <c r="B318" s="83">
        <v>3.2</v>
      </c>
      <c r="C318" s="78">
        <v>45992</v>
      </c>
      <c r="D318" s="78">
        <v>45964</v>
      </c>
      <c r="E318">
        <v>32</v>
      </c>
      <c r="F318" t="s">
        <v>925</v>
      </c>
      <c r="G318" t="s">
        <v>922</v>
      </c>
      <c r="H318">
        <v>25</v>
      </c>
      <c r="I318">
        <v>29</v>
      </c>
      <c r="J318" t="s">
        <v>25</v>
      </c>
      <c r="K318" t="s">
        <v>1248</v>
      </c>
      <c r="L318"/>
      <c r="M318" s="1">
        <v>373</v>
      </c>
      <c r="N318" s="1" t="s">
        <v>383</v>
      </c>
      <c r="O318" s="2">
        <v>46031.635104166664</v>
      </c>
      <c r="P318" s="92">
        <v>31.073464759272252</v>
      </c>
      <c r="Q318" s="93">
        <v>644.60208034080711</v>
      </c>
    </row>
    <row r="319" spans="1:17" x14ac:dyDescent="0.3">
      <c r="A319">
        <v>3</v>
      </c>
      <c r="B319" s="83">
        <v>3.2</v>
      </c>
      <c r="C319" s="78">
        <v>45992</v>
      </c>
      <c r="D319" s="78">
        <v>45964</v>
      </c>
      <c r="E319">
        <v>30</v>
      </c>
      <c r="F319" t="s">
        <v>929</v>
      </c>
      <c r="G319" t="s">
        <v>926</v>
      </c>
      <c r="H319">
        <v>25</v>
      </c>
      <c r="I319">
        <v>30</v>
      </c>
      <c r="J319" t="s">
        <v>25</v>
      </c>
      <c r="K319" t="s">
        <v>1249</v>
      </c>
      <c r="L319"/>
      <c r="M319" s="4">
        <v>374</v>
      </c>
      <c r="N319" s="4" t="s">
        <v>384</v>
      </c>
      <c r="O319" s="12">
        <v>46031.638831018521</v>
      </c>
      <c r="P319" s="92">
        <v>24.340864047819604</v>
      </c>
      <c r="Q319" s="93">
        <v>716.72183487514803</v>
      </c>
    </row>
    <row r="320" spans="1:17" x14ac:dyDescent="0.3">
      <c r="A320">
        <v>3</v>
      </c>
      <c r="B320" s="83">
        <v>3.2</v>
      </c>
      <c r="C320" s="78">
        <v>45992</v>
      </c>
      <c r="D320" s="78">
        <v>45964</v>
      </c>
      <c r="E320">
        <v>28</v>
      </c>
      <c r="F320" t="s">
        <v>910</v>
      </c>
      <c r="G320" t="s">
        <v>930</v>
      </c>
      <c r="H320">
        <v>25</v>
      </c>
      <c r="I320">
        <v>31</v>
      </c>
      <c r="J320" t="s">
        <v>25</v>
      </c>
      <c r="K320" t="s">
        <v>1250</v>
      </c>
      <c r="L320"/>
      <c r="M320" s="1">
        <v>375</v>
      </c>
      <c r="N320" s="1" t="s">
        <v>385</v>
      </c>
      <c r="O320" s="2">
        <v>46031.642569444448</v>
      </c>
      <c r="P320" s="92">
        <v>30.988261299266746</v>
      </c>
      <c r="Q320" s="93">
        <v>689.37908275500581</v>
      </c>
    </row>
    <row r="321" spans="1:17" x14ac:dyDescent="0.3">
      <c r="A321">
        <v>3</v>
      </c>
      <c r="B321" s="83">
        <v>3.2</v>
      </c>
      <c r="C321" s="78">
        <v>45992</v>
      </c>
      <c r="D321" s="78">
        <v>45964</v>
      </c>
      <c r="E321">
        <v>31</v>
      </c>
      <c r="F321" t="s">
        <v>906</v>
      </c>
      <c r="G321" t="s">
        <v>933</v>
      </c>
      <c r="H321">
        <v>25</v>
      </c>
      <c r="I321">
        <v>32</v>
      </c>
      <c r="J321" t="s">
        <v>25</v>
      </c>
      <c r="K321" t="s">
        <v>1251</v>
      </c>
      <c r="L321"/>
      <c r="M321" s="4">
        <v>376</v>
      </c>
      <c r="N321" s="4" t="s">
        <v>386</v>
      </c>
      <c r="O321" s="12">
        <v>46031.646307870367</v>
      </c>
      <c r="P321" s="92">
        <v>14.812343717741943</v>
      </c>
      <c r="Q321" s="93">
        <v>737.55343333629401</v>
      </c>
    </row>
    <row r="322" spans="1:17" x14ac:dyDescent="0.3">
      <c r="A322">
        <v>3</v>
      </c>
      <c r="B322" s="83">
        <v>3.3</v>
      </c>
      <c r="C322" s="78">
        <v>45993</v>
      </c>
      <c r="D322" s="78">
        <v>45965</v>
      </c>
      <c r="E322">
        <v>25</v>
      </c>
      <c r="F322" t="s">
        <v>917</v>
      </c>
      <c r="G322" t="s">
        <v>907</v>
      </c>
      <c r="H322">
        <v>49</v>
      </c>
      <c r="I322">
        <v>1</v>
      </c>
      <c r="J322" t="s">
        <v>908</v>
      </c>
      <c r="K322" s="82" t="s">
        <v>1252</v>
      </c>
      <c r="L322" s="82"/>
      <c r="M322" s="1">
        <v>379</v>
      </c>
      <c r="N322" s="1" t="s">
        <v>389</v>
      </c>
      <c r="O322" s="2">
        <v>46031.657511574071</v>
      </c>
      <c r="P322" s="92">
        <v>-17.514510729212066</v>
      </c>
      <c r="Q322" s="93">
        <v>694.18684846309213</v>
      </c>
    </row>
    <row r="323" spans="1:17" x14ac:dyDescent="0.3">
      <c r="A323">
        <v>3</v>
      </c>
      <c r="B323" s="83">
        <v>3.3</v>
      </c>
      <c r="C323" s="78">
        <v>45993</v>
      </c>
      <c r="D323" s="78">
        <v>45965</v>
      </c>
      <c r="E323">
        <v>27</v>
      </c>
      <c r="F323" t="s">
        <v>913</v>
      </c>
      <c r="G323" t="s">
        <v>15</v>
      </c>
      <c r="H323">
        <v>49</v>
      </c>
      <c r="I323">
        <v>2</v>
      </c>
      <c r="J323" t="s">
        <v>908</v>
      </c>
      <c r="K323" t="s">
        <v>1253</v>
      </c>
      <c r="L323"/>
      <c r="M323" s="4">
        <v>380</v>
      </c>
      <c r="N323" s="4" t="s">
        <v>390</v>
      </c>
      <c r="O323" s="12">
        <v>46031.661249999997</v>
      </c>
      <c r="P323" s="92">
        <v>-16.077055063559783</v>
      </c>
      <c r="Q323" s="93">
        <v>687.58757627847524</v>
      </c>
    </row>
    <row r="324" spans="1:17" x14ac:dyDescent="0.3">
      <c r="A324">
        <v>3</v>
      </c>
      <c r="B324" s="83">
        <v>3.3</v>
      </c>
      <c r="C324" s="78">
        <v>45993</v>
      </c>
      <c r="D324" s="78">
        <v>45965</v>
      </c>
      <c r="E324">
        <v>26</v>
      </c>
      <c r="F324" t="s">
        <v>932</v>
      </c>
      <c r="G324" t="s">
        <v>914</v>
      </c>
      <c r="H324">
        <v>49</v>
      </c>
      <c r="I324">
        <v>3</v>
      </c>
      <c r="J324" t="s">
        <v>908</v>
      </c>
      <c r="K324" t="s">
        <v>1254</v>
      </c>
      <c r="L324"/>
      <c r="M324" s="1">
        <v>381</v>
      </c>
      <c r="N324" s="1" t="s">
        <v>391</v>
      </c>
      <c r="O324" s="2">
        <v>46031.665000000001</v>
      </c>
      <c r="P324" s="92">
        <v>-16.788144582334407</v>
      </c>
      <c r="Q324" s="93">
        <v>649.89369255543329</v>
      </c>
    </row>
    <row r="325" spans="1:17" x14ac:dyDescent="0.3">
      <c r="A325">
        <v>3</v>
      </c>
      <c r="B325" s="83">
        <v>3.3</v>
      </c>
      <c r="C325" s="78">
        <v>45993</v>
      </c>
      <c r="D325" s="78">
        <v>45965</v>
      </c>
      <c r="E325">
        <v>29</v>
      </c>
      <c r="F325" t="s">
        <v>921</v>
      </c>
      <c r="G325" t="s">
        <v>918</v>
      </c>
      <c r="H325">
        <v>49</v>
      </c>
      <c r="I325">
        <v>4</v>
      </c>
      <c r="J325" t="s">
        <v>908</v>
      </c>
      <c r="K325" t="s">
        <v>1255</v>
      </c>
      <c r="L325"/>
      <c r="M325" s="4">
        <v>382</v>
      </c>
      <c r="N325" s="4" t="s">
        <v>392</v>
      </c>
      <c r="O325" s="12">
        <v>46031.668726851851</v>
      </c>
      <c r="P325" s="92">
        <v>-15.540987587341002</v>
      </c>
      <c r="Q325" s="93">
        <v>683.00517606844153</v>
      </c>
    </row>
    <row r="326" spans="1:17" x14ac:dyDescent="0.3">
      <c r="A326">
        <v>3</v>
      </c>
      <c r="B326" s="83">
        <v>3.3</v>
      </c>
      <c r="C326" s="78">
        <v>45993</v>
      </c>
      <c r="D326" s="78">
        <v>45965</v>
      </c>
      <c r="E326">
        <v>32</v>
      </c>
      <c r="F326" t="s">
        <v>925</v>
      </c>
      <c r="G326" t="s">
        <v>922</v>
      </c>
      <c r="H326">
        <v>49</v>
      </c>
      <c r="I326">
        <v>5</v>
      </c>
      <c r="J326" t="s">
        <v>908</v>
      </c>
      <c r="K326" t="s">
        <v>1256</v>
      </c>
      <c r="L326"/>
      <c r="M326" s="1">
        <v>383</v>
      </c>
      <c r="N326" s="1" t="s">
        <v>393</v>
      </c>
      <c r="O326" s="2">
        <v>46031.672488425924</v>
      </c>
      <c r="P326" s="92">
        <v>-16.711996262566682</v>
      </c>
      <c r="Q326" s="93">
        <v>702.05616442988094</v>
      </c>
    </row>
    <row r="327" spans="1:17" x14ac:dyDescent="0.3">
      <c r="A327">
        <v>3</v>
      </c>
      <c r="B327" s="83">
        <v>3.3</v>
      </c>
      <c r="C327" s="78">
        <v>45993</v>
      </c>
      <c r="D327" s="78">
        <v>45965</v>
      </c>
      <c r="E327">
        <v>30</v>
      </c>
      <c r="F327" t="s">
        <v>929</v>
      </c>
      <c r="G327" t="s">
        <v>926</v>
      </c>
      <c r="H327">
        <v>49</v>
      </c>
      <c r="I327">
        <v>6</v>
      </c>
      <c r="J327" t="s">
        <v>908</v>
      </c>
      <c r="K327" t="s">
        <v>1257</v>
      </c>
      <c r="L327"/>
      <c r="M327" s="4">
        <v>384</v>
      </c>
      <c r="N327" s="4" t="s">
        <v>394</v>
      </c>
      <c r="O327" s="12">
        <v>46031.676238425927</v>
      </c>
      <c r="P327" s="92">
        <v>-13.945666566115932</v>
      </c>
      <c r="Q327" s="93">
        <v>699.09950364199779</v>
      </c>
    </row>
    <row r="328" spans="1:17" x14ac:dyDescent="0.3">
      <c r="A328">
        <v>3</v>
      </c>
      <c r="B328" s="83">
        <v>3.3</v>
      </c>
      <c r="C328" s="78">
        <v>45993</v>
      </c>
      <c r="D328" s="78">
        <v>45965</v>
      </c>
      <c r="E328">
        <v>28</v>
      </c>
      <c r="F328" t="s">
        <v>910</v>
      </c>
      <c r="G328" t="s">
        <v>930</v>
      </c>
      <c r="H328">
        <v>49</v>
      </c>
      <c r="I328">
        <v>7</v>
      </c>
      <c r="J328" t="s">
        <v>908</v>
      </c>
      <c r="K328" t="s">
        <v>1258</v>
      </c>
      <c r="L328"/>
      <c r="M328" s="1">
        <v>385</v>
      </c>
      <c r="N328" s="1" t="s">
        <v>395</v>
      </c>
      <c r="O328" s="2">
        <v>46031.679976851854</v>
      </c>
      <c r="P328" s="92">
        <v>-16.655742982909636</v>
      </c>
      <c r="Q328" s="93">
        <v>654.55554156517985</v>
      </c>
    </row>
    <row r="329" spans="1:17" x14ac:dyDescent="0.3">
      <c r="A329">
        <v>3</v>
      </c>
      <c r="B329" s="83">
        <v>3.3</v>
      </c>
      <c r="C329" s="78">
        <v>45993</v>
      </c>
      <c r="D329" s="78">
        <v>45965</v>
      </c>
      <c r="E329">
        <v>31</v>
      </c>
      <c r="F329" t="s">
        <v>906</v>
      </c>
      <c r="G329" t="s">
        <v>933</v>
      </c>
      <c r="H329">
        <v>49</v>
      </c>
      <c r="I329">
        <v>8</v>
      </c>
      <c r="J329" t="s">
        <v>908</v>
      </c>
      <c r="K329" t="s">
        <v>1259</v>
      </c>
      <c r="L329"/>
      <c r="M329" s="4">
        <v>386</v>
      </c>
      <c r="N329" s="4" t="s">
        <v>396</v>
      </c>
      <c r="O329" s="12">
        <v>46031.683703703704</v>
      </c>
      <c r="P329" s="92">
        <v>-15.979468071893292</v>
      </c>
      <c r="Q329" s="93">
        <v>674.82981403955068</v>
      </c>
    </row>
    <row r="330" spans="1:17" x14ac:dyDescent="0.3">
      <c r="A330">
        <v>3</v>
      </c>
      <c r="B330" s="83">
        <v>3.3</v>
      </c>
      <c r="C330" s="78">
        <v>45993</v>
      </c>
      <c r="D330" s="78">
        <v>45965</v>
      </c>
      <c r="E330">
        <v>25</v>
      </c>
      <c r="F330" t="s">
        <v>917</v>
      </c>
      <c r="G330" t="s">
        <v>907</v>
      </c>
      <c r="H330">
        <v>49</v>
      </c>
      <c r="I330">
        <v>9</v>
      </c>
      <c r="J330" t="s">
        <v>935</v>
      </c>
      <c r="K330" t="s">
        <v>1260</v>
      </c>
      <c r="L330"/>
      <c r="M330" s="1">
        <v>387</v>
      </c>
      <c r="N330" s="1" t="s">
        <v>397</v>
      </c>
      <c r="O330" s="2">
        <v>46031.6874537037</v>
      </c>
      <c r="P330" s="92">
        <v>1.835263640365542</v>
      </c>
      <c r="Q330" s="93">
        <v>651.02066217235017</v>
      </c>
    </row>
    <row r="331" spans="1:17" x14ac:dyDescent="0.3">
      <c r="A331">
        <v>3</v>
      </c>
      <c r="B331" s="83">
        <v>3.3</v>
      </c>
      <c r="C331" s="78">
        <v>45993</v>
      </c>
      <c r="D331" s="78">
        <v>45965</v>
      </c>
      <c r="E331">
        <v>27</v>
      </c>
      <c r="F331" t="s">
        <v>913</v>
      </c>
      <c r="G331" t="s">
        <v>15</v>
      </c>
      <c r="H331">
        <v>49</v>
      </c>
      <c r="I331">
        <v>10</v>
      </c>
      <c r="J331" t="s">
        <v>935</v>
      </c>
      <c r="K331" t="s">
        <v>1261</v>
      </c>
      <c r="L331"/>
      <c r="M331" s="4">
        <v>388</v>
      </c>
      <c r="N331" s="4" t="s">
        <v>398</v>
      </c>
      <c r="O331" s="12">
        <v>46031.691192129627</v>
      </c>
      <c r="P331" s="92">
        <v>25.866842052234482</v>
      </c>
      <c r="Q331" s="93">
        <v>660.32588372679379</v>
      </c>
    </row>
    <row r="332" spans="1:17" x14ac:dyDescent="0.3">
      <c r="A332">
        <v>3</v>
      </c>
      <c r="B332" s="83">
        <v>3.3</v>
      </c>
      <c r="C332" s="78">
        <v>45993</v>
      </c>
      <c r="D332" s="78">
        <v>45965</v>
      </c>
      <c r="E332">
        <v>26</v>
      </c>
      <c r="F332" t="s">
        <v>932</v>
      </c>
      <c r="G332" t="s">
        <v>914</v>
      </c>
      <c r="H332">
        <v>49</v>
      </c>
      <c r="I332">
        <v>11</v>
      </c>
      <c r="J332" t="s">
        <v>935</v>
      </c>
      <c r="K332" t="s">
        <v>1262</v>
      </c>
      <c r="L332"/>
      <c r="M332" s="1">
        <v>389</v>
      </c>
      <c r="N332" s="1" t="s">
        <v>399</v>
      </c>
      <c r="O332" s="2">
        <v>46031.69494212963</v>
      </c>
      <c r="P332" s="92">
        <v>3.7845522615051377</v>
      </c>
      <c r="Q332" s="93">
        <v>660.42513550699562</v>
      </c>
    </row>
    <row r="333" spans="1:17" x14ac:dyDescent="0.3">
      <c r="A333">
        <v>3</v>
      </c>
      <c r="B333" s="83">
        <v>3.3</v>
      </c>
      <c r="C333" s="78">
        <v>45993</v>
      </c>
      <c r="D333" s="78">
        <v>45965</v>
      </c>
      <c r="E333">
        <v>29</v>
      </c>
      <c r="F333" t="s">
        <v>921</v>
      </c>
      <c r="G333" t="s">
        <v>918</v>
      </c>
      <c r="H333">
        <v>49</v>
      </c>
      <c r="I333">
        <v>12</v>
      </c>
      <c r="J333" t="s">
        <v>935</v>
      </c>
      <c r="K333" t="s">
        <v>1263</v>
      </c>
      <c r="L333"/>
      <c r="M333" s="4">
        <v>390</v>
      </c>
      <c r="N333" s="4" t="s">
        <v>400</v>
      </c>
      <c r="O333" s="12">
        <v>46031.69866898148</v>
      </c>
      <c r="P333" s="92">
        <v>18.50459476717727</v>
      </c>
      <c r="Q333" s="93">
        <v>702.17123964425332</v>
      </c>
    </row>
    <row r="334" spans="1:17" x14ac:dyDescent="0.3">
      <c r="A334">
        <v>3</v>
      </c>
      <c r="B334" s="83">
        <v>3.3</v>
      </c>
      <c r="C334" s="78">
        <v>45993</v>
      </c>
      <c r="D334" s="78">
        <v>45965</v>
      </c>
      <c r="E334">
        <v>32</v>
      </c>
      <c r="F334" t="s">
        <v>925</v>
      </c>
      <c r="G334" t="s">
        <v>922</v>
      </c>
      <c r="H334">
        <v>49</v>
      </c>
      <c r="I334">
        <v>13</v>
      </c>
      <c r="J334" t="s">
        <v>935</v>
      </c>
      <c r="K334" t="s">
        <v>1264</v>
      </c>
      <c r="L334"/>
      <c r="M334" s="1">
        <v>391</v>
      </c>
      <c r="N334" s="1" t="s">
        <v>401</v>
      </c>
      <c r="O334" s="2">
        <v>46031.702407407407</v>
      </c>
      <c r="P334" s="92">
        <v>15.929762888108838</v>
      </c>
      <c r="Q334" s="93">
        <v>653.24423367773068</v>
      </c>
    </row>
    <row r="335" spans="1:17" x14ac:dyDescent="0.3">
      <c r="A335">
        <v>3</v>
      </c>
      <c r="B335" s="83">
        <v>3.3</v>
      </c>
      <c r="C335" s="78">
        <v>45993</v>
      </c>
      <c r="D335" s="78">
        <v>45965</v>
      </c>
      <c r="E335">
        <v>30</v>
      </c>
      <c r="F335" t="s">
        <v>929</v>
      </c>
      <c r="G335" t="s">
        <v>926</v>
      </c>
      <c r="H335">
        <v>49</v>
      </c>
      <c r="I335">
        <v>14</v>
      </c>
      <c r="J335" t="s">
        <v>935</v>
      </c>
      <c r="K335" t="s">
        <v>1265</v>
      </c>
      <c r="L335"/>
      <c r="M335" s="4">
        <v>392</v>
      </c>
      <c r="N335" s="4" t="s">
        <v>402</v>
      </c>
      <c r="O335" s="12">
        <v>46031.706157407411</v>
      </c>
      <c r="P335" s="92">
        <v>13.618862725639714</v>
      </c>
      <c r="Q335" s="93">
        <v>740.09191013189002</v>
      </c>
    </row>
    <row r="336" spans="1:17" x14ac:dyDescent="0.3">
      <c r="A336">
        <v>3</v>
      </c>
      <c r="B336" s="83">
        <v>3.3</v>
      </c>
      <c r="C336" s="78">
        <v>45993</v>
      </c>
      <c r="D336" s="78">
        <v>45965</v>
      </c>
      <c r="E336">
        <v>28</v>
      </c>
      <c r="F336" t="s">
        <v>910</v>
      </c>
      <c r="G336" t="s">
        <v>930</v>
      </c>
      <c r="H336">
        <v>49</v>
      </c>
      <c r="I336">
        <v>15</v>
      </c>
      <c r="J336" t="s">
        <v>935</v>
      </c>
      <c r="K336" t="s">
        <v>1266</v>
      </c>
      <c r="L336"/>
      <c r="M336" s="1">
        <v>393</v>
      </c>
      <c r="N336" s="1" t="s">
        <v>403</v>
      </c>
      <c r="O336" s="2">
        <v>46031.709907407407</v>
      </c>
      <c r="P336" s="92">
        <v>10.124185084766657</v>
      </c>
      <c r="Q336" s="93">
        <v>696.05415582187709</v>
      </c>
    </row>
    <row r="337" spans="1:17" x14ac:dyDescent="0.3">
      <c r="A337">
        <v>3</v>
      </c>
      <c r="B337" s="83">
        <v>3.3</v>
      </c>
      <c r="C337" s="78">
        <v>45993</v>
      </c>
      <c r="D337" s="78">
        <v>45965</v>
      </c>
      <c r="E337">
        <v>31</v>
      </c>
      <c r="F337" t="s">
        <v>906</v>
      </c>
      <c r="G337" t="s">
        <v>933</v>
      </c>
      <c r="H337">
        <v>49</v>
      </c>
      <c r="I337">
        <v>16</v>
      </c>
      <c r="J337" t="s">
        <v>935</v>
      </c>
      <c r="K337" t="s">
        <v>1267</v>
      </c>
      <c r="L337"/>
      <c r="M337" s="4">
        <v>394</v>
      </c>
      <c r="N337" s="4" t="s">
        <v>404</v>
      </c>
      <c r="O337" s="12">
        <v>46031.713680555556</v>
      </c>
      <c r="P337" s="92">
        <v>5.065276396780205</v>
      </c>
      <c r="Q337" s="93">
        <v>724.97309253739604</v>
      </c>
    </row>
    <row r="338" spans="1:17" x14ac:dyDescent="0.3">
      <c r="A338">
        <v>3</v>
      </c>
      <c r="B338" s="83">
        <v>3.3</v>
      </c>
      <c r="C338" s="78">
        <v>45993</v>
      </c>
      <c r="D338" s="78">
        <v>45965</v>
      </c>
      <c r="E338">
        <v>25</v>
      </c>
      <c r="F338" t="s">
        <v>917</v>
      </c>
      <c r="G338" t="s">
        <v>907</v>
      </c>
      <c r="H338">
        <v>49</v>
      </c>
      <c r="I338">
        <v>17</v>
      </c>
      <c r="J338" t="s">
        <v>24</v>
      </c>
      <c r="K338" t="s">
        <v>1268</v>
      </c>
      <c r="L338"/>
      <c r="M338" s="1">
        <v>395</v>
      </c>
      <c r="N338" s="1" t="s">
        <v>405</v>
      </c>
      <c r="O338" s="2">
        <v>46031.717418981483</v>
      </c>
      <c r="P338" s="92">
        <v>14.017765209809713</v>
      </c>
      <c r="Q338" s="93">
        <v>689.24230953808819</v>
      </c>
    </row>
    <row r="339" spans="1:17" x14ac:dyDescent="0.3">
      <c r="A339">
        <v>3</v>
      </c>
      <c r="B339" s="83">
        <v>3.3</v>
      </c>
      <c r="C339" s="78">
        <v>45993</v>
      </c>
      <c r="D339" s="78">
        <v>45965</v>
      </c>
      <c r="E339">
        <v>27</v>
      </c>
      <c r="F339" t="s">
        <v>913</v>
      </c>
      <c r="G339" t="s">
        <v>15</v>
      </c>
      <c r="H339">
        <v>49</v>
      </c>
      <c r="I339">
        <v>18</v>
      </c>
      <c r="J339" t="s">
        <v>24</v>
      </c>
      <c r="K339" t="s">
        <v>1269</v>
      </c>
      <c r="L339"/>
      <c r="M339" s="4">
        <v>396</v>
      </c>
      <c r="N339" s="4" t="s">
        <v>406</v>
      </c>
      <c r="O339" s="12">
        <v>46031.72115740741</v>
      </c>
      <c r="P339" s="92">
        <v>52.776696181628012</v>
      </c>
      <c r="Q339" s="93">
        <v>681.25000663984156</v>
      </c>
    </row>
    <row r="340" spans="1:17" x14ac:dyDescent="0.3">
      <c r="A340">
        <v>3</v>
      </c>
      <c r="B340" s="83">
        <v>3.3</v>
      </c>
      <c r="C340" s="78">
        <v>45993</v>
      </c>
      <c r="D340" s="78">
        <v>45965</v>
      </c>
      <c r="E340">
        <v>26</v>
      </c>
      <c r="F340" t="s">
        <v>932</v>
      </c>
      <c r="G340" t="s">
        <v>914</v>
      </c>
      <c r="H340">
        <v>49</v>
      </c>
      <c r="I340">
        <v>19</v>
      </c>
      <c r="J340" t="s">
        <v>24</v>
      </c>
      <c r="K340" t="s">
        <v>1270</v>
      </c>
      <c r="L340"/>
      <c r="M340" s="1">
        <v>397</v>
      </c>
      <c r="N340" s="1" t="s">
        <v>407</v>
      </c>
      <c r="O340" s="2">
        <v>46031.724907407406</v>
      </c>
      <c r="P340" s="92">
        <v>15.7696058143231</v>
      </c>
      <c r="Q340" s="93">
        <v>701.80715853167533</v>
      </c>
    </row>
    <row r="341" spans="1:17" x14ac:dyDescent="0.3">
      <c r="A341">
        <v>3</v>
      </c>
      <c r="B341" s="83">
        <v>3.3</v>
      </c>
      <c r="C341" s="78">
        <v>45993</v>
      </c>
      <c r="D341" s="78">
        <v>45965</v>
      </c>
      <c r="E341">
        <v>29</v>
      </c>
      <c r="F341" t="s">
        <v>921</v>
      </c>
      <c r="G341" t="s">
        <v>918</v>
      </c>
      <c r="H341">
        <v>49</v>
      </c>
      <c r="I341">
        <v>20</v>
      </c>
      <c r="J341" t="s">
        <v>24</v>
      </c>
      <c r="K341" t="s">
        <v>1271</v>
      </c>
      <c r="L341"/>
      <c r="M341" s="4">
        <v>398</v>
      </c>
      <c r="N341" s="4" t="s">
        <v>408</v>
      </c>
      <c r="O341" s="12">
        <v>46031.72865740741</v>
      </c>
      <c r="P341" s="92">
        <v>38.241160342035066</v>
      </c>
      <c r="Q341" s="93">
        <v>776.35813161322221</v>
      </c>
    </row>
    <row r="342" spans="1:17" x14ac:dyDescent="0.3">
      <c r="A342">
        <v>3</v>
      </c>
      <c r="B342" s="83">
        <v>3.3</v>
      </c>
      <c r="C342" s="78">
        <v>45993</v>
      </c>
      <c r="D342" s="78">
        <v>45965</v>
      </c>
      <c r="E342">
        <v>32</v>
      </c>
      <c r="F342" t="s">
        <v>925</v>
      </c>
      <c r="G342" t="s">
        <v>922</v>
      </c>
      <c r="H342">
        <v>49</v>
      </c>
      <c r="I342">
        <v>21</v>
      </c>
      <c r="J342" t="s">
        <v>24</v>
      </c>
      <c r="K342" t="s">
        <v>1272</v>
      </c>
      <c r="L342"/>
      <c r="M342" s="1">
        <v>399</v>
      </c>
      <c r="N342" s="1" t="s">
        <v>409</v>
      </c>
      <c r="O342" s="2">
        <v>46031.732407407406</v>
      </c>
      <c r="P342" s="92">
        <v>34.447544877054526</v>
      </c>
      <c r="Q342" s="93">
        <v>709.79027057294854</v>
      </c>
    </row>
    <row r="343" spans="1:17" x14ac:dyDescent="0.3">
      <c r="A343">
        <v>3</v>
      </c>
      <c r="B343" s="83">
        <v>3.3</v>
      </c>
      <c r="C343" s="78">
        <v>45993</v>
      </c>
      <c r="D343" s="78">
        <v>45965</v>
      </c>
      <c r="E343">
        <v>30</v>
      </c>
      <c r="F343" t="s">
        <v>929</v>
      </c>
      <c r="G343" t="s">
        <v>926</v>
      </c>
      <c r="H343">
        <v>49</v>
      </c>
      <c r="I343">
        <v>22</v>
      </c>
      <c r="J343" t="s">
        <v>24</v>
      </c>
      <c r="K343" t="s">
        <v>1273</v>
      </c>
      <c r="L343"/>
      <c r="M343" s="4">
        <v>400</v>
      </c>
      <c r="N343" s="4" t="s">
        <v>410</v>
      </c>
      <c r="O343" s="12">
        <v>46031.736145833333</v>
      </c>
      <c r="P343" s="92">
        <v>37.744307514860594</v>
      </c>
      <c r="Q343" s="93">
        <v>742.92207819751115</v>
      </c>
    </row>
    <row r="344" spans="1:17" x14ac:dyDescent="0.3">
      <c r="A344">
        <v>3</v>
      </c>
      <c r="B344" s="83">
        <v>3.3</v>
      </c>
      <c r="C344" s="78">
        <v>45993</v>
      </c>
      <c r="D344" s="78">
        <v>45965</v>
      </c>
      <c r="E344">
        <v>28</v>
      </c>
      <c r="F344" t="s">
        <v>910</v>
      </c>
      <c r="G344" t="s">
        <v>930</v>
      </c>
      <c r="H344">
        <v>49</v>
      </c>
      <c r="I344">
        <v>23</v>
      </c>
      <c r="J344" t="s">
        <v>24</v>
      </c>
      <c r="K344" t="s">
        <v>1274</v>
      </c>
      <c r="L344"/>
      <c r="M344" s="1">
        <v>401</v>
      </c>
      <c r="N344" s="1" t="s">
        <v>411</v>
      </c>
      <c r="O344" s="2">
        <v>46031.739884259259</v>
      </c>
      <c r="P344" s="92">
        <v>28.435544973402727</v>
      </c>
      <c r="Q344" s="93">
        <v>738.5202262138971</v>
      </c>
    </row>
    <row r="345" spans="1:17" x14ac:dyDescent="0.3">
      <c r="A345">
        <v>3</v>
      </c>
      <c r="B345" s="83">
        <v>3.3</v>
      </c>
      <c r="C345" s="78">
        <v>45993</v>
      </c>
      <c r="D345" s="78">
        <v>45965</v>
      </c>
      <c r="E345">
        <v>31</v>
      </c>
      <c r="F345" t="s">
        <v>906</v>
      </c>
      <c r="G345" t="s">
        <v>933</v>
      </c>
      <c r="H345">
        <v>49</v>
      </c>
      <c r="I345">
        <v>24</v>
      </c>
      <c r="J345" t="s">
        <v>24</v>
      </c>
      <c r="K345" t="s">
        <v>1275</v>
      </c>
      <c r="L345"/>
      <c r="M345" s="4">
        <v>402</v>
      </c>
      <c r="N345" s="4" t="s">
        <v>412</v>
      </c>
      <c r="O345" s="12">
        <v>46031.743634259263</v>
      </c>
      <c r="P345" s="92">
        <v>22.678686271675875</v>
      </c>
      <c r="Q345" s="93">
        <v>768.62753126095902</v>
      </c>
    </row>
    <row r="346" spans="1:17" x14ac:dyDescent="0.3">
      <c r="A346">
        <v>4</v>
      </c>
      <c r="B346" s="83">
        <v>3.3</v>
      </c>
      <c r="C346" s="78">
        <v>45993</v>
      </c>
      <c r="D346" s="78">
        <v>45965</v>
      </c>
      <c r="E346">
        <v>25</v>
      </c>
      <c r="F346" t="s">
        <v>917</v>
      </c>
      <c r="G346" t="s">
        <v>907</v>
      </c>
      <c r="H346">
        <v>49</v>
      </c>
      <c r="I346">
        <v>25</v>
      </c>
      <c r="J346" t="s">
        <v>25</v>
      </c>
      <c r="K346" t="s">
        <v>1276</v>
      </c>
      <c r="L346"/>
      <c r="M346" s="1">
        <v>403</v>
      </c>
      <c r="N346" s="1" t="s">
        <v>413</v>
      </c>
      <c r="O346" s="2">
        <v>46031.747361111113</v>
      </c>
      <c r="P346" s="92">
        <v>23.843707129935552</v>
      </c>
      <c r="Q346" s="93">
        <v>683.14995575354737</v>
      </c>
    </row>
    <row r="347" spans="1:17" x14ac:dyDescent="0.3">
      <c r="A347">
        <v>4</v>
      </c>
      <c r="B347" s="83">
        <v>3.3</v>
      </c>
      <c r="C347" s="78">
        <v>45993</v>
      </c>
      <c r="D347" s="78">
        <v>45965</v>
      </c>
      <c r="E347">
        <v>27</v>
      </c>
      <c r="F347" t="s">
        <v>913</v>
      </c>
      <c r="G347" t="s">
        <v>15</v>
      </c>
      <c r="H347">
        <v>49</v>
      </c>
      <c r="I347">
        <v>26</v>
      </c>
      <c r="J347" t="s">
        <v>25</v>
      </c>
      <c r="K347" t="s">
        <v>1277</v>
      </c>
      <c r="L347"/>
      <c r="M347" s="4">
        <v>404</v>
      </c>
      <c r="N347" s="4" t="s">
        <v>414</v>
      </c>
      <c r="O347" s="12">
        <v>46031.751111111109</v>
      </c>
      <c r="P347" s="92">
        <v>73.146169026591679</v>
      </c>
      <c r="Q347" s="93">
        <v>710.28922988038789</v>
      </c>
    </row>
    <row r="348" spans="1:17" x14ac:dyDescent="0.3">
      <c r="A348">
        <v>4</v>
      </c>
      <c r="B348" s="83">
        <v>3.3</v>
      </c>
      <c r="C348" s="78">
        <v>45993</v>
      </c>
      <c r="D348" s="78">
        <v>45965</v>
      </c>
      <c r="E348">
        <v>26</v>
      </c>
      <c r="F348" t="s">
        <v>932</v>
      </c>
      <c r="G348" t="s">
        <v>914</v>
      </c>
      <c r="H348">
        <v>49</v>
      </c>
      <c r="I348">
        <v>27</v>
      </c>
      <c r="J348" t="s">
        <v>25</v>
      </c>
      <c r="K348" t="s">
        <v>1278</v>
      </c>
      <c r="L348"/>
      <c r="M348" s="1">
        <v>405</v>
      </c>
      <c r="N348" s="1" t="s">
        <v>415</v>
      </c>
      <c r="O348" s="2">
        <v>46031.754837962966</v>
      </c>
      <c r="P348" s="92">
        <v>32.969787564024422</v>
      </c>
      <c r="Q348" s="93">
        <v>669.25527503190995</v>
      </c>
    </row>
    <row r="349" spans="1:17" x14ac:dyDescent="0.3">
      <c r="A349">
        <v>4</v>
      </c>
      <c r="B349" s="83">
        <v>3.3</v>
      </c>
      <c r="C349" s="78">
        <v>45993</v>
      </c>
      <c r="D349" s="78">
        <v>45965</v>
      </c>
      <c r="E349">
        <v>29</v>
      </c>
      <c r="F349" t="s">
        <v>921</v>
      </c>
      <c r="G349" t="s">
        <v>918</v>
      </c>
      <c r="H349">
        <v>49</v>
      </c>
      <c r="I349">
        <v>28</v>
      </c>
      <c r="J349" t="s">
        <v>25</v>
      </c>
      <c r="K349" t="s">
        <v>1279</v>
      </c>
      <c r="L349"/>
      <c r="M349" s="4">
        <v>406</v>
      </c>
      <c r="N349" s="4" t="s">
        <v>416</v>
      </c>
      <c r="O349" s="12">
        <v>46031.758587962962</v>
      </c>
      <c r="P349" s="92">
        <v>56.499162376518655</v>
      </c>
      <c r="Q349" s="93">
        <v>805.5935843877046</v>
      </c>
    </row>
    <row r="350" spans="1:17" x14ac:dyDescent="0.3">
      <c r="A350">
        <v>4</v>
      </c>
      <c r="B350" s="83">
        <v>3.3</v>
      </c>
      <c r="C350" s="78">
        <v>45993</v>
      </c>
      <c r="D350" s="78">
        <v>45965</v>
      </c>
      <c r="E350">
        <v>32</v>
      </c>
      <c r="F350" t="s">
        <v>925</v>
      </c>
      <c r="G350" t="s">
        <v>922</v>
      </c>
      <c r="H350">
        <v>49</v>
      </c>
      <c r="I350">
        <v>29</v>
      </c>
      <c r="J350" t="s">
        <v>25</v>
      </c>
      <c r="K350" t="s">
        <v>1280</v>
      </c>
      <c r="L350"/>
      <c r="M350" s="1">
        <v>407</v>
      </c>
      <c r="N350" s="1" t="s">
        <v>417</v>
      </c>
      <c r="O350" s="2">
        <v>46031.762314814812</v>
      </c>
      <c r="P350" s="92">
        <v>44.981928515147693</v>
      </c>
      <c r="Q350" s="93">
        <v>761.56753183888964</v>
      </c>
    </row>
    <row r="351" spans="1:17" x14ac:dyDescent="0.3">
      <c r="A351">
        <v>4</v>
      </c>
      <c r="B351" s="83">
        <v>3.3</v>
      </c>
      <c r="C351" s="78">
        <v>45993</v>
      </c>
      <c r="D351" s="78">
        <v>45965</v>
      </c>
      <c r="E351">
        <v>30</v>
      </c>
      <c r="F351" t="s">
        <v>929</v>
      </c>
      <c r="G351" t="s">
        <v>926</v>
      </c>
      <c r="H351">
        <v>49</v>
      </c>
      <c r="I351">
        <v>30</v>
      </c>
      <c r="J351" t="s">
        <v>25</v>
      </c>
      <c r="K351" t="s">
        <v>1281</v>
      </c>
      <c r="L351"/>
      <c r="M351" s="4">
        <v>408</v>
      </c>
      <c r="N351" s="4" t="s">
        <v>418</v>
      </c>
      <c r="O351" s="12">
        <v>46031.766053240739</v>
      </c>
      <c r="P351" s="92">
        <v>49.799038180580467</v>
      </c>
      <c r="Q351" s="93">
        <v>817.29894612763007</v>
      </c>
    </row>
    <row r="352" spans="1:17" x14ac:dyDescent="0.3">
      <c r="A352">
        <v>4</v>
      </c>
      <c r="B352" s="83">
        <v>3.3</v>
      </c>
      <c r="C352" s="78">
        <v>45993</v>
      </c>
      <c r="D352" s="78">
        <v>45965</v>
      </c>
      <c r="E352">
        <v>28</v>
      </c>
      <c r="F352" t="s">
        <v>910</v>
      </c>
      <c r="G352" t="s">
        <v>930</v>
      </c>
      <c r="H352">
        <v>49</v>
      </c>
      <c r="I352">
        <v>31</v>
      </c>
      <c r="J352" t="s">
        <v>25</v>
      </c>
      <c r="K352" t="s">
        <v>1282</v>
      </c>
      <c r="L352"/>
      <c r="M352" s="1">
        <v>409</v>
      </c>
      <c r="N352" s="1" t="s">
        <v>419</v>
      </c>
      <c r="O352" s="2">
        <v>46031.769803240742</v>
      </c>
      <c r="P352" s="92">
        <v>36.392416902188643</v>
      </c>
      <c r="Q352" s="93">
        <v>634.56476439044047</v>
      </c>
    </row>
    <row r="353" spans="1:17" x14ac:dyDescent="0.3">
      <c r="A353">
        <v>4</v>
      </c>
      <c r="B353" s="83">
        <v>3.3</v>
      </c>
      <c r="C353" s="78">
        <v>45993</v>
      </c>
      <c r="D353" s="78">
        <v>45965</v>
      </c>
      <c r="E353">
        <v>31</v>
      </c>
      <c r="F353" t="s">
        <v>906</v>
      </c>
      <c r="G353" t="s">
        <v>933</v>
      </c>
      <c r="H353">
        <v>49</v>
      </c>
      <c r="I353">
        <v>32</v>
      </c>
      <c r="J353" t="s">
        <v>25</v>
      </c>
      <c r="K353" t="s">
        <v>1283</v>
      </c>
      <c r="L353"/>
      <c r="M353" s="4">
        <v>410</v>
      </c>
      <c r="N353" s="4" t="s">
        <v>420</v>
      </c>
      <c r="O353" s="12">
        <v>46031.773541666669</v>
      </c>
      <c r="P353" s="92">
        <v>39.715648110979281</v>
      </c>
      <c r="Q353" s="93">
        <v>782.81210298166786</v>
      </c>
    </row>
    <row r="354" spans="1:17" x14ac:dyDescent="0.3">
      <c r="A354">
        <v>4</v>
      </c>
      <c r="B354" s="83">
        <v>3.4</v>
      </c>
      <c r="C354" s="78">
        <v>45965</v>
      </c>
      <c r="D354" s="78">
        <v>45967</v>
      </c>
      <c r="E354">
        <v>25</v>
      </c>
      <c r="F354" t="s">
        <v>917</v>
      </c>
      <c r="G354" t="s">
        <v>907</v>
      </c>
      <c r="H354">
        <v>97</v>
      </c>
      <c r="I354">
        <v>1</v>
      </c>
      <c r="J354" t="s">
        <v>908</v>
      </c>
      <c r="K354" t="s">
        <v>1284</v>
      </c>
      <c r="L354"/>
      <c r="M354" s="66">
        <v>425</v>
      </c>
      <c r="N354" s="1" t="s">
        <v>431</v>
      </c>
      <c r="O354" s="2">
        <v>46031.816990740743</v>
      </c>
      <c r="P354" s="92">
        <v>-11.970261470942011</v>
      </c>
      <c r="Q354" s="93">
        <v>579.58813738674792</v>
      </c>
    </row>
    <row r="355" spans="1:17" x14ac:dyDescent="0.3">
      <c r="A355">
        <v>4</v>
      </c>
      <c r="B355" s="83">
        <v>3.4</v>
      </c>
      <c r="C355" s="78">
        <v>45965</v>
      </c>
      <c r="D355" s="78">
        <v>45967</v>
      </c>
      <c r="E355">
        <v>27</v>
      </c>
      <c r="F355" t="s">
        <v>913</v>
      </c>
      <c r="G355" t="s">
        <v>15</v>
      </c>
      <c r="H355">
        <v>97</v>
      </c>
      <c r="I355">
        <v>2</v>
      </c>
      <c r="J355" t="s">
        <v>908</v>
      </c>
      <c r="K355" t="s">
        <v>1285</v>
      </c>
      <c r="L355"/>
      <c r="M355" s="4">
        <v>426</v>
      </c>
      <c r="N355" s="4" t="s">
        <v>432</v>
      </c>
      <c r="O355" s="12">
        <v>46031.820752314816</v>
      </c>
      <c r="P355" s="92">
        <v>-13.120277069482102</v>
      </c>
      <c r="Q355" s="93">
        <v>625.27645590784982</v>
      </c>
    </row>
    <row r="356" spans="1:17" x14ac:dyDescent="0.3">
      <c r="A356">
        <v>4</v>
      </c>
      <c r="B356" s="83">
        <v>3.4</v>
      </c>
      <c r="C356" s="78">
        <v>45965</v>
      </c>
      <c r="D356" s="78">
        <v>45967</v>
      </c>
      <c r="E356">
        <v>26</v>
      </c>
      <c r="F356" t="s">
        <v>932</v>
      </c>
      <c r="G356" t="s">
        <v>914</v>
      </c>
      <c r="H356">
        <v>97</v>
      </c>
      <c r="I356">
        <v>3</v>
      </c>
      <c r="J356" t="s">
        <v>908</v>
      </c>
      <c r="K356" t="s">
        <v>1286</v>
      </c>
      <c r="L356"/>
      <c r="M356" s="1">
        <v>427</v>
      </c>
      <c r="N356" s="1" t="s">
        <v>433</v>
      </c>
      <c r="O356" s="2">
        <v>46031.824525462966</v>
      </c>
      <c r="P356" s="92">
        <v>-10.301653558659501</v>
      </c>
      <c r="Q356" s="93">
        <v>693.54078806852783</v>
      </c>
    </row>
    <row r="357" spans="1:17" x14ac:dyDescent="0.3">
      <c r="A357">
        <v>4</v>
      </c>
      <c r="B357" s="83">
        <v>3.4</v>
      </c>
      <c r="C357" s="78">
        <v>45965</v>
      </c>
      <c r="D357" s="78">
        <v>45967</v>
      </c>
      <c r="E357">
        <v>29</v>
      </c>
      <c r="F357" t="s">
        <v>921</v>
      </c>
      <c r="G357" t="s">
        <v>918</v>
      </c>
      <c r="H357">
        <v>97</v>
      </c>
      <c r="I357">
        <v>4</v>
      </c>
      <c r="J357" t="s">
        <v>908</v>
      </c>
      <c r="K357" t="s">
        <v>1287</v>
      </c>
      <c r="L357"/>
      <c r="M357" s="4">
        <v>428</v>
      </c>
      <c r="N357" s="4" t="s">
        <v>434</v>
      </c>
      <c r="O357" s="12">
        <v>46031.828263888892</v>
      </c>
      <c r="P357" s="92">
        <v>-12.813291227595606</v>
      </c>
      <c r="Q357" s="93">
        <v>676.93665218625938</v>
      </c>
    </row>
    <row r="358" spans="1:17" x14ac:dyDescent="0.3">
      <c r="A358">
        <v>4</v>
      </c>
      <c r="B358" s="83">
        <v>3.4</v>
      </c>
      <c r="C358" s="78">
        <v>45965</v>
      </c>
      <c r="D358" s="78">
        <v>45967</v>
      </c>
      <c r="E358">
        <v>32</v>
      </c>
      <c r="F358" t="s">
        <v>925</v>
      </c>
      <c r="G358" t="s">
        <v>922</v>
      </c>
      <c r="H358">
        <v>97</v>
      </c>
      <c r="I358">
        <v>5</v>
      </c>
      <c r="J358" t="s">
        <v>908</v>
      </c>
      <c r="K358" t="s">
        <v>1288</v>
      </c>
      <c r="L358"/>
      <c r="M358" s="1">
        <v>429</v>
      </c>
      <c r="N358" s="1" t="s">
        <v>435</v>
      </c>
      <c r="O358" s="2">
        <v>46031.831990740742</v>
      </c>
      <c r="P358" s="92">
        <v>-12.997854477793515</v>
      </c>
      <c r="Q358" s="93">
        <v>656.6453718889328</v>
      </c>
    </row>
    <row r="359" spans="1:17" x14ac:dyDescent="0.3">
      <c r="A359">
        <v>4</v>
      </c>
      <c r="B359" s="83">
        <v>3.4</v>
      </c>
      <c r="C359" s="78">
        <v>45965</v>
      </c>
      <c r="D359" s="78">
        <v>45967</v>
      </c>
      <c r="E359">
        <v>30</v>
      </c>
      <c r="F359" t="s">
        <v>929</v>
      </c>
      <c r="G359" t="s">
        <v>926</v>
      </c>
      <c r="H359">
        <v>97</v>
      </c>
      <c r="I359">
        <v>6</v>
      </c>
      <c r="J359" t="s">
        <v>908</v>
      </c>
      <c r="K359" t="s">
        <v>1289</v>
      </c>
      <c r="L359"/>
      <c r="M359" s="4">
        <v>430</v>
      </c>
      <c r="N359" s="4" t="s">
        <v>436</v>
      </c>
      <c r="O359" s="12">
        <v>46031.835717592592</v>
      </c>
      <c r="P359" s="92">
        <v>-12.008021547535661</v>
      </c>
      <c r="Q359" s="93">
        <v>668.85120895394277</v>
      </c>
    </row>
    <row r="360" spans="1:17" x14ac:dyDescent="0.3">
      <c r="A360">
        <v>4</v>
      </c>
      <c r="B360" s="83">
        <v>3.4</v>
      </c>
      <c r="C360" s="78">
        <v>45965</v>
      </c>
      <c r="D360" s="78">
        <v>45967</v>
      </c>
      <c r="E360">
        <v>28</v>
      </c>
      <c r="F360" t="s">
        <v>910</v>
      </c>
      <c r="G360" t="s">
        <v>930</v>
      </c>
      <c r="H360">
        <v>97</v>
      </c>
      <c r="I360">
        <v>7</v>
      </c>
      <c r="J360" t="s">
        <v>908</v>
      </c>
      <c r="K360" t="s">
        <v>1290</v>
      </c>
      <c r="L360"/>
      <c r="M360" s="1">
        <v>431</v>
      </c>
      <c r="N360" s="1" t="s">
        <v>437</v>
      </c>
      <c r="O360" s="2">
        <v>46031.839444444442</v>
      </c>
      <c r="P360" s="92">
        <v>-10.329790327566817</v>
      </c>
      <c r="Q360" s="93">
        <v>708.87426428645585</v>
      </c>
    </row>
    <row r="361" spans="1:17" x14ac:dyDescent="0.3">
      <c r="A361">
        <v>4</v>
      </c>
      <c r="B361" s="83">
        <v>3.4</v>
      </c>
      <c r="C361" s="78">
        <v>45965</v>
      </c>
      <c r="D361" s="78">
        <v>45967</v>
      </c>
      <c r="E361">
        <v>31</v>
      </c>
      <c r="F361" t="s">
        <v>906</v>
      </c>
      <c r="G361" t="s">
        <v>933</v>
      </c>
      <c r="H361">
        <v>97</v>
      </c>
      <c r="I361">
        <v>8</v>
      </c>
      <c r="J361" t="s">
        <v>908</v>
      </c>
      <c r="K361" t="s">
        <v>1291</v>
      </c>
      <c r="L361"/>
      <c r="M361" s="4">
        <v>432</v>
      </c>
      <c r="N361" s="4" t="s">
        <v>438</v>
      </c>
      <c r="O361" s="12">
        <v>46031.843171296299</v>
      </c>
      <c r="P361" s="92">
        <v>-16.302189097859497</v>
      </c>
      <c r="Q361" s="93">
        <v>746.00267342788015</v>
      </c>
    </row>
    <row r="362" spans="1:17" x14ac:dyDescent="0.3">
      <c r="A362">
        <v>4</v>
      </c>
      <c r="B362" s="83">
        <v>3.4</v>
      </c>
      <c r="C362" s="78">
        <v>45965</v>
      </c>
      <c r="D362" s="78">
        <v>45967</v>
      </c>
      <c r="E362">
        <v>25</v>
      </c>
      <c r="F362" t="s">
        <v>917</v>
      </c>
      <c r="G362" t="s">
        <v>907</v>
      </c>
      <c r="H362">
        <v>97</v>
      </c>
      <c r="I362">
        <v>9</v>
      </c>
      <c r="J362" t="s">
        <v>935</v>
      </c>
      <c r="K362" t="s">
        <v>1292</v>
      </c>
      <c r="L362"/>
      <c r="M362" s="1">
        <v>433</v>
      </c>
      <c r="N362" s="1" t="s">
        <v>439</v>
      </c>
      <c r="O362" s="2">
        <v>46031.846909722219</v>
      </c>
      <c r="P362" s="92">
        <v>32.512800870873157</v>
      </c>
      <c r="Q362" s="93">
        <v>660.80693507580065</v>
      </c>
    </row>
    <row r="363" spans="1:17" x14ac:dyDescent="0.3">
      <c r="A363">
        <v>4</v>
      </c>
      <c r="B363" s="83">
        <v>3.4</v>
      </c>
      <c r="C363" s="78">
        <v>45965</v>
      </c>
      <c r="D363" s="78">
        <v>45967</v>
      </c>
      <c r="E363">
        <v>27</v>
      </c>
      <c r="F363" t="s">
        <v>913</v>
      </c>
      <c r="G363" t="s">
        <v>15</v>
      </c>
      <c r="H363">
        <v>97</v>
      </c>
      <c r="I363">
        <v>10</v>
      </c>
      <c r="J363" t="s">
        <v>935</v>
      </c>
      <c r="K363" t="s">
        <v>1293</v>
      </c>
      <c r="L363"/>
      <c r="M363" s="4">
        <v>434</v>
      </c>
      <c r="N363" s="4" t="s">
        <v>440</v>
      </c>
      <c r="O363" s="12">
        <v>46031.850636574076</v>
      </c>
      <c r="P363" s="92">
        <v>41.245052292213707</v>
      </c>
      <c r="Q363" s="93">
        <v>715.32979904809793</v>
      </c>
    </row>
    <row r="364" spans="1:17" x14ac:dyDescent="0.3">
      <c r="A364">
        <v>4</v>
      </c>
      <c r="B364" s="83">
        <v>3.4</v>
      </c>
      <c r="C364" s="78">
        <v>45965</v>
      </c>
      <c r="D364" s="78">
        <v>45967</v>
      </c>
      <c r="E364">
        <v>26</v>
      </c>
      <c r="F364" t="s">
        <v>932</v>
      </c>
      <c r="G364" t="s">
        <v>914</v>
      </c>
      <c r="H364">
        <v>97</v>
      </c>
      <c r="I364">
        <v>11</v>
      </c>
      <c r="J364" t="s">
        <v>935</v>
      </c>
      <c r="K364" t="s">
        <v>1294</v>
      </c>
      <c r="L364"/>
      <c r="M364" s="1">
        <v>435</v>
      </c>
      <c r="N364" s="1" t="s">
        <v>441</v>
      </c>
      <c r="O364" s="2">
        <v>46031.854375000003</v>
      </c>
      <c r="P364" s="92">
        <v>45.983066664278581</v>
      </c>
      <c r="Q364" s="93">
        <v>680.81533595566407</v>
      </c>
    </row>
    <row r="365" spans="1:17" x14ac:dyDescent="0.3">
      <c r="A365">
        <v>4</v>
      </c>
      <c r="B365" s="83">
        <v>3.4</v>
      </c>
      <c r="C365" s="78">
        <v>45965</v>
      </c>
      <c r="D365" s="78">
        <v>45967</v>
      </c>
      <c r="E365">
        <v>29</v>
      </c>
      <c r="F365" t="s">
        <v>921</v>
      </c>
      <c r="G365" t="s">
        <v>918</v>
      </c>
      <c r="H365">
        <v>97</v>
      </c>
      <c r="I365">
        <v>12</v>
      </c>
      <c r="J365" t="s">
        <v>935</v>
      </c>
      <c r="K365" t="s">
        <v>1295</v>
      </c>
      <c r="L365"/>
      <c r="M365" s="4">
        <v>436</v>
      </c>
      <c r="N365" s="4" t="s">
        <v>442</v>
      </c>
      <c r="O365" s="12">
        <v>46031.858101851853</v>
      </c>
      <c r="P365" s="92">
        <v>31.70842341726814</v>
      </c>
      <c r="Q365" s="93">
        <v>724.7063681829635</v>
      </c>
    </row>
    <row r="366" spans="1:17" x14ac:dyDescent="0.3">
      <c r="A366">
        <v>4</v>
      </c>
      <c r="B366" s="83">
        <v>3.4</v>
      </c>
      <c r="C366" s="78">
        <v>45965</v>
      </c>
      <c r="D366" s="78">
        <v>45967</v>
      </c>
      <c r="E366">
        <v>32</v>
      </c>
      <c r="F366" t="s">
        <v>925</v>
      </c>
      <c r="G366" t="s">
        <v>922</v>
      </c>
      <c r="H366">
        <v>97</v>
      </c>
      <c r="I366">
        <v>13</v>
      </c>
      <c r="J366" t="s">
        <v>935</v>
      </c>
      <c r="K366" t="s">
        <v>1296</v>
      </c>
      <c r="L366"/>
      <c r="M366" s="1">
        <v>437</v>
      </c>
      <c r="N366" s="1" t="s">
        <v>443</v>
      </c>
      <c r="O366" s="2">
        <v>46031.861817129633</v>
      </c>
      <c r="P366" s="92">
        <v>41.776282043334881</v>
      </c>
      <c r="Q366" s="93">
        <v>676.24653252888481</v>
      </c>
    </row>
    <row r="367" spans="1:17" x14ac:dyDescent="0.3">
      <c r="A367">
        <v>4</v>
      </c>
      <c r="B367" s="83">
        <v>3.4</v>
      </c>
      <c r="C367" s="78">
        <v>45965</v>
      </c>
      <c r="D367" s="78">
        <v>45967</v>
      </c>
      <c r="E367">
        <v>30</v>
      </c>
      <c r="F367" t="s">
        <v>929</v>
      </c>
      <c r="G367" t="s">
        <v>926</v>
      </c>
      <c r="H367">
        <v>97</v>
      </c>
      <c r="I367">
        <v>14</v>
      </c>
      <c r="J367" t="s">
        <v>935</v>
      </c>
      <c r="K367" t="s">
        <v>1297</v>
      </c>
      <c r="L367"/>
      <c r="M367" s="4">
        <v>438</v>
      </c>
      <c r="N367" s="4" t="s">
        <v>444</v>
      </c>
      <c r="O367" s="12">
        <v>46031.865555555552</v>
      </c>
      <c r="P367" s="92">
        <v>30.211204554752442</v>
      </c>
      <c r="Q367" s="93">
        <v>776.10102449572582</v>
      </c>
    </row>
    <row r="368" spans="1:17" x14ac:dyDescent="0.3">
      <c r="A368">
        <v>4</v>
      </c>
      <c r="B368" s="83">
        <v>3.4</v>
      </c>
      <c r="C368" s="78">
        <v>45965</v>
      </c>
      <c r="D368" s="78">
        <v>45967</v>
      </c>
      <c r="E368">
        <v>28</v>
      </c>
      <c r="F368" t="s">
        <v>910</v>
      </c>
      <c r="G368" t="s">
        <v>930</v>
      </c>
      <c r="H368">
        <v>97</v>
      </c>
      <c r="I368">
        <v>15</v>
      </c>
      <c r="J368" t="s">
        <v>935</v>
      </c>
      <c r="K368" t="s">
        <v>1298</v>
      </c>
      <c r="L368"/>
      <c r="M368" s="1">
        <v>439</v>
      </c>
      <c r="N368" s="1" t="s">
        <v>445</v>
      </c>
      <c r="O368" s="2">
        <v>46031.86928240741</v>
      </c>
      <c r="P368" s="92">
        <v>30.888485869377838</v>
      </c>
      <c r="Q368" s="93">
        <v>780.32540766376167</v>
      </c>
    </row>
    <row r="369" spans="1:17" x14ac:dyDescent="0.3">
      <c r="A369">
        <v>4</v>
      </c>
      <c r="B369" s="83">
        <v>3.4</v>
      </c>
      <c r="C369" s="78">
        <v>45965</v>
      </c>
      <c r="D369" s="78">
        <v>45967</v>
      </c>
      <c r="E369">
        <v>31</v>
      </c>
      <c r="F369" t="s">
        <v>906</v>
      </c>
      <c r="G369" t="s">
        <v>933</v>
      </c>
      <c r="H369">
        <v>97</v>
      </c>
      <c r="I369">
        <v>16</v>
      </c>
      <c r="J369" t="s">
        <v>935</v>
      </c>
      <c r="K369" t="s">
        <v>1299</v>
      </c>
      <c r="L369"/>
      <c r="M369" s="4">
        <v>440</v>
      </c>
      <c r="N369" s="4" t="s">
        <v>446</v>
      </c>
      <c r="O369" s="12">
        <v>46031.872997685183</v>
      </c>
      <c r="P369" s="92">
        <v>12.448108214029267</v>
      </c>
      <c r="Q369" s="93">
        <v>740.20736435067374</v>
      </c>
    </row>
    <row r="370" spans="1:17" x14ac:dyDescent="0.3">
      <c r="A370">
        <v>4</v>
      </c>
      <c r="B370" s="83">
        <v>3.4</v>
      </c>
      <c r="C370" s="78">
        <v>45965</v>
      </c>
      <c r="D370" s="78">
        <v>45967</v>
      </c>
      <c r="E370">
        <v>25</v>
      </c>
      <c r="F370" t="s">
        <v>917</v>
      </c>
      <c r="G370" t="s">
        <v>907</v>
      </c>
      <c r="H370">
        <v>97</v>
      </c>
      <c r="I370">
        <v>17</v>
      </c>
      <c r="J370" t="s">
        <v>24</v>
      </c>
      <c r="K370" t="s">
        <v>1300</v>
      </c>
      <c r="L370"/>
      <c r="M370" s="1">
        <v>441</v>
      </c>
      <c r="N370" s="1" t="s">
        <v>447</v>
      </c>
      <c r="O370" s="2">
        <v>46031.876736111109</v>
      </c>
      <c r="P370" s="92">
        <v>61.348407389049548</v>
      </c>
      <c r="Q370" s="93">
        <v>701.69847901674314</v>
      </c>
    </row>
    <row r="371" spans="1:17" x14ac:dyDescent="0.3">
      <c r="A371">
        <v>4</v>
      </c>
      <c r="B371" s="83">
        <v>3.4</v>
      </c>
      <c r="C371" s="78">
        <v>45965</v>
      </c>
      <c r="D371" s="78">
        <v>45967</v>
      </c>
      <c r="E371">
        <v>27</v>
      </c>
      <c r="F371" t="s">
        <v>913</v>
      </c>
      <c r="G371" t="s">
        <v>15</v>
      </c>
      <c r="H371">
        <v>97</v>
      </c>
      <c r="I371">
        <v>18</v>
      </c>
      <c r="J371" t="s">
        <v>24</v>
      </c>
      <c r="K371" t="s">
        <v>1301</v>
      </c>
      <c r="L371"/>
      <c r="M371" s="4">
        <v>442</v>
      </c>
      <c r="N371" s="4" t="s">
        <v>448</v>
      </c>
      <c r="O371" s="12">
        <v>46031.88045138889</v>
      </c>
      <c r="P371" s="92">
        <v>79.500221807854842</v>
      </c>
      <c r="Q371" s="93">
        <v>703.09108335041014</v>
      </c>
    </row>
    <row r="372" spans="1:17" x14ac:dyDescent="0.3">
      <c r="A372">
        <v>4</v>
      </c>
      <c r="B372" s="83">
        <v>3.4</v>
      </c>
      <c r="C372" s="78">
        <v>45965</v>
      </c>
      <c r="D372" s="78">
        <v>45967</v>
      </c>
      <c r="E372">
        <v>26</v>
      </c>
      <c r="F372" t="s">
        <v>932</v>
      </c>
      <c r="G372" t="s">
        <v>914</v>
      </c>
      <c r="H372">
        <v>97</v>
      </c>
      <c r="I372">
        <v>19</v>
      </c>
      <c r="J372" t="s">
        <v>24</v>
      </c>
      <c r="K372" t="s">
        <v>1302</v>
      </c>
      <c r="L372"/>
      <c r="M372" s="1">
        <v>443</v>
      </c>
      <c r="N372" s="1" t="s">
        <v>449</v>
      </c>
      <c r="O372" s="2">
        <v>46031.88417824074</v>
      </c>
      <c r="P372" s="92">
        <v>79.517528308111977</v>
      </c>
      <c r="Q372" s="93">
        <v>726.05050732753909</v>
      </c>
    </row>
    <row r="373" spans="1:17" x14ac:dyDescent="0.3">
      <c r="A373">
        <v>4</v>
      </c>
      <c r="B373" s="83">
        <v>3.4</v>
      </c>
      <c r="C373" s="78">
        <v>45965</v>
      </c>
      <c r="D373" s="78">
        <v>45967</v>
      </c>
      <c r="E373">
        <v>29</v>
      </c>
      <c r="F373" t="s">
        <v>921</v>
      </c>
      <c r="G373" t="s">
        <v>918</v>
      </c>
      <c r="H373">
        <v>97</v>
      </c>
      <c r="I373">
        <v>20</v>
      </c>
      <c r="J373" t="s">
        <v>24</v>
      </c>
      <c r="K373" t="s">
        <v>1303</v>
      </c>
      <c r="L373"/>
      <c r="M373" s="4">
        <v>444</v>
      </c>
      <c r="N373" s="4" t="s">
        <v>450</v>
      </c>
      <c r="O373" s="12">
        <v>46031.887916666667</v>
      </c>
      <c r="P373" s="92">
        <v>54.707581735144338</v>
      </c>
      <c r="Q373" s="93">
        <v>821.92677949146503</v>
      </c>
    </row>
    <row r="374" spans="1:17" x14ac:dyDescent="0.3">
      <c r="A374">
        <v>4</v>
      </c>
      <c r="B374" s="83">
        <v>3.4</v>
      </c>
      <c r="C374" s="78">
        <v>45965</v>
      </c>
      <c r="D374" s="78">
        <v>45967</v>
      </c>
      <c r="E374">
        <v>32</v>
      </c>
      <c r="F374" t="s">
        <v>925</v>
      </c>
      <c r="G374" t="s">
        <v>922</v>
      </c>
      <c r="H374">
        <v>97</v>
      </c>
      <c r="I374">
        <v>21</v>
      </c>
      <c r="J374" t="s">
        <v>24</v>
      </c>
      <c r="K374" t="s">
        <v>1304</v>
      </c>
      <c r="L374"/>
      <c r="M374" s="1">
        <v>445</v>
      </c>
      <c r="N374" s="1" t="s">
        <v>451</v>
      </c>
      <c r="O374" s="2">
        <v>46031.89166666667</v>
      </c>
      <c r="P374" s="92">
        <v>80.350340426976544</v>
      </c>
      <c r="Q374" s="93">
        <v>691.01699769386857</v>
      </c>
    </row>
    <row r="375" spans="1:17" x14ac:dyDescent="0.3">
      <c r="A375">
        <v>4</v>
      </c>
      <c r="B375" s="83">
        <v>3.4</v>
      </c>
      <c r="C375" s="78">
        <v>45965</v>
      </c>
      <c r="D375" s="78">
        <v>45967</v>
      </c>
      <c r="E375">
        <v>30</v>
      </c>
      <c r="F375" t="s">
        <v>929</v>
      </c>
      <c r="G375" t="s">
        <v>926</v>
      </c>
      <c r="H375">
        <v>97</v>
      </c>
      <c r="I375">
        <v>22</v>
      </c>
      <c r="J375" t="s">
        <v>24</v>
      </c>
      <c r="K375" t="s">
        <v>1305</v>
      </c>
      <c r="L375"/>
      <c r="M375" s="4">
        <v>446</v>
      </c>
      <c r="N375" s="4" t="s">
        <v>452</v>
      </c>
      <c r="O375" s="12">
        <v>46031.89539351852</v>
      </c>
      <c r="P375" s="92">
        <v>61.271603569855067</v>
      </c>
      <c r="Q375" s="93">
        <v>781.88141027423831</v>
      </c>
    </row>
    <row r="376" spans="1:17" x14ac:dyDescent="0.3">
      <c r="A376">
        <v>4</v>
      </c>
      <c r="B376" s="83">
        <v>3.4</v>
      </c>
      <c r="C376" s="78">
        <v>45965</v>
      </c>
      <c r="D376" s="78">
        <v>45967</v>
      </c>
      <c r="E376">
        <v>28</v>
      </c>
      <c r="F376" t="s">
        <v>910</v>
      </c>
      <c r="G376" t="s">
        <v>930</v>
      </c>
      <c r="H376">
        <v>97</v>
      </c>
      <c r="I376">
        <v>23</v>
      </c>
      <c r="J376" t="s">
        <v>24</v>
      </c>
      <c r="K376" t="s">
        <v>1306</v>
      </c>
      <c r="L376"/>
      <c r="M376" s="1">
        <v>447</v>
      </c>
      <c r="N376" s="1" t="s">
        <v>453</v>
      </c>
      <c r="O376" s="2">
        <v>46031.899143518516</v>
      </c>
      <c r="P376" s="92">
        <v>60.421470751505211</v>
      </c>
      <c r="Q376" s="93">
        <v>798.08645451143752</v>
      </c>
    </row>
    <row r="377" spans="1:17" x14ac:dyDescent="0.3">
      <c r="A377">
        <v>4</v>
      </c>
      <c r="B377" s="83">
        <v>3.4</v>
      </c>
      <c r="C377" s="78">
        <v>45965</v>
      </c>
      <c r="D377" s="78">
        <v>45967</v>
      </c>
      <c r="E377">
        <v>31</v>
      </c>
      <c r="F377" t="s">
        <v>906</v>
      </c>
      <c r="G377" t="s">
        <v>933</v>
      </c>
      <c r="H377">
        <v>97</v>
      </c>
      <c r="I377">
        <v>24</v>
      </c>
      <c r="J377" t="s">
        <v>24</v>
      </c>
      <c r="K377" t="s">
        <v>1307</v>
      </c>
      <c r="L377"/>
      <c r="M377" s="4">
        <v>448</v>
      </c>
      <c r="N377" s="4" t="s">
        <v>454</v>
      </c>
      <c r="O377" s="12">
        <v>46031.902858796297</v>
      </c>
      <c r="P377" s="92">
        <v>28.121642166003021</v>
      </c>
      <c r="Q377" s="93">
        <v>815.90477840076665</v>
      </c>
    </row>
    <row r="378" spans="1:17" x14ac:dyDescent="0.3">
      <c r="A378">
        <v>4</v>
      </c>
      <c r="B378" s="83">
        <v>3.4</v>
      </c>
      <c r="C378" s="78">
        <v>45965</v>
      </c>
      <c r="D378" s="78">
        <v>45967</v>
      </c>
      <c r="E378">
        <v>25</v>
      </c>
      <c r="F378" t="s">
        <v>917</v>
      </c>
      <c r="G378" t="s">
        <v>907</v>
      </c>
      <c r="H378">
        <v>97</v>
      </c>
      <c r="I378">
        <v>25</v>
      </c>
      <c r="J378" t="s">
        <v>25</v>
      </c>
      <c r="K378" t="s">
        <v>1308</v>
      </c>
      <c r="L378"/>
      <c r="M378" s="1">
        <v>449</v>
      </c>
      <c r="N378" s="1" t="s">
        <v>455</v>
      </c>
      <c r="O378" s="2">
        <v>46031.906585648147</v>
      </c>
      <c r="P378" s="92">
        <v>83.267332802256334</v>
      </c>
      <c r="Q378" s="93">
        <v>741.71390688547933</v>
      </c>
    </row>
    <row r="379" spans="1:17" x14ac:dyDescent="0.3">
      <c r="A379">
        <v>4</v>
      </c>
      <c r="B379" s="83">
        <v>3.4</v>
      </c>
      <c r="C379" s="78">
        <v>45965</v>
      </c>
      <c r="D379" s="78">
        <v>45967</v>
      </c>
      <c r="E379">
        <v>27</v>
      </c>
      <c r="F379" t="s">
        <v>913</v>
      </c>
      <c r="G379" t="s">
        <v>15</v>
      </c>
      <c r="H379">
        <v>97</v>
      </c>
      <c r="I379">
        <v>26</v>
      </c>
      <c r="J379" t="s">
        <v>25</v>
      </c>
      <c r="K379" t="s">
        <v>1309</v>
      </c>
      <c r="L379"/>
      <c r="M379" s="4">
        <v>450</v>
      </c>
      <c r="N379" s="4" t="s">
        <v>456</v>
      </c>
      <c r="O379" s="12">
        <v>46031.910324074073</v>
      </c>
      <c r="P379" s="92">
        <v>102.34849318737156</v>
      </c>
      <c r="Q379" s="93">
        <v>748.88817613754702</v>
      </c>
    </row>
    <row r="380" spans="1:17" x14ac:dyDescent="0.3">
      <c r="A380">
        <v>4</v>
      </c>
      <c r="B380" s="83">
        <v>3.4</v>
      </c>
      <c r="C380" s="78">
        <v>45965</v>
      </c>
      <c r="D380" s="78">
        <v>45967</v>
      </c>
      <c r="E380">
        <v>26</v>
      </c>
      <c r="F380" t="s">
        <v>932</v>
      </c>
      <c r="G380" t="s">
        <v>914</v>
      </c>
      <c r="H380">
        <v>97</v>
      </c>
      <c r="I380">
        <v>27</v>
      </c>
      <c r="J380" t="s">
        <v>25</v>
      </c>
      <c r="K380" t="s">
        <v>1310</v>
      </c>
      <c r="L380"/>
      <c r="M380" s="1">
        <v>451</v>
      </c>
      <c r="N380" s="1" t="s">
        <v>457</v>
      </c>
      <c r="O380" s="2">
        <v>46031.914050925923</v>
      </c>
      <c r="P380" s="92">
        <v>114.84020546579866</v>
      </c>
      <c r="Q380" s="93">
        <v>730.12343085772056</v>
      </c>
    </row>
    <row r="381" spans="1:17" x14ac:dyDescent="0.3">
      <c r="A381">
        <v>4</v>
      </c>
      <c r="B381" s="83">
        <v>3.4</v>
      </c>
      <c r="C381" s="78">
        <v>45965</v>
      </c>
      <c r="D381" s="78">
        <v>45967</v>
      </c>
      <c r="E381">
        <v>29</v>
      </c>
      <c r="F381" t="s">
        <v>921</v>
      </c>
      <c r="G381" t="s">
        <v>918</v>
      </c>
      <c r="H381">
        <v>97</v>
      </c>
      <c r="I381">
        <v>28</v>
      </c>
      <c r="J381" t="s">
        <v>25</v>
      </c>
      <c r="K381" t="s">
        <v>1311</v>
      </c>
      <c r="L381"/>
      <c r="M381" s="4">
        <v>452</v>
      </c>
      <c r="N381" s="4" t="s">
        <v>458</v>
      </c>
      <c r="O381" s="12">
        <v>46031.917766203704</v>
      </c>
      <c r="P381" s="92">
        <v>80.122993894524171</v>
      </c>
      <c r="Q381" s="93">
        <v>827.16452570413924</v>
      </c>
    </row>
    <row r="382" spans="1:17" x14ac:dyDescent="0.3">
      <c r="A382">
        <v>4</v>
      </c>
      <c r="B382" s="83">
        <v>3.4</v>
      </c>
      <c r="C382" s="78">
        <v>45965</v>
      </c>
      <c r="D382" s="78">
        <v>45967</v>
      </c>
      <c r="E382">
        <v>32</v>
      </c>
      <c r="F382" t="s">
        <v>925</v>
      </c>
      <c r="G382" t="s">
        <v>922</v>
      </c>
      <c r="H382">
        <v>97</v>
      </c>
      <c r="I382">
        <v>29</v>
      </c>
      <c r="J382" t="s">
        <v>25</v>
      </c>
      <c r="K382" t="s">
        <v>1312</v>
      </c>
      <c r="L382"/>
      <c r="M382" s="1">
        <v>453</v>
      </c>
      <c r="N382" s="1" t="s">
        <v>459</v>
      </c>
      <c r="O382" s="2">
        <v>46031.921493055554</v>
      </c>
      <c r="P382" s="92">
        <v>103.68524257139264</v>
      </c>
      <c r="Q382" s="93">
        <v>747.44265331295617</v>
      </c>
    </row>
    <row r="383" spans="1:17" x14ac:dyDescent="0.3">
      <c r="A383">
        <v>4</v>
      </c>
      <c r="B383" s="83">
        <v>3.4</v>
      </c>
      <c r="C383" s="78">
        <v>45965</v>
      </c>
      <c r="D383" s="78">
        <v>45967</v>
      </c>
      <c r="E383">
        <v>30</v>
      </c>
      <c r="F383" t="s">
        <v>929</v>
      </c>
      <c r="G383" t="s">
        <v>926</v>
      </c>
      <c r="H383">
        <v>97</v>
      </c>
      <c r="I383">
        <v>30</v>
      </c>
      <c r="J383" t="s">
        <v>25</v>
      </c>
      <c r="K383" t="s">
        <v>1313</v>
      </c>
      <c r="L383"/>
      <c r="M383" s="4">
        <v>454</v>
      </c>
      <c r="N383" s="4" t="s">
        <v>460</v>
      </c>
      <c r="O383" s="12">
        <v>46031.925219907411</v>
      </c>
      <c r="P383" s="92">
        <v>83.683747254732438</v>
      </c>
      <c r="Q383" s="93">
        <v>803.44946168203694</v>
      </c>
    </row>
    <row r="384" spans="1:17" x14ac:dyDescent="0.3">
      <c r="A384">
        <v>4</v>
      </c>
      <c r="B384" s="83">
        <v>3.4</v>
      </c>
      <c r="C384" s="78">
        <v>45965</v>
      </c>
      <c r="D384" s="78">
        <v>45967</v>
      </c>
      <c r="E384">
        <v>28</v>
      </c>
      <c r="F384" t="s">
        <v>910</v>
      </c>
      <c r="G384" t="s">
        <v>930</v>
      </c>
      <c r="H384">
        <v>97</v>
      </c>
      <c r="I384">
        <v>31</v>
      </c>
      <c r="J384" t="s">
        <v>25</v>
      </c>
      <c r="K384" t="s">
        <v>1314</v>
      </c>
      <c r="L384"/>
      <c r="M384" s="1">
        <v>455</v>
      </c>
      <c r="N384" s="1" t="s">
        <v>461</v>
      </c>
      <c r="O384" s="2">
        <v>46031.92895833333</v>
      </c>
      <c r="P384" s="92">
        <v>82.348388142622824</v>
      </c>
      <c r="Q384" s="93">
        <v>834.73608633032268</v>
      </c>
    </row>
    <row r="385" spans="1:17" x14ac:dyDescent="0.3">
      <c r="A385">
        <v>4</v>
      </c>
      <c r="B385" s="83">
        <v>3.4</v>
      </c>
      <c r="C385" s="78">
        <v>45965</v>
      </c>
      <c r="D385" s="78">
        <v>45967</v>
      </c>
      <c r="E385">
        <v>31</v>
      </c>
      <c r="F385" t="s">
        <v>906</v>
      </c>
      <c r="G385" t="s">
        <v>933</v>
      </c>
      <c r="H385">
        <v>97</v>
      </c>
      <c r="I385">
        <v>32</v>
      </c>
      <c r="J385" t="s">
        <v>25</v>
      </c>
      <c r="K385" t="s">
        <v>1315</v>
      </c>
      <c r="L385"/>
      <c r="M385" s="4">
        <v>456</v>
      </c>
      <c r="N385" s="4" t="s">
        <v>462</v>
      </c>
      <c r="O385" s="12">
        <v>46031.932696759257</v>
      </c>
      <c r="P385" s="92">
        <v>40.538008738438279</v>
      </c>
      <c r="Q385" s="93">
        <v>872.96247125120146</v>
      </c>
    </row>
    <row r="386" spans="1:17" x14ac:dyDescent="0.3">
      <c r="A386">
        <v>4</v>
      </c>
      <c r="B386" s="84">
        <v>4.0999999999999996</v>
      </c>
      <c r="C386" s="78">
        <v>45970</v>
      </c>
      <c r="D386" s="78">
        <v>45972</v>
      </c>
      <c r="E386">
        <v>35</v>
      </c>
      <c r="F386" t="s">
        <v>913</v>
      </c>
      <c r="G386" t="s">
        <v>907</v>
      </c>
      <c r="H386">
        <v>7</v>
      </c>
      <c r="I386">
        <v>1</v>
      </c>
      <c r="J386" t="s">
        <v>908</v>
      </c>
      <c r="K386" t="s">
        <v>1316</v>
      </c>
      <c r="L386"/>
      <c r="M386" s="1">
        <v>457</v>
      </c>
      <c r="N386" s="1" t="s">
        <v>463</v>
      </c>
      <c r="O386" s="2">
        <v>46031.93644675926</v>
      </c>
      <c r="P386" s="92">
        <v>-14.881910841419002</v>
      </c>
      <c r="Q386" s="93">
        <v>600.60180009195869</v>
      </c>
    </row>
    <row r="387" spans="1:17" x14ac:dyDescent="0.3">
      <c r="A387">
        <v>4</v>
      </c>
      <c r="B387" s="84">
        <v>4.0999999999999996</v>
      </c>
      <c r="C387" s="78">
        <v>45970</v>
      </c>
      <c r="D387" s="78">
        <v>45972</v>
      </c>
      <c r="E387">
        <v>40</v>
      </c>
      <c r="F387" t="s">
        <v>906</v>
      </c>
      <c r="G387" t="s">
        <v>15</v>
      </c>
      <c r="H387">
        <v>7</v>
      </c>
      <c r="I387">
        <v>2</v>
      </c>
      <c r="J387" t="s">
        <v>908</v>
      </c>
      <c r="K387" t="s">
        <v>1317</v>
      </c>
      <c r="L387"/>
      <c r="M387" s="4">
        <v>458</v>
      </c>
      <c r="N387" s="4" t="s">
        <v>464</v>
      </c>
      <c r="O387" s="12">
        <v>46031.940185185187</v>
      </c>
      <c r="P387" s="92">
        <v>-14.450486334382296</v>
      </c>
      <c r="Q387" s="93">
        <v>599.81536593856958</v>
      </c>
    </row>
    <row r="388" spans="1:17" x14ac:dyDescent="0.3">
      <c r="A388">
        <v>4</v>
      </c>
      <c r="B388" s="84">
        <v>4.0999999999999996</v>
      </c>
      <c r="C388" s="78">
        <v>45970</v>
      </c>
      <c r="D388" s="78">
        <v>45972</v>
      </c>
      <c r="E388">
        <v>36</v>
      </c>
      <c r="F388" t="s">
        <v>917</v>
      </c>
      <c r="G388" t="s">
        <v>914</v>
      </c>
      <c r="H388">
        <v>7</v>
      </c>
      <c r="I388">
        <v>3</v>
      </c>
      <c r="J388" t="s">
        <v>908</v>
      </c>
      <c r="K388" t="s">
        <v>1318</v>
      </c>
      <c r="L388"/>
      <c r="M388" s="1">
        <v>459</v>
      </c>
      <c r="N388" s="1" t="s">
        <v>465</v>
      </c>
      <c r="O388" s="2">
        <v>46031.943923611114</v>
      </c>
      <c r="P388" s="92">
        <v>-15.837475228424845</v>
      </c>
      <c r="Q388" s="93">
        <v>627.1621449805815</v>
      </c>
    </row>
    <row r="389" spans="1:17" x14ac:dyDescent="0.3">
      <c r="A389">
        <v>4</v>
      </c>
      <c r="B389" s="84">
        <v>4.0999999999999996</v>
      </c>
      <c r="C389" s="78">
        <v>45970</v>
      </c>
      <c r="D389" s="78">
        <v>45972</v>
      </c>
      <c r="E389">
        <v>39</v>
      </c>
      <c r="F389" t="s">
        <v>929</v>
      </c>
      <c r="G389" t="s">
        <v>918</v>
      </c>
      <c r="H389">
        <v>7</v>
      </c>
      <c r="I389">
        <v>4</v>
      </c>
      <c r="J389" t="s">
        <v>908</v>
      </c>
      <c r="K389" t="s">
        <v>1319</v>
      </c>
      <c r="L389"/>
      <c r="M389" s="4">
        <v>460</v>
      </c>
      <c r="N389" s="4" t="s">
        <v>466</v>
      </c>
      <c r="O389" s="12">
        <v>46031.947662037041</v>
      </c>
      <c r="P389" s="92">
        <v>-16.538351977410681</v>
      </c>
      <c r="Q389" s="93">
        <v>713.92411906224208</v>
      </c>
    </row>
    <row r="390" spans="1:17" x14ac:dyDescent="0.3">
      <c r="A390">
        <v>4</v>
      </c>
      <c r="B390" s="84">
        <v>4.0999999999999996</v>
      </c>
      <c r="C390" s="78">
        <v>45970</v>
      </c>
      <c r="D390" s="78">
        <v>45972</v>
      </c>
      <c r="E390">
        <v>33</v>
      </c>
      <c r="F390" t="s">
        <v>910</v>
      </c>
      <c r="G390" t="s">
        <v>922</v>
      </c>
      <c r="H390">
        <v>7</v>
      </c>
      <c r="I390">
        <v>5</v>
      </c>
      <c r="J390" t="s">
        <v>908</v>
      </c>
      <c r="K390" t="s">
        <v>1320</v>
      </c>
      <c r="L390"/>
      <c r="M390" s="1">
        <v>461</v>
      </c>
      <c r="N390" s="1" t="s">
        <v>467</v>
      </c>
      <c r="O390" s="2">
        <v>46031.951388888891</v>
      </c>
      <c r="P390" s="92">
        <v>-15.255625340489628</v>
      </c>
      <c r="Q390" s="93">
        <v>710.62218525569017</v>
      </c>
    </row>
    <row r="391" spans="1:17" x14ac:dyDescent="0.3">
      <c r="A391">
        <v>4</v>
      </c>
      <c r="B391" s="84">
        <v>4.0999999999999996</v>
      </c>
      <c r="C391" s="78">
        <v>45970</v>
      </c>
      <c r="D391" s="78">
        <v>45972</v>
      </c>
      <c r="E391">
        <v>37</v>
      </c>
      <c r="F391" t="s">
        <v>921</v>
      </c>
      <c r="G391" t="s">
        <v>926</v>
      </c>
      <c r="H391">
        <v>7</v>
      </c>
      <c r="I391">
        <v>6</v>
      </c>
      <c r="J391" t="s">
        <v>908</v>
      </c>
      <c r="K391" t="s">
        <v>1321</v>
      </c>
      <c r="L391"/>
      <c r="M391" s="4">
        <v>462</v>
      </c>
      <c r="N391" s="4" t="s">
        <v>468</v>
      </c>
      <c r="O391" s="12">
        <v>46031.955138888887</v>
      </c>
      <c r="P391" s="92">
        <v>-16.037552807397212</v>
      </c>
      <c r="Q391" s="93">
        <v>657.62879358508053</v>
      </c>
    </row>
    <row r="392" spans="1:17" x14ac:dyDescent="0.3">
      <c r="A392">
        <v>4</v>
      </c>
      <c r="B392" s="84">
        <v>4.0999999999999996</v>
      </c>
      <c r="C392" s="78">
        <v>45970</v>
      </c>
      <c r="D392" s="78">
        <v>45972</v>
      </c>
      <c r="E392">
        <v>34</v>
      </c>
      <c r="F392" t="s">
        <v>932</v>
      </c>
      <c r="G392" t="s">
        <v>930</v>
      </c>
      <c r="H392">
        <v>7</v>
      </c>
      <c r="I392">
        <v>7</v>
      </c>
      <c r="J392" t="s">
        <v>908</v>
      </c>
      <c r="K392" t="s">
        <v>1322</v>
      </c>
      <c r="L392"/>
      <c r="M392" s="1">
        <v>463</v>
      </c>
      <c r="N392" s="1" t="s">
        <v>469</v>
      </c>
      <c r="O392" s="2">
        <v>46031.958865740744</v>
      </c>
      <c r="P392" s="92">
        <v>-16.855079509108378</v>
      </c>
      <c r="Q392" s="93">
        <v>747.95516202809858</v>
      </c>
    </row>
    <row r="393" spans="1:17" x14ac:dyDescent="0.3">
      <c r="A393">
        <v>4</v>
      </c>
      <c r="B393" s="84">
        <v>4.0999999999999996</v>
      </c>
      <c r="C393" s="78">
        <v>45970</v>
      </c>
      <c r="D393" s="78">
        <v>45972</v>
      </c>
      <c r="E393">
        <v>38</v>
      </c>
      <c r="F393" t="s">
        <v>925</v>
      </c>
      <c r="G393" t="s">
        <v>933</v>
      </c>
      <c r="H393">
        <v>7</v>
      </c>
      <c r="I393">
        <v>8</v>
      </c>
      <c r="J393" t="s">
        <v>908</v>
      </c>
      <c r="K393" t="s">
        <v>1323</v>
      </c>
      <c r="L393"/>
      <c r="M393" s="4">
        <v>464</v>
      </c>
      <c r="N393" s="4" t="s">
        <v>470</v>
      </c>
      <c r="O393" s="12">
        <v>46031.962604166663</v>
      </c>
      <c r="P393" s="92">
        <v>-15.971876078727796</v>
      </c>
      <c r="Q393" s="93">
        <v>675.41807626139587</v>
      </c>
    </row>
    <row r="394" spans="1:17" x14ac:dyDescent="0.3">
      <c r="A394">
        <v>4</v>
      </c>
      <c r="B394" s="84">
        <v>4.0999999999999996</v>
      </c>
      <c r="C394" s="78">
        <v>45970</v>
      </c>
      <c r="D394" s="78">
        <v>45972</v>
      </c>
      <c r="E394">
        <v>35</v>
      </c>
      <c r="F394" t="s">
        <v>913</v>
      </c>
      <c r="G394" t="s">
        <v>907</v>
      </c>
      <c r="H394">
        <v>7</v>
      </c>
      <c r="I394">
        <v>9</v>
      </c>
      <c r="J394" t="s">
        <v>935</v>
      </c>
      <c r="K394" t="s">
        <v>1324</v>
      </c>
      <c r="L394"/>
      <c r="M394" s="1">
        <v>465</v>
      </c>
      <c r="N394" s="1" t="s">
        <v>471</v>
      </c>
      <c r="O394" s="2">
        <v>46031.966354166667</v>
      </c>
      <c r="P394" s="92">
        <v>-10.525415579173666</v>
      </c>
      <c r="Q394" s="93">
        <v>619.72352015165166</v>
      </c>
    </row>
    <row r="395" spans="1:17" x14ac:dyDescent="0.3">
      <c r="A395">
        <v>4</v>
      </c>
      <c r="B395" s="84">
        <v>4.0999999999999996</v>
      </c>
      <c r="C395" s="78">
        <v>45970</v>
      </c>
      <c r="D395" s="78">
        <v>45972</v>
      </c>
      <c r="E395">
        <v>40</v>
      </c>
      <c r="F395" t="s">
        <v>906</v>
      </c>
      <c r="G395" t="s">
        <v>15</v>
      </c>
      <c r="H395">
        <v>7</v>
      </c>
      <c r="I395">
        <v>10</v>
      </c>
      <c r="J395" t="s">
        <v>935</v>
      </c>
      <c r="K395" t="s">
        <v>1325</v>
      </c>
      <c r="L395"/>
      <c r="M395" s="4">
        <v>466</v>
      </c>
      <c r="N395" s="4" t="s">
        <v>472</v>
      </c>
      <c r="O395" s="12">
        <v>46031.970138888886</v>
      </c>
      <c r="P395" s="92">
        <v>-0.50278812519081573</v>
      </c>
      <c r="Q395" s="93">
        <v>669.93340867477821</v>
      </c>
    </row>
    <row r="396" spans="1:17" x14ac:dyDescent="0.3">
      <c r="A396">
        <v>5</v>
      </c>
      <c r="B396" s="84">
        <v>4.0999999999999996</v>
      </c>
      <c r="C396" s="78">
        <v>45970</v>
      </c>
      <c r="D396" s="78">
        <v>45972</v>
      </c>
      <c r="E396">
        <v>36</v>
      </c>
      <c r="F396" t="s">
        <v>917</v>
      </c>
      <c r="G396" t="s">
        <v>914</v>
      </c>
      <c r="H396">
        <v>7</v>
      </c>
      <c r="I396">
        <v>11</v>
      </c>
      <c r="J396" t="s">
        <v>935</v>
      </c>
      <c r="K396" t="s">
        <v>1326</v>
      </c>
      <c r="L396"/>
      <c r="M396" s="1">
        <v>467</v>
      </c>
      <c r="N396" s="1" t="s">
        <v>473</v>
      </c>
      <c r="O396" s="2">
        <v>46031.973854166667</v>
      </c>
      <c r="P396" s="92">
        <v>-8.1422840598042736</v>
      </c>
      <c r="Q396" s="93">
        <v>646.96436746071322</v>
      </c>
    </row>
    <row r="397" spans="1:17" x14ac:dyDescent="0.3">
      <c r="A397">
        <v>5</v>
      </c>
      <c r="B397" s="84">
        <v>4.0999999999999996</v>
      </c>
      <c r="C397" s="78">
        <v>45970</v>
      </c>
      <c r="D397" s="78">
        <v>45972</v>
      </c>
      <c r="E397">
        <v>39</v>
      </c>
      <c r="F397" t="s">
        <v>929</v>
      </c>
      <c r="G397" t="s">
        <v>918</v>
      </c>
      <c r="H397">
        <v>7</v>
      </c>
      <c r="I397">
        <v>12</v>
      </c>
      <c r="J397" t="s">
        <v>935</v>
      </c>
      <c r="K397" t="s">
        <v>1327</v>
      </c>
      <c r="L397"/>
      <c r="M397" s="4">
        <v>468</v>
      </c>
      <c r="N397" s="4" t="s">
        <v>474</v>
      </c>
      <c r="O397" s="12">
        <v>46031.977592592593</v>
      </c>
      <c r="P397" s="92">
        <v>-11.328650375796807</v>
      </c>
      <c r="Q397" s="93">
        <v>685.64693156610917</v>
      </c>
    </row>
    <row r="398" spans="1:17" x14ac:dyDescent="0.3">
      <c r="A398">
        <v>5</v>
      </c>
      <c r="B398" s="84">
        <v>4.0999999999999996</v>
      </c>
      <c r="C398" s="78">
        <v>45970</v>
      </c>
      <c r="D398" s="78">
        <v>45972</v>
      </c>
      <c r="E398">
        <v>33</v>
      </c>
      <c r="F398" t="s">
        <v>910</v>
      </c>
      <c r="G398" t="s">
        <v>922</v>
      </c>
      <c r="H398">
        <v>7</v>
      </c>
      <c r="I398">
        <v>13</v>
      </c>
      <c r="J398" t="s">
        <v>935</v>
      </c>
      <c r="K398" t="s">
        <v>1328</v>
      </c>
      <c r="L398"/>
      <c r="M398" s="1">
        <v>469</v>
      </c>
      <c r="N398" s="1" t="s">
        <v>475</v>
      </c>
      <c r="O398" s="2">
        <v>46031.981342592589</v>
      </c>
      <c r="P398" s="92">
        <v>-4.4389641389047361</v>
      </c>
      <c r="Q398" s="93">
        <v>667.06410840369324</v>
      </c>
    </row>
    <row r="399" spans="1:17" x14ac:dyDescent="0.3">
      <c r="A399">
        <v>5</v>
      </c>
      <c r="B399" s="84">
        <v>4.0999999999999996</v>
      </c>
      <c r="C399" s="78">
        <v>45970</v>
      </c>
      <c r="D399" s="78">
        <v>45972</v>
      </c>
      <c r="E399">
        <v>37</v>
      </c>
      <c r="F399" t="s">
        <v>921</v>
      </c>
      <c r="G399" t="s">
        <v>926</v>
      </c>
      <c r="H399">
        <v>7</v>
      </c>
      <c r="I399">
        <v>14</v>
      </c>
      <c r="J399" t="s">
        <v>935</v>
      </c>
      <c r="K399" t="s">
        <v>1329</v>
      </c>
      <c r="L399"/>
      <c r="M399" s="4">
        <v>470</v>
      </c>
      <c r="N399" s="4" t="s">
        <v>476</v>
      </c>
      <c r="O399" s="12">
        <v>46031.985081018516</v>
      </c>
      <c r="P399" s="92">
        <v>-6.1623883385934208</v>
      </c>
      <c r="Q399" s="93">
        <v>734.26376979755719</v>
      </c>
    </row>
    <row r="400" spans="1:17" x14ac:dyDescent="0.3">
      <c r="A400">
        <v>5</v>
      </c>
      <c r="B400" s="84">
        <v>4.0999999999999996</v>
      </c>
      <c r="C400" s="78">
        <v>45970</v>
      </c>
      <c r="D400" s="78">
        <v>45972</v>
      </c>
      <c r="E400">
        <v>34</v>
      </c>
      <c r="F400" t="s">
        <v>932</v>
      </c>
      <c r="G400" t="s">
        <v>930</v>
      </c>
      <c r="H400">
        <v>7</v>
      </c>
      <c r="I400">
        <v>15</v>
      </c>
      <c r="J400" t="s">
        <v>935</v>
      </c>
      <c r="K400" t="s">
        <v>1330</v>
      </c>
      <c r="L400"/>
      <c r="M400" s="1">
        <v>471</v>
      </c>
      <c r="N400" s="1" t="s">
        <v>477</v>
      </c>
      <c r="O400" s="2">
        <v>46031.988819444443</v>
      </c>
      <c r="P400" s="92">
        <v>-9.2264259815034642</v>
      </c>
      <c r="Q400" s="93">
        <v>680.80150229465266</v>
      </c>
    </row>
    <row r="401" spans="1:17" x14ac:dyDescent="0.3">
      <c r="A401">
        <v>5</v>
      </c>
      <c r="B401" s="84">
        <v>4.0999999999999996</v>
      </c>
      <c r="C401" s="78">
        <v>45970</v>
      </c>
      <c r="D401" s="78">
        <v>45972</v>
      </c>
      <c r="E401">
        <v>38</v>
      </c>
      <c r="F401" t="s">
        <v>925</v>
      </c>
      <c r="G401" t="s">
        <v>933</v>
      </c>
      <c r="H401">
        <v>7</v>
      </c>
      <c r="I401">
        <v>16</v>
      </c>
      <c r="J401" t="s">
        <v>935</v>
      </c>
      <c r="K401" t="s">
        <v>1331</v>
      </c>
      <c r="L401"/>
      <c r="M401" s="4">
        <v>472</v>
      </c>
      <c r="N401" s="4" t="s">
        <v>478</v>
      </c>
      <c r="O401" s="12">
        <v>46031.99255787037</v>
      </c>
      <c r="P401" s="92">
        <v>-6.6625476520293248</v>
      </c>
      <c r="Q401" s="93">
        <v>739.54458038646203</v>
      </c>
    </row>
    <row r="402" spans="1:17" x14ac:dyDescent="0.3">
      <c r="A402">
        <v>5</v>
      </c>
      <c r="B402" s="84">
        <v>4.0999999999999996</v>
      </c>
      <c r="C402" s="78">
        <v>45970</v>
      </c>
      <c r="D402" s="78">
        <v>45972</v>
      </c>
      <c r="E402">
        <v>35</v>
      </c>
      <c r="F402" t="s">
        <v>913</v>
      </c>
      <c r="G402" t="s">
        <v>907</v>
      </c>
      <c r="H402">
        <v>7</v>
      </c>
      <c r="I402">
        <v>17</v>
      </c>
      <c r="J402" t="s">
        <v>24</v>
      </c>
      <c r="K402" t="s">
        <v>1332</v>
      </c>
      <c r="L402"/>
      <c r="M402" s="1">
        <v>473</v>
      </c>
      <c r="N402" s="1" t="s">
        <v>479</v>
      </c>
      <c r="O402" s="2">
        <v>46031.99628472222</v>
      </c>
      <c r="P402" s="92">
        <v>-5.1255250036722106</v>
      </c>
      <c r="Q402" s="93">
        <v>599.0392596553877</v>
      </c>
    </row>
    <row r="403" spans="1:17" x14ac:dyDescent="0.3">
      <c r="A403">
        <v>5</v>
      </c>
      <c r="B403" s="84">
        <v>4.0999999999999996</v>
      </c>
      <c r="C403" s="78">
        <v>45970</v>
      </c>
      <c r="D403" s="78">
        <v>45972</v>
      </c>
      <c r="E403">
        <v>40</v>
      </c>
      <c r="F403" t="s">
        <v>906</v>
      </c>
      <c r="G403" t="s">
        <v>15</v>
      </c>
      <c r="H403">
        <v>7</v>
      </c>
      <c r="I403">
        <v>18</v>
      </c>
      <c r="J403" t="s">
        <v>24</v>
      </c>
      <c r="K403" t="s">
        <v>1333</v>
      </c>
      <c r="L403"/>
      <c r="M403" s="4">
        <v>474</v>
      </c>
      <c r="N403" s="4" t="s">
        <v>480</v>
      </c>
      <c r="O403" s="12">
        <v>46032.000034722223</v>
      </c>
      <c r="P403" s="92">
        <v>7.576322024177899</v>
      </c>
      <c r="Q403" s="93">
        <v>734.05948641988164</v>
      </c>
    </row>
    <row r="404" spans="1:17" x14ac:dyDescent="0.3">
      <c r="A404">
        <v>5</v>
      </c>
      <c r="B404" s="84">
        <v>4.0999999999999996</v>
      </c>
      <c r="C404" s="78">
        <v>45970</v>
      </c>
      <c r="D404" s="78">
        <v>45972</v>
      </c>
      <c r="E404">
        <v>36</v>
      </c>
      <c r="F404" t="s">
        <v>917</v>
      </c>
      <c r="G404" t="s">
        <v>914</v>
      </c>
      <c r="H404">
        <v>7</v>
      </c>
      <c r="I404">
        <v>19</v>
      </c>
      <c r="J404" t="s">
        <v>24</v>
      </c>
      <c r="K404" t="s">
        <v>1334</v>
      </c>
      <c r="L404"/>
      <c r="M404" s="1">
        <v>475</v>
      </c>
      <c r="N404" s="1" t="s">
        <v>481</v>
      </c>
      <c r="O404" s="2">
        <v>46032.003784722219</v>
      </c>
      <c r="P404" s="92">
        <v>-3.9615085357969093</v>
      </c>
      <c r="Q404" s="93">
        <v>678.62990176916787</v>
      </c>
    </row>
    <row r="405" spans="1:17" x14ac:dyDescent="0.3">
      <c r="A405">
        <v>5</v>
      </c>
      <c r="B405" s="84">
        <v>4.0999999999999996</v>
      </c>
      <c r="C405" s="78">
        <v>45970</v>
      </c>
      <c r="D405" s="78">
        <v>45972</v>
      </c>
      <c r="E405">
        <v>39</v>
      </c>
      <c r="F405" t="s">
        <v>929</v>
      </c>
      <c r="G405" t="s">
        <v>918</v>
      </c>
      <c r="H405">
        <v>7</v>
      </c>
      <c r="I405">
        <v>20</v>
      </c>
      <c r="J405" t="s">
        <v>24</v>
      </c>
      <c r="K405" t="s">
        <v>1335</v>
      </c>
      <c r="L405"/>
      <c r="M405" s="4">
        <v>476</v>
      </c>
      <c r="N405" s="4" t="s">
        <v>482</v>
      </c>
      <c r="O405" s="12">
        <v>46032.007523148146</v>
      </c>
      <c r="P405" s="92">
        <v>-8.078014149821664</v>
      </c>
      <c r="Q405" s="93">
        <v>713.61366707385901</v>
      </c>
    </row>
    <row r="406" spans="1:17" x14ac:dyDescent="0.3">
      <c r="A406">
        <v>5</v>
      </c>
      <c r="B406" s="84">
        <v>4.0999999999999996</v>
      </c>
      <c r="C406" s="78">
        <v>45970</v>
      </c>
      <c r="D406" s="78">
        <v>45972</v>
      </c>
      <c r="E406">
        <v>33</v>
      </c>
      <c r="F406" t="s">
        <v>910</v>
      </c>
      <c r="G406" t="s">
        <v>922</v>
      </c>
      <c r="H406">
        <v>7</v>
      </c>
      <c r="I406">
        <v>21</v>
      </c>
      <c r="J406" t="s">
        <v>24</v>
      </c>
      <c r="K406" t="s">
        <v>1336</v>
      </c>
      <c r="L406"/>
      <c r="M406" s="1">
        <v>477</v>
      </c>
      <c r="N406" s="1" t="s">
        <v>483</v>
      </c>
      <c r="O406" s="2">
        <v>46032.011250000003</v>
      </c>
      <c r="P406" s="92">
        <v>1.6371755457801556</v>
      </c>
      <c r="Q406" s="93">
        <v>717.16048510564383</v>
      </c>
    </row>
    <row r="407" spans="1:17" x14ac:dyDescent="0.3">
      <c r="A407">
        <v>5</v>
      </c>
      <c r="B407" s="84">
        <v>4.0999999999999996</v>
      </c>
      <c r="C407" s="78">
        <v>45970</v>
      </c>
      <c r="D407" s="78">
        <v>45972</v>
      </c>
      <c r="E407">
        <v>37</v>
      </c>
      <c r="F407" t="s">
        <v>921</v>
      </c>
      <c r="G407" t="s">
        <v>926</v>
      </c>
      <c r="H407">
        <v>7</v>
      </c>
      <c r="I407">
        <v>22</v>
      </c>
      <c r="J407" t="s">
        <v>24</v>
      </c>
      <c r="K407" t="s">
        <v>1337</v>
      </c>
      <c r="L407"/>
      <c r="M407" s="4">
        <v>478</v>
      </c>
      <c r="N407" s="4" t="s">
        <v>484</v>
      </c>
      <c r="O407" s="12">
        <v>46032.014999999999</v>
      </c>
      <c r="P407" s="92">
        <v>3.3967786936865396</v>
      </c>
      <c r="Q407" s="93">
        <v>718.18190199402136</v>
      </c>
    </row>
    <row r="408" spans="1:17" x14ac:dyDescent="0.3">
      <c r="A408">
        <v>5</v>
      </c>
      <c r="B408" s="84">
        <v>4.0999999999999996</v>
      </c>
      <c r="C408" s="78">
        <v>45970</v>
      </c>
      <c r="D408" s="78">
        <v>45972</v>
      </c>
      <c r="E408">
        <v>34</v>
      </c>
      <c r="F408" t="s">
        <v>932</v>
      </c>
      <c r="G408" t="s">
        <v>930</v>
      </c>
      <c r="H408">
        <v>7</v>
      </c>
      <c r="I408">
        <v>23</v>
      </c>
      <c r="J408" t="s">
        <v>24</v>
      </c>
      <c r="K408" t="s">
        <v>1338</v>
      </c>
      <c r="L408"/>
      <c r="M408" s="1">
        <v>479</v>
      </c>
      <c r="N408" s="1" t="s">
        <v>485</v>
      </c>
      <c r="O408" s="2">
        <v>46032.018726851849</v>
      </c>
      <c r="P408" s="92">
        <v>-5.5342763488986968</v>
      </c>
      <c r="Q408" s="93">
        <v>722.76742899044814</v>
      </c>
    </row>
    <row r="409" spans="1:17" x14ac:dyDescent="0.3">
      <c r="A409">
        <v>5</v>
      </c>
      <c r="B409" s="84">
        <v>4.0999999999999996</v>
      </c>
      <c r="C409" s="78">
        <v>45970</v>
      </c>
      <c r="D409" s="78">
        <v>45972</v>
      </c>
      <c r="E409">
        <v>38</v>
      </c>
      <c r="F409" t="s">
        <v>925</v>
      </c>
      <c r="G409" t="s">
        <v>933</v>
      </c>
      <c r="H409">
        <v>7</v>
      </c>
      <c r="I409">
        <v>24</v>
      </c>
      <c r="J409" t="s">
        <v>24</v>
      </c>
      <c r="K409" t="s">
        <v>1339</v>
      </c>
      <c r="L409"/>
      <c r="M409" s="4">
        <v>480</v>
      </c>
      <c r="N409" s="4" t="s">
        <v>486</v>
      </c>
      <c r="O409" s="12">
        <v>46032.022465277776</v>
      </c>
      <c r="P409" s="92">
        <v>-0.31143017167790066</v>
      </c>
      <c r="Q409" s="93">
        <v>739.39255224199064</v>
      </c>
    </row>
    <row r="410" spans="1:17" x14ac:dyDescent="0.3">
      <c r="A410">
        <v>5</v>
      </c>
      <c r="B410" s="84">
        <v>4.0999999999999996</v>
      </c>
      <c r="C410" s="78">
        <v>45970</v>
      </c>
      <c r="D410" s="78">
        <v>45972</v>
      </c>
      <c r="E410">
        <v>35</v>
      </c>
      <c r="F410" t="s">
        <v>913</v>
      </c>
      <c r="G410" t="s">
        <v>907</v>
      </c>
      <c r="H410">
        <v>7</v>
      </c>
      <c r="I410">
        <v>25</v>
      </c>
      <c r="J410" t="s">
        <v>25</v>
      </c>
      <c r="K410" t="s">
        <v>1340</v>
      </c>
      <c r="L410"/>
      <c r="M410" s="1">
        <v>481</v>
      </c>
      <c r="N410" s="1" t="s">
        <v>487</v>
      </c>
      <c r="O410" s="2">
        <v>46032.026203703703</v>
      </c>
      <c r="P410" s="92">
        <v>-3.8575690343909215</v>
      </c>
      <c r="Q410" s="93">
        <v>664.20508862726399</v>
      </c>
    </row>
    <row r="411" spans="1:17" x14ac:dyDescent="0.3">
      <c r="A411">
        <v>5</v>
      </c>
      <c r="B411" s="84">
        <v>4.0999999999999996</v>
      </c>
      <c r="C411" s="78">
        <v>45970</v>
      </c>
      <c r="D411" s="78">
        <v>45972</v>
      </c>
      <c r="E411">
        <v>40</v>
      </c>
      <c r="F411" t="s">
        <v>906</v>
      </c>
      <c r="G411" t="s">
        <v>15</v>
      </c>
      <c r="H411">
        <v>7</v>
      </c>
      <c r="I411">
        <v>26</v>
      </c>
      <c r="J411" t="s">
        <v>25</v>
      </c>
      <c r="K411" t="s">
        <v>1341</v>
      </c>
      <c r="L411"/>
      <c r="M411" s="4">
        <v>482</v>
      </c>
      <c r="N411" s="4" t="s">
        <v>488</v>
      </c>
      <c r="O411" s="12">
        <v>46032.029942129629</v>
      </c>
      <c r="P411" s="92">
        <v>17.583500372791381</v>
      </c>
      <c r="Q411" s="93">
        <v>743.86087212423161</v>
      </c>
    </row>
    <row r="412" spans="1:17" x14ac:dyDescent="0.3">
      <c r="A412">
        <v>5</v>
      </c>
      <c r="B412" s="84">
        <v>4.0999999999999996</v>
      </c>
      <c r="C412" s="78">
        <v>45970</v>
      </c>
      <c r="D412" s="78">
        <v>45972</v>
      </c>
      <c r="E412">
        <v>36</v>
      </c>
      <c r="F412" t="s">
        <v>917</v>
      </c>
      <c r="G412" t="s">
        <v>914</v>
      </c>
      <c r="H412">
        <v>7</v>
      </c>
      <c r="I412">
        <v>27</v>
      </c>
      <c r="J412" t="s">
        <v>25</v>
      </c>
      <c r="K412" t="s">
        <v>1342</v>
      </c>
      <c r="L412"/>
      <c r="M412" s="1">
        <v>483</v>
      </c>
      <c r="N412" s="1" t="s">
        <v>489</v>
      </c>
      <c r="O412" s="2">
        <v>46032.033680555556</v>
      </c>
      <c r="P412" s="92">
        <v>0.68299470732636303</v>
      </c>
      <c r="Q412" s="93">
        <v>682.29667469712024</v>
      </c>
    </row>
    <row r="413" spans="1:17" x14ac:dyDescent="0.3">
      <c r="A413">
        <v>5</v>
      </c>
      <c r="B413" s="84">
        <v>4.0999999999999996</v>
      </c>
      <c r="C413" s="78">
        <v>45970</v>
      </c>
      <c r="D413" s="78">
        <v>45972</v>
      </c>
      <c r="E413">
        <v>39</v>
      </c>
      <c r="F413" t="s">
        <v>929</v>
      </c>
      <c r="G413" t="s">
        <v>918</v>
      </c>
      <c r="H413">
        <v>7</v>
      </c>
      <c r="I413">
        <v>28</v>
      </c>
      <c r="J413" t="s">
        <v>25</v>
      </c>
      <c r="K413" t="s">
        <v>1343</v>
      </c>
      <c r="L413"/>
      <c r="M413" s="4">
        <v>484</v>
      </c>
      <c r="N413" s="4" t="s">
        <v>490</v>
      </c>
      <c r="O413" s="12">
        <v>46032.037418981483</v>
      </c>
      <c r="P413" s="92">
        <v>-1.2110263681775404</v>
      </c>
      <c r="Q413" s="93">
        <v>653.79090016543887</v>
      </c>
    </row>
    <row r="414" spans="1:17" x14ac:dyDescent="0.3">
      <c r="A414">
        <v>5</v>
      </c>
      <c r="B414" s="84">
        <v>4.0999999999999996</v>
      </c>
      <c r="C414" s="78">
        <v>45970</v>
      </c>
      <c r="D414" s="78">
        <v>45972</v>
      </c>
      <c r="E414">
        <v>33</v>
      </c>
      <c r="F414" t="s">
        <v>910</v>
      </c>
      <c r="G414" t="s">
        <v>922</v>
      </c>
      <c r="H414">
        <v>7</v>
      </c>
      <c r="I414">
        <v>29</v>
      </c>
      <c r="J414" t="s">
        <v>25</v>
      </c>
      <c r="K414" t="s">
        <v>1344</v>
      </c>
      <c r="L414"/>
      <c r="M414" s="1">
        <v>485</v>
      </c>
      <c r="N414" s="1" t="s">
        <v>491</v>
      </c>
      <c r="O414" s="2">
        <v>46032.04115740741</v>
      </c>
      <c r="P414" s="92">
        <v>6.7196913730465218</v>
      </c>
      <c r="Q414" s="93">
        <v>760.24475906799955</v>
      </c>
    </row>
    <row r="415" spans="1:17" x14ac:dyDescent="0.3">
      <c r="A415">
        <v>5</v>
      </c>
      <c r="B415" s="84">
        <v>4.0999999999999996</v>
      </c>
      <c r="C415" s="78">
        <v>45970</v>
      </c>
      <c r="D415" s="78">
        <v>45972</v>
      </c>
      <c r="E415">
        <v>37</v>
      </c>
      <c r="F415" t="s">
        <v>921</v>
      </c>
      <c r="G415" t="s">
        <v>926</v>
      </c>
      <c r="H415">
        <v>7</v>
      </c>
      <c r="I415">
        <v>30</v>
      </c>
      <c r="J415" t="s">
        <v>25</v>
      </c>
      <c r="K415" t="s">
        <v>1345</v>
      </c>
      <c r="L415"/>
      <c r="M415" s="4">
        <v>486</v>
      </c>
      <c r="N415" s="4" t="s">
        <v>492</v>
      </c>
      <c r="O415" s="12">
        <v>46032.044895833336</v>
      </c>
      <c r="P415" s="92">
        <v>8.0635004162796466</v>
      </c>
      <c r="Q415" s="93">
        <v>764.39154108282776</v>
      </c>
    </row>
    <row r="416" spans="1:17" x14ac:dyDescent="0.3">
      <c r="A416">
        <v>5</v>
      </c>
      <c r="B416" s="84">
        <v>4.0999999999999996</v>
      </c>
      <c r="C416" s="78">
        <v>45970</v>
      </c>
      <c r="D416" s="78">
        <v>45972</v>
      </c>
      <c r="E416">
        <v>34</v>
      </c>
      <c r="F416" t="s">
        <v>932</v>
      </c>
      <c r="G416" t="s">
        <v>930</v>
      </c>
      <c r="H416">
        <v>7</v>
      </c>
      <c r="I416">
        <v>31</v>
      </c>
      <c r="J416" t="s">
        <v>25</v>
      </c>
      <c r="K416" t="s">
        <v>1346</v>
      </c>
      <c r="L416"/>
      <c r="M416" s="1">
        <v>487</v>
      </c>
      <c r="N416" s="1" t="s">
        <v>493</v>
      </c>
      <c r="O416" s="2">
        <v>46032.048645833333</v>
      </c>
      <c r="P416" s="92">
        <v>-1.7748053665031973</v>
      </c>
      <c r="Q416" s="93">
        <v>715.50253030853503</v>
      </c>
    </row>
    <row r="417" spans="1:17" x14ac:dyDescent="0.3">
      <c r="A417">
        <v>5</v>
      </c>
      <c r="B417" s="84">
        <v>4.0999999999999996</v>
      </c>
      <c r="C417" s="78">
        <v>45970</v>
      </c>
      <c r="D417" s="78">
        <v>45972</v>
      </c>
      <c r="E417">
        <v>38</v>
      </c>
      <c r="F417" t="s">
        <v>925</v>
      </c>
      <c r="G417" t="s">
        <v>933</v>
      </c>
      <c r="H417">
        <v>7</v>
      </c>
      <c r="I417">
        <v>32</v>
      </c>
      <c r="J417" t="s">
        <v>25</v>
      </c>
      <c r="K417" t="s">
        <v>1347</v>
      </c>
      <c r="L417"/>
      <c r="M417" s="4">
        <v>488</v>
      </c>
      <c r="N417" s="4" t="s">
        <v>494</v>
      </c>
      <c r="O417" s="12">
        <v>46032.052372685182</v>
      </c>
      <c r="P417" s="92">
        <v>1.1091895143548167</v>
      </c>
      <c r="Q417" s="93">
        <v>844.45461219525816</v>
      </c>
    </row>
    <row r="418" spans="1:17" x14ac:dyDescent="0.3">
      <c r="A418">
        <v>5</v>
      </c>
      <c r="B418" s="84">
        <v>4.2</v>
      </c>
      <c r="C418" s="78">
        <v>45971</v>
      </c>
      <c r="D418" s="78">
        <v>45973</v>
      </c>
      <c r="E418">
        <v>35</v>
      </c>
      <c r="F418" t="s">
        <v>913</v>
      </c>
      <c r="G418" t="s">
        <v>907</v>
      </c>
      <c r="H418">
        <v>25</v>
      </c>
      <c r="I418">
        <v>1</v>
      </c>
      <c r="J418" t="s">
        <v>908</v>
      </c>
      <c r="K418" t="s">
        <v>1348</v>
      </c>
      <c r="L418"/>
      <c r="M418" s="1">
        <v>491</v>
      </c>
      <c r="N418" s="1" t="s">
        <v>497</v>
      </c>
      <c r="O418" s="2">
        <v>46032.063634259262</v>
      </c>
      <c r="P418" s="92">
        <v>-15.991865902574999</v>
      </c>
      <c r="Q418" s="93">
        <v>678.29310897420135</v>
      </c>
    </row>
    <row r="419" spans="1:17" x14ac:dyDescent="0.3">
      <c r="A419">
        <v>5</v>
      </c>
      <c r="B419" s="84">
        <v>4.2</v>
      </c>
      <c r="C419" s="78">
        <v>45971</v>
      </c>
      <c r="D419" s="78">
        <v>45973</v>
      </c>
      <c r="E419">
        <v>40</v>
      </c>
      <c r="F419" t="s">
        <v>906</v>
      </c>
      <c r="G419" t="s">
        <v>15</v>
      </c>
      <c r="H419">
        <v>25</v>
      </c>
      <c r="I419">
        <v>2</v>
      </c>
      <c r="J419" t="s">
        <v>908</v>
      </c>
      <c r="K419" t="s">
        <v>1349</v>
      </c>
      <c r="L419"/>
      <c r="M419" s="4">
        <v>492</v>
      </c>
      <c r="N419" s="4" t="s">
        <v>498</v>
      </c>
      <c r="O419" s="12">
        <v>46032.067361111112</v>
      </c>
      <c r="P419" s="92">
        <v>-14.568153353015093</v>
      </c>
      <c r="Q419" s="93">
        <v>714.355141828961</v>
      </c>
    </row>
    <row r="420" spans="1:17" x14ac:dyDescent="0.3">
      <c r="A420">
        <v>5</v>
      </c>
      <c r="B420" s="84">
        <v>4.2</v>
      </c>
      <c r="C420" s="78">
        <v>45971</v>
      </c>
      <c r="D420" s="78">
        <v>45973</v>
      </c>
      <c r="E420">
        <v>36</v>
      </c>
      <c r="F420" t="s">
        <v>917</v>
      </c>
      <c r="G420" t="s">
        <v>914</v>
      </c>
      <c r="H420">
        <v>25</v>
      </c>
      <c r="I420">
        <v>3</v>
      </c>
      <c r="J420" t="s">
        <v>908</v>
      </c>
      <c r="K420" t="s">
        <v>1350</v>
      </c>
      <c r="L420"/>
      <c r="M420" s="1">
        <v>493</v>
      </c>
      <c r="N420" s="1" t="s">
        <v>499</v>
      </c>
      <c r="O420" s="2">
        <v>46032.071111111109</v>
      </c>
      <c r="P420" s="92">
        <v>-15.843228910690899</v>
      </c>
      <c r="Q420" s="93">
        <v>653.36527821158063</v>
      </c>
    </row>
    <row r="421" spans="1:17" x14ac:dyDescent="0.3">
      <c r="A421">
        <v>5</v>
      </c>
      <c r="B421" s="84">
        <v>4.2</v>
      </c>
      <c r="C421" s="78">
        <v>45971</v>
      </c>
      <c r="D421" s="78">
        <v>45973</v>
      </c>
      <c r="E421">
        <v>39</v>
      </c>
      <c r="F421" t="s">
        <v>929</v>
      </c>
      <c r="G421" t="s">
        <v>918</v>
      </c>
      <c r="H421">
        <v>25</v>
      </c>
      <c r="I421">
        <v>4</v>
      </c>
      <c r="J421" t="s">
        <v>908</v>
      </c>
      <c r="K421" t="s">
        <v>1351</v>
      </c>
      <c r="L421"/>
      <c r="M421" s="4">
        <v>494</v>
      </c>
      <c r="N421" s="4" t="s">
        <v>500</v>
      </c>
      <c r="O421" s="12">
        <v>46032.074849537035</v>
      </c>
      <c r="P421" s="92">
        <v>-16.766308607704964</v>
      </c>
      <c r="Q421" s="93">
        <v>681.78127607334181</v>
      </c>
    </row>
    <row r="422" spans="1:17" x14ac:dyDescent="0.3">
      <c r="A422">
        <v>5</v>
      </c>
      <c r="B422" s="84">
        <v>4.2</v>
      </c>
      <c r="C422" s="78">
        <v>45971</v>
      </c>
      <c r="D422" s="78">
        <v>45973</v>
      </c>
      <c r="E422">
        <v>33</v>
      </c>
      <c r="F422" t="s">
        <v>910</v>
      </c>
      <c r="G422" t="s">
        <v>922</v>
      </c>
      <c r="H422">
        <v>25</v>
      </c>
      <c r="I422">
        <v>5</v>
      </c>
      <c r="J422" t="s">
        <v>908</v>
      </c>
      <c r="K422" t="s">
        <v>1352</v>
      </c>
      <c r="L422"/>
      <c r="M422" s="1">
        <v>495</v>
      </c>
      <c r="N422" s="1" t="s">
        <v>501</v>
      </c>
      <c r="O422" s="2">
        <v>46032.078587962962</v>
      </c>
      <c r="P422" s="92">
        <v>-16.104291820980109</v>
      </c>
      <c r="Q422" s="93">
        <v>719.50164272962138</v>
      </c>
    </row>
    <row r="423" spans="1:17" x14ac:dyDescent="0.3">
      <c r="A423">
        <v>5</v>
      </c>
      <c r="B423" s="84">
        <v>4.2</v>
      </c>
      <c r="C423" s="78">
        <v>45971</v>
      </c>
      <c r="D423" s="78">
        <v>45973</v>
      </c>
      <c r="E423">
        <v>37</v>
      </c>
      <c r="F423" t="s">
        <v>921</v>
      </c>
      <c r="G423" t="s">
        <v>926</v>
      </c>
      <c r="H423">
        <v>25</v>
      </c>
      <c r="I423">
        <v>6</v>
      </c>
      <c r="J423" t="s">
        <v>908</v>
      </c>
      <c r="K423" t="s">
        <v>1353</v>
      </c>
      <c r="L423"/>
      <c r="M423" s="4">
        <v>496</v>
      </c>
      <c r="N423" s="4" t="s">
        <v>502</v>
      </c>
      <c r="O423" s="12">
        <v>46032.082326388889</v>
      </c>
      <c r="P423" s="92">
        <v>-14.646207325612158</v>
      </c>
      <c r="Q423" s="93">
        <v>744.59599855544468</v>
      </c>
    </row>
    <row r="424" spans="1:17" x14ac:dyDescent="0.3">
      <c r="A424">
        <v>5</v>
      </c>
      <c r="B424" s="84">
        <v>4.2</v>
      </c>
      <c r="C424" s="78">
        <v>45971</v>
      </c>
      <c r="D424" s="78">
        <v>45973</v>
      </c>
      <c r="E424">
        <v>34</v>
      </c>
      <c r="F424" t="s">
        <v>932</v>
      </c>
      <c r="G424" t="s">
        <v>930</v>
      </c>
      <c r="H424">
        <v>25</v>
      </c>
      <c r="I424">
        <v>7</v>
      </c>
      <c r="J424" t="s">
        <v>908</v>
      </c>
      <c r="K424" t="s">
        <v>1354</v>
      </c>
      <c r="L424"/>
      <c r="M424" s="1">
        <v>497</v>
      </c>
      <c r="N424" s="1" t="s">
        <v>503</v>
      </c>
      <c r="O424" s="2">
        <v>46032.086076388892</v>
      </c>
      <c r="P424" s="92">
        <v>-13.661964224910156</v>
      </c>
      <c r="Q424" s="93">
        <v>691.54514034097588</v>
      </c>
    </row>
    <row r="425" spans="1:17" x14ac:dyDescent="0.3">
      <c r="A425">
        <v>5</v>
      </c>
      <c r="B425" s="84">
        <v>4.2</v>
      </c>
      <c r="C425" s="78">
        <v>45971</v>
      </c>
      <c r="D425" s="78">
        <v>45973</v>
      </c>
      <c r="E425">
        <v>38</v>
      </c>
      <c r="F425" t="s">
        <v>925</v>
      </c>
      <c r="G425" t="s">
        <v>933</v>
      </c>
      <c r="H425">
        <v>25</v>
      </c>
      <c r="I425">
        <v>8</v>
      </c>
      <c r="J425" t="s">
        <v>908</v>
      </c>
      <c r="K425" t="s">
        <v>1355</v>
      </c>
      <c r="L425"/>
      <c r="M425" s="4">
        <v>498</v>
      </c>
      <c r="N425" s="4" t="s">
        <v>504</v>
      </c>
      <c r="O425" s="12">
        <v>46032.089826388888</v>
      </c>
      <c r="P425" s="92">
        <v>-14.648609180832256</v>
      </c>
      <c r="Q425" s="93">
        <v>675.94138660225951</v>
      </c>
    </row>
    <row r="426" spans="1:17" x14ac:dyDescent="0.3">
      <c r="A426">
        <v>5</v>
      </c>
      <c r="B426" s="84">
        <v>4.2</v>
      </c>
      <c r="C426" s="78">
        <v>45971</v>
      </c>
      <c r="D426" s="78">
        <v>45973</v>
      </c>
      <c r="E426">
        <v>35</v>
      </c>
      <c r="F426" t="s">
        <v>913</v>
      </c>
      <c r="G426" t="s">
        <v>907</v>
      </c>
      <c r="H426">
        <v>25</v>
      </c>
      <c r="I426">
        <v>9</v>
      </c>
      <c r="J426" t="s">
        <v>935</v>
      </c>
      <c r="K426" t="s">
        <v>1356</v>
      </c>
      <c r="L426"/>
      <c r="M426" s="1">
        <v>499</v>
      </c>
      <c r="N426" s="1" t="s">
        <v>505</v>
      </c>
      <c r="O426" s="2">
        <v>46032.093553240738</v>
      </c>
      <c r="P426" s="92">
        <v>-0.58008938175044311</v>
      </c>
      <c r="Q426" s="93">
        <v>661.88558163028029</v>
      </c>
    </row>
    <row r="427" spans="1:17" x14ac:dyDescent="0.3">
      <c r="A427">
        <v>5</v>
      </c>
      <c r="B427" s="84">
        <v>4.2</v>
      </c>
      <c r="C427" s="78">
        <v>45971</v>
      </c>
      <c r="D427" s="78">
        <v>45973</v>
      </c>
      <c r="E427">
        <v>40</v>
      </c>
      <c r="F427" t="s">
        <v>906</v>
      </c>
      <c r="G427" t="s">
        <v>15</v>
      </c>
      <c r="H427">
        <v>25</v>
      </c>
      <c r="I427">
        <v>10</v>
      </c>
      <c r="J427" t="s">
        <v>935</v>
      </c>
      <c r="K427" t="s">
        <v>1357</v>
      </c>
      <c r="L427"/>
      <c r="M427" s="4">
        <v>500</v>
      </c>
      <c r="N427" s="4" t="s">
        <v>506</v>
      </c>
      <c r="O427" s="12">
        <v>46032.097280092596</v>
      </c>
      <c r="P427" s="92">
        <v>15.032824233155925</v>
      </c>
      <c r="Q427" s="93">
        <v>713.95581330613459</v>
      </c>
    </row>
    <row r="428" spans="1:17" x14ac:dyDescent="0.3">
      <c r="A428">
        <v>5</v>
      </c>
      <c r="B428" s="84">
        <v>4.2</v>
      </c>
      <c r="C428" s="78">
        <v>45971</v>
      </c>
      <c r="D428" s="78">
        <v>45973</v>
      </c>
      <c r="E428">
        <v>36</v>
      </c>
      <c r="F428" t="s">
        <v>917</v>
      </c>
      <c r="G428" t="s">
        <v>914</v>
      </c>
      <c r="H428">
        <v>25</v>
      </c>
      <c r="I428">
        <v>11</v>
      </c>
      <c r="J428" t="s">
        <v>935</v>
      </c>
      <c r="K428" t="s">
        <v>1358</v>
      </c>
      <c r="L428"/>
      <c r="M428" s="1">
        <v>501</v>
      </c>
      <c r="N428" s="1" t="s">
        <v>507</v>
      </c>
      <c r="O428" s="2">
        <v>46032.101018518515</v>
      </c>
      <c r="P428" s="92">
        <v>2.9210902691747531</v>
      </c>
      <c r="Q428" s="93">
        <v>684.45316242170566</v>
      </c>
    </row>
    <row r="429" spans="1:17" x14ac:dyDescent="0.3">
      <c r="A429">
        <v>5</v>
      </c>
      <c r="B429" s="84">
        <v>4.2</v>
      </c>
      <c r="C429" s="78">
        <v>45971</v>
      </c>
      <c r="D429" s="78">
        <v>45973</v>
      </c>
      <c r="E429">
        <v>39</v>
      </c>
      <c r="F429" t="s">
        <v>929</v>
      </c>
      <c r="G429" t="s">
        <v>918</v>
      </c>
      <c r="H429">
        <v>25</v>
      </c>
      <c r="I429">
        <v>12</v>
      </c>
      <c r="J429" t="s">
        <v>935</v>
      </c>
      <c r="K429" t="s">
        <v>1359</v>
      </c>
      <c r="L429"/>
      <c r="M429" s="4">
        <v>502</v>
      </c>
      <c r="N429" s="4" t="s">
        <v>508</v>
      </c>
      <c r="O429" s="12">
        <v>46032.104756944442</v>
      </c>
      <c r="P429" s="92">
        <v>-3.1799007706106357</v>
      </c>
      <c r="Q429" s="93">
        <v>712.18491519446695</v>
      </c>
    </row>
    <row r="430" spans="1:17" x14ac:dyDescent="0.3">
      <c r="A430">
        <v>5</v>
      </c>
      <c r="B430" s="84">
        <v>4.2</v>
      </c>
      <c r="C430" s="78">
        <v>45971</v>
      </c>
      <c r="D430" s="78">
        <v>45973</v>
      </c>
      <c r="E430">
        <v>33</v>
      </c>
      <c r="F430" t="s">
        <v>910</v>
      </c>
      <c r="G430" t="s">
        <v>922</v>
      </c>
      <c r="H430">
        <v>25</v>
      </c>
      <c r="I430">
        <v>13</v>
      </c>
      <c r="J430" t="s">
        <v>935</v>
      </c>
      <c r="K430" t="s">
        <v>1360</v>
      </c>
      <c r="L430"/>
      <c r="M430" s="1">
        <v>503</v>
      </c>
      <c r="N430" s="1" t="s">
        <v>509</v>
      </c>
      <c r="O430" s="2">
        <v>46032.108506944445</v>
      </c>
      <c r="P430" s="92">
        <v>6.0872314855938532</v>
      </c>
      <c r="Q430" s="93">
        <v>735.52988140896218</v>
      </c>
    </row>
    <row r="431" spans="1:17" x14ac:dyDescent="0.3">
      <c r="A431">
        <v>5</v>
      </c>
      <c r="B431" s="84">
        <v>4.2</v>
      </c>
      <c r="C431" s="78">
        <v>45971</v>
      </c>
      <c r="D431" s="78">
        <v>45973</v>
      </c>
      <c r="E431">
        <v>37</v>
      </c>
      <c r="F431" t="s">
        <v>921</v>
      </c>
      <c r="G431" t="s">
        <v>926</v>
      </c>
      <c r="H431">
        <v>25</v>
      </c>
      <c r="I431">
        <v>14</v>
      </c>
      <c r="J431" t="s">
        <v>935</v>
      </c>
      <c r="K431" t="s">
        <v>1361</v>
      </c>
      <c r="L431"/>
      <c r="M431" s="4">
        <v>504</v>
      </c>
      <c r="N431" s="4" t="s">
        <v>510</v>
      </c>
      <c r="O431" s="12">
        <v>46032.112233796295</v>
      </c>
      <c r="P431" s="92">
        <v>15.051952877183199</v>
      </c>
      <c r="Q431" s="93">
        <v>777.47344684449263</v>
      </c>
    </row>
    <row r="432" spans="1:17" x14ac:dyDescent="0.3">
      <c r="A432">
        <v>5</v>
      </c>
      <c r="B432" s="84">
        <v>4.2</v>
      </c>
      <c r="C432" s="78">
        <v>45971</v>
      </c>
      <c r="D432" s="78">
        <v>45973</v>
      </c>
      <c r="E432">
        <v>34</v>
      </c>
      <c r="F432" t="s">
        <v>932</v>
      </c>
      <c r="G432" t="s">
        <v>930</v>
      </c>
      <c r="H432">
        <v>25</v>
      </c>
      <c r="I432">
        <v>15</v>
      </c>
      <c r="J432" t="s">
        <v>935</v>
      </c>
      <c r="K432" t="s">
        <v>1362</v>
      </c>
      <c r="L432"/>
      <c r="M432" s="1">
        <v>505</v>
      </c>
      <c r="N432" s="1" t="s">
        <v>511</v>
      </c>
      <c r="O432" s="2">
        <v>46032.115972222222</v>
      </c>
      <c r="P432" s="92">
        <v>4.9540555809806399</v>
      </c>
      <c r="Q432" s="93">
        <v>739.55722965868836</v>
      </c>
    </row>
    <row r="433" spans="1:17" x14ac:dyDescent="0.3">
      <c r="A433">
        <v>5</v>
      </c>
      <c r="B433" s="84">
        <v>4.2</v>
      </c>
      <c r="C433" s="78">
        <v>45971</v>
      </c>
      <c r="D433" s="78">
        <v>45973</v>
      </c>
      <c r="E433">
        <v>38</v>
      </c>
      <c r="F433" t="s">
        <v>925</v>
      </c>
      <c r="G433" t="s">
        <v>933</v>
      </c>
      <c r="H433">
        <v>25</v>
      </c>
      <c r="I433">
        <v>16</v>
      </c>
      <c r="J433" t="s">
        <v>935</v>
      </c>
      <c r="K433" t="s">
        <v>1363</v>
      </c>
      <c r="L433"/>
      <c r="M433" s="4">
        <v>506</v>
      </c>
      <c r="N433" s="4" t="s">
        <v>512</v>
      </c>
      <c r="O433" s="12">
        <v>46032.119699074072</v>
      </c>
      <c r="P433" s="92">
        <v>4.385374993415871</v>
      </c>
      <c r="Q433" s="93">
        <v>789.69776037455199</v>
      </c>
    </row>
    <row r="434" spans="1:17" x14ac:dyDescent="0.3">
      <c r="A434">
        <v>5</v>
      </c>
      <c r="B434" s="84">
        <v>4.2</v>
      </c>
      <c r="C434" s="78">
        <v>45971</v>
      </c>
      <c r="D434" s="78">
        <v>45973</v>
      </c>
      <c r="E434">
        <v>35</v>
      </c>
      <c r="F434" t="s">
        <v>913</v>
      </c>
      <c r="G434" t="s">
        <v>907</v>
      </c>
      <c r="H434">
        <v>25</v>
      </c>
      <c r="I434">
        <v>17</v>
      </c>
      <c r="J434" t="s">
        <v>24</v>
      </c>
      <c r="K434" t="s">
        <v>1364</v>
      </c>
      <c r="L434"/>
      <c r="M434" s="1">
        <v>507</v>
      </c>
      <c r="N434" s="1" t="s">
        <v>513</v>
      </c>
      <c r="O434" s="2">
        <v>46032.123437499999</v>
      </c>
      <c r="P434" s="92">
        <v>10.533436652375967</v>
      </c>
      <c r="Q434" s="93">
        <v>670.96155289145588</v>
      </c>
    </row>
    <row r="435" spans="1:17" x14ac:dyDescent="0.3">
      <c r="A435">
        <v>5</v>
      </c>
      <c r="B435" s="84">
        <v>4.2</v>
      </c>
      <c r="C435" s="78">
        <v>45971</v>
      </c>
      <c r="D435" s="78">
        <v>45973</v>
      </c>
      <c r="E435">
        <v>40</v>
      </c>
      <c r="F435" t="s">
        <v>906</v>
      </c>
      <c r="G435" t="s">
        <v>15</v>
      </c>
      <c r="H435">
        <v>25</v>
      </c>
      <c r="I435">
        <v>18</v>
      </c>
      <c r="J435" t="s">
        <v>24</v>
      </c>
      <c r="K435" t="s">
        <v>1365</v>
      </c>
      <c r="L435"/>
      <c r="M435" s="4">
        <v>508</v>
      </c>
      <c r="N435" s="4" t="s">
        <v>514</v>
      </c>
      <c r="O435" s="12">
        <v>46032.127175925925</v>
      </c>
      <c r="P435" s="92">
        <v>28.420248424257903</v>
      </c>
      <c r="Q435" s="93">
        <v>843.65045958564224</v>
      </c>
    </row>
    <row r="436" spans="1:17" x14ac:dyDescent="0.3">
      <c r="A436">
        <v>5</v>
      </c>
      <c r="B436" s="84">
        <v>4.2</v>
      </c>
      <c r="C436" s="78">
        <v>45971</v>
      </c>
      <c r="D436" s="78">
        <v>45973</v>
      </c>
      <c r="E436">
        <v>36</v>
      </c>
      <c r="F436" t="s">
        <v>917</v>
      </c>
      <c r="G436" t="s">
        <v>914</v>
      </c>
      <c r="H436">
        <v>25</v>
      </c>
      <c r="I436">
        <v>19</v>
      </c>
      <c r="J436" t="s">
        <v>24</v>
      </c>
      <c r="K436" t="s">
        <v>1366</v>
      </c>
      <c r="L436"/>
      <c r="M436" s="1">
        <v>509</v>
      </c>
      <c r="N436" s="1" t="s">
        <v>515</v>
      </c>
      <c r="O436" s="2">
        <v>46032.130925925929</v>
      </c>
      <c r="P436" s="92">
        <v>13.913928335014313</v>
      </c>
      <c r="Q436" s="93">
        <v>745.4794578381194</v>
      </c>
    </row>
    <row r="437" spans="1:17" x14ac:dyDescent="0.3">
      <c r="A437">
        <v>5</v>
      </c>
      <c r="B437" s="84">
        <v>4.2</v>
      </c>
      <c r="C437" s="78">
        <v>45971</v>
      </c>
      <c r="D437" s="78">
        <v>45973</v>
      </c>
      <c r="E437">
        <v>39</v>
      </c>
      <c r="F437" t="s">
        <v>929</v>
      </c>
      <c r="G437" t="s">
        <v>918</v>
      </c>
      <c r="H437">
        <v>25</v>
      </c>
      <c r="I437">
        <v>20</v>
      </c>
      <c r="J437" t="s">
        <v>24</v>
      </c>
      <c r="K437" t="s">
        <v>1367</v>
      </c>
      <c r="L437"/>
      <c r="M437" s="4">
        <v>510</v>
      </c>
      <c r="N437" s="4" t="s">
        <v>516</v>
      </c>
      <c r="O437" s="12">
        <v>46032.134664351855</v>
      </c>
      <c r="P437" s="92">
        <v>5.5548680359983491</v>
      </c>
      <c r="Q437" s="93">
        <v>750.44384711916371</v>
      </c>
    </row>
    <row r="438" spans="1:17" x14ac:dyDescent="0.3">
      <c r="A438">
        <v>5</v>
      </c>
      <c r="B438" s="84">
        <v>4.2</v>
      </c>
      <c r="C438" s="78">
        <v>45971</v>
      </c>
      <c r="D438" s="78">
        <v>45973</v>
      </c>
      <c r="E438">
        <v>33</v>
      </c>
      <c r="F438" t="s">
        <v>910</v>
      </c>
      <c r="G438" t="s">
        <v>922</v>
      </c>
      <c r="H438">
        <v>25</v>
      </c>
      <c r="I438">
        <v>21</v>
      </c>
      <c r="J438" t="s">
        <v>24</v>
      </c>
      <c r="K438" t="s">
        <v>1368</v>
      </c>
      <c r="L438"/>
      <c r="M438" s="1">
        <v>511</v>
      </c>
      <c r="N438" s="1" t="s">
        <v>517</v>
      </c>
      <c r="O438" s="2">
        <v>46032.138391203705</v>
      </c>
      <c r="P438" s="92">
        <v>23.927981753387776</v>
      </c>
      <c r="Q438" s="93">
        <v>781.8572961185713</v>
      </c>
    </row>
    <row r="439" spans="1:17" x14ac:dyDescent="0.3">
      <c r="A439">
        <v>5</v>
      </c>
      <c r="B439" s="84">
        <v>4.2</v>
      </c>
      <c r="C439" s="78">
        <v>45971</v>
      </c>
      <c r="D439" s="78">
        <v>45973</v>
      </c>
      <c r="E439">
        <v>37</v>
      </c>
      <c r="F439" t="s">
        <v>921</v>
      </c>
      <c r="G439" t="s">
        <v>926</v>
      </c>
      <c r="H439">
        <v>25</v>
      </c>
      <c r="I439">
        <v>22</v>
      </c>
      <c r="J439" t="s">
        <v>24</v>
      </c>
      <c r="K439" t="s">
        <v>1369</v>
      </c>
      <c r="L439"/>
      <c r="M439" s="4">
        <v>512</v>
      </c>
      <c r="N439" s="4" t="s">
        <v>518</v>
      </c>
      <c r="O439" s="12">
        <v>46032.142141203702</v>
      </c>
      <c r="P439" s="92">
        <v>32.704428119818353</v>
      </c>
      <c r="Q439" s="93">
        <v>863.59660899095422</v>
      </c>
    </row>
    <row r="440" spans="1:17" x14ac:dyDescent="0.3">
      <c r="A440">
        <v>5</v>
      </c>
      <c r="B440" s="84">
        <v>4.2</v>
      </c>
      <c r="C440" s="78">
        <v>45971</v>
      </c>
      <c r="D440" s="78">
        <v>45973</v>
      </c>
      <c r="E440">
        <v>34</v>
      </c>
      <c r="F440" t="s">
        <v>932</v>
      </c>
      <c r="G440" t="s">
        <v>930</v>
      </c>
      <c r="H440">
        <v>25</v>
      </c>
      <c r="I440">
        <v>23</v>
      </c>
      <c r="J440" t="s">
        <v>24</v>
      </c>
      <c r="K440" t="s">
        <v>1370</v>
      </c>
      <c r="L440"/>
      <c r="M440" s="1">
        <v>513</v>
      </c>
      <c r="N440" s="1" t="s">
        <v>519</v>
      </c>
      <c r="O440" s="2">
        <v>46032.145879629628</v>
      </c>
      <c r="P440" s="92">
        <v>14.493505313586819</v>
      </c>
      <c r="Q440" s="93">
        <v>821.09865485283615</v>
      </c>
    </row>
    <row r="441" spans="1:17" x14ac:dyDescent="0.3">
      <c r="A441">
        <v>5</v>
      </c>
      <c r="B441" s="84">
        <v>4.2</v>
      </c>
      <c r="C441" s="78">
        <v>45971</v>
      </c>
      <c r="D441" s="78">
        <v>45973</v>
      </c>
      <c r="E441">
        <v>38</v>
      </c>
      <c r="F441" t="s">
        <v>925</v>
      </c>
      <c r="G441" t="s">
        <v>933</v>
      </c>
      <c r="H441">
        <v>25</v>
      </c>
      <c r="I441">
        <v>24</v>
      </c>
      <c r="J441" t="s">
        <v>24</v>
      </c>
      <c r="K441" t="s">
        <v>1371</v>
      </c>
      <c r="L441"/>
      <c r="M441" s="4">
        <v>514</v>
      </c>
      <c r="N441" s="4" t="s">
        <v>520</v>
      </c>
      <c r="O441" s="12">
        <v>46032.149629629632</v>
      </c>
      <c r="P441" s="92">
        <v>17.39537012646247</v>
      </c>
      <c r="Q441" s="93">
        <v>804.3194663081116</v>
      </c>
    </row>
    <row r="442" spans="1:17" x14ac:dyDescent="0.3">
      <c r="A442">
        <v>5</v>
      </c>
      <c r="B442" s="84">
        <v>4.2</v>
      </c>
      <c r="C442" s="78">
        <v>45971</v>
      </c>
      <c r="D442" s="78">
        <v>45973</v>
      </c>
      <c r="E442">
        <v>35</v>
      </c>
      <c r="F442" t="s">
        <v>913</v>
      </c>
      <c r="G442" t="s">
        <v>907</v>
      </c>
      <c r="H442">
        <v>25</v>
      </c>
      <c r="I442">
        <v>25</v>
      </c>
      <c r="J442" t="s">
        <v>25</v>
      </c>
      <c r="K442" t="s">
        <v>1372</v>
      </c>
      <c r="L442"/>
      <c r="M442" s="1">
        <v>515</v>
      </c>
      <c r="N442" s="1" t="s">
        <v>521</v>
      </c>
      <c r="O442" s="2">
        <v>46032.153368055559</v>
      </c>
      <c r="P442" s="92">
        <v>17.333269857072537</v>
      </c>
      <c r="Q442" s="93">
        <v>715.49343420266462</v>
      </c>
    </row>
    <row r="443" spans="1:17" x14ac:dyDescent="0.3">
      <c r="A443">
        <v>5</v>
      </c>
      <c r="B443" s="84">
        <v>4.2</v>
      </c>
      <c r="C443" s="78">
        <v>45971</v>
      </c>
      <c r="D443" s="78">
        <v>45973</v>
      </c>
      <c r="E443">
        <v>40</v>
      </c>
      <c r="F443" t="s">
        <v>906</v>
      </c>
      <c r="G443" t="s">
        <v>15</v>
      </c>
      <c r="H443">
        <v>25</v>
      </c>
      <c r="I443">
        <v>26</v>
      </c>
      <c r="J443" t="s">
        <v>25</v>
      </c>
      <c r="K443" t="s">
        <v>1373</v>
      </c>
      <c r="L443"/>
      <c r="M443" s="4">
        <v>516</v>
      </c>
      <c r="N443" s="4" t="s">
        <v>522</v>
      </c>
      <c r="O443" s="12">
        <v>46032.157106481478</v>
      </c>
      <c r="P443" s="92">
        <v>44.917675030342224</v>
      </c>
      <c r="Q443" s="93">
        <v>851.77451389235705</v>
      </c>
    </row>
    <row r="444" spans="1:17" x14ac:dyDescent="0.3">
      <c r="A444">
        <v>5</v>
      </c>
      <c r="B444" s="84">
        <v>4.2</v>
      </c>
      <c r="C444" s="78">
        <v>45971</v>
      </c>
      <c r="D444" s="78">
        <v>45973</v>
      </c>
      <c r="E444">
        <v>36</v>
      </c>
      <c r="F444" t="s">
        <v>917</v>
      </c>
      <c r="G444" t="s">
        <v>914</v>
      </c>
      <c r="H444">
        <v>25</v>
      </c>
      <c r="I444">
        <v>27</v>
      </c>
      <c r="J444" t="s">
        <v>25</v>
      </c>
      <c r="K444" t="s">
        <v>1374</v>
      </c>
      <c r="L444"/>
      <c r="M444" s="1">
        <v>517</v>
      </c>
      <c r="N444" s="1" t="s">
        <v>523</v>
      </c>
      <c r="O444" s="2">
        <v>46032.160844907405</v>
      </c>
      <c r="P444" s="92">
        <v>28.349520000195248</v>
      </c>
      <c r="Q444" s="93">
        <v>702.12116368641409</v>
      </c>
    </row>
    <row r="445" spans="1:17" x14ac:dyDescent="0.3">
      <c r="A445">
        <v>5</v>
      </c>
      <c r="B445" s="84">
        <v>4.2</v>
      </c>
      <c r="C445" s="78">
        <v>45971</v>
      </c>
      <c r="D445" s="78">
        <v>45973</v>
      </c>
      <c r="E445">
        <v>39</v>
      </c>
      <c r="F445" t="s">
        <v>929</v>
      </c>
      <c r="G445" t="s">
        <v>918</v>
      </c>
      <c r="H445">
        <v>25</v>
      </c>
      <c r="I445">
        <v>28</v>
      </c>
      <c r="J445" t="s">
        <v>25</v>
      </c>
      <c r="K445" t="s">
        <v>1375</v>
      </c>
      <c r="L445"/>
      <c r="M445" s="63">
        <v>518</v>
      </c>
      <c r="N445" s="63" t="s">
        <v>524</v>
      </c>
      <c r="O445" s="64">
        <v>46032.164675925924</v>
      </c>
      <c r="P445" s="92">
        <v>14.153513681635028</v>
      </c>
      <c r="Q445" s="93">
        <v>777.48723312995264</v>
      </c>
    </row>
    <row r="446" spans="1:17" x14ac:dyDescent="0.3">
      <c r="A446">
        <v>6</v>
      </c>
      <c r="B446" s="84">
        <v>4.2</v>
      </c>
      <c r="C446" s="78">
        <v>45971</v>
      </c>
      <c r="D446" s="78">
        <v>45973</v>
      </c>
      <c r="E446">
        <v>33</v>
      </c>
      <c r="F446" t="s">
        <v>910</v>
      </c>
      <c r="G446" t="s">
        <v>922</v>
      </c>
      <c r="H446">
        <v>25</v>
      </c>
      <c r="I446">
        <v>29</v>
      </c>
      <c r="J446" t="s">
        <v>25</v>
      </c>
      <c r="K446" t="s">
        <v>1376</v>
      </c>
      <c r="L446"/>
      <c r="M446" s="1">
        <v>532</v>
      </c>
      <c r="N446" s="1" t="s">
        <v>535</v>
      </c>
      <c r="O446" s="2">
        <v>46033.586689814816</v>
      </c>
      <c r="P446" s="92">
        <v>30.445482234628649</v>
      </c>
      <c r="Q446" s="93">
        <v>895.17070848518961</v>
      </c>
    </row>
    <row r="447" spans="1:17" x14ac:dyDescent="0.3">
      <c r="A447">
        <v>6</v>
      </c>
      <c r="B447" s="84">
        <v>4.2</v>
      </c>
      <c r="C447" s="78">
        <v>45971</v>
      </c>
      <c r="D447" s="78">
        <v>45973</v>
      </c>
      <c r="E447">
        <v>37</v>
      </c>
      <c r="F447" t="s">
        <v>921</v>
      </c>
      <c r="G447" t="s">
        <v>926</v>
      </c>
      <c r="H447">
        <v>25</v>
      </c>
      <c r="I447">
        <v>30</v>
      </c>
      <c r="J447" t="s">
        <v>25</v>
      </c>
      <c r="K447" t="s">
        <v>1377</v>
      </c>
      <c r="L447"/>
      <c r="M447" s="4">
        <v>533</v>
      </c>
      <c r="N447" s="4" t="s">
        <v>536</v>
      </c>
      <c r="O447" s="12">
        <v>46033.590416666666</v>
      </c>
      <c r="P447" s="92">
        <v>42.928907942107905</v>
      </c>
      <c r="Q447" s="93">
        <v>989.8019511580876</v>
      </c>
    </row>
    <row r="448" spans="1:17" x14ac:dyDescent="0.3">
      <c r="A448">
        <v>6</v>
      </c>
      <c r="B448" s="84">
        <v>4.2</v>
      </c>
      <c r="C448" s="78">
        <v>45971</v>
      </c>
      <c r="D448" s="78">
        <v>45973</v>
      </c>
      <c r="E448">
        <v>34</v>
      </c>
      <c r="F448" t="s">
        <v>932</v>
      </c>
      <c r="G448" t="s">
        <v>930</v>
      </c>
      <c r="H448">
        <v>25</v>
      </c>
      <c r="I448">
        <v>31</v>
      </c>
      <c r="J448" t="s">
        <v>25</v>
      </c>
      <c r="K448" t="s">
        <v>1378</v>
      </c>
      <c r="L448"/>
      <c r="M448" s="1">
        <v>534</v>
      </c>
      <c r="N448" s="1" t="s">
        <v>537</v>
      </c>
      <c r="O448" s="2">
        <v>46033.594143518516</v>
      </c>
      <c r="P448" s="92">
        <v>27.964106074679965</v>
      </c>
      <c r="Q448" s="93">
        <v>801.28259871169291</v>
      </c>
    </row>
    <row r="449" spans="1:17" x14ac:dyDescent="0.3">
      <c r="A449">
        <v>6</v>
      </c>
      <c r="B449" s="84">
        <v>4.2</v>
      </c>
      <c r="C449" s="78">
        <v>45971</v>
      </c>
      <c r="D449" s="78">
        <v>45973</v>
      </c>
      <c r="E449">
        <v>38</v>
      </c>
      <c r="F449" t="s">
        <v>925</v>
      </c>
      <c r="G449" t="s">
        <v>933</v>
      </c>
      <c r="H449">
        <v>25</v>
      </c>
      <c r="I449">
        <v>32</v>
      </c>
      <c r="J449" t="s">
        <v>25</v>
      </c>
      <c r="K449" t="s">
        <v>1379</v>
      </c>
      <c r="L449"/>
      <c r="M449" s="4">
        <v>535</v>
      </c>
      <c r="N449" s="4" t="s">
        <v>538</v>
      </c>
      <c r="O449" s="12">
        <v>46033.597870370373</v>
      </c>
      <c r="P449" s="92">
        <v>27.691044941303005</v>
      </c>
      <c r="Q449" s="93">
        <v>844.89605758328707</v>
      </c>
    </row>
    <row r="450" spans="1:17" x14ac:dyDescent="0.3">
      <c r="A450">
        <v>6</v>
      </c>
      <c r="B450" s="84">
        <v>4.3</v>
      </c>
      <c r="C450" s="78">
        <v>45972</v>
      </c>
      <c r="D450" s="78">
        <v>45974</v>
      </c>
      <c r="E450">
        <v>35</v>
      </c>
      <c r="F450" t="s">
        <v>913</v>
      </c>
      <c r="G450" t="s">
        <v>907</v>
      </c>
      <c r="H450">
        <v>49</v>
      </c>
      <c r="I450">
        <v>1</v>
      </c>
      <c r="J450" t="s">
        <v>908</v>
      </c>
      <c r="K450" t="s">
        <v>1380</v>
      </c>
      <c r="L450"/>
      <c r="M450" s="1">
        <v>536</v>
      </c>
      <c r="N450" s="1" t="s">
        <v>539</v>
      </c>
      <c r="O450" s="2">
        <v>46033.601643518516</v>
      </c>
      <c r="P450" s="92">
        <v>-14.719989110237551</v>
      </c>
      <c r="Q450" s="93">
        <v>668.54857393154225</v>
      </c>
    </row>
    <row r="451" spans="1:17" x14ac:dyDescent="0.3">
      <c r="A451">
        <v>6</v>
      </c>
      <c r="B451" s="84">
        <v>4.3</v>
      </c>
      <c r="C451" s="78">
        <v>45972</v>
      </c>
      <c r="D451" s="78">
        <v>45974</v>
      </c>
      <c r="E451">
        <v>40</v>
      </c>
      <c r="F451" t="s">
        <v>906</v>
      </c>
      <c r="G451" t="s">
        <v>15</v>
      </c>
      <c r="H451">
        <v>49</v>
      </c>
      <c r="I451">
        <v>2</v>
      </c>
      <c r="J451" t="s">
        <v>908</v>
      </c>
      <c r="K451" t="s">
        <v>1381</v>
      </c>
      <c r="L451"/>
      <c r="M451" s="4">
        <v>537</v>
      </c>
      <c r="N451" s="4" t="s">
        <v>540</v>
      </c>
      <c r="O451" s="12">
        <v>46033.605393518519</v>
      </c>
      <c r="P451" s="92">
        <v>-10.163632708354509</v>
      </c>
      <c r="Q451" s="93">
        <v>671.24016850929206</v>
      </c>
    </row>
    <row r="452" spans="1:17" x14ac:dyDescent="0.3">
      <c r="A452">
        <v>6</v>
      </c>
      <c r="B452" s="84">
        <v>4.3</v>
      </c>
      <c r="C452" s="78">
        <v>45972</v>
      </c>
      <c r="D452" s="78">
        <v>45974</v>
      </c>
      <c r="E452">
        <v>36</v>
      </c>
      <c r="F452" t="s">
        <v>917</v>
      </c>
      <c r="G452" t="s">
        <v>914</v>
      </c>
      <c r="H452">
        <v>49</v>
      </c>
      <c r="I452">
        <v>3</v>
      </c>
      <c r="J452" t="s">
        <v>908</v>
      </c>
      <c r="K452" t="s">
        <v>1382</v>
      </c>
      <c r="L452"/>
      <c r="M452" s="1">
        <v>538</v>
      </c>
      <c r="N452" s="1" t="s">
        <v>541</v>
      </c>
      <c r="O452" s="2">
        <v>46033.609120370369</v>
      </c>
      <c r="P452" s="92">
        <v>-14.27828189412015</v>
      </c>
      <c r="Q452" s="93">
        <v>658.24699715541635</v>
      </c>
    </row>
    <row r="453" spans="1:17" x14ac:dyDescent="0.3">
      <c r="A453">
        <v>6</v>
      </c>
      <c r="B453" s="84">
        <v>4.3</v>
      </c>
      <c r="C453" s="78">
        <v>45972</v>
      </c>
      <c r="D453" s="78">
        <v>45974</v>
      </c>
      <c r="E453">
        <v>39</v>
      </c>
      <c r="F453" t="s">
        <v>929</v>
      </c>
      <c r="G453" t="s">
        <v>918</v>
      </c>
      <c r="H453">
        <v>49</v>
      </c>
      <c r="I453">
        <v>4</v>
      </c>
      <c r="J453" t="s">
        <v>908</v>
      </c>
      <c r="K453" t="s">
        <v>1383</v>
      </c>
      <c r="L453"/>
      <c r="M453" s="4">
        <v>539</v>
      </c>
      <c r="N453" s="4" t="s">
        <v>542</v>
      </c>
      <c r="O453" s="12">
        <v>46033.612847222219</v>
      </c>
      <c r="P453" s="92">
        <v>-15.672208703092537</v>
      </c>
      <c r="Q453" s="93">
        <v>695.66927684223049</v>
      </c>
    </row>
    <row r="454" spans="1:17" x14ac:dyDescent="0.3">
      <c r="A454">
        <v>6</v>
      </c>
      <c r="B454" s="84">
        <v>4.3</v>
      </c>
      <c r="C454" s="78">
        <v>45972</v>
      </c>
      <c r="D454" s="78">
        <v>45974</v>
      </c>
      <c r="E454">
        <v>33</v>
      </c>
      <c r="F454" t="s">
        <v>910</v>
      </c>
      <c r="G454" t="s">
        <v>922</v>
      </c>
      <c r="H454">
        <v>49</v>
      </c>
      <c r="I454">
        <v>5</v>
      </c>
      <c r="J454" t="s">
        <v>908</v>
      </c>
      <c r="K454" t="s">
        <v>1384</v>
      </c>
      <c r="L454"/>
      <c r="M454" s="1">
        <v>540</v>
      </c>
      <c r="N454" s="1" t="s">
        <v>543</v>
      </c>
      <c r="O454" s="2">
        <v>46033.616585648146</v>
      </c>
      <c r="P454" s="92">
        <v>-13.447189792675767</v>
      </c>
      <c r="Q454" s="93">
        <v>657.15645933753297</v>
      </c>
    </row>
    <row r="455" spans="1:17" x14ac:dyDescent="0.3">
      <c r="A455">
        <v>6</v>
      </c>
      <c r="B455" s="84">
        <v>4.3</v>
      </c>
      <c r="C455" s="78">
        <v>45972</v>
      </c>
      <c r="D455" s="78">
        <v>45974</v>
      </c>
      <c r="E455">
        <v>37</v>
      </c>
      <c r="F455" t="s">
        <v>921</v>
      </c>
      <c r="G455" t="s">
        <v>926</v>
      </c>
      <c r="H455">
        <v>49</v>
      </c>
      <c r="I455">
        <v>6</v>
      </c>
      <c r="J455" t="s">
        <v>908</v>
      </c>
      <c r="K455" t="s">
        <v>1385</v>
      </c>
      <c r="L455"/>
      <c r="M455" s="4">
        <v>541</v>
      </c>
      <c r="N455" s="4" t="s">
        <v>544</v>
      </c>
      <c r="O455" s="12">
        <v>46033.620312500003</v>
      </c>
      <c r="P455" s="92">
        <v>-11.43451509921891</v>
      </c>
      <c r="Q455" s="93">
        <v>715.16445837368053</v>
      </c>
    </row>
    <row r="456" spans="1:17" x14ac:dyDescent="0.3">
      <c r="A456">
        <v>6</v>
      </c>
      <c r="B456" s="84">
        <v>4.3</v>
      </c>
      <c r="C456" s="78">
        <v>45972</v>
      </c>
      <c r="D456" s="78">
        <v>45974</v>
      </c>
      <c r="E456">
        <v>34</v>
      </c>
      <c r="F456" t="s">
        <v>932</v>
      </c>
      <c r="G456" t="s">
        <v>930</v>
      </c>
      <c r="H456">
        <v>49</v>
      </c>
      <c r="I456">
        <v>7</v>
      </c>
      <c r="J456" t="s">
        <v>908</v>
      </c>
      <c r="K456" t="s">
        <v>1386</v>
      </c>
      <c r="L456"/>
      <c r="M456" s="1">
        <v>542</v>
      </c>
      <c r="N456" s="1" t="s">
        <v>545</v>
      </c>
      <c r="O456" s="2">
        <v>46033.624050925922</v>
      </c>
      <c r="P456" s="92">
        <v>-12.265576098907014</v>
      </c>
      <c r="Q456" s="93">
        <v>723.50677184573669</v>
      </c>
    </row>
    <row r="457" spans="1:17" x14ac:dyDescent="0.3">
      <c r="A457">
        <v>6</v>
      </c>
      <c r="B457" s="84">
        <v>4.3</v>
      </c>
      <c r="C457" s="78">
        <v>45972</v>
      </c>
      <c r="D457" s="78">
        <v>45974</v>
      </c>
      <c r="E457">
        <v>38</v>
      </c>
      <c r="F457" t="s">
        <v>925</v>
      </c>
      <c r="G457" t="s">
        <v>933</v>
      </c>
      <c r="H457">
        <v>49</v>
      </c>
      <c r="I457">
        <v>8</v>
      </c>
      <c r="J457" t="s">
        <v>908</v>
      </c>
      <c r="K457" t="s">
        <v>1387</v>
      </c>
      <c r="L457"/>
      <c r="M457" s="4">
        <v>543</v>
      </c>
      <c r="N457" s="4" t="s">
        <v>546</v>
      </c>
      <c r="O457" s="12">
        <v>46033.627812500003</v>
      </c>
      <c r="P457" s="92">
        <v>-14.806219331957235</v>
      </c>
      <c r="Q457" s="93">
        <v>732.15451549772649</v>
      </c>
    </row>
    <row r="458" spans="1:17" x14ac:dyDescent="0.3">
      <c r="A458">
        <v>6</v>
      </c>
      <c r="B458" s="84">
        <v>4.3</v>
      </c>
      <c r="C458" s="78">
        <v>45972</v>
      </c>
      <c r="D458" s="78">
        <v>45974</v>
      </c>
      <c r="E458">
        <v>35</v>
      </c>
      <c r="F458" t="s">
        <v>913</v>
      </c>
      <c r="G458" t="s">
        <v>907</v>
      </c>
      <c r="H458">
        <v>49</v>
      </c>
      <c r="I458">
        <v>9</v>
      </c>
      <c r="J458" t="s">
        <v>935</v>
      </c>
      <c r="K458" t="s">
        <v>1388</v>
      </c>
      <c r="L458"/>
      <c r="M458" s="1">
        <v>544</v>
      </c>
      <c r="N458" s="1" t="s">
        <v>547</v>
      </c>
      <c r="O458" s="2">
        <v>46033.631550925929</v>
      </c>
      <c r="P458" s="92">
        <v>9.945760814136456</v>
      </c>
      <c r="Q458" s="93">
        <v>700.47022047091389</v>
      </c>
    </row>
    <row r="459" spans="1:17" x14ac:dyDescent="0.3">
      <c r="A459">
        <v>6</v>
      </c>
      <c r="B459" s="84">
        <v>4.3</v>
      </c>
      <c r="C459" s="78">
        <v>45972</v>
      </c>
      <c r="D459" s="78">
        <v>45974</v>
      </c>
      <c r="E459">
        <v>40</v>
      </c>
      <c r="F459" t="s">
        <v>906</v>
      </c>
      <c r="G459" t="s">
        <v>15</v>
      </c>
      <c r="H459">
        <v>49</v>
      </c>
      <c r="I459">
        <v>10</v>
      </c>
      <c r="J459" t="s">
        <v>935</v>
      </c>
      <c r="K459" t="s">
        <v>1389</v>
      </c>
      <c r="L459"/>
      <c r="M459" s="4">
        <v>545</v>
      </c>
      <c r="N459" s="4" t="s">
        <v>548</v>
      </c>
      <c r="O459" s="12">
        <v>46033.635254629633</v>
      </c>
      <c r="P459" s="92">
        <v>27.834678936308745</v>
      </c>
      <c r="Q459" s="93">
        <v>760.93265207445802</v>
      </c>
    </row>
    <row r="460" spans="1:17" x14ac:dyDescent="0.3">
      <c r="A460">
        <v>6</v>
      </c>
      <c r="B460" s="84">
        <v>4.3</v>
      </c>
      <c r="C460" s="78">
        <v>45972</v>
      </c>
      <c r="D460" s="78">
        <v>45974</v>
      </c>
      <c r="E460">
        <v>36</v>
      </c>
      <c r="F460" t="s">
        <v>917</v>
      </c>
      <c r="G460" t="s">
        <v>914</v>
      </c>
      <c r="H460">
        <v>49</v>
      </c>
      <c r="I460">
        <v>11</v>
      </c>
      <c r="J460" t="s">
        <v>935</v>
      </c>
      <c r="K460" t="s">
        <v>1390</v>
      </c>
      <c r="L460"/>
      <c r="M460" s="1">
        <v>546</v>
      </c>
      <c r="N460" s="1" t="s">
        <v>549</v>
      </c>
      <c r="O460" s="2">
        <v>46033.638993055552</v>
      </c>
      <c r="P460" s="92">
        <v>21.315522334589545</v>
      </c>
      <c r="Q460" s="93">
        <v>693.06139486382028</v>
      </c>
    </row>
    <row r="461" spans="1:17" x14ac:dyDescent="0.3">
      <c r="A461">
        <v>6</v>
      </c>
      <c r="B461" s="84">
        <v>4.3</v>
      </c>
      <c r="C461" s="78">
        <v>45972</v>
      </c>
      <c r="D461" s="78">
        <v>45974</v>
      </c>
      <c r="E461">
        <v>39</v>
      </c>
      <c r="F461" t="s">
        <v>929</v>
      </c>
      <c r="G461" t="s">
        <v>918</v>
      </c>
      <c r="H461">
        <v>49</v>
      </c>
      <c r="I461">
        <v>12</v>
      </c>
      <c r="J461" t="s">
        <v>935</v>
      </c>
      <c r="K461" t="s">
        <v>1391</v>
      </c>
      <c r="L461"/>
      <c r="M461" s="4">
        <v>547</v>
      </c>
      <c r="N461" s="4" t="s">
        <v>550</v>
      </c>
      <c r="O461" s="12">
        <v>46033.642708333333</v>
      </c>
      <c r="P461" s="92">
        <v>7.2080388858521207</v>
      </c>
      <c r="Q461" s="93">
        <v>705.86127396794757</v>
      </c>
    </row>
    <row r="462" spans="1:17" x14ac:dyDescent="0.3">
      <c r="A462">
        <v>6</v>
      </c>
      <c r="B462" s="84">
        <v>4.3</v>
      </c>
      <c r="C462" s="78">
        <v>45972</v>
      </c>
      <c r="D462" s="78">
        <v>45974</v>
      </c>
      <c r="E462">
        <v>33</v>
      </c>
      <c r="F462" t="s">
        <v>910</v>
      </c>
      <c r="G462" t="s">
        <v>922</v>
      </c>
      <c r="H462">
        <v>49</v>
      </c>
      <c r="I462">
        <v>13</v>
      </c>
      <c r="J462" t="s">
        <v>935</v>
      </c>
      <c r="K462" t="s">
        <v>1392</v>
      </c>
      <c r="L462"/>
      <c r="M462" s="1">
        <v>548</v>
      </c>
      <c r="N462" s="1" t="s">
        <v>551</v>
      </c>
      <c r="O462" s="2">
        <v>46033.64644675926</v>
      </c>
      <c r="P462" s="92">
        <v>27.462476962627324</v>
      </c>
      <c r="Q462" s="93">
        <v>721.99032782068662</v>
      </c>
    </row>
    <row r="463" spans="1:17" x14ac:dyDescent="0.3">
      <c r="A463">
        <v>6</v>
      </c>
      <c r="B463" s="84">
        <v>4.3</v>
      </c>
      <c r="C463" s="78">
        <v>45972</v>
      </c>
      <c r="D463" s="78">
        <v>45974</v>
      </c>
      <c r="E463">
        <v>37</v>
      </c>
      <c r="F463" t="s">
        <v>921</v>
      </c>
      <c r="G463" t="s">
        <v>926</v>
      </c>
      <c r="H463">
        <v>49</v>
      </c>
      <c r="I463">
        <v>14</v>
      </c>
      <c r="J463" t="s">
        <v>935</v>
      </c>
      <c r="K463" t="s">
        <v>1393</v>
      </c>
      <c r="L463"/>
      <c r="M463" s="4">
        <v>549</v>
      </c>
      <c r="N463" s="4" t="s">
        <v>552</v>
      </c>
      <c r="O463" s="12">
        <v>46033.650185185186</v>
      </c>
      <c r="P463" s="92">
        <v>32.81876081836937</v>
      </c>
      <c r="Q463" s="93">
        <v>835.07823256259826</v>
      </c>
    </row>
    <row r="464" spans="1:17" x14ac:dyDescent="0.3">
      <c r="A464">
        <v>6</v>
      </c>
      <c r="B464" s="84">
        <v>4.3</v>
      </c>
      <c r="C464" s="78">
        <v>45972</v>
      </c>
      <c r="D464" s="78">
        <v>45974</v>
      </c>
      <c r="E464">
        <v>34</v>
      </c>
      <c r="F464" t="s">
        <v>932</v>
      </c>
      <c r="G464" t="s">
        <v>930</v>
      </c>
      <c r="H464">
        <v>49</v>
      </c>
      <c r="I464">
        <v>15</v>
      </c>
      <c r="J464" t="s">
        <v>935</v>
      </c>
      <c r="K464" t="s">
        <v>1394</v>
      </c>
      <c r="L464"/>
      <c r="M464" s="1">
        <v>550</v>
      </c>
      <c r="N464" s="1" t="s">
        <v>553</v>
      </c>
      <c r="O464" s="2">
        <v>46033.653923611113</v>
      </c>
      <c r="P464" s="92">
        <v>27.217087591073771</v>
      </c>
      <c r="Q464" s="93">
        <v>704.17588872657291</v>
      </c>
    </row>
    <row r="465" spans="1:17" x14ac:dyDescent="0.3">
      <c r="A465">
        <v>6</v>
      </c>
      <c r="B465" s="84">
        <v>4.3</v>
      </c>
      <c r="C465" s="78">
        <v>45972</v>
      </c>
      <c r="D465" s="78">
        <v>45974</v>
      </c>
      <c r="E465">
        <v>38</v>
      </c>
      <c r="F465" t="s">
        <v>925</v>
      </c>
      <c r="G465" t="s">
        <v>933</v>
      </c>
      <c r="H465">
        <v>49</v>
      </c>
      <c r="I465">
        <v>16</v>
      </c>
      <c r="J465" t="s">
        <v>935</v>
      </c>
      <c r="K465" t="s">
        <v>1395</v>
      </c>
      <c r="L465"/>
      <c r="M465" s="4">
        <v>551</v>
      </c>
      <c r="N465" s="4" t="s">
        <v>554</v>
      </c>
      <c r="O465" s="12">
        <v>46033.65766203704</v>
      </c>
      <c r="P465" s="92">
        <v>20.911590704591376</v>
      </c>
      <c r="Q465" s="93">
        <v>763.92683429905696</v>
      </c>
    </row>
    <row r="466" spans="1:17" x14ac:dyDescent="0.3">
      <c r="A466">
        <v>6</v>
      </c>
      <c r="B466" s="84">
        <v>4.3</v>
      </c>
      <c r="C466" s="78">
        <v>45972</v>
      </c>
      <c r="D466" s="78">
        <v>45974</v>
      </c>
      <c r="E466">
        <v>35</v>
      </c>
      <c r="F466" t="s">
        <v>913</v>
      </c>
      <c r="G466" t="s">
        <v>907</v>
      </c>
      <c r="H466">
        <v>49</v>
      </c>
      <c r="I466">
        <v>17</v>
      </c>
      <c r="J466" t="s">
        <v>24</v>
      </c>
      <c r="K466" t="s">
        <v>1396</v>
      </c>
      <c r="L466"/>
      <c r="M466" s="1">
        <v>552</v>
      </c>
      <c r="N466" s="1" t="s">
        <v>555</v>
      </c>
      <c r="O466" s="2">
        <v>46033.661412037036</v>
      </c>
      <c r="P466" s="92">
        <v>32.07008424959691</v>
      </c>
      <c r="Q466" s="93">
        <v>656.6864938675559</v>
      </c>
    </row>
    <row r="467" spans="1:17" x14ac:dyDescent="0.3">
      <c r="A467">
        <v>6</v>
      </c>
      <c r="B467" s="84">
        <v>4.3</v>
      </c>
      <c r="C467" s="78">
        <v>45972</v>
      </c>
      <c r="D467" s="78">
        <v>45974</v>
      </c>
      <c r="E467">
        <v>40</v>
      </c>
      <c r="F467" t="s">
        <v>906</v>
      </c>
      <c r="G467" t="s">
        <v>15</v>
      </c>
      <c r="H467">
        <v>49</v>
      </c>
      <c r="I467">
        <v>18</v>
      </c>
      <c r="J467" t="s">
        <v>24</v>
      </c>
      <c r="K467" t="s">
        <v>1397</v>
      </c>
      <c r="L467"/>
      <c r="M467" s="4">
        <v>553</v>
      </c>
      <c r="N467" s="4" t="s">
        <v>556</v>
      </c>
      <c r="O467" s="12">
        <v>46033.665138888886</v>
      </c>
      <c r="P467" s="92">
        <v>53.2014531943869</v>
      </c>
      <c r="Q467" s="93">
        <v>799.8606689117039</v>
      </c>
    </row>
    <row r="468" spans="1:17" x14ac:dyDescent="0.3">
      <c r="A468">
        <v>6</v>
      </c>
      <c r="B468" s="84">
        <v>4.3</v>
      </c>
      <c r="C468" s="78">
        <v>45972</v>
      </c>
      <c r="D468" s="78">
        <v>45974</v>
      </c>
      <c r="E468">
        <v>36</v>
      </c>
      <c r="F468" t="s">
        <v>917</v>
      </c>
      <c r="G468" t="s">
        <v>914</v>
      </c>
      <c r="H468">
        <v>49</v>
      </c>
      <c r="I468">
        <v>19</v>
      </c>
      <c r="J468" t="s">
        <v>24</v>
      </c>
      <c r="K468" t="s">
        <v>1398</v>
      </c>
      <c r="L468"/>
      <c r="M468" s="1">
        <v>554</v>
      </c>
      <c r="N468" s="1" t="s">
        <v>557</v>
      </c>
      <c r="O468" s="2">
        <v>46033.668877314813</v>
      </c>
      <c r="P468" s="92">
        <v>42.00718141532117</v>
      </c>
      <c r="Q468" s="93">
        <v>746.12357583507594</v>
      </c>
    </row>
    <row r="469" spans="1:17" x14ac:dyDescent="0.3">
      <c r="A469">
        <v>6</v>
      </c>
      <c r="B469" s="84">
        <v>4.3</v>
      </c>
      <c r="C469" s="78">
        <v>45972</v>
      </c>
      <c r="D469" s="78">
        <v>45974</v>
      </c>
      <c r="E469">
        <v>39</v>
      </c>
      <c r="F469" t="s">
        <v>929</v>
      </c>
      <c r="G469" t="s">
        <v>918</v>
      </c>
      <c r="H469">
        <v>49</v>
      </c>
      <c r="I469">
        <v>20</v>
      </c>
      <c r="J469" t="s">
        <v>24</v>
      </c>
      <c r="K469" t="s">
        <v>1399</v>
      </c>
      <c r="L469"/>
      <c r="M469" s="4">
        <v>555</v>
      </c>
      <c r="N469" s="4" t="s">
        <v>558</v>
      </c>
      <c r="O469" s="12">
        <v>46033.672627314816</v>
      </c>
      <c r="P469" s="92">
        <v>23.938225377076556</v>
      </c>
      <c r="Q469" s="93">
        <v>727.39782063405914</v>
      </c>
    </row>
    <row r="470" spans="1:17" x14ac:dyDescent="0.3">
      <c r="A470">
        <v>6</v>
      </c>
      <c r="B470" s="84">
        <v>4.3</v>
      </c>
      <c r="C470" s="78">
        <v>45972</v>
      </c>
      <c r="D470" s="78">
        <v>45974</v>
      </c>
      <c r="E470">
        <v>33</v>
      </c>
      <c r="F470" t="s">
        <v>910</v>
      </c>
      <c r="G470" t="s">
        <v>922</v>
      </c>
      <c r="H470">
        <v>49</v>
      </c>
      <c r="I470">
        <v>21</v>
      </c>
      <c r="J470" t="s">
        <v>24</v>
      </c>
      <c r="K470" t="s">
        <v>1400</v>
      </c>
      <c r="L470"/>
      <c r="M470" s="1">
        <v>556</v>
      </c>
      <c r="N470" s="1" t="s">
        <v>559</v>
      </c>
      <c r="O470" s="2">
        <v>46033.676354166666</v>
      </c>
      <c r="P470" s="92">
        <v>51.903537566924349</v>
      </c>
      <c r="Q470" s="93">
        <v>754.93064346645417</v>
      </c>
    </row>
    <row r="471" spans="1:17" x14ac:dyDescent="0.3">
      <c r="A471">
        <v>6</v>
      </c>
      <c r="B471" s="84">
        <v>4.3</v>
      </c>
      <c r="C471" s="78">
        <v>45972</v>
      </c>
      <c r="D471" s="78">
        <v>45974</v>
      </c>
      <c r="E471">
        <v>37</v>
      </c>
      <c r="F471" t="s">
        <v>921</v>
      </c>
      <c r="G471" t="s">
        <v>926</v>
      </c>
      <c r="H471">
        <v>49</v>
      </c>
      <c r="I471">
        <v>22</v>
      </c>
      <c r="J471" t="s">
        <v>24</v>
      </c>
      <c r="K471" t="s">
        <v>1401</v>
      </c>
      <c r="L471"/>
      <c r="M471" s="4">
        <v>557</v>
      </c>
      <c r="N471" s="4" t="s">
        <v>560</v>
      </c>
      <c r="O471" s="12">
        <v>46033.680092592593</v>
      </c>
      <c r="P471" s="92">
        <v>57.36508191180279</v>
      </c>
      <c r="Q471" s="93">
        <v>893.60257773355227</v>
      </c>
    </row>
    <row r="472" spans="1:17" x14ac:dyDescent="0.3">
      <c r="A472">
        <v>6</v>
      </c>
      <c r="B472" s="84">
        <v>4.3</v>
      </c>
      <c r="C472" s="78">
        <v>45972</v>
      </c>
      <c r="D472" s="78">
        <v>45974</v>
      </c>
      <c r="E472">
        <v>34</v>
      </c>
      <c r="F472" t="s">
        <v>932</v>
      </c>
      <c r="G472" t="s">
        <v>930</v>
      </c>
      <c r="H472">
        <v>49</v>
      </c>
      <c r="I472">
        <v>23</v>
      </c>
      <c r="J472" t="s">
        <v>24</v>
      </c>
      <c r="K472" t="s">
        <v>1402</v>
      </c>
      <c r="L472"/>
      <c r="M472" s="1">
        <v>558</v>
      </c>
      <c r="N472" s="1" t="s">
        <v>561</v>
      </c>
      <c r="O472" s="2">
        <v>46033.683865740742</v>
      </c>
      <c r="P472" s="92">
        <v>46.291303947668091</v>
      </c>
      <c r="Q472" s="93">
        <v>767.44986980403451</v>
      </c>
    </row>
    <row r="473" spans="1:17" x14ac:dyDescent="0.3">
      <c r="A473">
        <v>6</v>
      </c>
      <c r="B473" s="84">
        <v>4.3</v>
      </c>
      <c r="C473" s="78">
        <v>45972</v>
      </c>
      <c r="D473" s="78">
        <v>45974</v>
      </c>
      <c r="E473">
        <v>38</v>
      </c>
      <c r="F473" t="s">
        <v>925</v>
      </c>
      <c r="G473" t="s">
        <v>933</v>
      </c>
      <c r="H473">
        <v>49</v>
      </c>
      <c r="I473">
        <v>24</v>
      </c>
      <c r="J473" t="s">
        <v>24</v>
      </c>
      <c r="K473" t="s">
        <v>1403</v>
      </c>
      <c r="L473"/>
      <c r="M473" s="4">
        <v>559</v>
      </c>
      <c r="N473" s="4" t="s">
        <v>562</v>
      </c>
      <c r="O473" s="12">
        <v>46033.687604166669</v>
      </c>
      <c r="P473" s="92">
        <v>41.75379745044178</v>
      </c>
      <c r="Q473" s="93">
        <v>811.8287754597435</v>
      </c>
    </row>
    <row r="474" spans="1:17" x14ac:dyDescent="0.3">
      <c r="A474">
        <v>6</v>
      </c>
      <c r="B474" s="84">
        <v>4.3</v>
      </c>
      <c r="C474" s="78">
        <v>45972</v>
      </c>
      <c r="D474" s="78">
        <v>45974</v>
      </c>
      <c r="E474">
        <v>35</v>
      </c>
      <c r="F474" t="s">
        <v>913</v>
      </c>
      <c r="G474" t="s">
        <v>907</v>
      </c>
      <c r="H474">
        <v>49</v>
      </c>
      <c r="I474">
        <v>25</v>
      </c>
      <c r="J474" t="s">
        <v>25</v>
      </c>
      <c r="K474" t="s">
        <v>1404</v>
      </c>
      <c r="L474"/>
      <c r="M474" s="1">
        <v>560</v>
      </c>
      <c r="N474" s="1" t="s">
        <v>563</v>
      </c>
      <c r="O474" s="2">
        <v>46033.691342592596</v>
      </c>
      <c r="P474" s="92">
        <v>42.921787950684568</v>
      </c>
      <c r="Q474" s="93">
        <v>707.39216753617734</v>
      </c>
    </row>
    <row r="475" spans="1:17" x14ac:dyDescent="0.3">
      <c r="A475">
        <v>6</v>
      </c>
      <c r="B475" s="84">
        <v>4.3</v>
      </c>
      <c r="C475" s="78">
        <v>45972</v>
      </c>
      <c r="D475" s="78">
        <v>45974</v>
      </c>
      <c r="E475">
        <v>40</v>
      </c>
      <c r="F475" t="s">
        <v>906</v>
      </c>
      <c r="G475" t="s">
        <v>15</v>
      </c>
      <c r="H475">
        <v>49</v>
      </c>
      <c r="I475">
        <v>26</v>
      </c>
      <c r="J475" t="s">
        <v>25</v>
      </c>
      <c r="K475" t="s">
        <v>1405</v>
      </c>
      <c r="L475"/>
      <c r="M475" s="4">
        <v>561</v>
      </c>
      <c r="N475" s="4" t="s">
        <v>564</v>
      </c>
      <c r="O475" s="12">
        <v>46033.695092592592</v>
      </c>
      <c r="P475" s="92">
        <v>65.916344852214237</v>
      </c>
      <c r="Q475" s="93">
        <v>879.06074697966835</v>
      </c>
    </row>
    <row r="476" spans="1:17" x14ac:dyDescent="0.3">
      <c r="A476">
        <v>6</v>
      </c>
      <c r="B476" s="84">
        <v>4.3</v>
      </c>
      <c r="C476" s="78">
        <v>45972</v>
      </c>
      <c r="D476" s="78">
        <v>45974</v>
      </c>
      <c r="E476">
        <v>36</v>
      </c>
      <c r="F476" t="s">
        <v>917</v>
      </c>
      <c r="G476" t="s">
        <v>914</v>
      </c>
      <c r="H476">
        <v>49</v>
      </c>
      <c r="I476">
        <v>27</v>
      </c>
      <c r="J476" t="s">
        <v>25</v>
      </c>
      <c r="K476" t="s">
        <v>1406</v>
      </c>
      <c r="L476"/>
      <c r="M476" s="1">
        <v>562</v>
      </c>
      <c r="N476" s="1" t="s">
        <v>565</v>
      </c>
      <c r="O476" s="2">
        <v>46033.698831018519</v>
      </c>
      <c r="P476" s="92">
        <v>66.046684268677737</v>
      </c>
      <c r="Q476" s="93">
        <v>716.30819893579621</v>
      </c>
    </row>
    <row r="477" spans="1:17" x14ac:dyDescent="0.3">
      <c r="A477">
        <v>6</v>
      </c>
      <c r="B477" s="84">
        <v>4.3</v>
      </c>
      <c r="C477" s="78">
        <v>45972</v>
      </c>
      <c r="D477" s="78">
        <v>45974</v>
      </c>
      <c r="E477">
        <v>39</v>
      </c>
      <c r="F477" t="s">
        <v>929</v>
      </c>
      <c r="G477" t="s">
        <v>918</v>
      </c>
      <c r="H477">
        <v>49</v>
      </c>
      <c r="I477">
        <v>28</v>
      </c>
      <c r="J477" t="s">
        <v>25</v>
      </c>
      <c r="K477" t="s">
        <v>1407</v>
      </c>
      <c r="L477"/>
      <c r="M477" s="4">
        <v>563</v>
      </c>
      <c r="N477" s="4" t="s">
        <v>566</v>
      </c>
      <c r="O477" s="12">
        <v>46033.702557870369</v>
      </c>
      <c r="P477" s="92">
        <v>34.90094302655352</v>
      </c>
      <c r="Q477" s="93">
        <v>777.51148941227393</v>
      </c>
    </row>
    <row r="478" spans="1:17" x14ac:dyDescent="0.3">
      <c r="A478">
        <v>6</v>
      </c>
      <c r="B478" s="84">
        <v>4.3</v>
      </c>
      <c r="C478" s="78">
        <v>45972</v>
      </c>
      <c r="D478" s="78">
        <v>45974</v>
      </c>
      <c r="E478">
        <v>33</v>
      </c>
      <c r="F478" t="s">
        <v>910</v>
      </c>
      <c r="G478" t="s">
        <v>922</v>
      </c>
      <c r="H478">
        <v>49</v>
      </c>
      <c r="I478">
        <v>29</v>
      </c>
      <c r="J478" t="s">
        <v>25</v>
      </c>
      <c r="K478" t="s">
        <v>1408</v>
      </c>
      <c r="L478"/>
      <c r="M478" s="1">
        <v>564</v>
      </c>
      <c r="N478" s="1" t="s">
        <v>567</v>
      </c>
      <c r="O478" s="2">
        <v>46033.706307870372</v>
      </c>
      <c r="P478" s="92">
        <v>64.571138476480243</v>
      </c>
      <c r="Q478" s="93">
        <v>825.5450398547747</v>
      </c>
    </row>
    <row r="479" spans="1:17" x14ac:dyDescent="0.3">
      <c r="A479">
        <v>6</v>
      </c>
      <c r="B479" s="84">
        <v>4.3</v>
      </c>
      <c r="C479" s="78">
        <v>45972</v>
      </c>
      <c r="D479" s="78">
        <v>45974</v>
      </c>
      <c r="E479">
        <v>37</v>
      </c>
      <c r="F479" t="s">
        <v>921</v>
      </c>
      <c r="G479" t="s">
        <v>926</v>
      </c>
      <c r="H479">
        <v>49</v>
      </c>
      <c r="I479">
        <v>30</v>
      </c>
      <c r="J479" t="s">
        <v>25</v>
      </c>
      <c r="K479" t="s">
        <v>1409</v>
      </c>
      <c r="L479"/>
      <c r="M479" s="4">
        <v>565</v>
      </c>
      <c r="N479" s="4" t="s">
        <v>568</v>
      </c>
      <c r="O479" s="12">
        <v>46033.710046296299</v>
      </c>
      <c r="P479" s="92">
        <v>76.958594505067339</v>
      </c>
      <c r="Q479" s="93">
        <v>960.5527594736966</v>
      </c>
    </row>
    <row r="480" spans="1:17" x14ac:dyDescent="0.3">
      <c r="A480">
        <v>6</v>
      </c>
      <c r="B480" s="84">
        <v>4.3</v>
      </c>
      <c r="C480" s="78">
        <v>45972</v>
      </c>
      <c r="D480" s="78">
        <v>45974</v>
      </c>
      <c r="E480">
        <v>34</v>
      </c>
      <c r="F480" t="s">
        <v>932</v>
      </c>
      <c r="G480" t="s">
        <v>930</v>
      </c>
      <c r="H480">
        <v>49</v>
      </c>
      <c r="I480">
        <v>31</v>
      </c>
      <c r="J480" t="s">
        <v>25</v>
      </c>
      <c r="K480" t="s">
        <v>1410</v>
      </c>
      <c r="L480"/>
      <c r="M480" s="1">
        <v>566</v>
      </c>
      <c r="N480" s="1" t="s">
        <v>569</v>
      </c>
      <c r="O480" s="2">
        <v>46033.713784722226</v>
      </c>
      <c r="P480" s="92">
        <v>67.963568477591593</v>
      </c>
      <c r="Q480" s="93">
        <v>757.85688915033268</v>
      </c>
    </row>
    <row r="481" spans="1:17" x14ac:dyDescent="0.3">
      <c r="A481">
        <v>6</v>
      </c>
      <c r="B481" s="84">
        <v>4.3</v>
      </c>
      <c r="C481" s="78">
        <v>45972</v>
      </c>
      <c r="D481" s="78">
        <v>45974</v>
      </c>
      <c r="E481">
        <v>38</v>
      </c>
      <c r="F481" t="s">
        <v>925</v>
      </c>
      <c r="G481" t="s">
        <v>933</v>
      </c>
      <c r="H481">
        <v>49</v>
      </c>
      <c r="I481">
        <v>32</v>
      </c>
      <c r="J481" t="s">
        <v>25</v>
      </c>
      <c r="K481" t="s">
        <v>1411</v>
      </c>
      <c r="L481"/>
      <c r="M481" s="4">
        <v>567</v>
      </c>
      <c r="N481" s="4" t="s">
        <v>570</v>
      </c>
      <c r="O481" s="12">
        <v>46033.717511574076</v>
      </c>
      <c r="P481" s="92">
        <v>56.902467950279657</v>
      </c>
      <c r="Q481" s="93">
        <v>851.76949208390772</v>
      </c>
    </row>
    <row r="482" spans="1:17" x14ac:dyDescent="0.3">
      <c r="A482">
        <v>6</v>
      </c>
      <c r="B482" s="84">
        <v>4.4000000000000004</v>
      </c>
      <c r="C482" s="78">
        <v>45974</v>
      </c>
      <c r="D482" s="78">
        <v>45976</v>
      </c>
      <c r="E482">
        <v>35</v>
      </c>
      <c r="F482" t="s">
        <v>913</v>
      </c>
      <c r="G482" t="s">
        <v>907</v>
      </c>
      <c r="H482">
        <v>97</v>
      </c>
      <c r="I482">
        <v>1</v>
      </c>
      <c r="J482" t="s">
        <v>908</v>
      </c>
      <c r="K482" t="s">
        <v>1412</v>
      </c>
      <c r="L482"/>
      <c r="M482" s="1">
        <v>568</v>
      </c>
      <c r="N482" s="1" t="s">
        <v>571</v>
      </c>
      <c r="O482" s="2">
        <v>46033.721250000002</v>
      </c>
      <c r="P482" s="92">
        <v>-13.81608239679713</v>
      </c>
      <c r="Q482" s="93">
        <v>626.40982122420689</v>
      </c>
    </row>
    <row r="483" spans="1:17" x14ac:dyDescent="0.3">
      <c r="A483">
        <v>6</v>
      </c>
      <c r="B483" s="84">
        <v>4.4000000000000004</v>
      </c>
      <c r="C483" s="78">
        <v>45974</v>
      </c>
      <c r="D483" s="78">
        <v>45976</v>
      </c>
      <c r="E483">
        <v>40</v>
      </c>
      <c r="F483" t="s">
        <v>906</v>
      </c>
      <c r="G483" t="s">
        <v>15</v>
      </c>
      <c r="H483">
        <v>97</v>
      </c>
      <c r="I483">
        <v>2</v>
      </c>
      <c r="J483" t="s">
        <v>908</v>
      </c>
      <c r="K483" t="s">
        <v>1413</v>
      </c>
      <c r="L483"/>
      <c r="M483" s="4">
        <v>569</v>
      </c>
      <c r="N483" s="4" t="s">
        <v>572</v>
      </c>
      <c r="O483" s="12">
        <v>46033.724988425929</v>
      </c>
      <c r="P483" s="92">
        <v>-9.9572583241608914</v>
      </c>
      <c r="Q483" s="93">
        <v>702.02328579720313</v>
      </c>
    </row>
    <row r="484" spans="1:17" x14ac:dyDescent="0.3">
      <c r="A484">
        <v>6</v>
      </c>
      <c r="B484" s="84">
        <v>4.4000000000000004</v>
      </c>
      <c r="C484" s="78">
        <v>45974</v>
      </c>
      <c r="D484" s="78">
        <v>45976</v>
      </c>
      <c r="E484">
        <v>36</v>
      </c>
      <c r="F484" t="s">
        <v>917</v>
      </c>
      <c r="G484" t="s">
        <v>914</v>
      </c>
      <c r="H484">
        <v>97</v>
      </c>
      <c r="I484">
        <v>3</v>
      </c>
      <c r="J484" t="s">
        <v>908</v>
      </c>
      <c r="K484" t="s">
        <v>1414</v>
      </c>
      <c r="L484"/>
      <c r="M484" s="1">
        <v>570</v>
      </c>
      <c r="N484" s="1" t="s">
        <v>573</v>
      </c>
      <c r="O484" s="2">
        <v>46033.728738425925</v>
      </c>
      <c r="P484" s="92">
        <v>-10.191633432757117</v>
      </c>
      <c r="Q484" s="93">
        <v>663.79865377172644</v>
      </c>
    </row>
    <row r="485" spans="1:17" x14ac:dyDescent="0.3">
      <c r="A485">
        <v>6</v>
      </c>
      <c r="B485" s="84">
        <v>4.4000000000000004</v>
      </c>
      <c r="C485" s="78">
        <v>45974</v>
      </c>
      <c r="D485" s="78">
        <v>45976</v>
      </c>
      <c r="E485">
        <v>39</v>
      </c>
      <c r="F485" t="s">
        <v>929</v>
      </c>
      <c r="G485" t="s">
        <v>918</v>
      </c>
      <c r="H485">
        <v>97</v>
      </c>
      <c r="I485">
        <v>4</v>
      </c>
      <c r="J485" t="s">
        <v>908</v>
      </c>
      <c r="K485" t="s">
        <v>1415</v>
      </c>
      <c r="L485"/>
      <c r="M485" s="4">
        <v>571</v>
      </c>
      <c r="N485" s="4" t="s">
        <v>574</v>
      </c>
      <c r="O485" s="12">
        <v>46033.732476851852</v>
      </c>
      <c r="P485" s="92">
        <v>-15.921791329106634</v>
      </c>
      <c r="Q485" s="93">
        <v>747.10728178453201</v>
      </c>
    </row>
    <row r="486" spans="1:17" x14ac:dyDescent="0.3">
      <c r="A486">
        <v>6</v>
      </c>
      <c r="B486" s="84">
        <v>4.4000000000000004</v>
      </c>
      <c r="C486" s="78">
        <v>45974</v>
      </c>
      <c r="D486" s="78">
        <v>45976</v>
      </c>
      <c r="E486">
        <v>33</v>
      </c>
      <c r="F486" t="s">
        <v>910</v>
      </c>
      <c r="G486" t="s">
        <v>922</v>
      </c>
      <c r="H486">
        <v>97</v>
      </c>
      <c r="I486">
        <v>5</v>
      </c>
      <c r="J486" t="s">
        <v>908</v>
      </c>
      <c r="K486" t="s">
        <v>1416</v>
      </c>
      <c r="L486"/>
      <c r="M486" s="1">
        <v>572</v>
      </c>
      <c r="N486" s="1" t="s">
        <v>575</v>
      </c>
      <c r="O486" s="2">
        <v>46033.736203703702</v>
      </c>
      <c r="P486" s="92">
        <v>-12.875944719697733</v>
      </c>
      <c r="Q486" s="93">
        <v>713.80340615725197</v>
      </c>
    </row>
    <row r="487" spans="1:17" x14ac:dyDescent="0.3">
      <c r="A487">
        <v>6</v>
      </c>
      <c r="B487" s="84">
        <v>4.4000000000000004</v>
      </c>
      <c r="C487" s="78">
        <v>45974</v>
      </c>
      <c r="D487" s="78">
        <v>45976</v>
      </c>
      <c r="E487">
        <v>37</v>
      </c>
      <c r="F487" t="s">
        <v>921</v>
      </c>
      <c r="G487" t="s">
        <v>926</v>
      </c>
      <c r="H487">
        <v>97</v>
      </c>
      <c r="I487">
        <v>6</v>
      </c>
      <c r="J487" t="s">
        <v>908</v>
      </c>
      <c r="K487" t="s">
        <v>1417</v>
      </c>
      <c r="L487"/>
      <c r="M487" s="4">
        <v>573</v>
      </c>
      <c r="N487" s="4" t="s">
        <v>576</v>
      </c>
      <c r="O487" s="12">
        <v>46033.739942129629</v>
      </c>
      <c r="P487" s="92">
        <v>-4.3098665614260669</v>
      </c>
      <c r="Q487" s="93">
        <v>708.30192024988401</v>
      </c>
    </row>
    <row r="488" spans="1:17" x14ac:dyDescent="0.3">
      <c r="A488">
        <v>6</v>
      </c>
      <c r="B488" s="84">
        <v>4.4000000000000004</v>
      </c>
      <c r="C488" s="78">
        <v>45974</v>
      </c>
      <c r="D488" s="78">
        <v>45976</v>
      </c>
      <c r="E488">
        <v>34</v>
      </c>
      <c r="F488" t="s">
        <v>932</v>
      </c>
      <c r="G488" t="s">
        <v>930</v>
      </c>
      <c r="H488">
        <v>97</v>
      </c>
      <c r="I488">
        <v>7</v>
      </c>
      <c r="J488" t="s">
        <v>908</v>
      </c>
      <c r="K488" t="s">
        <v>1418</v>
      </c>
      <c r="L488"/>
      <c r="M488" s="1">
        <v>574</v>
      </c>
      <c r="N488" s="1" t="s">
        <v>577</v>
      </c>
      <c r="O488" s="2">
        <v>46033.743680555555</v>
      </c>
      <c r="P488" s="92">
        <v>-11.043085420596359</v>
      </c>
      <c r="Q488" s="93">
        <v>709.04898532005222</v>
      </c>
    </row>
    <row r="489" spans="1:17" x14ac:dyDescent="0.3">
      <c r="A489">
        <v>6</v>
      </c>
      <c r="B489" s="84">
        <v>4.4000000000000004</v>
      </c>
      <c r="C489" s="78">
        <v>45974</v>
      </c>
      <c r="D489" s="78">
        <v>45976</v>
      </c>
      <c r="E489">
        <v>38</v>
      </c>
      <c r="F489" t="s">
        <v>925</v>
      </c>
      <c r="G489" t="s">
        <v>933</v>
      </c>
      <c r="H489">
        <v>97</v>
      </c>
      <c r="I489">
        <v>8</v>
      </c>
      <c r="J489" t="s">
        <v>908</v>
      </c>
      <c r="K489" t="s">
        <v>1419</v>
      </c>
      <c r="L489"/>
      <c r="M489" s="4">
        <v>575</v>
      </c>
      <c r="N489" s="4" t="s">
        <v>578</v>
      </c>
      <c r="O489" s="12">
        <v>46033.747418981482</v>
      </c>
      <c r="P489" s="92">
        <v>-14.52346566308713</v>
      </c>
      <c r="Q489" s="93">
        <v>695.20741259154431</v>
      </c>
    </row>
    <row r="490" spans="1:17" x14ac:dyDescent="0.3">
      <c r="A490">
        <v>6</v>
      </c>
      <c r="B490" s="84">
        <v>4.4000000000000004</v>
      </c>
      <c r="C490" s="78">
        <v>45974</v>
      </c>
      <c r="D490" s="78">
        <v>45976</v>
      </c>
      <c r="E490">
        <v>35</v>
      </c>
      <c r="F490" t="s">
        <v>913</v>
      </c>
      <c r="G490" t="s">
        <v>907</v>
      </c>
      <c r="H490">
        <v>97</v>
      </c>
      <c r="I490">
        <v>9</v>
      </c>
      <c r="J490" t="s">
        <v>935</v>
      </c>
      <c r="K490" t="s">
        <v>1420</v>
      </c>
      <c r="L490"/>
      <c r="M490" s="1">
        <v>576</v>
      </c>
      <c r="N490" s="1" t="s">
        <v>579</v>
      </c>
      <c r="O490" s="2">
        <v>46033.751157407409</v>
      </c>
      <c r="P490" s="92">
        <v>19.818412542505513</v>
      </c>
      <c r="Q490" s="93">
        <v>678.28955580784577</v>
      </c>
    </row>
    <row r="491" spans="1:17" x14ac:dyDescent="0.3">
      <c r="A491">
        <v>6</v>
      </c>
      <c r="B491" s="84">
        <v>4.4000000000000004</v>
      </c>
      <c r="C491" s="78">
        <v>45974</v>
      </c>
      <c r="D491" s="78">
        <v>45976</v>
      </c>
      <c r="E491">
        <v>40</v>
      </c>
      <c r="F491" t="s">
        <v>906</v>
      </c>
      <c r="G491" t="s">
        <v>15</v>
      </c>
      <c r="H491">
        <v>97</v>
      </c>
      <c r="I491">
        <v>10</v>
      </c>
      <c r="J491" t="s">
        <v>935</v>
      </c>
      <c r="K491" t="s">
        <v>1421</v>
      </c>
      <c r="L491"/>
      <c r="M491" s="4">
        <v>577</v>
      </c>
      <c r="N491" s="4" t="s">
        <v>580</v>
      </c>
      <c r="O491" s="12">
        <v>46033.754895833335</v>
      </c>
      <c r="P491" s="92">
        <v>36.969940036430202</v>
      </c>
      <c r="Q491" s="93">
        <v>800.1235084709208</v>
      </c>
    </row>
    <row r="492" spans="1:17" x14ac:dyDescent="0.3">
      <c r="A492">
        <v>6</v>
      </c>
      <c r="B492" s="84">
        <v>4.4000000000000004</v>
      </c>
      <c r="C492" s="78">
        <v>45974</v>
      </c>
      <c r="D492" s="78">
        <v>45976</v>
      </c>
      <c r="E492">
        <v>36</v>
      </c>
      <c r="F492" t="s">
        <v>917</v>
      </c>
      <c r="G492" t="s">
        <v>914</v>
      </c>
      <c r="H492">
        <v>97</v>
      </c>
      <c r="I492">
        <v>11</v>
      </c>
      <c r="J492" t="s">
        <v>935</v>
      </c>
      <c r="K492" t="s">
        <v>1422</v>
      </c>
      <c r="L492"/>
      <c r="M492" s="1">
        <v>578</v>
      </c>
      <c r="N492" s="1" t="s">
        <v>581</v>
      </c>
      <c r="O492" s="2">
        <v>46033.758645833332</v>
      </c>
      <c r="P492" s="92">
        <v>50.074234426893483</v>
      </c>
      <c r="Q492" s="93">
        <v>711.04439616984712</v>
      </c>
    </row>
    <row r="493" spans="1:17" x14ac:dyDescent="0.3">
      <c r="A493">
        <v>6</v>
      </c>
      <c r="B493" s="84">
        <v>4.4000000000000004</v>
      </c>
      <c r="C493" s="78">
        <v>45974</v>
      </c>
      <c r="D493" s="78">
        <v>45976</v>
      </c>
      <c r="E493">
        <v>39</v>
      </c>
      <c r="F493" t="s">
        <v>929</v>
      </c>
      <c r="G493" t="s">
        <v>918</v>
      </c>
      <c r="H493">
        <v>97</v>
      </c>
      <c r="I493">
        <v>12</v>
      </c>
      <c r="J493" t="s">
        <v>935</v>
      </c>
      <c r="K493" t="s">
        <v>1423</v>
      </c>
      <c r="L493"/>
      <c r="M493" s="4">
        <v>579</v>
      </c>
      <c r="N493" s="4" t="s">
        <v>582</v>
      </c>
      <c r="O493" s="12">
        <v>46033.762372685182</v>
      </c>
      <c r="P493" s="92">
        <v>12.671760234525161</v>
      </c>
      <c r="Q493" s="93">
        <v>806.75722268141203</v>
      </c>
    </row>
    <row r="494" spans="1:17" x14ac:dyDescent="0.3">
      <c r="A494">
        <v>6</v>
      </c>
      <c r="B494" s="84">
        <v>4.4000000000000004</v>
      </c>
      <c r="C494" s="78">
        <v>45974</v>
      </c>
      <c r="D494" s="78">
        <v>45976</v>
      </c>
      <c r="E494">
        <v>33</v>
      </c>
      <c r="F494" t="s">
        <v>910</v>
      </c>
      <c r="G494" t="s">
        <v>922</v>
      </c>
      <c r="H494">
        <v>97</v>
      </c>
      <c r="I494">
        <v>13</v>
      </c>
      <c r="J494" t="s">
        <v>935</v>
      </c>
      <c r="K494" t="s">
        <v>1424</v>
      </c>
      <c r="L494"/>
      <c r="M494" s="1">
        <v>580</v>
      </c>
      <c r="N494" s="1" t="s">
        <v>583</v>
      </c>
      <c r="O494" s="2">
        <v>46033.766145833331</v>
      </c>
      <c r="P494" s="92">
        <v>47.80557004634349</v>
      </c>
      <c r="Q494" s="93">
        <v>732.20918688405243</v>
      </c>
    </row>
    <row r="495" spans="1:17" x14ac:dyDescent="0.3">
      <c r="A495">
        <v>6</v>
      </c>
      <c r="B495" s="84">
        <v>4.4000000000000004</v>
      </c>
      <c r="C495" s="78">
        <v>45974</v>
      </c>
      <c r="D495" s="78">
        <v>45976</v>
      </c>
      <c r="E495">
        <v>37</v>
      </c>
      <c r="F495" t="s">
        <v>921</v>
      </c>
      <c r="G495" t="s">
        <v>926</v>
      </c>
      <c r="H495">
        <v>97</v>
      </c>
      <c r="I495">
        <v>14</v>
      </c>
      <c r="J495" t="s">
        <v>935</v>
      </c>
      <c r="K495" t="s">
        <v>1425</v>
      </c>
      <c r="L495"/>
      <c r="M495" s="4">
        <v>581</v>
      </c>
      <c r="N495" s="4" t="s">
        <v>584</v>
      </c>
      <c r="O495" s="12">
        <v>46033.769884259258</v>
      </c>
      <c r="P495" s="92">
        <v>49.177021486597646</v>
      </c>
      <c r="Q495" s="93">
        <v>813.5583620905827</v>
      </c>
    </row>
    <row r="496" spans="1:17" x14ac:dyDescent="0.3">
      <c r="A496">
        <v>7</v>
      </c>
      <c r="B496" s="84">
        <v>4.4000000000000004</v>
      </c>
      <c r="C496" s="78">
        <v>45974</v>
      </c>
      <c r="D496" s="78">
        <v>45976</v>
      </c>
      <c r="E496">
        <v>34</v>
      </c>
      <c r="F496" t="s">
        <v>932</v>
      </c>
      <c r="G496" t="s">
        <v>930</v>
      </c>
      <c r="H496">
        <v>97</v>
      </c>
      <c r="I496">
        <v>15</v>
      </c>
      <c r="J496" t="s">
        <v>935</v>
      </c>
      <c r="K496" t="s">
        <v>1426</v>
      </c>
      <c r="L496"/>
      <c r="M496" s="1">
        <v>582</v>
      </c>
      <c r="N496" s="1" t="s">
        <v>585</v>
      </c>
      <c r="O496" s="2">
        <v>46033.773622685185</v>
      </c>
      <c r="P496" s="92">
        <v>45.713980181087585</v>
      </c>
      <c r="Q496" s="93">
        <v>725.21958753137699</v>
      </c>
    </row>
    <row r="497" spans="1:17" x14ac:dyDescent="0.3">
      <c r="A497">
        <v>7</v>
      </c>
      <c r="B497" s="84">
        <v>4.4000000000000004</v>
      </c>
      <c r="C497" s="78">
        <v>45974</v>
      </c>
      <c r="D497" s="78">
        <v>45976</v>
      </c>
      <c r="E497">
        <v>38</v>
      </c>
      <c r="F497" t="s">
        <v>925</v>
      </c>
      <c r="G497" t="s">
        <v>933</v>
      </c>
      <c r="H497">
        <v>97</v>
      </c>
      <c r="I497">
        <v>16</v>
      </c>
      <c r="J497" t="s">
        <v>935</v>
      </c>
      <c r="K497" t="s">
        <v>1427</v>
      </c>
      <c r="L497"/>
      <c r="M497" s="4">
        <v>583</v>
      </c>
      <c r="N497" s="4" t="s">
        <v>586</v>
      </c>
      <c r="O497" s="12">
        <v>46033.777361111112</v>
      </c>
      <c r="P497" s="92">
        <v>30.351170685125282</v>
      </c>
      <c r="Q497" s="93">
        <v>773.31785297710235</v>
      </c>
    </row>
    <row r="498" spans="1:17" x14ac:dyDescent="0.3">
      <c r="A498">
        <v>7</v>
      </c>
      <c r="B498" s="84">
        <v>4.4000000000000004</v>
      </c>
      <c r="C498" s="78">
        <v>45974</v>
      </c>
      <c r="D498" s="78">
        <v>45976</v>
      </c>
      <c r="E498">
        <v>35</v>
      </c>
      <c r="F498" t="s">
        <v>913</v>
      </c>
      <c r="G498" t="s">
        <v>907</v>
      </c>
      <c r="H498">
        <v>97</v>
      </c>
      <c r="I498">
        <v>17</v>
      </c>
      <c r="J498" t="s">
        <v>24</v>
      </c>
      <c r="K498" t="s">
        <v>1428</v>
      </c>
      <c r="L498"/>
      <c r="M498" s="1">
        <v>584</v>
      </c>
      <c r="N498" s="1" t="s">
        <v>587</v>
      </c>
      <c r="O498" s="2">
        <v>46033.781099537038</v>
      </c>
      <c r="P498" s="92">
        <v>45.170796157341961</v>
      </c>
      <c r="Q498" s="93">
        <v>713.42539663255968</v>
      </c>
    </row>
    <row r="499" spans="1:17" x14ac:dyDescent="0.3">
      <c r="A499">
        <v>7</v>
      </c>
      <c r="B499" s="84">
        <v>4.4000000000000004</v>
      </c>
      <c r="C499" s="78">
        <v>45974</v>
      </c>
      <c r="D499" s="78">
        <v>45976</v>
      </c>
      <c r="E499">
        <v>40</v>
      </c>
      <c r="F499" t="s">
        <v>906</v>
      </c>
      <c r="G499" t="s">
        <v>15</v>
      </c>
      <c r="H499">
        <v>97</v>
      </c>
      <c r="I499">
        <v>18</v>
      </c>
      <c r="J499" t="s">
        <v>24</v>
      </c>
      <c r="K499" t="s">
        <v>1429</v>
      </c>
      <c r="L499"/>
      <c r="M499" s="4">
        <v>585</v>
      </c>
      <c r="N499" s="4" t="s">
        <v>588</v>
      </c>
      <c r="O499" s="12">
        <v>46033.784826388888</v>
      </c>
      <c r="P499" s="92">
        <v>64.769108666961657</v>
      </c>
      <c r="Q499" s="93">
        <v>858.46839505313778</v>
      </c>
    </row>
    <row r="500" spans="1:17" x14ac:dyDescent="0.3">
      <c r="A500">
        <v>7</v>
      </c>
      <c r="B500" s="84">
        <v>4.4000000000000004</v>
      </c>
      <c r="C500" s="78">
        <v>45974</v>
      </c>
      <c r="D500" s="78">
        <v>45976</v>
      </c>
      <c r="E500">
        <v>36</v>
      </c>
      <c r="F500" t="s">
        <v>917</v>
      </c>
      <c r="G500" t="s">
        <v>914</v>
      </c>
      <c r="H500">
        <v>97</v>
      </c>
      <c r="I500">
        <v>19</v>
      </c>
      <c r="J500" t="s">
        <v>24</v>
      </c>
      <c r="K500" t="s">
        <v>1430</v>
      </c>
      <c r="L500"/>
      <c r="M500" s="1">
        <v>586</v>
      </c>
      <c r="N500" s="1" t="s">
        <v>589</v>
      </c>
      <c r="O500" s="2">
        <v>46033.788564814815</v>
      </c>
      <c r="P500" s="92">
        <v>87.983288198521308</v>
      </c>
      <c r="Q500" s="93">
        <v>734.79285995569273</v>
      </c>
    </row>
    <row r="501" spans="1:17" x14ac:dyDescent="0.3">
      <c r="A501">
        <v>7</v>
      </c>
      <c r="B501" s="84">
        <v>4.4000000000000004</v>
      </c>
      <c r="C501" s="78">
        <v>45974</v>
      </c>
      <c r="D501" s="78">
        <v>45976</v>
      </c>
      <c r="E501">
        <v>39</v>
      </c>
      <c r="F501" t="s">
        <v>929</v>
      </c>
      <c r="G501" t="s">
        <v>918</v>
      </c>
      <c r="H501">
        <v>97</v>
      </c>
      <c r="I501">
        <v>20</v>
      </c>
      <c r="J501" t="s">
        <v>24</v>
      </c>
      <c r="K501" t="s">
        <v>1431</v>
      </c>
      <c r="L501"/>
      <c r="M501" s="4">
        <v>587</v>
      </c>
      <c r="N501" s="4" t="s">
        <v>590</v>
      </c>
      <c r="O501" s="12">
        <v>46033.792303240742</v>
      </c>
      <c r="P501" s="92">
        <v>39.917973533338433</v>
      </c>
      <c r="Q501" s="93">
        <v>753.25890238388547</v>
      </c>
    </row>
    <row r="502" spans="1:17" x14ac:dyDescent="0.3">
      <c r="A502">
        <v>7</v>
      </c>
      <c r="B502" s="84">
        <v>4.4000000000000004</v>
      </c>
      <c r="C502" s="78">
        <v>45974</v>
      </c>
      <c r="D502" s="78">
        <v>45976</v>
      </c>
      <c r="E502">
        <v>33</v>
      </c>
      <c r="F502" t="s">
        <v>910</v>
      </c>
      <c r="G502" t="s">
        <v>922</v>
      </c>
      <c r="H502">
        <v>97</v>
      </c>
      <c r="I502">
        <v>21</v>
      </c>
      <c r="J502" t="s">
        <v>24</v>
      </c>
      <c r="K502" t="s">
        <v>1432</v>
      </c>
      <c r="L502"/>
      <c r="M502" s="1">
        <v>588</v>
      </c>
      <c r="N502" s="1" t="s">
        <v>591</v>
      </c>
      <c r="O502" s="2">
        <v>46033.796053240738</v>
      </c>
      <c r="P502" s="92">
        <v>81.191856348560776</v>
      </c>
      <c r="Q502" s="93">
        <v>773.69993679921572</v>
      </c>
    </row>
    <row r="503" spans="1:17" x14ac:dyDescent="0.3">
      <c r="A503">
        <v>7</v>
      </c>
      <c r="B503" s="84">
        <v>4.4000000000000004</v>
      </c>
      <c r="C503" s="78">
        <v>45974</v>
      </c>
      <c r="D503" s="78">
        <v>45976</v>
      </c>
      <c r="E503">
        <v>37</v>
      </c>
      <c r="F503" t="s">
        <v>921</v>
      </c>
      <c r="G503" t="s">
        <v>926</v>
      </c>
      <c r="H503">
        <v>97</v>
      </c>
      <c r="I503">
        <v>22</v>
      </c>
      <c r="J503" t="s">
        <v>24</v>
      </c>
      <c r="K503" t="s">
        <v>1433</v>
      </c>
      <c r="L503"/>
      <c r="M503" s="4">
        <v>589</v>
      </c>
      <c r="N503" s="4" t="s">
        <v>592</v>
      </c>
      <c r="O503" s="12">
        <v>46033.799803240741</v>
      </c>
      <c r="P503" s="92">
        <v>79.972195848408219</v>
      </c>
      <c r="Q503" s="93">
        <v>867.54810898287462</v>
      </c>
    </row>
    <row r="504" spans="1:17" x14ac:dyDescent="0.3">
      <c r="A504">
        <v>7</v>
      </c>
      <c r="B504" s="84">
        <v>4.4000000000000004</v>
      </c>
      <c r="C504" s="78">
        <v>45974</v>
      </c>
      <c r="D504" s="78">
        <v>45976</v>
      </c>
      <c r="E504">
        <v>34</v>
      </c>
      <c r="F504" t="s">
        <v>932</v>
      </c>
      <c r="G504" t="s">
        <v>930</v>
      </c>
      <c r="H504">
        <v>97</v>
      </c>
      <c r="I504">
        <v>23</v>
      </c>
      <c r="J504" t="s">
        <v>24</v>
      </c>
      <c r="K504" t="s">
        <v>1434</v>
      </c>
      <c r="L504"/>
      <c r="M504" s="1">
        <v>590</v>
      </c>
      <c r="N504" s="1" t="s">
        <v>593</v>
      </c>
      <c r="O504" s="2">
        <v>46033.803541666668</v>
      </c>
      <c r="P504" s="92">
        <v>85.33868927059909</v>
      </c>
      <c r="Q504" s="93">
        <v>703.66901770204834</v>
      </c>
    </row>
    <row r="505" spans="1:17" x14ac:dyDescent="0.3">
      <c r="A505">
        <v>7</v>
      </c>
      <c r="B505" s="84">
        <v>4.4000000000000004</v>
      </c>
      <c r="C505" s="78">
        <v>45974</v>
      </c>
      <c r="D505" s="78">
        <v>45976</v>
      </c>
      <c r="E505">
        <v>38</v>
      </c>
      <c r="F505" t="s">
        <v>925</v>
      </c>
      <c r="G505" t="s">
        <v>933</v>
      </c>
      <c r="H505">
        <v>97</v>
      </c>
      <c r="I505">
        <v>24</v>
      </c>
      <c r="J505" t="s">
        <v>24</v>
      </c>
      <c r="K505" t="s">
        <v>1435</v>
      </c>
      <c r="L505"/>
      <c r="M505" s="4">
        <v>591</v>
      </c>
      <c r="N505" s="4" t="s">
        <v>594</v>
      </c>
      <c r="O505" s="12">
        <v>46033.807268518518</v>
      </c>
      <c r="P505" s="92">
        <v>59.29127190303474</v>
      </c>
      <c r="Q505" s="93">
        <v>774.24968269776559</v>
      </c>
    </row>
    <row r="506" spans="1:17" x14ac:dyDescent="0.3">
      <c r="A506">
        <v>7</v>
      </c>
      <c r="B506" s="84">
        <v>4.4000000000000004</v>
      </c>
      <c r="C506" s="78">
        <v>45974</v>
      </c>
      <c r="D506" s="78">
        <v>45976</v>
      </c>
      <c r="E506">
        <v>35</v>
      </c>
      <c r="F506" t="s">
        <v>913</v>
      </c>
      <c r="G506" t="s">
        <v>907</v>
      </c>
      <c r="H506">
        <v>97</v>
      </c>
      <c r="I506">
        <v>25</v>
      </c>
      <c r="J506" t="s">
        <v>25</v>
      </c>
      <c r="K506" t="s">
        <v>1436</v>
      </c>
      <c r="L506"/>
      <c r="M506" s="1">
        <v>592</v>
      </c>
      <c r="N506" s="1" t="s">
        <v>595</v>
      </c>
      <c r="O506" s="2">
        <v>46033.811006944445</v>
      </c>
      <c r="P506" s="92">
        <v>72.285970270690612</v>
      </c>
      <c r="Q506" s="93">
        <v>685.57477860131326</v>
      </c>
    </row>
    <row r="507" spans="1:17" x14ac:dyDescent="0.3">
      <c r="A507">
        <v>7</v>
      </c>
      <c r="B507" s="84">
        <v>4.4000000000000004</v>
      </c>
      <c r="C507" s="78">
        <v>45974</v>
      </c>
      <c r="D507" s="78">
        <v>45976</v>
      </c>
      <c r="E507">
        <v>40</v>
      </c>
      <c r="F507" t="s">
        <v>906</v>
      </c>
      <c r="G507" t="s">
        <v>15</v>
      </c>
      <c r="H507">
        <v>97</v>
      </c>
      <c r="I507">
        <v>26</v>
      </c>
      <c r="J507" t="s">
        <v>25</v>
      </c>
      <c r="K507" t="s">
        <v>1437</v>
      </c>
      <c r="L507"/>
      <c r="M507" s="4">
        <v>593</v>
      </c>
      <c r="N507" s="4" t="s">
        <v>596</v>
      </c>
      <c r="O507" s="12">
        <v>46033.814756944441</v>
      </c>
      <c r="P507" s="92">
        <v>79.770844943392817</v>
      </c>
      <c r="Q507" s="93">
        <v>915.87581422407379</v>
      </c>
    </row>
    <row r="508" spans="1:17" x14ac:dyDescent="0.3">
      <c r="A508">
        <v>7</v>
      </c>
      <c r="B508" s="84">
        <v>4.4000000000000004</v>
      </c>
      <c r="C508" s="78">
        <v>45974</v>
      </c>
      <c r="D508" s="78">
        <v>45976</v>
      </c>
      <c r="E508">
        <v>36</v>
      </c>
      <c r="F508" t="s">
        <v>917</v>
      </c>
      <c r="G508" t="s">
        <v>914</v>
      </c>
      <c r="H508">
        <v>97</v>
      </c>
      <c r="I508">
        <v>27</v>
      </c>
      <c r="J508" t="s">
        <v>25</v>
      </c>
      <c r="K508" t="s">
        <v>1438</v>
      </c>
      <c r="L508"/>
      <c r="M508" s="1">
        <v>594</v>
      </c>
      <c r="N508" s="1" t="s">
        <v>597</v>
      </c>
      <c r="O508" s="2">
        <v>46033.818495370368</v>
      </c>
      <c r="P508" s="92">
        <v>114.66561798241308</v>
      </c>
      <c r="Q508" s="93">
        <v>774.60888412854854</v>
      </c>
    </row>
    <row r="509" spans="1:17" x14ac:dyDescent="0.3">
      <c r="A509">
        <v>7</v>
      </c>
      <c r="B509" s="84">
        <v>4.4000000000000004</v>
      </c>
      <c r="C509" s="78">
        <v>45974</v>
      </c>
      <c r="D509" s="78">
        <v>45976</v>
      </c>
      <c r="E509">
        <v>39</v>
      </c>
      <c r="F509" t="s">
        <v>929</v>
      </c>
      <c r="G509" t="s">
        <v>918</v>
      </c>
      <c r="H509">
        <v>97</v>
      </c>
      <c r="I509">
        <v>28</v>
      </c>
      <c r="J509" t="s">
        <v>25</v>
      </c>
      <c r="K509" t="s">
        <v>1439</v>
      </c>
      <c r="L509"/>
      <c r="M509" s="4">
        <v>595</v>
      </c>
      <c r="N509" s="4" t="s">
        <v>598</v>
      </c>
      <c r="O509" s="12">
        <v>46033.822245370371</v>
      </c>
      <c r="P509" s="92">
        <v>57.989010973108549</v>
      </c>
      <c r="Q509" s="93">
        <v>790.98670700173614</v>
      </c>
    </row>
    <row r="510" spans="1:17" x14ac:dyDescent="0.3">
      <c r="A510">
        <v>7</v>
      </c>
      <c r="B510" s="84">
        <v>4.4000000000000004</v>
      </c>
      <c r="C510" s="78">
        <v>45974</v>
      </c>
      <c r="D510" s="78">
        <v>45976</v>
      </c>
      <c r="E510">
        <v>33</v>
      </c>
      <c r="F510" t="s">
        <v>910</v>
      </c>
      <c r="G510" t="s">
        <v>922</v>
      </c>
      <c r="H510">
        <v>97</v>
      </c>
      <c r="I510">
        <v>29</v>
      </c>
      <c r="J510" t="s">
        <v>25</v>
      </c>
      <c r="K510" t="s">
        <v>1440</v>
      </c>
      <c r="L510"/>
      <c r="M510" s="1">
        <v>596</v>
      </c>
      <c r="N510" s="1" t="s">
        <v>599</v>
      </c>
      <c r="O510" s="2">
        <v>46033.82603009259</v>
      </c>
      <c r="P510" s="92">
        <v>110.07457876144532</v>
      </c>
      <c r="Q510" s="93">
        <v>785.24166338457462</v>
      </c>
    </row>
    <row r="511" spans="1:17" x14ac:dyDescent="0.3">
      <c r="A511">
        <v>7</v>
      </c>
      <c r="B511" s="84">
        <v>4.4000000000000004</v>
      </c>
      <c r="C511" s="78">
        <v>45974</v>
      </c>
      <c r="D511" s="78">
        <v>45976</v>
      </c>
      <c r="E511">
        <v>37</v>
      </c>
      <c r="F511" t="s">
        <v>921</v>
      </c>
      <c r="G511" t="s">
        <v>926</v>
      </c>
      <c r="H511">
        <v>97</v>
      </c>
      <c r="I511">
        <v>30</v>
      </c>
      <c r="J511" t="s">
        <v>25</v>
      </c>
      <c r="K511" t="s">
        <v>1441</v>
      </c>
      <c r="L511"/>
      <c r="M511" s="4">
        <v>597</v>
      </c>
      <c r="N511" s="4" t="s">
        <v>600</v>
      </c>
      <c r="O511" s="12">
        <v>46033.829768518517</v>
      </c>
      <c r="P511" s="92">
        <v>104.95478644308172</v>
      </c>
      <c r="Q511" s="93">
        <v>919.65240368019204</v>
      </c>
    </row>
    <row r="512" spans="1:17" x14ac:dyDescent="0.3">
      <c r="A512">
        <v>7</v>
      </c>
      <c r="B512" s="84">
        <v>4.4000000000000004</v>
      </c>
      <c r="C512" s="78">
        <v>45974</v>
      </c>
      <c r="D512" s="78">
        <v>45976</v>
      </c>
      <c r="E512">
        <v>34</v>
      </c>
      <c r="F512" t="s">
        <v>932</v>
      </c>
      <c r="G512" t="s">
        <v>930</v>
      </c>
      <c r="H512">
        <v>97</v>
      </c>
      <c r="I512">
        <v>31</v>
      </c>
      <c r="J512" t="s">
        <v>25</v>
      </c>
      <c r="K512" t="s">
        <v>1442</v>
      </c>
      <c r="L512"/>
      <c r="M512" s="1">
        <v>598</v>
      </c>
      <c r="N512" s="1" t="s">
        <v>601</v>
      </c>
      <c r="O512" s="2">
        <v>46033.83357638889</v>
      </c>
      <c r="P512" s="92">
        <v>105.76855493592176</v>
      </c>
      <c r="Q512" s="93">
        <v>756.75986088190632</v>
      </c>
    </row>
    <row r="513" spans="1:17" x14ac:dyDescent="0.3">
      <c r="A513">
        <v>7</v>
      </c>
      <c r="B513" s="84">
        <v>4.4000000000000004</v>
      </c>
      <c r="C513" s="78">
        <v>45974</v>
      </c>
      <c r="D513" s="78">
        <v>45976</v>
      </c>
      <c r="E513">
        <v>38</v>
      </c>
      <c r="F513" t="s">
        <v>925</v>
      </c>
      <c r="G513" t="s">
        <v>933</v>
      </c>
      <c r="H513">
        <v>97</v>
      </c>
      <c r="I513">
        <v>32</v>
      </c>
      <c r="J513" t="s">
        <v>25</v>
      </c>
      <c r="K513" t="s">
        <v>1443</v>
      </c>
      <c r="L513"/>
      <c r="M513" s="4">
        <v>599</v>
      </c>
      <c r="N513" s="4" t="s">
        <v>602</v>
      </c>
      <c r="O513" s="12">
        <v>46033.83730324074</v>
      </c>
      <c r="P513" s="92">
        <v>77.468058210828673</v>
      </c>
      <c r="Q513" s="93">
        <v>818.75934487536335</v>
      </c>
    </row>
    <row r="514" spans="1:17" x14ac:dyDescent="0.3">
      <c r="A514">
        <v>7</v>
      </c>
      <c r="B514" s="85">
        <v>5.0999999999999996</v>
      </c>
      <c r="C514" s="78">
        <v>45979</v>
      </c>
      <c r="D514" s="78">
        <v>45981</v>
      </c>
      <c r="E514">
        <v>56</v>
      </c>
      <c r="F514" t="s">
        <v>921</v>
      </c>
      <c r="G514" t="s">
        <v>907</v>
      </c>
      <c r="H514">
        <v>7</v>
      </c>
      <c r="I514">
        <v>1</v>
      </c>
      <c r="J514" t="s">
        <v>908</v>
      </c>
      <c r="K514" t="s">
        <v>1444</v>
      </c>
      <c r="L514"/>
      <c r="M514" s="1">
        <v>600</v>
      </c>
      <c r="N514" s="1" t="s">
        <v>603</v>
      </c>
      <c r="O514" s="2">
        <v>46033.841122685182</v>
      </c>
      <c r="P514" s="92">
        <v>-16.243466642492798</v>
      </c>
      <c r="Q514" s="93">
        <v>648.30140027257744</v>
      </c>
    </row>
    <row r="515" spans="1:17" x14ac:dyDescent="0.3">
      <c r="A515">
        <v>7</v>
      </c>
      <c r="B515" s="85">
        <v>5.0999999999999996</v>
      </c>
      <c r="C515" s="78">
        <v>45979</v>
      </c>
      <c r="D515" s="78">
        <v>45981</v>
      </c>
      <c r="E515">
        <v>55</v>
      </c>
      <c r="F515" t="s">
        <v>929</v>
      </c>
      <c r="G515" t="s">
        <v>15</v>
      </c>
      <c r="H515">
        <v>7</v>
      </c>
      <c r="I515">
        <v>2</v>
      </c>
      <c r="J515" t="s">
        <v>908</v>
      </c>
      <c r="K515" t="s">
        <v>1445</v>
      </c>
      <c r="L515"/>
      <c r="M515" s="4">
        <v>601</v>
      </c>
      <c r="N515" s="4" t="s">
        <v>604</v>
      </c>
      <c r="O515" s="12">
        <v>46033.844895833332</v>
      </c>
      <c r="P515" s="92">
        <v>-16.369957357141889</v>
      </c>
      <c r="Q515" s="93">
        <v>665.11602572975596</v>
      </c>
    </row>
    <row r="516" spans="1:17" x14ac:dyDescent="0.3">
      <c r="A516">
        <v>7</v>
      </c>
      <c r="B516" s="85">
        <v>5.0999999999999996</v>
      </c>
      <c r="C516" s="78">
        <v>45979</v>
      </c>
      <c r="D516" s="78">
        <v>45981</v>
      </c>
      <c r="E516">
        <v>54</v>
      </c>
      <c r="F516" t="s">
        <v>906</v>
      </c>
      <c r="G516" t="s">
        <v>914</v>
      </c>
      <c r="H516">
        <v>7</v>
      </c>
      <c r="I516">
        <v>3</v>
      </c>
      <c r="J516" t="s">
        <v>908</v>
      </c>
      <c r="K516" t="s">
        <v>1446</v>
      </c>
      <c r="L516"/>
      <c r="M516" s="1">
        <v>602</v>
      </c>
      <c r="N516" s="1" t="s">
        <v>605</v>
      </c>
      <c r="O516" s="2">
        <v>46033.848634259259</v>
      </c>
      <c r="P516" s="92">
        <v>-16.245621789821499</v>
      </c>
      <c r="Q516" s="93">
        <v>679.6496605132462</v>
      </c>
    </row>
    <row r="517" spans="1:17" x14ac:dyDescent="0.3">
      <c r="A517">
        <v>7</v>
      </c>
      <c r="B517" s="85">
        <v>5.0999999999999996</v>
      </c>
      <c r="C517" s="78">
        <v>45979</v>
      </c>
      <c r="D517" s="78">
        <v>45981</v>
      </c>
      <c r="E517">
        <v>49</v>
      </c>
      <c r="F517" t="s">
        <v>932</v>
      </c>
      <c r="G517" t="s">
        <v>918</v>
      </c>
      <c r="H517">
        <v>7</v>
      </c>
      <c r="I517">
        <v>4</v>
      </c>
      <c r="J517" t="s">
        <v>908</v>
      </c>
      <c r="K517" t="s">
        <v>1447</v>
      </c>
      <c r="L517"/>
      <c r="M517" s="4">
        <v>603</v>
      </c>
      <c r="N517" s="4" t="s">
        <v>606</v>
      </c>
      <c r="O517" s="12">
        <v>46033.85255787037</v>
      </c>
      <c r="P517" s="92">
        <v>-16.549723637724416</v>
      </c>
      <c r="Q517" s="93">
        <v>663.01165111172043</v>
      </c>
    </row>
    <row r="518" spans="1:17" x14ac:dyDescent="0.3">
      <c r="A518">
        <v>7</v>
      </c>
      <c r="B518" s="85">
        <v>5.0999999999999996</v>
      </c>
      <c r="C518" s="78">
        <v>45979</v>
      </c>
      <c r="D518" s="78">
        <v>45981</v>
      </c>
      <c r="E518">
        <v>52</v>
      </c>
      <c r="F518" t="s">
        <v>917</v>
      </c>
      <c r="G518" t="s">
        <v>922</v>
      </c>
      <c r="H518">
        <v>7</v>
      </c>
      <c r="I518">
        <v>5</v>
      </c>
      <c r="J518" t="s">
        <v>908</v>
      </c>
      <c r="K518" t="s">
        <v>1448</v>
      </c>
      <c r="L518"/>
      <c r="M518" s="1">
        <v>604</v>
      </c>
      <c r="N518" s="1" t="s">
        <v>607</v>
      </c>
      <c r="O518" s="2">
        <v>46033.856296296297</v>
      </c>
      <c r="P518" s="92">
        <v>-16.172678113858257</v>
      </c>
      <c r="Q518" s="93">
        <v>698.90682727441742</v>
      </c>
    </row>
    <row r="519" spans="1:17" x14ac:dyDescent="0.3">
      <c r="A519">
        <v>7</v>
      </c>
      <c r="B519" s="85">
        <v>5.0999999999999996</v>
      </c>
      <c r="C519" s="78">
        <v>45979</v>
      </c>
      <c r="D519" s="78">
        <v>45981</v>
      </c>
      <c r="E519">
        <v>50</v>
      </c>
      <c r="F519" t="s">
        <v>913</v>
      </c>
      <c r="G519" t="s">
        <v>926</v>
      </c>
      <c r="H519">
        <v>7</v>
      </c>
      <c r="I519">
        <v>6</v>
      </c>
      <c r="J519" t="s">
        <v>908</v>
      </c>
      <c r="K519" t="s">
        <v>1449</v>
      </c>
      <c r="L519"/>
      <c r="M519" s="4">
        <v>605</v>
      </c>
      <c r="N519" s="4" t="s">
        <v>608</v>
      </c>
      <c r="O519" s="12">
        <v>46033.860046296293</v>
      </c>
      <c r="P519" s="92">
        <v>-16.690020259855853</v>
      </c>
      <c r="Q519" s="93">
        <v>655.50437910879896</v>
      </c>
    </row>
    <row r="520" spans="1:17" x14ac:dyDescent="0.3">
      <c r="A520">
        <v>7</v>
      </c>
      <c r="B520" s="85">
        <v>5.0999999999999996</v>
      </c>
      <c r="C520" s="78">
        <v>45979</v>
      </c>
      <c r="D520" s="78">
        <v>45981</v>
      </c>
      <c r="E520">
        <v>53</v>
      </c>
      <c r="F520" t="s">
        <v>925</v>
      </c>
      <c r="G520" t="s">
        <v>930</v>
      </c>
      <c r="H520">
        <v>7</v>
      </c>
      <c r="I520">
        <v>7</v>
      </c>
      <c r="J520" t="s">
        <v>908</v>
      </c>
      <c r="K520" t="s">
        <v>1450</v>
      </c>
      <c r="L520"/>
      <c r="M520" s="1">
        <v>606</v>
      </c>
      <c r="N520" s="1" t="s">
        <v>609</v>
      </c>
      <c r="O520" s="2">
        <v>46033.863796296297</v>
      </c>
      <c r="P520" s="92">
        <v>-16.950760910045133</v>
      </c>
      <c r="Q520" s="93">
        <v>710.01838385298277</v>
      </c>
    </row>
    <row r="521" spans="1:17" x14ac:dyDescent="0.3">
      <c r="A521">
        <v>7</v>
      </c>
      <c r="B521" s="85">
        <v>5.0999999999999996</v>
      </c>
      <c r="C521" s="78">
        <v>45979</v>
      </c>
      <c r="D521" s="78">
        <v>45981</v>
      </c>
      <c r="E521">
        <v>51</v>
      </c>
      <c r="F521" t="s">
        <v>910</v>
      </c>
      <c r="G521" t="s">
        <v>933</v>
      </c>
      <c r="H521">
        <v>7</v>
      </c>
      <c r="I521">
        <v>8</v>
      </c>
      <c r="J521" t="s">
        <v>908</v>
      </c>
      <c r="K521" t="s">
        <v>1451</v>
      </c>
      <c r="L521"/>
      <c r="M521" s="4">
        <v>607</v>
      </c>
      <c r="N521" s="4" t="s">
        <v>610</v>
      </c>
      <c r="O521" s="12">
        <v>46033.867534722223</v>
      </c>
      <c r="P521" s="92">
        <v>-17.110941390579274</v>
      </c>
      <c r="Q521" s="93">
        <v>696.12536127564476</v>
      </c>
    </row>
    <row r="522" spans="1:17" x14ac:dyDescent="0.3">
      <c r="A522">
        <v>7</v>
      </c>
      <c r="B522" s="85">
        <v>5.0999999999999996</v>
      </c>
      <c r="C522" s="78">
        <v>45979</v>
      </c>
      <c r="D522" s="78">
        <v>45981</v>
      </c>
      <c r="E522">
        <v>56</v>
      </c>
      <c r="F522" t="s">
        <v>921</v>
      </c>
      <c r="G522" t="s">
        <v>907</v>
      </c>
      <c r="H522">
        <v>7</v>
      </c>
      <c r="I522">
        <v>9</v>
      </c>
      <c r="J522" t="s">
        <v>935</v>
      </c>
      <c r="K522" t="s">
        <v>1452</v>
      </c>
      <c r="L522"/>
      <c r="M522" s="1">
        <v>608</v>
      </c>
      <c r="N522" s="1" t="s">
        <v>611</v>
      </c>
      <c r="O522" s="2">
        <v>46033.87127314815</v>
      </c>
      <c r="P522" s="92">
        <v>-10.428684416622366</v>
      </c>
      <c r="Q522" s="93">
        <v>647.40268606234906</v>
      </c>
    </row>
    <row r="523" spans="1:17" x14ac:dyDescent="0.3">
      <c r="A523">
        <v>7</v>
      </c>
      <c r="B523" s="85">
        <v>5.0999999999999996</v>
      </c>
      <c r="C523" s="78">
        <v>45979</v>
      </c>
      <c r="D523" s="78">
        <v>45981</v>
      </c>
      <c r="E523">
        <v>55</v>
      </c>
      <c r="F523" t="s">
        <v>929</v>
      </c>
      <c r="G523" t="s">
        <v>15</v>
      </c>
      <c r="H523">
        <v>7</v>
      </c>
      <c r="I523">
        <v>10</v>
      </c>
      <c r="J523" t="s">
        <v>935</v>
      </c>
      <c r="K523" t="s">
        <v>1453</v>
      </c>
      <c r="L523"/>
      <c r="M523" s="4">
        <v>609</v>
      </c>
      <c r="N523" s="4" t="s">
        <v>612</v>
      </c>
      <c r="O523" s="12">
        <v>46033.875023148146</v>
      </c>
      <c r="P523" s="92">
        <v>-10.348902979788898</v>
      </c>
      <c r="Q523" s="93">
        <v>705.09601668603818</v>
      </c>
    </row>
    <row r="524" spans="1:17" x14ac:dyDescent="0.3">
      <c r="A524">
        <v>7</v>
      </c>
      <c r="B524" s="85">
        <v>5.0999999999999996</v>
      </c>
      <c r="C524" s="78">
        <v>45979</v>
      </c>
      <c r="D524" s="78">
        <v>45981</v>
      </c>
      <c r="E524">
        <v>54</v>
      </c>
      <c r="F524" t="s">
        <v>906</v>
      </c>
      <c r="G524" t="s">
        <v>914</v>
      </c>
      <c r="H524">
        <v>7</v>
      </c>
      <c r="I524">
        <v>11</v>
      </c>
      <c r="J524" t="s">
        <v>935</v>
      </c>
      <c r="K524" t="s">
        <v>1454</v>
      </c>
      <c r="L524"/>
      <c r="M524" s="1">
        <v>610</v>
      </c>
      <c r="N524" s="1" t="s">
        <v>613</v>
      </c>
      <c r="O524" s="2">
        <v>46033.878761574073</v>
      </c>
      <c r="P524" s="92">
        <v>-7.3033446988009088</v>
      </c>
      <c r="Q524" s="93">
        <v>684.26328121165841</v>
      </c>
    </row>
    <row r="525" spans="1:17" x14ac:dyDescent="0.3">
      <c r="A525">
        <v>7</v>
      </c>
      <c r="B525" s="85">
        <v>5.0999999999999996</v>
      </c>
      <c r="C525" s="78">
        <v>45979</v>
      </c>
      <c r="D525" s="78">
        <v>45981</v>
      </c>
      <c r="E525">
        <v>49</v>
      </c>
      <c r="F525" t="s">
        <v>932</v>
      </c>
      <c r="G525" t="s">
        <v>918</v>
      </c>
      <c r="H525">
        <v>7</v>
      </c>
      <c r="I525">
        <v>12</v>
      </c>
      <c r="J525" t="s">
        <v>935</v>
      </c>
      <c r="K525" t="s">
        <v>1455</v>
      </c>
      <c r="L525"/>
      <c r="M525" s="4">
        <v>611</v>
      </c>
      <c r="N525" s="4" t="s">
        <v>614</v>
      </c>
      <c r="O525" s="12">
        <v>46033.882488425923</v>
      </c>
      <c r="P525" s="92">
        <v>-10.569795371474894</v>
      </c>
      <c r="Q525" s="93">
        <v>684.23480850526164</v>
      </c>
    </row>
    <row r="526" spans="1:17" x14ac:dyDescent="0.3">
      <c r="A526">
        <v>7</v>
      </c>
      <c r="B526" s="85">
        <v>5.0999999999999996</v>
      </c>
      <c r="C526" s="78">
        <v>45979</v>
      </c>
      <c r="D526" s="78">
        <v>45981</v>
      </c>
      <c r="E526">
        <v>52</v>
      </c>
      <c r="F526" t="s">
        <v>917</v>
      </c>
      <c r="G526" t="s">
        <v>922</v>
      </c>
      <c r="H526">
        <v>7</v>
      </c>
      <c r="I526">
        <v>13</v>
      </c>
      <c r="J526" t="s">
        <v>935</v>
      </c>
      <c r="K526" t="s">
        <v>1456</v>
      </c>
      <c r="L526"/>
      <c r="M526" s="1">
        <v>612</v>
      </c>
      <c r="N526" s="1" t="s">
        <v>615</v>
      </c>
      <c r="O526" s="2">
        <v>46033.886238425926</v>
      </c>
      <c r="P526" s="92">
        <v>-11.48547619968055</v>
      </c>
      <c r="Q526" s="93">
        <v>667.35831057794303</v>
      </c>
    </row>
    <row r="527" spans="1:17" x14ac:dyDescent="0.3">
      <c r="A527">
        <v>7</v>
      </c>
      <c r="B527" s="85">
        <v>5.0999999999999996</v>
      </c>
      <c r="C527" s="78">
        <v>45979</v>
      </c>
      <c r="D527" s="78">
        <v>45981</v>
      </c>
      <c r="E527">
        <v>50</v>
      </c>
      <c r="F527" t="s">
        <v>913</v>
      </c>
      <c r="G527" t="s">
        <v>926</v>
      </c>
      <c r="H527">
        <v>7</v>
      </c>
      <c r="I527">
        <v>14</v>
      </c>
      <c r="J527" t="s">
        <v>935</v>
      </c>
      <c r="K527" t="s">
        <v>1457</v>
      </c>
      <c r="L527"/>
      <c r="M527" s="4">
        <v>613</v>
      </c>
      <c r="N527" s="4" t="s">
        <v>616</v>
      </c>
      <c r="O527" s="12">
        <v>46033.889988425923</v>
      </c>
      <c r="P527" s="92">
        <v>-12.181912929584879</v>
      </c>
      <c r="Q527" s="93">
        <v>688.54688381895562</v>
      </c>
    </row>
    <row r="528" spans="1:17" x14ac:dyDescent="0.3">
      <c r="A528">
        <v>7</v>
      </c>
      <c r="B528" s="85">
        <v>5.0999999999999996</v>
      </c>
      <c r="C528" s="78">
        <v>45979</v>
      </c>
      <c r="D528" s="78">
        <v>45981</v>
      </c>
      <c r="E528">
        <v>53</v>
      </c>
      <c r="F528" t="s">
        <v>925</v>
      </c>
      <c r="G528" t="s">
        <v>930</v>
      </c>
      <c r="H528">
        <v>7</v>
      </c>
      <c r="I528">
        <v>15</v>
      </c>
      <c r="J528" t="s">
        <v>935</v>
      </c>
      <c r="K528" s="80" t="s">
        <v>1458</v>
      </c>
      <c r="L528" s="80"/>
      <c r="M528" s="1">
        <v>614</v>
      </c>
      <c r="N528" s="1" t="s">
        <v>617</v>
      </c>
      <c r="O528" s="2">
        <v>46033.89371527778</v>
      </c>
      <c r="P528" s="92">
        <v>-9.5495639931756191</v>
      </c>
      <c r="Q528" s="93">
        <v>710.01118276916861</v>
      </c>
    </row>
    <row r="529" spans="1:17" x14ac:dyDescent="0.3">
      <c r="A529">
        <v>7</v>
      </c>
      <c r="B529" s="85">
        <v>5.0999999999999996</v>
      </c>
      <c r="C529" s="78">
        <v>45979</v>
      </c>
      <c r="D529" s="78">
        <v>45981</v>
      </c>
      <c r="E529">
        <v>51</v>
      </c>
      <c r="F529" t="s">
        <v>910</v>
      </c>
      <c r="G529" t="s">
        <v>933</v>
      </c>
      <c r="H529">
        <v>7</v>
      </c>
      <c r="I529">
        <v>16</v>
      </c>
      <c r="J529" t="s">
        <v>935</v>
      </c>
      <c r="K529" t="s">
        <v>1459</v>
      </c>
      <c r="L529"/>
      <c r="M529" s="4">
        <v>615</v>
      </c>
      <c r="N529" s="4" t="s">
        <v>618</v>
      </c>
      <c r="O529" s="12">
        <v>46033.897453703707</v>
      </c>
      <c r="P529" s="92">
        <v>-12.536289186213372</v>
      </c>
      <c r="Q529" s="93">
        <v>717.01044673433148</v>
      </c>
    </row>
    <row r="530" spans="1:17" x14ac:dyDescent="0.3">
      <c r="A530">
        <v>7</v>
      </c>
      <c r="B530" s="85">
        <v>5.0999999999999996</v>
      </c>
      <c r="C530" s="78">
        <v>45979</v>
      </c>
      <c r="D530" s="78">
        <v>45981</v>
      </c>
      <c r="E530">
        <v>56</v>
      </c>
      <c r="F530" t="s">
        <v>921</v>
      </c>
      <c r="G530" t="s">
        <v>907</v>
      </c>
      <c r="H530">
        <v>7</v>
      </c>
      <c r="I530">
        <v>17</v>
      </c>
      <c r="J530" t="s">
        <v>24</v>
      </c>
      <c r="K530" t="s">
        <v>1460</v>
      </c>
      <c r="L530"/>
      <c r="M530" s="1">
        <v>616</v>
      </c>
      <c r="N530" s="1" t="s">
        <v>619</v>
      </c>
      <c r="O530" s="2">
        <v>46033.901192129626</v>
      </c>
      <c r="P530" s="92">
        <v>-7.2273950051495186</v>
      </c>
      <c r="Q530" s="93">
        <v>704.88609561774501</v>
      </c>
    </row>
    <row r="531" spans="1:17" x14ac:dyDescent="0.3">
      <c r="A531">
        <v>7</v>
      </c>
      <c r="B531" s="85">
        <v>5.0999999999999996</v>
      </c>
      <c r="C531" s="78">
        <v>45979</v>
      </c>
      <c r="D531" s="78">
        <v>45981</v>
      </c>
      <c r="E531">
        <v>55</v>
      </c>
      <c r="F531" t="s">
        <v>929</v>
      </c>
      <c r="G531" t="s">
        <v>15</v>
      </c>
      <c r="H531">
        <v>7</v>
      </c>
      <c r="I531">
        <v>18</v>
      </c>
      <c r="J531" t="s">
        <v>24</v>
      </c>
      <c r="K531" t="s">
        <v>1461</v>
      </c>
      <c r="L531"/>
      <c r="M531" s="4">
        <v>617</v>
      </c>
      <c r="N531" s="4" t="s">
        <v>620</v>
      </c>
      <c r="O531" s="12">
        <v>46033.904930555553</v>
      </c>
      <c r="P531" s="92">
        <v>-5.3140786560573066</v>
      </c>
      <c r="Q531" s="93">
        <v>704.23013373293634</v>
      </c>
    </row>
    <row r="532" spans="1:17" x14ac:dyDescent="0.3">
      <c r="A532">
        <v>7</v>
      </c>
      <c r="B532" s="85">
        <v>5.0999999999999996</v>
      </c>
      <c r="C532" s="78">
        <v>45979</v>
      </c>
      <c r="D532" s="78">
        <v>45981</v>
      </c>
      <c r="E532">
        <v>54</v>
      </c>
      <c r="F532" t="s">
        <v>906</v>
      </c>
      <c r="G532" t="s">
        <v>914</v>
      </c>
      <c r="H532">
        <v>7</v>
      </c>
      <c r="I532">
        <v>19</v>
      </c>
      <c r="J532" t="s">
        <v>24</v>
      </c>
      <c r="K532" t="s">
        <v>1462</v>
      </c>
      <c r="L532"/>
      <c r="M532" s="1">
        <v>618</v>
      </c>
      <c r="N532" s="1" t="s">
        <v>621</v>
      </c>
      <c r="O532" s="2">
        <v>46033.908668981479</v>
      </c>
      <c r="P532" s="92">
        <v>-0.81378576397827429</v>
      </c>
      <c r="Q532" s="93">
        <v>712.4931405319337</v>
      </c>
    </row>
    <row r="533" spans="1:17" x14ac:dyDescent="0.3">
      <c r="A533">
        <v>7</v>
      </c>
      <c r="B533" s="85">
        <v>5.0999999999999996</v>
      </c>
      <c r="C533" s="78">
        <v>45979</v>
      </c>
      <c r="D533" s="78">
        <v>45981</v>
      </c>
      <c r="E533">
        <v>49</v>
      </c>
      <c r="F533" t="s">
        <v>932</v>
      </c>
      <c r="G533" t="s">
        <v>918</v>
      </c>
      <c r="H533">
        <v>7</v>
      </c>
      <c r="I533">
        <v>20</v>
      </c>
      <c r="J533" t="s">
        <v>24</v>
      </c>
      <c r="K533" t="s">
        <v>1463</v>
      </c>
      <c r="L533"/>
      <c r="M533" s="4">
        <v>619</v>
      </c>
      <c r="N533" s="4" t="s">
        <v>622</v>
      </c>
      <c r="O533" s="12">
        <v>46033.912418981483</v>
      </c>
      <c r="P533" s="92">
        <v>-5.7911717899528155</v>
      </c>
      <c r="Q533" s="93">
        <v>695.60953627190383</v>
      </c>
    </row>
    <row r="534" spans="1:17" x14ac:dyDescent="0.3">
      <c r="A534">
        <v>7</v>
      </c>
      <c r="B534" s="85">
        <v>5.0999999999999996</v>
      </c>
      <c r="C534" s="78">
        <v>45979</v>
      </c>
      <c r="D534" s="78">
        <v>45981</v>
      </c>
      <c r="E534">
        <v>52</v>
      </c>
      <c r="F534" t="s">
        <v>917</v>
      </c>
      <c r="G534" t="s">
        <v>922</v>
      </c>
      <c r="H534">
        <v>7</v>
      </c>
      <c r="I534">
        <v>21</v>
      </c>
      <c r="J534" t="s">
        <v>24</v>
      </c>
      <c r="K534" t="s">
        <v>978</v>
      </c>
      <c r="L534"/>
      <c r="M534" s="1">
        <v>620</v>
      </c>
      <c r="N534" s="1" t="s">
        <v>623</v>
      </c>
      <c r="O534" s="2">
        <v>46033.916168981479</v>
      </c>
      <c r="P534" s="92">
        <v>-8.529392952280384</v>
      </c>
      <c r="Q534" s="93">
        <v>716.94085204931173</v>
      </c>
    </row>
    <row r="535" spans="1:17" x14ac:dyDescent="0.3">
      <c r="A535">
        <v>7</v>
      </c>
      <c r="B535" s="85">
        <v>5.0999999999999996</v>
      </c>
      <c r="C535" s="78">
        <v>45979</v>
      </c>
      <c r="D535" s="78">
        <v>45981</v>
      </c>
      <c r="E535">
        <v>50</v>
      </c>
      <c r="F535" t="s">
        <v>913</v>
      </c>
      <c r="G535" t="s">
        <v>926</v>
      </c>
      <c r="H535">
        <v>7</v>
      </c>
      <c r="I535">
        <v>22</v>
      </c>
      <c r="J535" t="s">
        <v>24</v>
      </c>
      <c r="K535" t="s">
        <v>1464</v>
      </c>
      <c r="L535"/>
      <c r="M535" s="4">
        <v>621</v>
      </c>
      <c r="N535" s="4" t="s">
        <v>624</v>
      </c>
      <c r="O535" s="12">
        <v>46033.919930555552</v>
      </c>
      <c r="P535" s="92">
        <v>-9.0615112299784766</v>
      </c>
      <c r="Q535" s="93">
        <v>724.33508598657136</v>
      </c>
    </row>
    <row r="536" spans="1:17" x14ac:dyDescent="0.3">
      <c r="A536">
        <v>7</v>
      </c>
      <c r="B536" s="85">
        <v>5.0999999999999996</v>
      </c>
      <c r="C536" s="78">
        <v>45979</v>
      </c>
      <c r="D536" s="78">
        <v>45981</v>
      </c>
      <c r="E536">
        <v>53</v>
      </c>
      <c r="F536" t="s">
        <v>925</v>
      </c>
      <c r="G536" t="s">
        <v>930</v>
      </c>
      <c r="H536">
        <v>7</v>
      </c>
      <c r="I536">
        <v>23</v>
      </c>
      <c r="J536" t="s">
        <v>24</v>
      </c>
      <c r="K536" t="s">
        <v>1465</v>
      </c>
      <c r="L536"/>
      <c r="M536" s="1">
        <v>622</v>
      </c>
      <c r="N536" s="1" t="s">
        <v>625</v>
      </c>
      <c r="O536" s="2">
        <v>46033.923668981479</v>
      </c>
      <c r="P536" s="92">
        <v>-4.3833512590839154</v>
      </c>
      <c r="Q536" s="93">
        <v>695.55060108595103</v>
      </c>
    </row>
    <row r="537" spans="1:17" x14ac:dyDescent="0.3">
      <c r="A537">
        <v>7</v>
      </c>
      <c r="B537" s="85">
        <v>5.0999999999999996</v>
      </c>
      <c r="C537" s="78">
        <v>45979</v>
      </c>
      <c r="D537" s="78">
        <v>45981</v>
      </c>
      <c r="E537">
        <v>51</v>
      </c>
      <c r="F537" t="s">
        <v>910</v>
      </c>
      <c r="G537" t="s">
        <v>933</v>
      </c>
      <c r="H537">
        <v>7</v>
      </c>
      <c r="I537">
        <v>24</v>
      </c>
      <c r="J537" t="s">
        <v>24</v>
      </c>
      <c r="K537" t="s">
        <v>1466</v>
      </c>
      <c r="L537"/>
      <c r="M537" s="4">
        <v>623</v>
      </c>
      <c r="N537" s="4" t="s">
        <v>626</v>
      </c>
      <c r="O537" s="12">
        <v>46033.927418981482</v>
      </c>
      <c r="P537" s="92">
        <v>-8.8101225651381725</v>
      </c>
      <c r="Q537" s="93">
        <v>693.68514137367094</v>
      </c>
    </row>
    <row r="538" spans="1:17" x14ac:dyDescent="0.3">
      <c r="A538">
        <v>7</v>
      </c>
      <c r="B538" s="85">
        <v>5.0999999999999996</v>
      </c>
      <c r="C538" s="78">
        <v>45979</v>
      </c>
      <c r="D538" s="78">
        <v>45981</v>
      </c>
      <c r="E538">
        <v>56</v>
      </c>
      <c r="F538" t="s">
        <v>921</v>
      </c>
      <c r="G538" t="s">
        <v>907</v>
      </c>
      <c r="H538">
        <v>7</v>
      </c>
      <c r="I538">
        <v>25</v>
      </c>
      <c r="J538" t="s">
        <v>25</v>
      </c>
      <c r="K538" t="s">
        <v>1467</v>
      </c>
      <c r="L538"/>
      <c r="M538" s="1">
        <v>624</v>
      </c>
      <c r="N538" s="1" t="s">
        <v>627</v>
      </c>
      <c r="O538" s="2">
        <v>46033.931145833332</v>
      </c>
      <c r="P538" s="92">
        <v>-4.502266306320772</v>
      </c>
      <c r="Q538" s="93">
        <v>766.63600520637965</v>
      </c>
    </row>
    <row r="539" spans="1:17" x14ac:dyDescent="0.3">
      <c r="A539">
        <v>7</v>
      </c>
      <c r="B539" s="85">
        <v>5.0999999999999996</v>
      </c>
      <c r="C539" s="78">
        <v>45979</v>
      </c>
      <c r="D539" s="78">
        <v>45981</v>
      </c>
      <c r="E539">
        <v>55</v>
      </c>
      <c r="F539" t="s">
        <v>929</v>
      </c>
      <c r="G539" t="s">
        <v>15</v>
      </c>
      <c r="H539">
        <v>7</v>
      </c>
      <c r="I539">
        <v>26</v>
      </c>
      <c r="J539" t="s">
        <v>25</v>
      </c>
      <c r="K539" t="s">
        <v>1468</v>
      </c>
      <c r="L539"/>
      <c r="M539" s="4">
        <v>625</v>
      </c>
      <c r="N539" s="4" t="s">
        <v>628</v>
      </c>
      <c r="O539" s="12">
        <v>46033.934895833336</v>
      </c>
      <c r="P539" s="92">
        <v>-6.1438196730311236E-2</v>
      </c>
      <c r="Q539" s="93">
        <v>704.61174379953559</v>
      </c>
    </row>
    <row r="540" spans="1:17" x14ac:dyDescent="0.3">
      <c r="A540">
        <v>7</v>
      </c>
      <c r="B540" s="85">
        <v>5.0999999999999996</v>
      </c>
      <c r="C540" s="78">
        <v>45979</v>
      </c>
      <c r="D540" s="78">
        <v>45981</v>
      </c>
      <c r="E540">
        <v>54</v>
      </c>
      <c r="F540" t="s">
        <v>906</v>
      </c>
      <c r="G540" t="s">
        <v>914</v>
      </c>
      <c r="H540">
        <v>7</v>
      </c>
      <c r="I540">
        <v>27</v>
      </c>
      <c r="J540" t="s">
        <v>25</v>
      </c>
      <c r="K540" t="s">
        <v>1310</v>
      </c>
      <c r="L540"/>
      <c r="M540" s="1">
        <v>626</v>
      </c>
      <c r="N540" s="1" t="s">
        <v>629</v>
      </c>
      <c r="O540" s="2">
        <v>46033.938645833332</v>
      </c>
      <c r="P540" s="92">
        <v>4.1091060497711709</v>
      </c>
      <c r="Q540" s="93">
        <v>749.3627370360108</v>
      </c>
    </row>
    <row r="541" spans="1:17" x14ac:dyDescent="0.3">
      <c r="A541">
        <v>7</v>
      </c>
      <c r="B541" s="85">
        <v>5.0999999999999996</v>
      </c>
      <c r="C541" s="78">
        <v>45979</v>
      </c>
      <c r="D541" s="78">
        <v>45981</v>
      </c>
      <c r="E541">
        <v>49</v>
      </c>
      <c r="F541" t="s">
        <v>932</v>
      </c>
      <c r="G541" t="s">
        <v>918</v>
      </c>
      <c r="H541">
        <v>7</v>
      </c>
      <c r="I541">
        <v>28</v>
      </c>
      <c r="J541" t="s">
        <v>25</v>
      </c>
      <c r="K541" t="s">
        <v>1469</v>
      </c>
      <c r="L541"/>
      <c r="M541" s="4">
        <v>627</v>
      </c>
      <c r="N541" s="4" t="s">
        <v>630</v>
      </c>
      <c r="O541" s="12">
        <v>46033.942384259259</v>
      </c>
      <c r="P541" s="92">
        <v>-1.5959363325945692</v>
      </c>
      <c r="Q541" s="93">
        <v>703.39855067905432</v>
      </c>
    </row>
    <row r="542" spans="1:17" x14ac:dyDescent="0.3">
      <c r="A542">
        <v>7</v>
      </c>
      <c r="B542" s="85">
        <v>5.0999999999999996</v>
      </c>
      <c r="C542" s="78">
        <v>45979</v>
      </c>
      <c r="D542" s="78">
        <v>45981</v>
      </c>
      <c r="E542">
        <v>52</v>
      </c>
      <c r="F542" t="s">
        <v>917</v>
      </c>
      <c r="G542" t="s">
        <v>922</v>
      </c>
      <c r="H542">
        <v>7</v>
      </c>
      <c r="I542">
        <v>29</v>
      </c>
      <c r="J542" t="s">
        <v>25</v>
      </c>
      <c r="K542" t="s">
        <v>1470</v>
      </c>
      <c r="L542"/>
      <c r="M542" s="1">
        <v>628</v>
      </c>
      <c r="N542" s="1" t="s">
        <v>631</v>
      </c>
      <c r="O542" s="2">
        <v>46033.946215277778</v>
      </c>
      <c r="P542" s="92">
        <v>-3.0491461086939418</v>
      </c>
      <c r="Q542" s="93">
        <v>640.80824618397594</v>
      </c>
    </row>
    <row r="543" spans="1:17" x14ac:dyDescent="0.3">
      <c r="A543">
        <v>7</v>
      </c>
      <c r="B543" s="85">
        <v>5.0999999999999996</v>
      </c>
      <c r="C543" s="78">
        <v>45979</v>
      </c>
      <c r="D543" s="78">
        <v>45981</v>
      </c>
      <c r="E543">
        <v>50</v>
      </c>
      <c r="F543" t="s">
        <v>913</v>
      </c>
      <c r="G543" t="s">
        <v>926</v>
      </c>
      <c r="H543">
        <v>7</v>
      </c>
      <c r="I543">
        <v>30</v>
      </c>
      <c r="J543" t="s">
        <v>25</v>
      </c>
      <c r="K543" t="s">
        <v>1471</v>
      </c>
      <c r="L543"/>
      <c r="M543" s="4">
        <v>629</v>
      </c>
      <c r="N543" s="4" t="s">
        <v>632</v>
      </c>
      <c r="O543" s="12">
        <v>46033.949942129628</v>
      </c>
      <c r="P543" s="92">
        <v>-4.9246609839929407</v>
      </c>
      <c r="Q543" s="93">
        <v>705.03158593612204</v>
      </c>
    </row>
    <row r="544" spans="1:17" x14ac:dyDescent="0.3">
      <c r="A544">
        <v>7</v>
      </c>
      <c r="B544" s="85">
        <v>5.0999999999999996</v>
      </c>
      <c r="C544" s="78">
        <v>45979</v>
      </c>
      <c r="D544" s="78">
        <v>45981</v>
      </c>
      <c r="E544">
        <v>53</v>
      </c>
      <c r="F544" t="s">
        <v>925</v>
      </c>
      <c r="G544" t="s">
        <v>930</v>
      </c>
      <c r="H544">
        <v>7</v>
      </c>
      <c r="I544">
        <v>31</v>
      </c>
      <c r="J544" t="s">
        <v>25</v>
      </c>
      <c r="K544" t="s">
        <v>1472</v>
      </c>
      <c r="L544"/>
      <c r="M544" s="1">
        <v>630</v>
      </c>
      <c r="N544" s="1" t="s">
        <v>633</v>
      </c>
      <c r="O544" s="2">
        <v>46033.953703703701</v>
      </c>
      <c r="P544" s="92">
        <v>-1.1997227643617909</v>
      </c>
      <c r="Q544" s="93">
        <v>747.35372940296156</v>
      </c>
    </row>
    <row r="545" spans="1:17" x14ac:dyDescent="0.3">
      <c r="A545">
        <v>7</v>
      </c>
      <c r="B545" s="85">
        <v>5.0999999999999996</v>
      </c>
      <c r="C545" s="78">
        <v>45979</v>
      </c>
      <c r="D545" s="78">
        <v>45981</v>
      </c>
      <c r="E545">
        <v>51</v>
      </c>
      <c r="F545" t="s">
        <v>910</v>
      </c>
      <c r="G545" t="s">
        <v>933</v>
      </c>
      <c r="H545">
        <v>7</v>
      </c>
      <c r="I545">
        <v>32</v>
      </c>
      <c r="J545" t="s">
        <v>25</v>
      </c>
      <c r="K545" t="s">
        <v>1473</v>
      </c>
      <c r="L545"/>
      <c r="M545" s="4">
        <v>631</v>
      </c>
      <c r="N545" s="4" t="s">
        <v>634</v>
      </c>
      <c r="O545" s="12">
        <v>46033.957453703704</v>
      </c>
      <c r="P545" s="92">
        <v>-5.6416767214467711</v>
      </c>
      <c r="Q545" s="93">
        <v>686.93000362491853</v>
      </c>
    </row>
    <row r="546" spans="1:17" x14ac:dyDescent="0.3">
      <c r="A546">
        <v>8</v>
      </c>
      <c r="B546" s="85">
        <v>5.2</v>
      </c>
      <c r="C546" s="78">
        <v>45980</v>
      </c>
      <c r="D546" s="78">
        <v>45982</v>
      </c>
      <c r="E546">
        <v>56</v>
      </c>
      <c r="F546" t="s">
        <v>921</v>
      </c>
      <c r="G546" t="s">
        <v>907</v>
      </c>
      <c r="H546">
        <v>25</v>
      </c>
      <c r="I546">
        <v>1</v>
      </c>
      <c r="J546" t="s">
        <v>908</v>
      </c>
      <c r="K546" t="s">
        <v>1474</v>
      </c>
      <c r="L546"/>
      <c r="M546" s="4">
        <v>648</v>
      </c>
      <c r="N546" s="4" t="s">
        <v>647</v>
      </c>
      <c r="O546" s="12">
        <v>46034.41846064815</v>
      </c>
      <c r="P546" s="92">
        <v>-14.740930926989311</v>
      </c>
      <c r="Q546" s="93">
        <v>666.84333833412734</v>
      </c>
    </row>
    <row r="547" spans="1:17" x14ac:dyDescent="0.3">
      <c r="A547">
        <v>8</v>
      </c>
      <c r="B547" s="85">
        <v>5.2</v>
      </c>
      <c r="C547" s="78">
        <v>45980</v>
      </c>
      <c r="D547" s="78">
        <v>45982</v>
      </c>
      <c r="E547">
        <v>55</v>
      </c>
      <c r="F547" t="s">
        <v>929</v>
      </c>
      <c r="G547" t="s">
        <v>15</v>
      </c>
      <c r="H547">
        <v>25</v>
      </c>
      <c r="I547">
        <v>2</v>
      </c>
      <c r="J547" t="s">
        <v>908</v>
      </c>
      <c r="K547" t="s">
        <v>1475</v>
      </c>
      <c r="L547"/>
      <c r="M547" s="1">
        <v>649</v>
      </c>
      <c r="N547" s="1" t="s">
        <v>648</v>
      </c>
      <c r="O547" s="2">
        <v>46034.4221875</v>
      </c>
      <c r="P547" s="92">
        <v>-13.868793651589575</v>
      </c>
      <c r="Q547" s="93">
        <v>659.51121374476497</v>
      </c>
    </row>
    <row r="548" spans="1:17" x14ac:dyDescent="0.3">
      <c r="A548">
        <v>8</v>
      </c>
      <c r="B548" s="85">
        <v>5.2</v>
      </c>
      <c r="C548" s="78">
        <v>45980</v>
      </c>
      <c r="D548" s="78">
        <v>45982</v>
      </c>
      <c r="E548">
        <v>54</v>
      </c>
      <c r="F548" t="s">
        <v>906</v>
      </c>
      <c r="G548" t="s">
        <v>914</v>
      </c>
      <c r="H548">
        <v>25</v>
      </c>
      <c r="I548">
        <v>3</v>
      </c>
      <c r="J548" t="s">
        <v>908</v>
      </c>
      <c r="K548" s="82" t="s">
        <v>1476</v>
      </c>
      <c r="L548" s="82"/>
      <c r="M548" s="4">
        <v>650</v>
      </c>
      <c r="N548" s="4" t="s">
        <v>649</v>
      </c>
      <c r="O548" s="12">
        <v>46034.42591435185</v>
      </c>
      <c r="P548" s="92">
        <v>-13.033264584249586</v>
      </c>
      <c r="Q548" s="93">
        <v>648.26430521582415</v>
      </c>
    </row>
    <row r="549" spans="1:17" x14ac:dyDescent="0.3">
      <c r="A549">
        <v>8</v>
      </c>
      <c r="B549" s="85">
        <v>5.2</v>
      </c>
      <c r="C549" s="78">
        <v>45980</v>
      </c>
      <c r="D549" s="78">
        <v>45982</v>
      </c>
      <c r="E549">
        <v>49</v>
      </c>
      <c r="F549" t="s">
        <v>932</v>
      </c>
      <c r="G549" t="s">
        <v>918</v>
      </c>
      <c r="H549">
        <v>25</v>
      </c>
      <c r="I549">
        <v>4</v>
      </c>
      <c r="J549" t="s">
        <v>908</v>
      </c>
      <c r="K549" t="s">
        <v>1477</v>
      </c>
      <c r="L549"/>
      <c r="M549" s="1">
        <v>651</v>
      </c>
      <c r="N549" s="1" t="s">
        <v>650</v>
      </c>
      <c r="O549" s="2">
        <v>46034.429629629631</v>
      </c>
      <c r="P549" s="92">
        <v>-12.247977904983737</v>
      </c>
      <c r="Q549" s="93">
        <v>680.90871316749133</v>
      </c>
    </row>
    <row r="550" spans="1:17" x14ac:dyDescent="0.3">
      <c r="A550">
        <v>8</v>
      </c>
      <c r="B550" s="85">
        <v>5.2</v>
      </c>
      <c r="C550" s="78">
        <v>45980</v>
      </c>
      <c r="D550" s="78">
        <v>45982</v>
      </c>
      <c r="E550">
        <v>52</v>
      </c>
      <c r="F550" t="s">
        <v>917</v>
      </c>
      <c r="G550" t="s">
        <v>922</v>
      </c>
      <c r="H550">
        <v>25</v>
      </c>
      <c r="I550">
        <v>5</v>
      </c>
      <c r="J550" t="s">
        <v>908</v>
      </c>
      <c r="K550" t="s">
        <v>1478</v>
      </c>
      <c r="L550"/>
      <c r="M550" s="4">
        <v>652</v>
      </c>
      <c r="N550" s="4" t="s">
        <v>651</v>
      </c>
      <c r="O550" s="12">
        <v>46034.433368055557</v>
      </c>
      <c r="P550" s="92">
        <v>-15.046389954477032</v>
      </c>
      <c r="Q550" s="93">
        <v>702.07298275063113</v>
      </c>
    </row>
    <row r="551" spans="1:17" x14ac:dyDescent="0.3">
      <c r="A551">
        <v>8</v>
      </c>
      <c r="B551" s="85">
        <v>5.2</v>
      </c>
      <c r="C551" s="78">
        <v>45980</v>
      </c>
      <c r="D551" s="78">
        <v>45982</v>
      </c>
      <c r="E551">
        <v>50</v>
      </c>
      <c r="F551" t="s">
        <v>913</v>
      </c>
      <c r="G551" t="s">
        <v>926</v>
      </c>
      <c r="H551">
        <v>25</v>
      </c>
      <c r="I551">
        <v>6</v>
      </c>
      <c r="J551" t="s">
        <v>908</v>
      </c>
      <c r="K551" t="s">
        <v>1479</v>
      </c>
      <c r="L551"/>
      <c r="M551" s="1">
        <v>653</v>
      </c>
      <c r="N551" s="1" t="s">
        <v>652</v>
      </c>
      <c r="O551" s="2">
        <v>46034.437175925923</v>
      </c>
      <c r="P551" s="92">
        <v>-15.506934715948761</v>
      </c>
      <c r="Q551" s="93">
        <v>726.53705424050941</v>
      </c>
    </row>
    <row r="552" spans="1:17" x14ac:dyDescent="0.3">
      <c r="A552">
        <v>8</v>
      </c>
      <c r="B552" s="85">
        <v>5.2</v>
      </c>
      <c r="C552" s="78">
        <v>45980</v>
      </c>
      <c r="D552" s="78">
        <v>45982</v>
      </c>
      <c r="E552">
        <v>53</v>
      </c>
      <c r="F552" t="s">
        <v>925</v>
      </c>
      <c r="G552" t="s">
        <v>930</v>
      </c>
      <c r="H552">
        <v>25</v>
      </c>
      <c r="I552">
        <v>7</v>
      </c>
      <c r="J552" t="s">
        <v>908</v>
      </c>
      <c r="K552" t="s">
        <v>1480</v>
      </c>
      <c r="L552"/>
      <c r="M552" s="4">
        <v>654</v>
      </c>
      <c r="N552" s="4" t="s">
        <v>653</v>
      </c>
      <c r="O552" s="12">
        <v>46034.44091435185</v>
      </c>
      <c r="P552" s="92">
        <v>-14.669745659772218</v>
      </c>
      <c r="Q552" s="93">
        <v>690.25335118070723</v>
      </c>
    </row>
    <row r="553" spans="1:17" x14ac:dyDescent="0.3">
      <c r="A553">
        <v>8</v>
      </c>
      <c r="B553" s="85">
        <v>5.2</v>
      </c>
      <c r="C553" s="78">
        <v>45980</v>
      </c>
      <c r="D553" s="78">
        <v>45982</v>
      </c>
      <c r="E553">
        <v>51</v>
      </c>
      <c r="F553" t="s">
        <v>910</v>
      </c>
      <c r="G553" t="s">
        <v>933</v>
      </c>
      <c r="H553">
        <v>25</v>
      </c>
      <c r="I553">
        <v>8</v>
      </c>
      <c r="J553" t="s">
        <v>908</v>
      </c>
      <c r="K553" t="s">
        <v>1481</v>
      </c>
      <c r="L553"/>
      <c r="M553" s="1">
        <v>655</v>
      </c>
      <c r="N553" s="1" t="s">
        <v>654</v>
      </c>
      <c r="O553" s="2">
        <v>46034.444641203707</v>
      </c>
      <c r="P553" s="92">
        <v>-16.647177057745917</v>
      </c>
      <c r="Q553" s="93">
        <v>835.46964936833933</v>
      </c>
    </row>
    <row r="554" spans="1:17" x14ac:dyDescent="0.3">
      <c r="A554">
        <v>8</v>
      </c>
      <c r="B554" s="85">
        <v>5.2</v>
      </c>
      <c r="C554" s="78">
        <v>45980</v>
      </c>
      <c r="D554" s="78">
        <v>45982</v>
      </c>
      <c r="E554">
        <v>56</v>
      </c>
      <c r="F554" t="s">
        <v>921</v>
      </c>
      <c r="G554" t="s">
        <v>907</v>
      </c>
      <c r="H554">
        <v>25</v>
      </c>
      <c r="I554">
        <v>9</v>
      </c>
      <c r="J554" t="s">
        <v>935</v>
      </c>
      <c r="K554" t="s">
        <v>1482</v>
      </c>
      <c r="L554"/>
      <c r="M554" s="4">
        <v>656</v>
      </c>
      <c r="N554" s="4" t="s">
        <v>655</v>
      </c>
      <c r="O554" s="12">
        <v>46034.448437500003</v>
      </c>
      <c r="P554" s="92">
        <v>-2.7729912308449367</v>
      </c>
      <c r="Q554" s="93">
        <v>747.88575684528439</v>
      </c>
    </row>
    <row r="555" spans="1:17" x14ac:dyDescent="0.3">
      <c r="A555">
        <v>8</v>
      </c>
      <c r="B555" s="85">
        <v>5.2</v>
      </c>
      <c r="C555" s="78">
        <v>45980</v>
      </c>
      <c r="D555" s="78">
        <v>45982</v>
      </c>
      <c r="E555">
        <v>55</v>
      </c>
      <c r="F555" t="s">
        <v>929</v>
      </c>
      <c r="G555" t="s">
        <v>15</v>
      </c>
      <c r="H555">
        <v>25</v>
      </c>
      <c r="I555">
        <v>10</v>
      </c>
      <c r="J555" t="s">
        <v>935</v>
      </c>
      <c r="K555" t="s">
        <v>1483</v>
      </c>
      <c r="L555"/>
      <c r="M555" s="1">
        <v>657</v>
      </c>
      <c r="N555" s="1" t="s">
        <v>656</v>
      </c>
      <c r="O555" s="2">
        <v>46034.452152777776</v>
      </c>
      <c r="P555" s="92">
        <v>1.6034715613099049</v>
      </c>
      <c r="Q555" s="93">
        <v>695.10029646980865</v>
      </c>
    </row>
    <row r="556" spans="1:17" x14ac:dyDescent="0.3">
      <c r="A556">
        <v>8</v>
      </c>
      <c r="B556" s="85">
        <v>5.2</v>
      </c>
      <c r="C556" s="78">
        <v>45980</v>
      </c>
      <c r="D556" s="78">
        <v>45982</v>
      </c>
      <c r="E556">
        <v>54</v>
      </c>
      <c r="F556" t="s">
        <v>906</v>
      </c>
      <c r="G556" t="s">
        <v>914</v>
      </c>
      <c r="H556">
        <v>25</v>
      </c>
      <c r="I556">
        <v>11</v>
      </c>
      <c r="J556" t="s">
        <v>935</v>
      </c>
      <c r="K556" t="s">
        <v>1484</v>
      </c>
      <c r="L556"/>
      <c r="M556" s="4">
        <v>658</v>
      </c>
      <c r="N556" s="4" t="s">
        <v>657</v>
      </c>
      <c r="O556" s="12">
        <v>46034.45590277778</v>
      </c>
      <c r="P556" s="92">
        <v>2.974137939984252</v>
      </c>
      <c r="Q556" s="93">
        <v>790.61262964781088</v>
      </c>
    </row>
    <row r="557" spans="1:17" x14ac:dyDescent="0.3">
      <c r="A557">
        <v>8</v>
      </c>
      <c r="B557" s="85">
        <v>5.2</v>
      </c>
      <c r="C557" s="78">
        <v>45980</v>
      </c>
      <c r="D557" s="78">
        <v>45982</v>
      </c>
      <c r="E557">
        <v>49</v>
      </c>
      <c r="F557" t="s">
        <v>932</v>
      </c>
      <c r="G557" t="s">
        <v>918</v>
      </c>
      <c r="H557">
        <v>25</v>
      </c>
      <c r="I557">
        <v>12</v>
      </c>
      <c r="J557" t="s">
        <v>935</v>
      </c>
      <c r="K557" t="s">
        <v>1485</v>
      </c>
      <c r="L557"/>
      <c r="M557" s="1">
        <v>659</v>
      </c>
      <c r="N557" s="1" t="s">
        <v>658</v>
      </c>
      <c r="O557" s="2">
        <v>46034.459618055553</v>
      </c>
      <c r="P557" s="92">
        <v>2.2069634052028531</v>
      </c>
      <c r="Q557" s="93">
        <v>656.34055759116745</v>
      </c>
    </row>
    <row r="558" spans="1:17" x14ac:dyDescent="0.3">
      <c r="A558">
        <v>8</v>
      </c>
      <c r="B558" s="85">
        <v>5.2</v>
      </c>
      <c r="C558" s="78">
        <v>45980</v>
      </c>
      <c r="D558" s="78">
        <v>45982</v>
      </c>
      <c r="E558">
        <v>52</v>
      </c>
      <c r="F558" t="s">
        <v>917</v>
      </c>
      <c r="G558" t="s">
        <v>922</v>
      </c>
      <c r="H558">
        <v>25</v>
      </c>
      <c r="I558">
        <v>13</v>
      </c>
      <c r="J558" t="s">
        <v>935</v>
      </c>
      <c r="K558" t="s">
        <v>1486</v>
      </c>
      <c r="L558"/>
      <c r="M558" s="4">
        <v>660</v>
      </c>
      <c r="N558" s="4" t="s">
        <v>659</v>
      </c>
      <c r="O558" s="12">
        <v>46034.463368055556</v>
      </c>
      <c r="P558" s="92">
        <v>-2.1119947142132482</v>
      </c>
      <c r="Q558" s="93">
        <v>697.07320393268424</v>
      </c>
    </row>
    <row r="559" spans="1:17" x14ac:dyDescent="0.3">
      <c r="A559">
        <v>8</v>
      </c>
      <c r="B559" s="85">
        <v>5.2</v>
      </c>
      <c r="C559" s="78">
        <v>45980</v>
      </c>
      <c r="D559" s="78">
        <v>45982</v>
      </c>
      <c r="E559">
        <v>50</v>
      </c>
      <c r="F559" t="s">
        <v>913</v>
      </c>
      <c r="G559" t="s">
        <v>926</v>
      </c>
      <c r="H559">
        <v>25</v>
      </c>
      <c r="I559">
        <v>14</v>
      </c>
      <c r="J559" t="s">
        <v>935</v>
      </c>
      <c r="K559" t="s">
        <v>1487</v>
      </c>
      <c r="L559"/>
      <c r="M559" s="1">
        <v>661</v>
      </c>
      <c r="N559" s="1" t="s">
        <v>660</v>
      </c>
      <c r="O559" s="2">
        <v>46034.467094907406</v>
      </c>
      <c r="P559" s="92">
        <v>-0.79981266550970675</v>
      </c>
      <c r="Q559" s="93">
        <v>731.36296478478528</v>
      </c>
    </row>
    <row r="560" spans="1:17" x14ac:dyDescent="0.3">
      <c r="A560">
        <v>8</v>
      </c>
      <c r="B560" s="85">
        <v>5.2</v>
      </c>
      <c r="C560" s="78">
        <v>45980</v>
      </c>
      <c r="D560" s="78">
        <v>45982</v>
      </c>
      <c r="E560">
        <v>53</v>
      </c>
      <c r="F560" t="s">
        <v>925</v>
      </c>
      <c r="G560" t="s">
        <v>930</v>
      </c>
      <c r="H560">
        <v>25</v>
      </c>
      <c r="I560">
        <v>15</v>
      </c>
      <c r="J560" t="s">
        <v>935</v>
      </c>
      <c r="K560" t="s">
        <v>1488</v>
      </c>
      <c r="L560"/>
      <c r="M560" s="4">
        <v>662</v>
      </c>
      <c r="N560" s="4" t="s">
        <v>661</v>
      </c>
      <c r="O560" s="12">
        <v>46034.47084490741</v>
      </c>
      <c r="P560" s="92">
        <v>-1.1601949918261634</v>
      </c>
      <c r="Q560" s="93">
        <v>734.06384497061129</v>
      </c>
    </row>
    <row r="561" spans="1:17" x14ac:dyDescent="0.3">
      <c r="A561">
        <v>8</v>
      </c>
      <c r="B561" s="85">
        <v>5.2</v>
      </c>
      <c r="C561" s="78">
        <v>45980</v>
      </c>
      <c r="D561" s="78">
        <v>45982</v>
      </c>
      <c r="E561">
        <v>51</v>
      </c>
      <c r="F561" t="s">
        <v>910</v>
      </c>
      <c r="G561" t="s">
        <v>933</v>
      </c>
      <c r="H561">
        <v>25</v>
      </c>
      <c r="I561">
        <v>16</v>
      </c>
      <c r="J561" t="s">
        <v>935</v>
      </c>
      <c r="K561" t="s">
        <v>1489</v>
      </c>
      <c r="L561"/>
      <c r="M561" s="1">
        <v>663</v>
      </c>
      <c r="N561" s="1" t="s">
        <v>662</v>
      </c>
      <c r="O561" s="2">
        <v>46034.474583333336</v>
      </c>
      <c r="P561" s="92">
        <v>-0.26006968430399213</v>
      </c>
      <c r="Q561" s="93">
        <v>715.17317547513983</v>
      </c>
    </row>
    <row r="562" spans="1:17" x14ac:dyDescent="0.3">
      <c r="A562">
        <v>8</v>
      </c>
      <c r="B562" s="85">
        <v>5.2</v>
      </c>
      <c r="C562" s="78">
        <v>45980</v>
      </c>
      <c r="D562" s="78">
        <v>45982</v>
      </c>
      <c r="E562">
        <v>56</v>
      </c>
      <c r="F562" t="s">
        <v>921</v>
      </c>
      <c r="G562" t="s">
        <v>907</v>
      </c>
      <c r="H562">
        <v>25</v>
      </c>
      <c r="I562">
        <v>17</v>
      </c>
      <c r="J562" t="s">
        <v>24</v>
      </c>
      <c r="K562" t="s">
        <v>1490</v>
      </c>
      <c r="L562"/>
      <c r="M562" s="4">
        <v>664</v>
      </c>
      <c r="N562" s="4" t="s">
        <v>663</v>
      </c>
      <c r="O562" s="12">
        <v>46034.478298611109</v>
      </c>
      <c r="P562" s="92">
        <v>4.5194194621270363</v>
      </c>
      <c r="Q562" s="93">
        <v>786.24251928364072</v>
      </c>
    </row>
    <row r="563" spans="1:17" x14ac:dyDescent="0.3">
      <c r="A563">
        <v>8</v>
      </c>
      <c r="B563" s="85">
        <v>5.2</v>
      </c>
      <c r="C563" s="78">
        <v>45980</v>
      </c>
      <c r="D563" s="78">
        <v>45982</v>
      </c>
      <c r="E563">
        <v>55</v>
      </c>
      <c r="F563" t="s">
        <v>929</v>
      </c>
      <c r="G563" t="s">
        <v>15</v>
      </c>
      <c r="H563">
        <v>25</v>
      </c>
      <c r="I563">
        <v>18</v>
      </c>
      <c r="J563" t="s">
        <v>24</v>
      </c>
      <c r="K563" t="s">
        <v>1491</v>
      </c>
      <c r="L563"/>
      <c r="M563" s="1">
        <v>665</v>
      </c>
      <c r="N563" s="1" t="s">
        <v>664</v>
      </c>
      <c r="O563" s="2">
        <v>46034.482048611113</v>
      </c>
      <c r="P563" s="92">
        <v>11.158738864972401</v>
      </c>
      <c r="Q563" s="93">
        <v>735.05432562391877</v>
      </c>
    </row>
    <row r="564" spans="1:17" x14ac:dyDescent="0.3">
      <c r="A564">
        <v>8</v>
      </c>
      <c r="B564" s="85">
        <v>5.2</v>
      </c>
      <c r="C564" s="78">
        <v>45980</v>
      </c>
      <c r="D564" s="78">
        <v>45982</v>
      </c>
      <c r="E564">
        <v>54</v>
      </c>
      <c r="F564" t="s">
        <v>906</v>
      </c>
      <c r="G564" t="s">
        <v>914</v>
      </c>
      <c r="H564">
        <v>25</v>
      </c>
      <c r="I564">
        <v>19</v>
      </c>
      <c r="J564" t="s">
        <v>24</v>
      </c>
      <c r="K564" t="s">
        <v>1492</v>
      </c>
      <c r="L564"/>
      <c r="M564" s="4">
        <v>666</v>
      </c>
      <c r="N564" s="4" t="s">
        <v>665</v>
      </c>
      <c r="O564" s="12">
        <v>46034.485763888886</v>
      </c>
      <c r="P564" s="92">
        <v>18.901392493849112</v>
      </c>
      <c r="Q564" s="93">
        <v>782.06721718686435</v>
      </c>
    </row>
    <row r="565" spans="1:17" x14ac:dyDescent="0.3">
      <c r="A565">
        <v>8</v>
      </c>
      <c r="B565" s="85">
        <v>5.2</v>
      </c>
      <c r="C565" s="78">
        <v>45980</v>
      </c>
      <c r="D565" s="78">
        <v>45982</v>
      </c>
      <c r="E565">
        <v>49</v>
      </c>
      <c r="F565" t="s">
        <v>932</v>
      </c>
      <c r="G565" t="s">
        <v>918</v>
      </c>
      <c r="H565">
        <v>25</v>
      </c>
      <c r="I565">
        <v>20</v>
      </c>
      <c r="J565" t="s">
        <v>24</v>
      </c>
      <c r="K565" s="82" t="s">
        <v>1493</v>
      </c>
      <c r="L565" s="82"/>
      <c r="M565" s="1">
        <v>667</v>
      </c>
      <c r="N565" s="1" t="s">
        <v>666</v>
      </c>
      <c r="O565" s="2">
        <v>46034.489490740743</v>
      </c>
      <c r="P565" s="92">
        <v>10.016944344776052</v>
      </c>
      <c r="Q565" s="93">
        <v>722.65533843581454</v>
      </c>
    </row>
    <row r="566" spans="1:17" x14ac:dyDescent="0.3">
      <c r="A566">
        <v>8</v>
      </c>
      <c r="B566" s="85">
        <v>5.2</v>
      </c>
      <c r="C566" s="78">
        <v>45980</v>
      </c>
      <c r="D566" s="78">
        <v>45982</v>
      </c>
      <c r="E566">
        <v>52</v>
      </c>
      <c r="F566" t="s">
        <v>917</v>
      </c>
      <c r="G566" t="s">
        <v>922</v>
      </c>
      <c r="H566">
        <v>25</v>
      </c>
      <c r="I566">
        <v>21</v>
      </c>
      <c r="J566" t="s">
        <v>24</v>
      </c>
      <c r="K566" t="s">
        <v>1494</v>
      </c>
      <c r="L566"/>
      <c r="M566" s="4">
        <v>668</v>
      </c>
      <c r="N566" s="4" t="s">
        <v>667</v>
      </c>
      <c r="O566" s="12">
        <v>46034.49324074074</v>
      </c>
      <c r="P566" s="92">
        <v>6.7715694319016393</v>
      </c>
      <c r="Q566" s="93">
        <v>716.32700702970556</v>
      </c>
    </row>
    <row r="567" spans="1:17" x14ac:dyDescent="0.3">
      <c r="A567">
        <v>8</v>
      </c>
      <c r="B567" s="85">
        <v>5.2</v>
      </c>
      <c r="C567" s="78">
        <v>45980</v>
      </c>
      <c r="D567" s="78">
        <v>45982</v>
      </c>
      <c r="E567">
        <v>50</v>
      </c>
      <c r="F567" t="s">
        <v>913</v>
      </c>
      <c r="G567" t="s">
        <v>926</v>
      </c>
      <c r="H567">
        <v>25</v>
      </c>
      <c r="I567">
        <v>22</v>
      </c>
      <c r="J567" t="s">
        <v>24</v>
      </c>
      <c r="K567" t="s">
        <v>1495</v>
      </c>
      <c r="L567"/>
      <c r="M567" s="1">
        <v>669</v>
      </c>
      <c r="N567" s="1" t="s">
        <v>668</v>
      </c>
      <c r="O567" s="2">
        <v>46034.49695601852</v>
      </c>
      <c r="P567" s="92">
        <v>11.06893218707528</v>
      </c>
      <c r="Q567" s="93">
        <v>703.3097215201625</v>
      </c>
    </row>
    <row r="568" spans="1:17" x14ac:dyDescent="0.3">
      <c r="A568">
        <v>8</v>
      </c>
      <c r="B568" s="85">
        <v>5.2</v>
      </c>
      <c r="C568" s="78">
        <v>45980</v>
      </c>
      <c r="D568" s="78">
        <v>45982</v>
      </c>
      <c r="E568">
        <v>53</v>
      </c>
      <c r="F568" t="s">
        <v>925</v>
      </c>
      <c r="G568" t="s">
        <v>930</v>
      </c>
      <c r="H568">
        <v>25</v>
      </c>
      <c r="I568">
        <v>23</v>
      </c>
      <c r="J568" t="s">
        <v>24</v>
      </c>
      <c r="K568" t="s">
        <v>1496</v>
      </c>
      <c r="L568"/>
      <c r="M568" s="4">
        <v>670</v>
      </c>
      <c r="N568" s="4" t="s">
        <v>669</v>
      </c>
      <c r="O568" s="12">
        <v>46034.500740740739</v>
      </c>
      <c r="P568" s="92">
        <v>6.922240010065976</v>
      </c>
      <c r="Q568" s="93">
        <v>760.48106831842756</v>
      </c>
    </row>
    <row r="569" spans="1:17" x14ac:dyDescent="0.3">
      <c r="A569">
        <v>8</v>
      </c>
      <c r="B569" s="85">
        <v>5.2</v>
      </c>
      <c r="C569" s="78">
        <v>45980</v>
      </c>
      <c r="D569" s="78">
        <v>45982</v>
      </c>
      <c r="E569">
        <v>51</v>
      </c>
      <c r="F569" t="s">
        <v>910</v>
      </c>
      <c r="G569" t="s">
        <v>933</v>
      </c>
      <c r="H569">
        <v>25</v>
      </c>
      <c r="I569">
        <v>24</v>
      </c>
      <c r="J569" t="s">
        <v>24</v>
      </c>
      <c r="K569" t="s">
        <v>1497</v>
      </c>
      <c r="L569"/>
      <c r="M569" s="1">
        <v>671</v>
      </c>
      <c r="N569" s="1" t="s">
        <v>670</v>
      </c>
      <c r="O569" s="2">
        <v>46034.504490740743</v>
      </c>
      <c r="P569" s="92">
        <v>7.9441981525126835</v>
      </c>
      <c r="Q569" s="93">
        <v>732.0551215908705</v>
      </c>
    </row>
    <row r="570" spans="1:17" x14ac:dyDescent="0.3">
      <c r="A570">
        <v>8</v>
      </c>
      <c r="B570" s="85">
        <v>5.2</v>
      </c>
      <c r="C570" s="78">
        <v>45980</v>
      </c>
      <c r="D570" s="78">
        <v>45982</v>
      </c>
      <c r="E570">
        <v>56</v>
      </c>
      <c r="F570" t="s">
        <v>921</v>
      </c>
      <c r="G570" t="s">
        <v>907</v>
      </c>
      <c r="H570">
        <v>25</v>
      </c>
      <c r="I570">
        <v>25</v>
      </c>
      <c r="J570" t="s">
        <v>25</v>
      </c>
      <c r="K570" t="s">
        <v>1498</v>
      </c>
      <c r="L570"/>
      <c r="M570" s="4">
        <v>672</v>
      </c>
      <c r="N570" s="4" t="s">
        <v>671</v>
      </c>
      <c r="O570" s="12">
        <v>46034.508217592593</v>
      </c>
      <c r="P570" s="92">
        <v>12.630958504360693</v>
      </c>
      <c r="Q570" s="93">
        <v>802.14928704916895</v>
      </c>
    </row>
    <row r="571" spans="1:17" x14ac:dyDescent="0.3">
      <c r="A571">
        <v>8</v>
      </c>
      <c r="B571" s="85">
        <v>5.2</v>
      </c>
      <c r="C571" s="78">
        <v>45980</v>
      </c>
      <c r="D571" s="78">
        <v>45982</v>
      </c>
      <c r="E571">
        <v>55</v>
      </c>
      <c r="F571" t="s">
        <v>929</v>
      </c>
      <c r="G571" t="s">
        <v>15</v>
      </c>
      <c r="H571">
        <v>25</v>
      </c>
      <c r="I571">
        <v>26</v>
      </c>
      <c r="J571" t="s">
        <v>25</v>
      </c>
      <c r="K571" t="s">
        <v>1499</v>
      </c>
      <c r="L571"/>
      <c r="M571" s="1">
        <v>673</v>
      </c>
      <c r="N571" s="1" t="s">
        <v>672</v>
      </c>
      <c r="O571" s="2">
        <v>46034.511956018519</v>
      </c>
      <c r="P571" s="92">
        <v>11.514855897442009</v>
      </c>
      <c r="Q571" s="93">
        <v>886.11430332674604</v>
      </c>
    </row>
    <row r="572" spans="1:17" x14ac:dyDescent="0.3">
      <c r="A572">
        <v>8</v>
      </c>
      <c r="B572" s="85">
        <v>5.2</v>
      </c>
      <c r="C572" s="78">
        <v>45980</v>
      </c>
      <c r="D572" s="78">
        <v>45982</v>
      </c>
      <c r="E572">
        <v>54</v>
      </c>
      <c r="F572" t="s">
        <v>906</v>
      </c>
      <c r="G572" t="s">
        <v>914</v>
      </c>
      <c r="H572">
        <v>25</v>
      </c>
      <c r="I572">
        <v>27</v>
      </c>
      <c r="J572" t="s">
        <v>25</v>
      </c>
      <c r="K572" s="82" t="s">
        <v>1500</v>
      </c>
      <c r="L572" s="82"/>
      <c r="M572" s="4">
        <v>674</v>
      </c>
      <c r="N572" s="4" t="s">
        <v>673</v>
      </c>
      <c r="O572" s="12">
        <v>46034.515694444446</v>
      </c>
      <c r="P572" s="92">
        <v>23.867958221258519</v>
      </c>
      <c r="Q572" s="93">
        <v>892.24754221215267</v>
      </c>
    </row>
    <row r="573" spans="1:17" x14ac:dyDescent="0.3">
      <c r="A573">
        <v>8</v>
      </c>
      <c r="B573" s="85">
        <v>5.2</v>
      </c>
      <c r="C573" s="78">
        <v>45980</v>
      </c>
      <c r="D573" s="78">
        <v>45982</v>
      </c>
      <c r="E573">
        <v>49</v>
      </c>
      <c r="F573" t="s">
        <v>932</v>
      </c>
      <c r="G573" t="s">
        <v>918</v>
      </c>
      <c r="H573">
        <v>25</v>
      </c>
      <c r="I573">
        <v>28</v>
      </c>
      <c r="J573" t="s">
        <v>25</v>
      </c>
      <c r="K573" t="s">
        <v>1501</v>
      </c>
      <c r="L573"/>
      <c r="M573" s="1">
        <v>675</v>
      </c>
      <c r="N573" s="1" t="s">
        <v>674</v>
      </c>
      <c r="O573" s="2">
        <v>46034.519444444442</v>
      </c>
      <c r="P573" s="92">
        <v>20.625992678430588</v>
      </c>
      <c r="Q573" s="93">
        <v>694.80656805107299</v>
      </c>
    </row>
    <row r="574" spans="1:17" x14ac:dyDescent="0.3">
      <c r="A574">
        <v>8</v>
      </c>
      <c r="B574" s="85">
        <v>5.2</v>
      </c>
      <c r="C574" s="78">
        <v>45980</v>
      </c>
      <c r="D574" s="78">
        <v>45982</v>
      </c>
      <c r="E574">
        <v>52</v>
      </c>
      <c r="F574" t="s">
        <v>917</v>
      </c>
      <c r="G574" t="s">
        <v>922</v>
      </c>
      <c r="H574">
        <v>25</v>
      </c>
      <c r="I574">
        <v>29</v>
      </c>
      <c r="J574" t="s">
        <v>25</v>
      </c>
      <c r="K574" t="s">
        <v>1502</v>
      </c>
      <c r="L574"/>
      <c r="M574" s="4">
        <v>676</v>
      </c>
      <c r="N574" s="4" t="s">
        <v>675</v>
      </c>
      <c r="O574" s="12">
        <v>46034.5231712963</v>
      </c>
      <c r="P574" s="92">
        <v>16.420704060967118</v>
      </c>
      <c r="Q574" s="93">
        <v>689.70213664006371</v>
      </c>
    </row>
    <row r="575" spans="1:17" x14ac:dyDescent="0.3">
      <c r="A575">
        <v>8</v>
      </c>
      <c r="B575" s="85">
        <v>5.2</v>
      </c>
      <c r="C575" s="78">
        <v>45980</v>
      </c>
      <c r="D575" s="78">
        <v>45982</v>
      </c>
      <c r="E575">
        <v>50</v>
      </c>
      <c r="F575" t="s">
        <v>913</v>
      </c>
      <c r="G575" t="s">
        <v>926</v>
      </c>
      <c r="H575">
        <v>25</v>
      </c>
      <c r="I575">
        <v>30</v>
      </c>
      <c r="J575" t="s">
        <v>25</v>
      </c>
      <c r="K575" t="s">
        <v>1503</v>
      </c>
      <c r="L575"/>
      <c r="M575" s="1">
        <v>677</v>
      </c>
      <c r="N575" s="1" t="s">
        <v>676</v>
      </c>
      <c r="O575" s="2">
        <v>46034.526909722219</v>
      </c>
      <c r="P575" s="92">
        <v>18.573738005793096</v>
      </c>
      <c r="Q575" s="93">
        <v>733.09605720642855</v>
      </c>
    </row>
    <row r="576" spans="1:17" x14ac:dyDescent="0.3">
      <c r="A576">
        <v>8</v>
      </c>
      <c r="B576" s="85">
        <v>5.2</v>
      </c>
      <c r="C576" s="78">
        <v>45980</v>
      </c>
      <c r="D576" s="78">
        <v>45982</v>
      </c>
      <c r="E576">
        <v>53</v>
      </c>
      <c r="F576" t="s">
        <v>925</v>
      </c>
      <c r="G576" t="s">
        <v>930</v>
      </c>
      <c r="H576">
        <v>25</v>
      </c>
      <c r="I576">
        <v>31</v>
      </c>
      <c r="J576" t="s">
        <v>25</v>
      </c>
      <c r="K576" t="s">
        <v>1504</v>
      </c>
      <c r="L576"/>
      <c r="M576" s="4">
        <v>678</v>
      </c>
      <c r="N576" s="4" t="s">
        <v>677</v>
      </c>
      <c r="O576" s="12">
        <v>46034.530648148146</v>
      </c>
      <c r="P576" s="92">
        <v>12.228143870862272</v>
      </c>
      <c r="Q576" s="93">
        <v>838.96909184871515</v>
      </c>
    </row>
    <row r="577" spans="1:17" x14ac:dyDescent="0.3">
      <c r="A577">
        <v>8</v>
      </c>
      <c r="B577" s="85">
        <v>5.2</v>
      </c>
      <c r="C577" s="78">
        <v>45980</v>
      </c>
      <c r="D577" s="78">
        <v>45982</v>
      </c>
      <c r="E577">
        <v>51</v>
      </c>
      <c r="F577" t="s">
        <v>910</v>
      </c>
      <c r="G577" t="s">
        <v>933</v>
      </c>
      <c r="H577">
        <v>25</v>
      </c>
      <c r="I577">
        <v>32</v>
      </c>
      <c r="J577" t="s">
        <v>25</v>
      </c>
      <c r="K577" t="s">
        <v>1505</v>
      </c>
      <c r="L577"/>
      <c r="M577" s="1">
        <v>679</v>
      </c>
      <c r="N577" s="1" t="s">
        <v>678</v>
      </c>
      <c r="O577" s="2">
        <v>46034.534409722219</v>
      </c>
      <c r="P577" s="92">
        <v>13.744391384561327</v>
      </c>
      <c r="Q577" s="93">
        <v>775.62063640443876</v>
      </c>
    </row>
    <row r="578" spans="1:17" x14ac:dyDescent="0.3">
      <c r="A578">
        <v>8</v>
      </c>
      <c r="B578" s="85">
        <v>5.3</v>
      </c>
      <c r="C578" s="78">
        <v>45981</v>
      </c>
      <c r="D578" s="78">
        <v>45983</v>
      </c>
      <c r="E578">
        <v>56</v>
      </c>
      <c r="F578" t="s">
        <v>921</v>
      </c>
      <c r="G578" t="s">
        <v>907</v>
      </c>
      <c r="H578">
        <v>49</v>
      </c>
      <c r="I578">
        <v>1</v>
      </c>
      <c r="J578" t="s">
        <v>908</v>
      </c>
      <c r="K578" t="s">
        <v>1506</v>
      </c>
      <c r="L578"/>
      <c r="M578" s="4">
        <v>680</v>
      </c>
      <c r="N578" s="4" t="s">
        <v>679</v>
      </c>
      <c r="O578" s="12">
        <v>46034.538148148145</v>
      </c>
      <c r="P578" s="92">
        <v>-14.095096301216902</v>
      </c>
      <c r="Q578" s="93">
        <v>679.07546883016937</v>
      </c>
    </row>
    <row r="579" spans="1:17" x14ac:dyDescent="0.3">
      <c r="A579">
        <v>8</v>
      </c>
      <c r="B579" s="85">
        <v>5.3</v>
      </c>
      <c r="C579" s="78">
        <v>45981</v>
      </c>
      <c r="D579" s="78">
        <v>45983</v>
      </c>
      <c r="E579">
        <v>55</v>
      </c>
      <c r="F579" t="s">
        <v>929</v>
      </c>
      <c r="G579" t="s">
        <v>15</v>
      </c>
      <c r="H579">
        <v>49</v>
      </c>
      <c r="I579">
        <v>2</v>
      </c>
      <c r="J579" t="s">
        <v>908</v>
      </c>
      <c r="K579" t="s">
        <v>1507</v>
      </c>
      <c r="L579"/>
      <c r="M579" s="1">
        <v>681</v>
      </c>
      <c r="N579" s="1" t="s">
        <v>680</v>
      </c>
      <c r="O579" s="2">
        <v>46034.541886574072</v>
      </c>
      <c r="P579" s="92">
        <v>-14.00089505708041</v>
      </c>
      <c r="Q579" s="93">
        <v>691.91324837542368</v>
      </c>
    </row>
    <row r="580" spans="1:17" x14ac:dyDescent="0.3">
      <c r="A580">
        <v>8</v>
      </c>
      <c r="B580" s="85">
        <v>5.3</v>
      </c>
      <c r="C580" s="78">
        <v>45981</v>
      </c>
      <c r="D580" s="78">
        <v>45983</v>
      </c>
      <c r="E580">
        <v>54</v>
      </c>
      <c r="F580" t="s">
        <v>906</v>
      </c>
      <c r="G580" t="s">
        <v>914</v>
      </c>
      <c r="H580">
        <v>49</v>
      </c>
      <c r="I580">
        <v>3</v>
      </c>
      <c r="J580" t="s">
        <v>908</v>
      </c>
      <c r="K580" t="s">
        <v>1508</v>
      </c>
      <c r="L580"/>
      <c r="M580" s="4">
        <v>682</v>
      </c>
      <c r="N580" s="4" t="s">
        <v>681</v>
      </c>
      <c r="O580" s="12">
        <v>46034.545636574076</v>
      </c>
      <c r="P580" s="92">
        <v>-13.800627556776004</v>
      </c>
      <c r="Q580" s="93">
        <v>689.17276222861972</v>
      </c>
    </row>
    <row r="581" spans="1:17" x14ac:dyDescent="0.3">
      <c r="A581">
        <v>8</v>
      </c>
      <c r="B581" s="85">
        <v>5.3</v>
      </c>
      <c r="C581" s="78">
        <v>45981</v>
      </c>
      <c r="D581" s="78">
        <v>45983</v>
      </c>
      <c r="E581">
        <v>49</v>
      </c>
      <c r="F581" t="s">
        <v>932</v>
      </c>
      <c r="G581" t="s">
        <v>918</v>
      </c>
      <c r="H581">
        <v>49</v>
      </c>
      <c r="I581">
        <v>4</v>
      </c>
      <c r="J581" t="s">
        <v>908</v>
      </c>
      <c r="K581" t="s">
        <v>1509</v>
      </c>
      <c r="L581"/>
      <c r="M581" s="1">
        <v>683</v>
      </c>
      <c r="N581" s="1" t="s">
        <v>682</v>
      </c>
      <c r="O581" s="2">
        <v>46034.549363425926</v>
      </c>
      <c r="P581" s="92">
        <v>-13.88651525980179</v>
      </c>
      <c r="Q581" s="93">
        <v>661.06588983980214</v>
      </c>
    </row>
    <row r="582" spans="1:17" x14ac:dyDescent="0.3">
      <c r="A582">
        <v>8</v>
      </c>
      <c r="B582" s="85">
        <v>5.3</v>
      </c>
      <c r="C582" s="78">
        <v>45981</v>
      </c>
      <c r="D582" s="78">
        <v>45983</v>
      </c>
      <c r="E582">
        <v>52</v>
      </c>
      <c r="F582" t="s">
        <v>917</v>
      </c>
      <c r="G582" t="s">
        <v>922</v>
      </c>
      <c r="H582">
        <v>49</v>
      </c>
      <c r="I582">
        <v>5</v>
      </c>
      <c r="J582" t="s">
        <v>908</v>
      </c>
      <c r="K582" t="s">
        <v>1510</v>
      </c>
      <c r="L582"/>
      <c r="M582" s="4">
        <v>684</v>
      </c>
      <c r="N582" s="4" t="s">
        <v>683</v>
      </c>
      <c r="O582" s="12">
        <v>46034.553113425929</v>
      </c>
      <c r="P582" s="92">
        <v>-14.149392917137384</v>
      </c>
      <c r="Q582" s="93">
        <v>675.20379664237316</v>
      </c>
    </row>
    <row r="583" spans="1:17" x14ac:dyDescent="0.3">
      <c r="A583">
        <v>8</v>
      </c>
      <c r="B583" s="85">
        <v>5.3</v>
      </c>
      <c r="C583" s="78">
        <v>45981</v>
      </c>
      <c r="D583" s="78">
        <v>45983</v>
      </c>
      <c r="E583">
        <v>50</v>
      </c>
      <c r="F583" t="s">
        <v>913</v>
      </c>
      <c r="G583" t="s">
        <v>926</v>
      </c>
      <c r="H583">
        <v>49</v>
      </c>
      <c r="I583">
        <v>6</v>
      </c>
      <c r="J583" t="s">
        <v>908</v>
      </c>
      <c r="K583" t="s">
        <v>1511</v>
      </c>
      <c r="L583"/>
      <c r="M583" s="1">
        <v>685</v>
      </c>
      <c r="N583" s="1" t="s">
        <v>684</v>
      </c>
      <c r="O583" s="2">
        <v>46034.556840277779</v>
      </c>
      <c r="P583" s="92">
        <v>-13.033859849918485</v>
      </c>
      <c r="Q583" s="93">
        <v>688.98960834687261</v>
      </c>
    </row>
    <row r="584" spans="1:17" x14ac:dyDescent="0.3">
      <c r="A584">
        <v>8</v>
      </c>
      <c r="B584" s="85">
        <v>5.3</v>
      </c>
      <c r="C584" s="78">
        <v>45981</v>
      </c>
      <c r="D584" s="78">
        <v>45983</v>
      </c>
      <c r="E584">
        <v>53</v>
      </c>
      <c r="F584" t="s">
        <v>925</v>
      </c>
      <c r="G584" t="s">
        <v>930</v>
      </c>
      <c r="H584">
        <v>49</v>
      </c>
      <c r="I584">
        <v>7</v>
      </c>
      <c r="J584" t="s">
        <v>908</v>
      </c>
      <c r="K584" t="s">
        <v>1512</v>
      </c>
      <c r="L584"/>
      <c r="M584" s="4">
        <v>686</v>
      </c>
      <c r="N584" s="4" t="s">
        <v>685</v>
      </c>
      <c r="O584" s="12">
        <v>46034.560567129629</v>
      </c>
      <c r="P584" s="92">
        <v>-14.216825459606312</v>
      </c>
      <c r="Q584" s="93">
        <v>664.7979936531475</v>
      </c>
    </row>
    <row r="585" spans="1:17" x14ac:dyDescent="0.3">
      <c r="A585">
        <v>8</v>
      </c>
      <c r="B585" s="85">
        <v>5.3</v>
      </c>
      <c r="C585" s="78">
        <v>45981</v>
      </c>
      <c r="D585" s="78">
        <v>45983</v>
      </c>
      <c r="E585">
        <v>51</v>
      </c>
      <c r="F585" t="s">
        <v>910</v>
      </c>
      <c r="G585" t="s">
        <v>933</v>
      </c>
      <c r="H585">
        <v>49</v>
      </c>
      <c r="I585">
        <v>8</v>
      </c>
      <c r="J585" t="s">
        <v>908</v>
      </c>
      <c r="K585" t="s">
        <v>1513</v>
      </c>
      <c r="L585"/>
      <c r="M585" s="1">
        <v>687</v>
      </c>
      <c r="N585" s="1" t="s">
        <v>686</v>
      </c>
      <c r="O585" s="2">
        <v>46034.564317129632</v>
      </c>
      <c r="P585" s="92">
        <v>-12.508756439672581</v>
      </c>
      <c r="Q585" s="93">
        <v>707.82238491852229</v>
      </c>
    </row>
    <row r="586" spans="1:17" x14ac:dyDescent="0.3">
      <c r="A586">
        <v>8</v>
      </c>
      <c r="B586" s="85">
        <v>5.3</v>
      </c>
      <c r="C586" s="78">
        <v>45981</v>
      </c>
      <c r="D586" s="78">
        <v>45983</v>
      </c>
      <c r="E586">
        <v>56</v>
      </c>
      <c r="F586" t="s">
        <v>921</v>
      </c>
      <c r="G586" t="s">
        <v>907</v>
      </c>
      <c r="H586">
        <v>49</v>
      </c>
      <c r="I586">
        <v>9</v>
      </c>
      <c r="J586" t="s">
        <v>935</v>
      </c>
      <c r="K586" t="s">
        <v>1514</v>
      </c>
      <c r="L586"/>
      <c r="M586" s="4">
        <v>688</v>
      </c>
      <c r="N586" s="4" t="s">
        <v>687</v>
      </c>
      <c r="O586" s="12">
        <v>46034.568043981482</v>
      </c>
      <c r="P586" s="92">
        <v>8.6732306036435904</v>
      </c>
      <c r="Q586" s="93">
        <v>761.28697382344581</v>
      </c>
    </row>
    <row r="587" spans="1:17" x14ac:dyDescent="0.3">
      <c r="A587">
        <v>8</v>
      </c>
      <c r="B587" s="85">
        <v>5.3</v>
      </c>
      <c r="C587" s="78">
        <v>45981</v>
      </c>
      <c r="D587" s="78">
        <v>45983</v>
      </c>
      <c r="E587">
        <v>55</v>
      </c>
      <c r="F587" t="s">
        <v>929</v>
      </c>
      <c r="G587" t="s">
        <v>15</v>
      </c>
      <c r="H587">
        <v>49</v>
      </c>
      <c r="I587">
        <v>10</v>
      </c>
      <c r="J587" t="s">
        <v>935</v>
      </c>
      <c r="K587" t="s">
        <v>1515</v>
      </c>
      <c r="L587"/>
      <c r="M587" s="1">
        <v>689</v>
      </c>
      <c r="N587" s="1" t="s">
        <v>688</v>
      </c>
      <c r="O587" s="2">
        <v>46034.571793981479</v>
      </c>
      <c r="P587" s="92">
        <v>17.095126711653108</v>
      </c>
      <c r="Q587" s="93">
        <v>726.56922223991603</v>
      </c>
    </row>
    <row r="588" spans="1:17" x14ac:dyDescent="0.3">
      <c r="A588">
        <v>8</v>
      </c>
      <c r="B588" s="85">
        <v>5.3</v>
      </c>
      <c r="C588" s="78">
        <v>45981</v>
      </c>
      <c r="D588" s="78">
        <v>45983</v>
      </c>
      <c r="E588">
        <v>54</v>
      </c>
      <c r="F588" t="s">
        <v>906</v>
      </c>
      <c r="G588" t="s">
        <v>914</v>
      </c>
      <c r="H588">
        <v>49</v>
      </c>
      <c r="I588">
        <v>11</v>
      </c>
      <c r="J588" t="s">
        <v>935</v>
      </c>
      <c r="K588" t="s">
        <v>1516</v>
      </c>
      <c r="L588"/>
      <c r="M588" s="4">
        <v>690</v>
      </c>
      <c r="N588" s="4" t="s">
        <v>689</v>
      </c>
      <c r="O588" s="12">
        <v>46034.575543981482</v>
      </c>
      <c r="P588" s="92">
        <v>16.26612091958599</v>
      </c>
      <c r="Q588" s="93">
        <v>762.62936007261919</v>
      </c>
    </row>
    <row r="589" spans="1:17" x14ac:dyDescent="0.3">
      <c r="A589">
        <v>8</v>
      </c>
      <c r="B589" s="85">
        <v>5.3</v>
      </c>
      <c r="C589" s="78">
        <v>45981</v>
      </c>
      <c r="D589" s="78">
        <v>45983</v>
      </c>
      <c r="E589">
        <v>49</v>
      </c>
      <c r="F589" t="s">
        <v>932</v>
      </c>
      <c r="G589" t="s">
        <v>918</v>
      </c>
      <c r="H589">
        <v>49</v>
      </c>
      <c r="I589">
        <v>12</v>
      </c>
      <c r="J589" t="s">
        <v>935</v>
      </c>
      <c r="K589" t="s">
        <v>1517</v>
      </c>
      <c r="L589"/>
      <c r="M589" s="1">
        <v>691</v>
      </c>
      <c r="N589" s="1" t="s">
        <v>690</v>
      </c>
      <c r="O589" s="2">
        <v>46034.579270833332</v>
      </c>
      <c r="P589" s="92">
        <v>9.3858398374072749</v>
      </c>
      <c r="Q589" s="93">
        <v>725.2599515011774</v>
      </c>
    </row>
    <row r="590" spans="1:17" x14ac:dyDescent="0.3">
      <c r="A590">
        <v>8</v>
      </c>
      <c r="B590" s="85">
        <v>5.3</v>
      </c>
      <c r="C590" s="78">
        <v>45981</v>
      </c>
      <c r="D590" s="78">
        <v>45983</v>
      </c>
      <c r="E590">
        <v>52</v>
      </c>
      <c r="F590" t="s">
        <v>917</v>
      </c>
      <c r="G590" t="s">
        <v>922</v>
      </c>
      <c r="H590">
        <v>49</v>
      </c>
      <c r="I590">
        <v>13</v>
      </c>
      <c r="J590" t="s">
        <v>935</v>
      </c>
      <c r="K590" t="s">
        <v>1518</v>
      </c>
      <c r="L590"/>
      <c r="M590" s="4">
        <v>692</v>
      </c>
      <c r="N590" s="4" t="s">
        <v>691</v>
      </c>
      <c r="O590" s="12">
        <v>46034.583020833335</v>
      </c>
      <c r="P590" s="92">
        <v>10.878077291983113</v>
      </c>
      <c r="Q590" s="93">
        <v>719.64192173734341</v>
      </c>
    </row>
    <row r="591" spans="1:17" x14ac:dyDescent="0.3">
      <c r="A591">
        <v>8</v>
      </c>
      <c r="B591" s="85">
        <v>5.3</v>
      </c>
      <c r="C591" s="78">
        <v>45981</v>
      </c>
      <c r="D591" s="78">
        <v>45983</v>
      </c>
      <c r="E591">
        <v>50</v>
      </c>
      <c r="F591" t="s">
        <v>913</v>
      </c>
      <c r="G591" t="s">
        <v>926</v>
      </c>
      <c r="H591">
        <v>49</v>
      </c>
      <c r="I591">
        <v>14</v>
      </c>
      <c r="J591" t="s">
        <v>935</v>
      </c>
      <c r="K591" t="s">
        <v>1519</v>
      </c>
      <c r="L591"/>
      <c r="M591" s="1">
        <v>693</v>
      </c>
      <c r="N591" s="1" t="s">
        <v>692</v>
      </c>
      <c r="O591" s="2">
        <v>46034.586759259262</v>
      </c>
      <c r="P591" s="92">
        <v>20.19174090871465</v>
      </c>
      <c r="Q591" s="93">
        <v>698.86452090700925</v>
      </c>
    </row>
    <row r="592" spans="1:17" x14ac:dyDescent="0.3">
      <c r="A592">
        <v>8</v>
      </c>
      <c r="B592" s="85">
        <v>5.3</v>
      </c>
      <c r="C592" s="78">
        <v>45981</v>
      </c>
      <c r="D592" s="78">
        <v>45983</v>
      </c>
      <c r="E592">
        <v>53</v>
      </c>
      <c r="F592" t="s">
        <v>925</v>
      </c>
      <c r="G592" t="s">
        <v>930</v>
      </c>
      <c r="H592">
        <v>49</v>
      </c>
      <c r="I592">
        <v>15</v>
      </c>
      <c r="J592" t="s">
        <v>935</v>
      </c>
      <c r="K592" t="s">
        <v>1520</v>
      </c>
      <c r="L592"/>
      <c r="M592" s="4">
        <v>694</v>
      </c>
      <c r="N592" s="4" t="s">
        <v>693</v>
      </c>
      <c r="O592" s="12">
        <v>46034.590497685182</v>
      </c>
      <c r="P592" s="92">
        <v>9.4384424408567362</v>
      </c>
      <c r="Q592" s="93">
        <v>732.41820781686886</v>
      </c>
    </row>
    <row r="593" spans="1:17" x14ac:dyDescent="0.3">
      <c r="A593">
        <v>8</v>
      </c>
      <c r="B593" s="85">
        <v>5.3</v>
      </c>
      <c r="C593" s="78">
        <v>45981</v>
      </c>
      <c r="D593" s="78">
        <v>45983</v>
      </c>
      <c r="E593">
        <v>51</v>
      </c>
      <c r="F593" t="s">
        <v>910</v>
      </c>
      <c r="G593" t="s">
        <v>933</v>
      </c>
      <c r="H593">
        <v>49</v>
      </c>
      <c r="I593">
        <v>16</v>
      </c>
      <c r="J593" t="s">
        <v>935</v>
      </c>
      <c r="K593" t="s">
        <v>1521</v>
      </c>
      <c r="L593"/>
      <c r="M593" s="1">
        <v>695</v>
      </c>
      <c r="N593" s="1" t="s">
        <v>694</v>
      </c>
      <c r="O593" s="2">
        <v>46034.594236111108</v>
      </c>
      <c r="P593" s="92">
        <v>16.366122736822376</v>
      </c>
      <c r="Q593" s="93">
        <v>729.44392332386167</v>
      </c>
    </row>
    <row r="594" spans="1:17" x14ac:dyDescent="0.3">
      <c r="A594">
        <v>8</v>
      </c>
      <c r="B594" s="85">
        <v>5.3</v>
      </c>
      <c r="C594" s="78">
        <v>45981</v>
      </c>
      <c r="D594" s="78">
        <v>45983</v>
      </c>
      <c r="E594">
        <v>56</v>
      </c>
      <c r="F594" t="s">
        <v>921</v>
      </c>
      <c r="G594" t="s">
        <v>907</v>
      </c>
      <c r="H594">
        <v>49</v>
      </c>
      <c r="I594">
        <v>17</v>
      </c>
      <c r="J594" t="s">
        <v>24</v>
      </c>
      <c r="K594" t="s">
        <v>1522</v>
      </c>
      <c r="L594"/>
      <c r="M594" s="4">
        <v>696</v>
      </c>
      <c r="N594" s="4" t="s">
        <v>695</v>
      </c>
      <c r="O594" s="12">
        <v>46034.597974537035</v>
      </c>
      <c r="P594" s="92">
        <v>18.086795620537107</v>
      </c>
      <c r="Q594" s="93">
        <v>868.07265108807485</v>
      </c>
    </row>
    <row r="595" spans="1:17" x14ac:dyDescent="0.3">
      <c r="A595">
        <v>8</v>
      </c>
      <c r="B595" s="85">
        <v>5.3</v>
      </c>
      <c r="C595" s="78">
        <v>45981</v>
      </c>
      <c r="D595" s="78">
        <v>45983</v>
      </c>
      <c r="E595">
        <v>55</v>
      </c>
      <c r="F595" t="s">
        <v>929</v>
      </c>
      <c r="G595" t="s">
        <v>15</v>
      </c>
      <c r="H595">
        <v>49</v>
      </c>
      <c r="I595">
        <v>18</v>
      </c>
      <c r="J595" t="s">
        <v>24</v>
      </c>
      <c r="K595" t="s">
        <v>1523</v>
      </c>
      <c r="L595"/>
      <c r="M595" s="1">
        <v>697</v>
      </c>
      <c r="N595" s="1" t="s">
        <v>696</v>
      </c>
      <c r="O595" s="2">
        <v>46034.601724537039</v>
      </c>
      <c r="P595" s="92">
        <v>37.337260861492346</v>
      </c>
      <c r="Q595" s="93">
        <v>737.8834040518575</v>
      </c>
    </row>
    <row r="596" spans="1:17" x14ac:dyDescent="0.3">
      <c r="A596">
        <v>9</v>
      </c>
      <c r="B596" s="85">
        <v>5.3</v>
      </c>
      <c r="C596" s="78">
        <v>45981</v>
      </c>
      <c r="D596" s="78">
        <v>45983</v>
      </c>
      <c r="E596">
        <v>54</v>
      </c>
      <c r="F596" t="s">
        <v>906</v>
      </c>
      <c r="G596" t="s">
        <v>914</v>
      </c>
      <c r="H596">
        <v>49</v>
      </c>
      <c r="I596">
        <v>19</v>
      </c>
      <c r="J596" t="s">
        <v>24</v>
      </c>
      <c r="K596" t="s">
        <v>1524</v>
      </c>
      <c r="L596"/>
      <c r="M596" s="4">
        <v>698</v>
      </c>
      <c r="N596" s="4" t="s">
        <v>697</v>
      </c>
      <c r="O596" s="12">
        <v>46034.605451388888</v>
      </c>
      <c r="P596" s="92">
        <v>37.329516284318814</v>
      </c>
      <c r="Q596" s="93">
        <v>810.16864138726999</v>
      </c>
    </row>
    <row r="597" spans="1:17" x14ac:dyDescent="0.3">
      <c r="A597">
        <v>9</v>
      </c>
      <c r="B597" s="85">
        <v>5.3</v>
      </c>
      <c r="C597" s="78">
        <v>45981</v>
      </c>
      <c r="D597" s="78">
        <v>45983</v>
      </c>
      <c r="E597">
        <v>49</v>
      </c>
      <c r="F597" t="s">
        <v>932</v>
      </c>
      <c r="G597" t="s">
        <v>918</v>
      </c>
      <c r="H597">
        <v>49</v>
      </c>
      <c r="I597">
        <v>20</v>
      </c>
      <c r="J597" t="s">
        <v>24</v>
      </c>
      <c r="K597" t="s">
        <v>1525</v>
      </c>
      <c r="L597"/>
      <c r="M597" s="1">
        <v>699</v>
      </c>
      <c r="N597" s="1" t="s">
        <v>698</v>
      </c>
      <c r="O597" s="2">
        <v>46034.609212962961</v>
      </c>
      <c r="P597" s="92">
        <v>31.129943748133265</v>
      </c>
      <c r="Q597" s="93">
        <v>692.73204003042508</v>
      </c>
    </row>
    <row r="598" spans="1:17" x14ac:dyDescent="0.3">
      <c r="A598">
        <v>9</v>
      </c>
      <c r="B598" s="85">
        <v>5.3</v>
      </c>
      <c r="C598" s="78">
        <v>45981</v>
      </c>
      <c r="D598" s="78">
        <v>45983</v>
      </c>
      <c r="E598">
        <v>52</v>
      </c>
      <c r="F598" t="s">
        <v>917</v>
      </c>
      <c r="G598" t="s">
        <v>922</v>
      </c>
      <c r="H598">
        <v>49</v>
      </c>
      <c r="I598">
        <v>21</v>
      </c>
      <c r="J598" t="s">
        <v>24</v>
      </c>
      <c r="K598" t="s">
        <v>1526</v>
      </c>
      <c r="L598"/>
      <c r="M598" s="4">
        <v>700</v>
      </c>
      <c r="N598" s="4" t="s">
        <v>699</v>
      </c>
      <c r="O598" s="12">
        <v>46034.612939814811</v>
      </c>
      <c r="P598" s="92">
        <v>27.018181861153721</v>
      </c>
      <c r="Q598" s="93">
        <v>720.87084354089234</v>
      </c>
    </row>
    <row r="599" spans="1:17" x14ac:dyDescent="0.3">
      <c r="A599">
        <v>9</v>
      </c>
      <c r="B599" s="85">
        <v>5.3</v>
      </c>
      <c r="C599" s="78">
        <v>45981</v>
      </c>
      <c r="D599" s="78">
        <v>45983</v>
      </c>
      <c r="E599">
        <v>50</v>
      </c>
      <c r="F599" t="s">
        <v>913</v>
      </c>
      <c r="G599" t="s">
        <v>926</v>
      </c>
      <c r="H599">
        <v>49</v>
      </c>
      <c r="I599">
        <v>22</v>
      </c>
      <c r="J599" t="s">
        <v>24</v>
      </c>
      <c r="K599" t="s">
        <v>1527</v>
      </c>
      <c r="L599"/>
      <c r="M599" s="1">
        <v>701</v>
      </c>
      <c r="N599" s="1" t="s">
        <v>700</v>
      </c>
      <c r="O599" s="2">
        <v>46034.616655092592</v>
      </c>
      <c r="P599" s="92">
        <v>42.354063125550731</v>
      </c>
      <c r="Q599" s="93">
        <v>727.75152650087853</v>
      </c>
    </row>
    <row r="600" spans="1:17" x14ac:dyDescent="0.3">
      <c r="A600">
        <v>9</v>
      </c>
      <c r="B600" s="85">
        <v>5.3</v>
      </c>
      <c r="C600" s="78">
        <v>45981</v>
      </c>
      <c r="D600" s="78">
        <v>45983</v>
      </c>
      <c r="E600">
        <v>53</v>
      </c>
      <c r="F600" t="s">
        <v>925</v>
      </c>
      <c r="G600" t="s">
        <v>930</v>
      </c>
      <c r="H600">
        <v>49</v>
      </c>
      <c r="I600">
        <v>23</v>
      </c>
      <c r="J600" t="s">
        <v>24</v>
      </c>
      <c r="K600" t="s">
        <v>1528</v>
      </c>
      <c r="L600"/>
      <c r="M600" s="4">
        <v>702</v>
      </c>
      <c r="N600" s="4" t="s">
        <v>701</v>
      </c>
      <c r="O600" s="12">
        <v>46034.620428240742</v>
      </c>
      <c r="P600" s="92">
        <v>22.010711465427189</v>
      </c>
      <c r="Q600" s="93">
        <v>788.87778433076528</v>
      </c>
    </row>
    <row r="601" spans="1:17" x14ac:dyDescent="0.3">
      <c r="A601">
        <v>9</v>
      </c>
      <c r="B601" s="85">
        <v>5.3</v>
      </c>
      <c r="C601" s="78">
        <v>45981</v>
      </c>
      <c r="D601" s="78">
        <v>45983</v>
      </c>
      <c r="E601">
        <v>51</v>
      </c>
      <c r="F601" t="s">
        <v>910</v>
      </c>
      <c r="G601" t="s">
        <v>933</v>
      </c>
      <c r="H601">
        <v>49</v>
      </c>
      <c r="I601">
        <v>24</v>
      </c>
      <c r="J601" t="s">
        <v>24</v>
      </c>
      <c r="K601" t="s">
        <v>1529</v>
      </c>
      <c r="L601"/>
      <c r="M601" s="1">
        <v>703</v>
      </c>
      <c r="N601" s="1" t="s">
        <v>702</v>
      </c>
      <c r="O601" s="2">
        <v>46034.624166666668</v>
      </c>
      <c r="P601" s="92">
        <v>29.371760791987345</v>
      </c>
      <c r="Q601" s="93">
        <v>757.34750722158333</v>
      </c>
    </row>
    <row r="602" spans="1:17" x14ac:dyDescent="0.3">
      <c r="A602">
        <v>9</v>
      </c>
      <c r="B602" s="85">
        <v>5.3</v>
      </c>
      <c r="C602" s="78">
        <v>45981</v>
      </c>
      <c r="D602" s="78">
        <v>45983</v>
      </c>
      <c r="E602">
        <v>56</v>
      </c>
      <c r="F602" t="s">
        <v>921</v>
      </c>
      <c r="G602" t="s">
        <v>907</v>
      </c>
      <c r="H602">
        <v>49</v>
      </c>
      <c r="I602">
        <v>25</v>
      </c>
      <c r="J602" t="s">
        <v>25</v>
      </c>
      <c r="K602" t="s">
        <v>1530</v>
      </c>
      <c r="L602"/>
      <c r="M602" s="4">
        <v>704</v>
      </c>
      <c r="N602" s="4" t="s">
        <v>703</v>
      </c>
      <c r="O602" s="12">
        <v>46034.627916666665</v>
      </c>
      <c r="P602" s="92">
        <v>33.370097790659933</v>
      </c>
      <c r="Q602" s="93">
        <v>838.02224407825531</v>
      </c>
    </row>
    <row r="603" spans="1:17" x14ac:dyDescent="0.3">
      <c r="A603">
        <v>9</v>
      </c>
      <c r="B603" s="85">
        <v>5.3</v>
      </c>
      <c r="C603" s="78">
        <v>45981</v>
      </c>
      <c r="D603" s="78">
        <v>45983</v>
      </c>
      <c r="E603">
        <v>55</v>
      </c>
      <c r="F603" t="s">
        <v>929</v>
      </c>
      <c r="G603" t="s">
        <v>15</v>
      </c>
      <c r="H603">
        <v>49</v>
      </c>
      <c r="I603">
        <v>26</v>
      </c>
      <c r="J603" t="s">
        <v>25</v>
      </c>
      <c r="K603" t="s">
        <v>28</v>
      </c>
      <c r="L603"/>
      <c r="M603" s="1">
        <v>705</v>
      </c>
      <c r="N603" s="1" t="s">
        <v>704</v>
      </c>
      <c r="O603" s="2">
        <v>46034.631643518522</v>
      </c>
      <c r="P603" s="92">
        <v>46.769578278312174</v>
      </c>
      <c r="Q603" s="93">
        <v>815.46930233221531</v>
      </c>
    </row>
    <row r="604" spans="1:17" x14ac:dyDescent="0.3">
      <c r="A604">
        <v>9</v>
      </c>
      <c r="B604" s="85">
        <v>5.3</v>
      </c>
      <c r="C604" s="78">
        <v>45981</v>
      </c>
      <c r="D604" s="78">
        <v>45983</v>
      </c>
      <c r="E604">
        <v>54</v>
      </c>
      <c r="F604" t="s">
        <v>906</v>
      </c>
      <c r="G604" t="s">
        <v>914</v>
      </c>
      <c r="H604">
        <v>49</v>
      </c>
      <c r="I604">
        <v>27</v>
      </c>
      <c r="J604" t="s">
        <v>25</v>
      </c>
      <c r="K604" t="s">
        <v>1531</v>
      </c>
      <c r="L604"/>
      <c r="M604" s="4">
        <v>706</v>
      </c>
      <c r="N604" s="4" t="s">
        <v>705</v>
      </c>
      <c r="O604" s="12">
        <v>46034.635393518518</v>
      </c>
      <c r="P604" s="92">
        <v>49.768424313026692</v>
      </c>
      <c r="Q604" s="93">
        <v>874.16742102573755</v>
      </c>
    </row>
    <row r="605" spans="1:17" x14ac:dyDescent="0.3">
      <c r="A605">
        <v>9</v>
      </c>
      <c r="B605" s="85">
        <v>5.3</v>
      </c>
      <c r="C605" s="78">
        <v>45981</v>
      </c>
      <c r="D605" s="78">
        <v>45983</v>
      </c>
      <c r="E605">
        <v>49</v>
      </c>
      <c r="F605" t="s">
        <v>932</v>
      </c>
      <c r="G605" t="s">
        <v>918</v>
      </c>
      <c r="H605">
        <v>49</v>
      </c>
      <c r="I605">
        <v>28</v>
      </c>
      <c r="J605" t="s">
        <v>25</v>
      </c>
      <c r="K605" t="s">
        <v>1532</v>
      </c>
      <c r="L605"/>
      <c r="M605" s="1">
        <v>707</v>
      </c>
      <c r="N605" s="1" t="s">
        <v>706</v>
      </c>
      <c r="O605" s="2">
        <v>46034.639120370368</v>
      </c>
      <c r="P605" s="92">
        <v>42.061920401613698</v>
      </c>
      <c r="Q605" s="93">
        <v>741.90170357126453</v>
      </c>
    </row>
    <row r="606" spans="1:17" x14ac:dyDescent="0.3">
      <c r="A606">
        <v>9</v>
      </c>
      <c r="B606" s="85">
        <v>5.3</v>
      </c>
      <c r="C606" s="78">
        <v>45981</v>
      </c>
      <c r="D606" s="78">
        <v>45983</v>
      </c>
      <c r="E606">
        <v>52</v>
      </c>
      <c r="F606" t="s">
        <v>917</v>
      </c>
      <c r="G606" t="s">
        <v>922</v>
      </c>
      <c r="H606">
        <v>49</v>
      </c>
      <c r="I606">
        <v>29</v>
      </c>
      <c r="J606" t="s">
        <v>25</v>
      </c>
      <c r="K606" t="s">
        <v>1533</v>
      </c>
      <c r="L606"/>
      <c r="M606" s="4">
        <v>708</v>
      </c>
      <c r="N606" s="4" t="s">
        <v>707</v>
      </c>
      <c r="O606" s="12">
        <v>46034.642858796295</v>
      </c>
      <c r="P606" s="92">
        <v>43.26175652704454</v>
      </c>
      <c r="Q606" s="93">
        <v>691.5987694651709</v>
      </c>
    </row>
    <row r="607" spans="1:17" x14ac:dyDescent="0.3">
      <c r="A607">
        <v>9</v>
      </c>
      <c r="B607" s="85">
        <v>5.3</v>
      </c>
      <c r="C607" s="78">
        <v>45981</v>
      </c>
      <c r="D607" s="78">
        <v>45983</v>
      </c>
      <c r="E607">
        <v>50</v>
      </c>
      <c r="F607" t="s">
        <v>913</v>
      </c>
      <c r="G607" t="s">
        <v>926</v>
      </c>
      <c r="H607">
        <v>49</v>
      </c>
      <c r="I607">
        <v>30</v>
      </c>
      <c r="J607" t="s">
        <v>25</v>
      </c>
      <c r="K607" t="s">
        <v>1534</v>
      </c>
      <c r="L607"/>
      <c r="M607" s="1">
        <v>709</v>
      </c>
      <c r="N607" s="1" t="s">
        <v>708</v>
      </c>
      <c r="O607" s="2">
        <v>46034.646608796298</v>
      </c>
      <c r="P607" s="92">
        <v>64.203736401763052</v>
      </c>
      <c r="Q607" s="93">
        <v>735.52097480529733</v>
      </c>
    </row>
    <row r="608" spans="1:17" x14ac:dyDescent="0.3">
      <c r="A608">
        <v>9</v>
      </c>
      <c r="B608" s="85">
        <v>5.3</v>
      </c>
      <c r="C608" s="78">
        <v>45981</v>
      </c>
      <c r="D608" s="78">
        <v>45983</v>
      </c>
      <c r="E608">
        <v>53</v>
      </c>
      <c r="F608" t="s">
        <v>925</v>
      </c>
      <c r="G608" t="s">
        <v>930</v>
      </c>
      <c r="H608">
        <v>49</v>
      </c>
      <c r="I608">
        <v>31</v>
      </c>
      <c r="J608" t="s">
        <v>25</v>
      </c>
      <c r="K608" t="s">
        <v>1535</v>
      </c>
      <c r="L608"/>
      <c r="M608" s="4">
        <v>710</v>
      </c>
      <c r="N608" s="4" t="s">
        <v>709</v>
      </c>
      <c r="O608" s="12">
        <v>46034.650335648148</v>
      </c>
      <c r="P608" s="92">
        <v>36.680068851506661</v>
      </c>
      <c r="Q608" s="93">
        <v>769.65832850851552</v>
      </c>
    </row>
    <row r="609" spans="1:17" x14ac:dyDescent="0.3">
      <c r="A609">
        <v>9</v>
      </c>
      <c r="B609" s="85">
        <v>5.3</v>
      </c>
      <c r="C609" s="78">
        <v>45981</v>
      </c>
      <c r="D609" s="78">
        <v>45983</v>
      </c>
      <c r="E609">
        <v>51</v>
      </c>
      <c r="F609" t="s">
        <v>910</v>
      </c>
      <c r="G609" t="s">
        <v>933</v>
      </c>
      <c r="H609">
        <v>49</v>
      </c>
      <c r="I609">
        <v>32</v>
      </c>
      <c r="J609" t="s">
        <v>25</v>
      </c>
      <c r="K609" t="s">
        <v>1536</v>
      </c>
      <c r="L609"/>
      <c r="M609" s="1">
        <v>711</v>
      </c>
      <c r="N609" s="1" t="s">
        <v>710</v>
      </c>
      <c r="O609" s="2">
        <v>46034.654074074075</v>
      </c>
      <c r="P609" s="92">
        <v>48.766897009550853</v>
      </c>
      <c r="Q609" s="93">
        <v>755.54538862153709</v>
      </c>
    </row>
    <row r="610" spans="1:17" x14ac:dyDescent="0.3">
      <c r="A610">
        <v>9</v>
      </c>
      <c r="B610" s="85">
        <v>5.4</v>
      </c>
      <c r="C610" s="78">
        <v>45983</v>
      </c>
      <c r="D610" s="78">
        <v>45985</v>
      </c>
      <c r="E610">
        <v>56</v>
      </c>
      <c r="F610" t="s">
        <v>921</v>
      </c>
      <c r="G610" t="s">
        <v>907</v>
      </c>
      <c r="H610">
        <v>97</v>
      </c>
      <c r="I610">
        <v>1</v>
      </c>
      <c r="J610" t="s">
        <v>908</v>
      </c>
      <c r="K610" t="s">
        <v>1537</v>
      </c>
      <c r="L610"/>
      <c r="M610" s="4">
        <v>716</v>
      </c>
      <c r="N610" s="4" t="s">
        <v>715</v>
      </c>
      <c r="O610" s="12">
        <v>46034.672835648147</v>
      </c>
      <c r="P610" s="92">
        <v>-12.273215509569996</v>
      </c>
      <c r="Q610" s="93">
        <v>752.27657032542015</v>
      </c>
    </row>
    <row r="611" spans="1:17" x14ac:dyDescent="0.3">
      <c r="A611">
        <v>9</v>
      </c>
      <c r="B611" s="85">
        <v>5.4</v>
      </c>
      <c r="C611" s="78">
        <v>45983</v>
      </c>
      <c r="D611" s="78">
        <v>45985</v>
      </c>
      <c r="E611">
        <v>55</v>
      </c>
      <c r="F611" t="s">
        <v>929</v>
      </c>
      <c r="G611" t="s">
        <v>15</v>
      </c>
      <c r="H611">
        <v>97</v>
      </c>
      <c r="I611">
        <v>2</v>
      </c>
      <c r="J611" t="s">
        <v>908</v>
      </c>
      <c r="K611" t="s">
        <v>1538</v>
      </c>
      <c r="L611"/>
      <c r="M611" s="1">
        <v>717</v>
      </c>
      <c r="N611" s="1" t="s">
        <v>716</v>
      </c>
      <c r="O611" s="2">
        <v>46034.676574074074</v>
      </c>
      <c r="P611" s="92">
        <v>-12.73348669593874</v>
      </c>
      <c r="Q611" s="93">
        <v>715.20250094146195</v>
      </c>
    </row>
    <row r="612" spans="1:17" x14ac:dyDescent="0.3">
      <c r="A612">
        <v>9</v>
      </c>
      <c r="B612" s="85">
        <v>5.4</v>
      </c>
      <c r="C612" s="78">
        <v>45983</v>
      </c>
      <c r="D612" s="78">
        <v>45985</v>
      </c>
      <c r="E612">
        <v>54</v>
      </c>
      <c r="F612" t="s">
        <v>906</v>
      </c>
      <c r="G612" t="s">
        <v>914</v>
      </c>
      <c r="H612">
        <v>97</v>
      </c>
      <c r="I612">
        <v>3</v>
      </c>
      <c r="J612" t="s">
        <v>908</v>
      </c>
      <c r="K612" t="s">
        <v>1539</v>
      </c>
      <c r="L612"/>
      <c r="M612" s="4">
        <v>718</v>
      </c>
      <c r="N612" s="4" t="s">
        <v>717</v>
      </c>
      <c r="O612" s="12">
        <v>46034.680312500001</v>
      </c>
      <c r="P612" s="92">
        <v>-12.009254988779274</v>
      </c>
      <c r="Q612" s="93">
        <v>714.11949583625267</v>
      </c>
    </row>
    <row r="613" spans="1:17" x14ac:dyDescent="0.3">
      <c r="A613">
        <v>9</v>
      </c>
      <c r="B613" s="85">
        <v>5.4</v>
      </c>
      <c r="C613" s="78">
        <v>45983</v>
      </c>
      <c r="D613" s="78">
        <v>45985</v>
      </c>
      <c r="E613">
        <v>49</v>
      </c>
      <c r="F613" t="s">
        <v>932</v>
      </c>
      <c r="G613" t="s">
        <v>918</v>
      </c>
      <c r="H613">
        <v>97</v>
      </c>
      <c r="I613">
        <v>4</v>
      </c>
      <c r="J613" t="s">
        <v>908</v>
      </c>
      <c r="K613" t="s">
        <v>1540</v>
      </c>
      <c r="L613"/>
      <c r="M613" s="1">
        <v>719</v>
      </c>
      <c r="N613" s="1" t="s">
        <v>718</v>
      </c>
      <c r="O613" s="2">
        <v>46034.684050925927</v>
      </c>
      <c r="P613" s="92">
        <v>-10.846228046059332</v>
      </c>
      <c r="Q613" s="93">
        <v>734.26310653983751</v>
      </c>
    </row>
    <row r="614" spans="1:17" x14ac:dyDescent="0.3">
      <c r="A614">
        <v>9</v>
      </c>
      <c r="B614" s="85">
        <v>5.4</v>
      </c>
      <c r="C614" s="78">
        <v>45983</v>
      </c>
      <c r="D614" s="78">
        <v>45985</v>
      </c>
      <c r="E614">
        <v>52</v>
      </c>
      <c r="F614" t="s">
        <v>917</v>
      </c>
      <c r="G614" t="s">
        <v>922</v>
      </c>
      <c r="H614">
        <v>97</v>
      </c>
      <c r="I614">
        <v>5</v>
      </c>
      <c r="J614" t="s">
        <v>908</v>
      </c>
      <c r="K614" t="s">
        <v>1541</v>
      </c>
      <c r="L614"/>
      <c r="M614" s="4">
        <v>720</v>
      </c>
      <c r="N614" s="4" t="s">
        <v>719</v>
      </c>
      <c r="O614" s="12">
        <v>46034.687789351854</v>
      </c>
      <c r="P614" s="92">
        <v>-4.9938184464750659</v>
      </c>
      <c r="Q614" s="93">
        <v>585.15751245928504</v>
      </c>
    </row>
    <row r="615" spans="1:17" x14ac:dyDescent="0.3">
      <c r="A615">
        <v>9</v>
      </c>
      <c r="B615" s="85">
        <v>5.4</v>
      </c>
      <c r="C615" s="78">
        <v>45983</v>
      </c>
      <c r="D615" s="78">
        <v>45985</v>
      </c>
      <c r="E615">
        <v>50</v>
      </c>
      <c r="F615" t="s">
        <v>913</v>
      </c>
      <c r="G615" t="s">
        <v>926</v>
      </c>
      <c r="H615">
        <v>97</v>
      </c>
      <c r="I615">
        <v>6</v>
      </c>
      <c r="J615" t="s">
        <v>908</v>
      </c>
      <c r="K615" t="s">
        <v>1542</v>
      </c>
      <c r="L615"/>
      <c r="M615" s="1">
        <v>721</v>
      </c>
      <c r="N615" s="1" t="s">
        <v>720</v>
      </c>
      <c r="O615" s="2">
        <v>46034.69153935185</v>
      </c>
      <c r="P615" s="92">
        <v>-8.5531335019784187</v>
      </c>
      <c r="Q615" s="93">
        <v>638.70633509461368</v>
      </c>
    </row>
    <row r="616" spans="1:17" x14ac:dyDescent="0.3">
      <c r="A616">
        <v>9</v>
      </c>
      <c r="B616" s="85">
        <v>5.4</v>
      </c>
      <c r="C616" s="78">
        <v>45983</v>
      </c>
      <c r="D616" s="78">
        <v>45985</v>
      </c>
      <c r="E616">
        <v>53</v>
      </c>
      <c r="F616" t="s">
        <v>925</v>
      </c>
      <c r="G616" t="s">
        <v>930</v>
      </c>
      <c r="H616">
        <v>97</v>
      </c>
      <c r="I616">
        <v>7</v>
      </c>
      <c r="J616" t="s">
        <v>908</v>
      </c>
      <c r="K616" t="s">
        <v>1543</v>
      </c>
      <c r="L616"/>
      <c r="M616" s="4">
        <v>722</v>
      </c>
      <c r="N616" s="4" t="s">
        <v>721</v>
      </c>
      <c r="O616" s="12">
        <v>46034.6952662037</v>
      </c>
      <c r="P616" s="92">
        <v>-12.800311218718003</v>
      </c>
      <c r="Q616" s="93">
        <v>660.5089902329895</v>
      </c>
    </row>
    <row r="617" spans="1:17" x14ac:dyDescent="0.3">
      <c r="A617">
        <v>9</v>
      </c>
      <c r="B617" s="85">
        <v>5.4</v>
      </c>
      <c r="C617" s="78">
        <v>45983</v>
      </c>
      <c r="D617" s="78">
        <v>45985</v>
      </c>
      <c r="E617">
        <v>51</v>
      </c>
      <c r="F617" t="s">
        <v>910</v>
      </c>
      <c r="G617" t="s">
        <v>933</v>
      </c>
      <c r="H617">
        <v>97</v>
      </c>
      <c r="I617">
        <v>8</v>
      </c>
      <c r="J617" t="s">
        <v>908</v>
      </c>
      <c r="K617" t="s">
        <v>1544</v>
      </c>
      <c r="L617"/>
      <c r="M617" s="1">
        <v>723</v>
      </c>
      <c r="N617" s="1" t="s">
        <v>722</v>
      </c>
      <c r="O617" s="2">
        <v>46034.699016203704</v>
      </c>
      <c r="P617" s="92">
        <v>-7.100483198501137</v>
      </c>
      <c r="Q617" s="93">
        <v>627.47145995573078</v>
      </c>
    </row>
    <row r="618" spans="1:17" x14ac:dyDescent="0.3">
      <c r="A618">
        <v>9</v>
      </c>
      <c r="B618" s="85">
        <v>5.4</v>
      </c>
      <c r="C618" s="78">
        <v>45983</v>
      </c>
      <c r="D618" s="78">
        <v>45985</v>
      </c>
      <c r="E618">
        <v>56</v>
      </c>
      <c r="F618" t="s">
        <v>921</v>
      </c>
      <c r="G618" t="s">
        <v>907</v>
      </c>
      <c r="H618">
        <v>97</v>
      </c>
      <c r="I618">
        <v>9</v>
      </c>
      <c r="J618" t="s">
        <v>935</v>
      </c>
      <c r="K618" t="s">
        <v>1545</v>
      </c>
      <c r="L618"/>
      <c r="M618" s="4">
        <v>724</v>
      </c>
      <c r="N618" s="4" t="s">
        <v>723</v>
      </c>
      <c r="O618" s="12">
        <v>46034.70275462963</v>
      </c>
      <c r="P618" s="92">
        <v>27.522815069405858</v>
      </c>
      <c r="Q618" s="93">
        <v>725.72053661197549</v>
      </c>
    </row>
    <row r="619" spans="1:17" x14ac:dyDescent="0.3">
      <c r="A619">
        <v>9</v>
      </c>
      <c r="B619" s="85">
        <v>5.4</v>
      </c>
      <c r="C619" s="78">
        <v>45983</v>
      </c>
      <c r="D619" s="78">
        <v>45985</v>
      </c>
      <c r="E619">
        <v>55</v>
      </c>
      <c r="F619" t="s">
        <v>929</v>
      </c>
      <c r="G619" t="s">
        <v>15</v>
      </c>
      <c r="H619">
        <v>97</v>
      </c>
      <c r="I619">
        <v>10</v>
      </c>
      <c r="J619" t="s">
        <v>935</v>
      </c>
      <c r="K619" t="s">
        <v>1546</v>
      </c>
      <c r="L619"/>
      <c r="M619" s="1">
        <v>725</v>
      </c>
      <c r="N619" s="1" t="s">
        <v>724</v>
      </c>
      <c r="O619" s="2">
        <v>46034.706493055557</v>
      </c>
      <c r="P619" s="92">
        <v>38.078368480309855</v>
      </c>
      <c r="Q619" s="93">
        <v>688.11107612154444</v>
      </c>
    </row>
    <row r="620" spans="1:17" x14ac:dyDescent="0.3">
      <c r="A620">
        <v>9</v>
      </c>
      <c r="B620" s="85">
        <v>5.4</v>
      </c>
      <c r="C620" s="78">
        <v>45983</v>
      </c>
      <c r="D620" s="78">
        <v>45985</v>
      </c>
      <c r="E620">
        <v>54</v>
      </c>
      <c r="F620" t="s">
        <v>906</v>
      </c>
      <c r="G620" t="s">
        <v>914</v>
      </c>
      <c r="H620">
        <v>97</v>
      </c>
      <c r="I620">
        <v>11</v>
      </c>
      <c r="J620" t="s">
        <v>935</v>
      </c>
      <c r="K620" t="s">
        <v>1547</v>
      </c>
      <c r="L620"/>
      <c r="M620" s="4">
        <v>726</v>
      </c>
      <c r="N620" s="4" t="s">
        <v>725</v>
      </c>
      <c r="O620" s="12">
        <v>46034.710231481484</v>
      </c>
      <c r="P620" s="92">
        <v>33.890279691186386</v>
      </c>
      <c r="Q620" s="93">
        <v>742.44254286614955</v>
      </c>
    </row>
    <row r="621" spans="1:17" x14ac:dyDescent="0.3">
      <c r="A621">
        <v>9</v>
      </c>
      <c r="B621" s="85">
        <v>5.4</v>
      </c>
      <c r="C621" s="78">
        <v>45983</v>
      </c>
      <c r="D621" s="78">
        <v>45985</v>
      </c>
      <c r="E621">
        <v>49</v>
      </c>
      <c r="F621" t="s">
        <v>932</v>
      </c>
      <c r="G621" t="s">
        <v>918</v>
      </c>
      <c r="H621">
        <v>97</v>
      </c>
      <c r="I621">
        <v>12</v>
      </c>
      <c r="J621" t="s">
        <v>935</v>
      </c>
      <c r="K621" t="s">
        <v>1548</v>
      </c>
      <c r="L621"/>
      <c r="M621" s="1">
        <v>727</v>
      </c>
      <c r="N621" s="1" t="s">
        <v>726</v>
      </c>
      <c r="O621" s="2">
        <v>46034.713958333334</v>
      </c>
      <c r="P621" s="92">
        <v>37.279976976056631</v>
      </c>
      <c r="Q621" s="93">
        <v>696.96779333079928</v>
      </c>
    </row>
    <row r="622" spans="1:17" x14ac:dyDescent="0.3">
      <c r="A622">
        <v>9</v>
      </c>
      <c r="B622" s="85">
        <v>5.4</v>
      </c>
      <c r="C622" s="78">
        <v>45983</v>
      </c>
      <c r="D622" s="78">
        <v>45985</v>
      </c>
      <c r="E622">
        <v>52</v>
      </c>
      <c r="F622" t="s">
        <v>917</v>
      </c>
      <c r="G622" t="s">
        <v>922</v>
      </c>
      <c r="H622">
        <v>97</v>
      </c>
      <c r="I622">
        <v>13</v>
      </c>
      <c r="J622" t="s">
        <v>935</v>
      </c>
      <c r="K622" t="s">
        <v>1549</v>
      </c>
      <c r="L622"/>
      <c r="M622" s="4">
        <v>728</v>
      </c>
      <c r="N622" s="4" t="s">
        <v>727</v>
      </c>
      <c r="O622" s="12">
        <v>46034.71769675926</v>
      </c>
      <c r="P622" s="92">
        <v>57.353560221207722</v>
      </c>
      <c r="Q622" s="93">
        <v>573.68737033210516</v>
      </c>
    </row>
    <row r="623" spans="1:17" x14ac:dyDescent="0.3">
      <c r="A623">
        <v>9</v>
      </c>
      <c r="B623" s="85">
        <v>5.4</v>
      </c>
      <c r="C623" s="78">
        <v>45983</v>
      </c>
      <c r="D623" s="78">
        <v>45985</v>
      </c>
      <c r="E623">
        <v>50</v>
      </c>
      <c r="F623" t="s">
        <v>913</v>
      </c>
      <c r="G623" t="s">
        <v>926</v>
      </c>
      <c r="H623">
        <v>97</v>
      </c>
      <c r="I623">
        <v>14</v>
      </c>
      <c r="J623" t="s">
        <v>935</v>
      </c>
      <c r="K623" t="s">
        <v>1550</v>
      </c>
      <c r="L623"/>
      <c r="M623" s="1">
        <v>729</v>
      </c>
      <c r="N623" s="1" t="s">
        <v>728</v>
      </c>
      <c r="O623" s="2">
        <v>46034.721435185187</v>
      </c>
      <c r="P623" s="92">
        <v>62.377880007415747</v>
      </c>
      <c r="Q623" s="93">
        <v>610.50627499617451</v>
      </c>
    </row>
    <row r="624" spans="1:17" x14ac:dyDescent="0.3">
      <c r="A624">
        <v>9</v>
      </c>
      <c r="B624" s="85">
        <v>5.4</v>
      </c>
      <c r="C624" s="78">
        <v>45983</v>
      </c>
      <c r="D624" s="78">
        <v>45985</v>
      </c>
      <c r="E624">
        <v>53</v>
      </c>
      <c r="F624" t="s">
        <v>925</v>
      </c>
      <c r="G624" t="s">
        <v>930</v>
      </c>
      <c r="H624">
        <v>97</v>
      </c>
      <c r="I624">
        <v>15</v>
      </c>
      <c r="J624" t="s">
        <v>935</v>
      </c>
      <c r="K624" t="s">
        <v>1551</v>
      </c>
      <c r="L624"/>
      <c r="M624" s="4">
        <v>730</v>
      </c>
      <c r="N624" s="4" t="s">
        <v>729</v>
      </c>
      <c r="O624" s="12">
        <v>46034.725185185183</v>
      </c>
      <c r="P624" s="92">
        <v>24.363176241624107</v>
      </c>
      <c r="Q624" s="93">
        <v>697.15085246144361</v>
      </c>
    </row>
    <row r="625" spans="1:17" x14ac:dyDescent="0.3">
      <c r="A625">
        <v>9</v>
      </c>
      <c r="B625" s="85">
        <v>5.4</v>
      </c>
      <c r="C625" s="78">
        <v>45983</v>
      </c>
      <c r="D625" s="78">
        <v>45985</v>
      </c>
      <c r="E625">
        <v>51</v>
      </c>
      <c r="F625" t="s">
        <v>910</v>
      </c>
      <c r="G625" t="s">
        <v>933</v>
      </c>
      <c r="H625">
        <v>97</v>
      </c>
      <c r="I625">
        <v>16</v>
      </c>
      <c r="J625" t="s">
        <v>935</v>
      </c>
      <c r="K625" t="s">
        <v>1552</v>
      </c>
      <c r="L625"/>
      <c r="M625" s="1">
        <v>731</v>
      </c>
      <c r="N625" s="1" t="s">
        <v>730</v>
      </c>
      <c r="O625" s="2">
        <v>46034.728912037041</v>
      </c>
      <c r="P625" s="92">
        <v>77.940077840551652</v>
      </c>
      <c r="Q625" s="93">
        <v>686.31667973637786</v>
      </c>
    </row>
    <row r="626" spans="1:17" x14ac:dyDescent="0.3">
      <c r="A626">
        <v>9</v>
      </c>
      <c r="B626" s="85">
        <v>5.4</v>
      </c>
      <c r="C626" s="78">
        <v>45983</v>
      </c>
      <c r="D626" s="78">
        <v>45985</v>
      </c>
      <c r="E626">
        <v>56</v>
      </c>
      <c r="F626" t="s">
        <v>921</v>
      </c>
      <c r="G626" t="s">
        <v>907</v>
      </c>
      <c r="H626">
        <v>97</v>
      </c>
      <c r="I626">
        <v>17</v>
      </c>
      <c r="J626" t="s">
        <v>24</v>
      </c>
      <c r="K626" t="s">
        <v>1553</v>
      </c>
      <c r="L626"/>
      <c r="M626" s="4">
        <v>732</v>
      </c>
      <c r="N626" s="4" t="s">
        <v>731</v>
      </c>
      <c r="O626" s="12">
        <v>46034.73265046296</v>
      </c>
      <c r="P626" s="92">
        <v>46.539594840288011</v>
      </c>
      <c r="Q626" s="93">
        <v>812.59606989036342</v>
      </c>
    </row>
    <row r="627" spans="1:17" x14ac:dyDescent="0.3">
      <c r="A627">
        <v>9</v>
      </c>
      <c r="B627" s="85">
        <v>5.4</v>
      </c>
      <c r="C627" s="78">
        <v>45983</v>
      </c>
      <c r="D627" s="78">
        <v>45985</v>
      </c>
      <c r="E627">
        <v>55</v>
      </c>
      <c r="F627" t="s">
        <v>929</v>
      </c>
      <c r="G627" t="s">
        <v>15</v>
      </c>
      <c r="H627">
        <v>97</v>
      </c>
      <c r="I627">
        <v>18</v>
      </c>
      <c r="J627" t="s">
        <v>24</v>
      </c>
      <c r="K627" t="s">
        <v>1554</v>
      </c>
      <c r="L627"/>
      <c r="M627" s="1">
        <v>733</v>
      </c>
      <c r="N627" s="1" t="s">
        <v>732</v>
      </c>
      <c r="O627" s="2">
        <v>46034.73641203704</v>
      </c>
      <c r="P627" s="92">
        <v>66.51649964249215</v>
      </c>
      <c r="Q627" s="93">
        <v>719.14964238265259</v>
      </c>
    </row>
    <row r="628" spans="1:17" x14ac:dyDescent="0.3">
      <c r="A628">
        <v>9</v>
      </c>
      <c r="B628" s="85">
        <v>5.4</v>
      </c>
      <c r="C628" s="78">
        <v>45983</v>
      </c>
      <c r="D628" s="78">
        <v>45985</v>
      </c>
      <c r="E628">
        <v>54</v>
      </c>
      <c r="F628" t="s">
        <v>906</v>
      </c>
      <c r="G628" t="s">
        <v>914</v>
      </c>
      <c r="H628">
        <v>97</v>
      </c>
      <c r="I628">
        <v>19</v>
      </c>
      <c r="J628" t="s">
        <v>24</v>
      </c>
      <c r="K628" t="s">
        <v>1555</v>
      </c>
      <c r="L628"/>
      <c r="M628" s="4">
        <v>734</v>
      </c>
      <c r="N628" s="4" t="s">
        <v>733</v>
      </c>
      <c r="O628" s="12">
        <v>46034.740127314813</v>
      </c>
      <c r="P628" s="92">
        <v>59.568449915437881</v>
      </c>
      <c r="Q628" s="93">
        <v>780.82119280925667</v>
      </c>
    </row>
    <row r="629" spans="1:17" x14ac:dyDescent="0.3">
      <c r="A629">
        <v>9</v>
      </c>
      <c r="B629" s="85">
        <v>5.4</v>
      </c>
      <c r="C629" s="78">
        <v>45983</v>
      </c>
      <c r="D629" s="78">
        <v>45985</v>
      </c>
      <c r="E629">
        <v>49</v>
      </c>
      <c r="F629" t="s">
        <v>932</v>
      </c>
      <c r="G629" t="s">
        <v>918</v>
      </c>
      <c r="H629">
        <v>97</v>
      </c>
      <c r="I629">
        <v>20</v>
      </c>
      <c r="J629" t="s">
        <v>24</v>
      </c>
      <c r="K629" t="s">
        <v>1556</v>
      </c>
      <c r="L629"/>
      <c r="M629" s="1">
        <v>735</v>
      </c>
      <c r="N629" s="1" t="s">
        <v>734</v>
      </c>
      <c r="O629" s="2">
        <v>46034.743900462963</v>
      </c>
      <c r="P629" s="92">
        <v>63.882944385678329</v>
      </c>
      <c r="Q629" s="93">
        <v>698.68231453629039</v>
      </c>
    </row>
    <row r="630" spans="1:17" x14ac:dyDescent="0.3">
      <c r="A630">
        <v>9</v>
      </c>
      <c r="B630" s="85">
        <v>5.4</v>
      </c>
      <c r="C630" s="78">
        <v>45983</v>
      </c>
      <c r="D630" s="78">
        <v>45985</v>
      </c>
      <c r="E630">
        <v>52</v>
      </c>
      <c r="F630" t="s">
        <v>917</v>
      </c>
      <c r="G630" t="s">
        <v>922</v>
      </c>
      <c r="H630">
        <v>97</v>
      </c>
      <c r="I630">
        <v>21</v>
      </c>
      <c r="J630" t="s">
        <v>24</v>
      </c>
      <c r="K630" t="s">
        <v>1557</v>
      </c>
      <c r="L630"/>
      <c r="M630" s="4">
        <v>736</v>
      </c>
      <c r="N630" s="4" t="s">
        <v>735</v>
      </c>
      <c r="O630" s="12">
        <v>46034.747627314813</v>
      </c>
      <c r="P630" s="92">
        <v>93.548168707182967</v>
      </c>
      <c r="Q630" s="93">
        <v>597.36557617521112</v>
      </c>
    </row>
    <row r="631" spans="1:17" x14ac:dyDescent="0.3">
      <c r="A631">
        <v>9</v>
      </c>
      <c r="B631" s="85">
        <v>5.4</v>
      </c>
      <c r="C631" s="78">
        <v>45983</v>
      </c>
      <c r="D631" s="78">
        <v>45985</v>
      </c>
      <c r="E631">
        <v>50</v>
      </c>
      <c r="F631" t="s">
        <v>913</v>
      </c>
      <c r="G631" t="s">
        <v>926</v>
      </c>
      <c r="H631">
        <v>97</v>
      </c>
      <c r="I631">
        <v>22</v>
      </c>
      <c r="J631" t="s">
        <v>24</v>
      </c>
      <c r="K631" t="s">
        <v>1558</v>
      </c>
      <c r="L631"/>
      <c r="M631" s="1">
        <v>737</v>
      </c>
      <c r="N631" s="1" t="s">
        <v>736</v>
      </c>
      <c r="O631" s="2">
        <v>46034.751377314817</v>
      </c>
      <c r="P631" s="92">
        <v>109.31442617371667</v>
      </c>
      <c r="Q631" s="93">
        <v>619.01454502481624</v>
      </c>
    </row>
    <row r="632" spans="1:17" x14ac:dyDescent="0.3">
      <c r="A632">
        <v>9</v>
      </c>
      <c r="B632" s="85">
        <v>5.4</v>
      </c>
      <c r="C632" s="78">
        <v>45983</v>
      </c>
      <c r="D632" s="78">
        <v>45985</v>
      </c>
      <c r="E632">
        <v>53</v>
      </c>
      <c r="F632" t="s">
        <v>925</v>
      </c>
      <c r="G632" t="s">
        <v>930</v>
      </c>
      <c r="H632">
        <v>97</v>
      </c>
      <c r="I632">
        <v>23</v>
      </c>
      <c r="J632" t="s">
        <v>24</v>
      </c>
      <c r="K632" t="s">
        <v>1559</v>
      </c>
      <c r="L632"/>
      <c r="M632" s="4">
        <v>738</v>
      </c>
      <c r="N632" s="4" t="s">
        <v>737</v>
      </c>
      <c r="O632" s="12">
        <v>46034.755115740743</v>
      </c>
      <c r="P632" s="92">
        <v>49.34473312364554</v>
      </c>
      <c r="Q632" s="93">
        <v>716.40773496930638</v>
      </c>
    </row>
    <row r="633" spans="1:17" x14ac:dyDescent="0.3">
      <c r="A633">
        <v>9</v>
      </c>
      <c r="B633" s="85">
        <v>5.4</v>
      </c>
      <c r="C633" s="78">
        <v>45983</v>
      </c>
      <c r="D633" s="78">
        <v>45985</v>
      </c>
      <c r="E633">
        <v>51</v>
      </c>
      <c r="F633" t="s">
        <v>910</v>
      </c>
      <c r="G633" t="s">
        <v>933</v>
      </c>
      <c r="H633">
        <v>97</v>
      </c>
      <c r="I633">
        <v>24</v>
      </c>
      <c r="J633" t="s">
        <v>24</v>
      </c>
      <c r="K633" t="s">
        <v>1560</v>
      </c>
      <c r="L633"/>
      <c r="M633" s="1">
        <v>739</v>
      </c>
      <c r="N633" s="1" t="s">
        <v>738</v>
      </c>
      <c r="O633" s="2">
        <v>46034.75885416667</v>
      </c>
      <c r="P633" s="92">
        <v>112.5383341532326</v>
      </c>
      <c r="Q633" s="93">
        <v>704.74889602086455</v>
      </c>
    </row>
    <row r="634" spans="1:17" x14ac:dyDescent="0.3">
      <c r="A634">
        <v>9</v>
      </c>
      <c r="B634" s="85">
        <v>5.4</v>
      </c>
      <c r="C634" s="78">
        <v>45983</v>
      </c>
      <c r="D634" s="78">
        <v>45985</v>
      </c>
      <c r="E634">
        <v>56</v>
      </c>
      <c r="F634" t="s">
        <v>921</v>
      </c>
      <c r="G634" t="s">
        <v>907</v>
      </c>
      <c r="H634">
        <v>97</v>
      </c>
      <c r="I634">
        <v>25</v>
      </c>
      <c r="J634" t="s">
        <v>25</v>
      </c>
      <c r="K634" t="s">
        <v>1561</v>
      </c>
      <c r="L634"/>
      <c r="M634" s="4">
        <v>740</v>
      </c>
      <c r="N634" s="4" t="s">
        <v>739</v>
      </c>
      <c r="O634" s="12">
        <v>46034.762627314813</v>
      </c>
      <c r="P634" s="92">
        <v>56.2800384941347</v>
      </c>
      <c r="Q634" s="93">
        <v>872.18702822573925</v>
      </c>
    </row>
    <row r="635" spans="1:17" x14ac:dyDescent="0.3">
      <c r="A635">
        <v>9</v>
      </c>
      <c r="B635" s="85">
        <v>5.4</v>
      </c>
      <c r="C635" s="78">
        <v>45983</v>
      </c>
      <c r="D635" s="78">
        <v>45985</v>
      </c>
      <c r="E635">
        <v>55</v>
      </c>
      <c r="F635" t="s">
        <v>929</v>
      </c>
      <c r="G635" t="s">
        <v>15</v>
      </c>
      <c r="H635">
        <v>97</v>
      </c>
      <c r="I635">
        <v>26</v>
      </c>
      <c r="J635" t="s">
        <v>25</v>
      </c>
      <c r="K635" t="s">
        <v>1562</v>
      </c>
      <c r="L635"/>
      <c r="M635" s="1">
        <v>741</v>
      </c>
      <c r="N635" s="1" t="s">
        <v>740</v>
      </c>
      <c r="O635" s="2">
        <v>46034.76635416667</v>
      </c>
      <c r="P635" s="92">
        <v>76.721930426108116</v>
      </c>
      <c r="Q635" s="93">
        <v>802.10134299114304</v>
      </c>
    </row>
    <row r="636" spans="1:17" x14ac:dyDescent="0.3">
      <c r="A636">
        <v>9</v>
      </c>
      <c r="B636" s="85">
        <v>5.4</v>
      </c>
      <c r="C636" s="78">
        <v>45983</v>
      </c>
      <c r="D636" s="78">
        <v>45985</v>
      </c>
      <c r="E636">
        <v>54</v>
      </c>
      <c r="F636" t="s">
        <v>906</v>
      </c>
      <c r="G636" t="s">
        <v>914</v>
      </c>
      <c r="H636">
        <v>97</v>
      </c>
      <c r="I636">
        <v>27</v>
      </c>
      <c r="J636" t="s">
        <v>25</v>
      </c>
      <c r="K636" t="s">
        <v>1563</v>
      </c>
      <c r="L636"/>
      <c r="M636" s="4">
        <v>742</v>
      </c>
      <c r="N636" s="4" t="s">
        <v>741</v>
      </c>
      <c r="O636" s="12">
        <v>46034.770104166666</v>
      </c>
      <c r="P636" s="92">
        <v>83.000591186371295</v>
      </c>
      <c r="Q636" s="93">
        <v>803.88645376823331</v>
      </c>
    </row>
    <row r="637" spans="1:17" x14ac:dyDescent="0.3">
      <c r="A637">
        <v>9</v>
      </c>
      <c r="B637" s="85">
        <v>5.4</v>
      </c>
      <c r="C637" s="78">
        <v>45983</v>
      </c>
      <c r="D637" s="78">
        <v>45985</v>
      </c>
      <c r="E637">
        <v>49</v>
      </c>
      <c r="F637" t="s">
        <v>932</v>
      </c>
      <c r="G637" t="s">
        <v>918</v>
      </c>
      <c r="H637">
        <v>97</v>
      </c>
      <c r="I637">
        <v>28</v>
      </c>
      <c r="J637" t="s">
        <v>25</v>
      </c>
      <c r="K637" t="s">
        <v>1564</v>
      </c>
      <c r="L637"/>
      <c r="M637" s="1">
        <v>743</v>
      </c>
      <c r="N637" s="1" t="s">
        <v>742</v>
      </c>
      <c r="O637" s="2">
        <v>46034.773865740739</v>
      </c>
      <c r="P637" s="92">
        <v>84.618077660144564</v>
      </c>
      <c r="Q637" s="93">
        <v>723.3310085500093</v>
      </c>
    </row>
    <row r="638" spans="1:17" x14ac:dyDescent="0.3">
      <c r="A638">
        <v>9</v>
      </c>
      <c r="B638" s="85">
        <v>5.4</v>
      </c>
      <c r="C638" s="78">
        <v>45983</v>
      </c>
      <c r="D638" s="78">
        <v>45985</v>
      </c>
      <c r="E638">
        <v>52</v>
      </c>
      <c r="F638" t="s">
        <v>917</v>
      </c>
      <c r="G638" t="s">
        <v>922</v>
      </c>
      <c r="H638">
        <v>97</v>
      </c>
      <c r="I638">
        <v>29</v>
      </c>
      <c r="J638" t="s">
        <v>25</v>
      </c>
      <c r="K638" t="s">
        <v>1565</v>
      </c>
      <c r="L638"/>
      <c r="M638" s="4">
        <v>744</v>
      </c>
      <c r="N638" s="4" t="s">
        <v>743</v>
      </c>
      <c r="O638" s="12">
        <v>46034.777638888889</v>
      </c>
      <c r="P638" s="92">
        <v>107.24468068331693</v>
      </c>
      <c r="Q638" s="93">
        <v>654.29881345209458</v>
      </c>
    </row>
    <row r="639" spans="1:17" x14ac:dyDescent="0.3">
      <c r="A639">
        <v>9</v>
      </c>
      <c r="B639" s="85">
        <v>5.4</v>
      </c>
      <c r="C639" s="78">
        <v>45983</v>
      </c>
      <c r="D639" s="78">
        <v>45985</v>
      </c>
      <c r="E639">
        <v>50</v>
      </c>
      <c r="F639" t="s">
        <v>913</v>
      </c>
      <c r="G639" t="s">
        <v>926</v>
      </c>
      <c r="H639">
        <v>97</v>
      </c>
      <c r="I639">
        <v>30</v>
      </c>
      <c r="J639" t="s">
        <v>25</v>
      </c>
      <c r="K639" t="s">
        <v>1566</v>
      </c>
      <c r="L639"/>
      <c r="M639" s="1">
        <v>745</v>
      </c>
      <c r="N639" s="1" t="s">
        <v>744</v>
      </c>
      <c r="O639" s="2">
        <v>46034.781377314815</v>
      </c>
      <c r="P639" s="92">
        <v>148.73130261046717</v>
      </c>
      <c r="Q639" s="93">
        <v>626.94236979759523</v>
      </c>
    </row>
    <row r="640" spans="1:17" x14ac:dyDescent="0.3">
      <c r="A640">
        <v>9</v>
      </c>
      <c r="B640" s="85">
        <v>5.4</v>
      </c>
      <c r="C640" s="78">
        <v>45983</v>
      </c>
      <c r="D640" s="78">
        <v>45985</v>
      </c>
      <c r="E640">
        <v>53</v>
      </c>
      <c r="F640" t="s">
        <v>925</v>
      </c>
      <c r="G640" t="s">
        <v>930</v>
      </c>
      <c r="H640">
        <v>97</v>
      </c>
      <c r="I640">
        <v>31</v>
      </c>
      <c r="J640" t="s">
        <v>25</v>
      </c>
      <c r="K640" t="s">
        <v>1567</v>
      </c>
      <c r="L640"/>
      <c r="M640" s="4">
        <v>746</v>
      </c>
      <c r="N640" s="4" t="s">
        <v>745</v>
      </c>
      <c r="O640" s="12">
        <v>46034.785115740742</v>
      </c>
      <c r="P640" s="92">
        <v>70.22480354977364</v>
      </c>
      <c r="Q640" s="93">
        <v>717.6921809191067</v>
      </c>
    </row>
    <row r="641" spans="1:17" x14ac:dyDescent="0.3">
      <c r="A641">
        <v>9</v>
      </c>
      <c r="B641" s="85">
        <v>5.4</v>
      </c>
      <c r="C641" s="78">
        <v>45983</v>
      </c>
      <c r="D641" s="78">
        <v>45985</v>
      </c>
      <c r="E641">
        <v>51</v>
      </c>
      <c r="F641" t="s">
        <v>910</v>
      </c>
      <c r="G641" t="s">
        <v>933</v>
      </c>
      <c r="H641">
        <v>97</v>
      </c>
      <c r="I641">
        <v>32</v>
      </c>
      <c r="J641" t="s">
        <v>25</v>
      </c>
      <c r="K641" t="s">
        <v>1568</v>
      </c>
      <c r="L641"/>
      <c r="M641" s="1">
        <v>747</v>
      </c>
      <c r="N641" s="1" t="s">
        <v>746</v>
      </c>
      <c r="O641" s="2">
        <v>46034.788865740738</v>
      </c>
      <c r="P641" s="92">
        <v>127.94006111057965</v>
      </c>
      <c r="Q641" s="93">
        <v>740.49915037180165</v>
      </c>
    </row>
    <row r="642" spans="1:17" x14ac:dyDescent="0.3">
      <c r="A642">
        <v>9</v>
      </c>
      <c r="B642" s="86">
        <v>6.1</v>
      </c>
      <c r="C642" s="78">
        <v>45988</v>
      </c>
      <c r="D642" s="78">
        <v>45990</v>
      </c>
      <c r="E642">
        <v>53</v>
      </c>
      <c r="F642" t="s">
        <v>925</v>
      </c>
      <c r="G642" t="s">
        <v>907</v>
      </c>
      <c r="H642">
        <v>7</v>
      </c>
      <c r="I642">
        <v>1</v>
      </c>
      <c r="J642" t="s">
        <v>908</v>
      </c>
      <c r="K642" t="s">
        <v>1569</v>
      </c>
      <c r="L642"/>
      <c r="M642" s="4">
        <v>748</v>
      </c>
      <c r="N642" s="4" t="s">
        <v>747</v>
      </c>
      <c r="O642" s="12">
        <v>46034.792650462965</v>
      </c>
      <c r="P642" s="92">
        <v>-15.899073407802195</v>
      </c>
      <c r="Q642" s="93">
        <v>568.1708189993891</v>
      </c>
    </row>
    <row r="643" spans="1:17" x14ac:dyDescent="0.3">
      <c r="A643">
        <v>9</v>
      </c>
      <c r="B643" s="86">
        <v>6.1</v>
      </c>
      <c r="C643" s="78">
        <v>45988</v>
      </c>
      <c r="D643" s="78">
        <v>45990</v>
      </c>
      <c r="E643">
        <v>49</v>
      </c>
      <c r="F643" t="s">
        <v>932</v>
      </c>
      <c r="G643" t="s">
        <v>15</v>
      </c>
      <c r="H643">
        <v>7</v>
      </c>
      <c r="I643">
        <v>2</v>
      </c>
      <c r="J643" t="s">
        <v>908</v>
      </c>
      <c r="K643" t="s">
        <v>1570</v>
      </c>
      <c r="L643"/>
      <c r="M643" s="1">
        <v>749</v>
      </c>
      <c r="N643" s="1" t="s">
        <v>748</v>
      </c>
      <c r="O643" s="2">
        <v>46034.796400462961</v>
      </c>
      <c r="P643" s="92">
        <v>-16.092158602356697</v>
      </c>
      <c r="Q643" s="93">
        <v>611.14447104920498</v>
      </c>
    </row>
    <row r="644" spans="1:17" x14ac:dyDescent="0.3">
      <c r="A644">
        <v>9</v>
      </c>
      <c r="B644" s="86">
        <v>6.1</v>
      </c>
      <c r="C644" s="78">
        <v>45988</v>
      </c>
      <c r="D644" s="78">
        <v>45990</v>
      </c>
      <c r="E644">
        <v>55</v>
      </c>
      <c r="F644" t="s">
        <v>929</v>
      </c>
      <c r="G644" t="s">
        <v>914</v>
      </c>
      <c r="H644">
        <v>7</v>
      </c>
      <c r="I644">
        <v>3</v>
      </c>
      <c r="J644" t="s">
        <v>908</v>
      </c>
      <c r="K644" t="s">
        <v>1571</v>
      </c>
      <c r="L644"/>
      <c r="M644" s="4">
        <v>750</v>
      </c>
      <c r="N644" s="4" t="s">
        <v>749</v>
      </c>
      <c r="O644" s="12">
        <v>46034.800138888888</v>
      </c>
      <c r="P644" s="92">
        <v>-16.437463432896966</v>
      </c>
      <c r="Q644" s="93">
        <v>614.88164404655095</v>
      </c>
    </row>
    <row r="645" spans="1:17" x14ac:dyDescent="0.3">
      <c r="A645">
        <v>9</v>
      </c>
      <c r="B645" s="86">
        <v>6.1</v>
      </c>
      <c r="C645" s="78">
        <v>45988</v>
      </c>
      <c r="D645" s="78">
        <v>45990</v>
      </c>
      <c r="E645">
        <v>54</v>
      </c>
      <c r="F645" t="s">
        <v>906</v>
      </c>
      <c r="G645" t="s">
        <v>918</v>
      </c>
      <c r="H645">
        <v>7</v>
      </c>
      <c r="I645">
        <v>4</v>
      </c>
      <c r="J645" t="s">
        <v>908</v>
      </c>
      <c r="K645" t="s">
        <v>1572</v>
      </c>
      <c r="L645"/>
      <c r="M645" s="1">
        <v>751</v>
      </c>
      <c r="N645" s="1" t="s">
        <v>750</v>
      </c>
      <c r="O645" s="2">
        <v>46034.803865740738</v>
      </c>
      <c r="P645" s="92">
        <v>-17.123953016635511</v>
      </c>
      <c r="Q645" s="93">
        <v>683.65876917567982</v>
      </c>
    </row>
    <row r="646" spans="1:17" x14ac:dyDescent="0.3">
      <c r="A646">
        <v>10</v>
      </c>
      <c r="B646" s="86">
        <v>6.1</v>
      </c>
      <c r="C646" s="78">
        <v>45988</v>
      </c>
      <c r="D646" s="78">
        <v>45990</v>
      </c>
      <c r="E646">
        <v>50</v>
      </c>
      <c r="F646" t="s">
        <v>913</v>
      </c>
      <c r="G646" t="s">
        <v>922</v>
      </c>
      <c r="H646">
        <v>7</v>
      </c>
      <c r="I646">
        <v>5</v>
      </c>
      <c r="J646" t="s">
        <v>908</v>
      </c>
      <c r="K646" t="s">
        <v>1573</v>
      </c>
      <c r="L646"/>
      <c r="M646" s="4">
        <v>752</v>
      </c>
      <c r="N646" s="4" t="s">
        <v>751</v>
      </c>
      <c r="O646" s="12">
        <v>46034.807581018518</v>
      </c>
      <c r="P646" s="92">
        <v>-17.743897608004591</v>
      </c>
      <c r="Q646" s="93">
        <v>660.17627173544429</v>
      </c>
    </row>
    <row r="647" spans="1:17" x14ac:dyDescent="0.3">
      <c r="A647">
        <v>10</v>
      </c>
      <c r="B647" s="86">
        <v>6.1</v>
      </c>
      <c r="C647" s="78">
        <v>45988</v>
      </c>
      <c r="D647" s="78">
        <v>45990</v>
      </c>
      <c r="E647">
        <v>51</v>
      </c>
      <c r="F647" t="s">
        <v>910</v>
      </c>
      <c r="G647" t="s">
        <v>926</v>
      </c>
      <c r="H647">
        <v>7</v>
      </c>
      <c r="I647">
        <v>6</v>
      </c>
      <c r="J647" t="s">
        <v>908</v>
      </c>
      <c r="K647" t="s">
        <v>1574</v>
      </c>
      <c r="L647"/>
      <c r="M647" s="1">
        <v>753</v>
      </c>
      <c r="N647" s="1" t="s">
        <v>752</v>
      </c>
      <c r="O647" s="2">
        <v>46034.811307870368</v>
      </c>
      <c r="P647" s="92">
        <v>-18.350233186049376</v>
      </c>
      <c r="Q647" s="93">
        <v>729.52469863901399</v>
      </c>
    </row>
    <row r="648" spans="1:17" x14ac:dyDescent="0.3">
      <c r="A648">
        <v>10</v>
      </c>
      <c r="B648" s="86">
        <v>6.1</v>
      </c>
      <c r="C648" s="78">
        <v>45988</v>
      </c>
      <c r="D648" s="78">
        <v>45990</v>
      </c>
      <c r="E648">
        <v>56</v>
      </c>
      <c r="F648" t="s">
        <v>921</v>
      </c>
      <c r="G648" t="s">
        <v>930</v>
      </c>
      <c r="H648">
        <v>7</v>
      </c>
      <c r="I648">
        <v>7</v>
      </c>
      <c r="J648" t="s">
        <v>908</v>
      </c>
      <c r="K648" t="s">
        <v>1575</v>
      </c>
      <c r="L648"/>
      <c r="M648" s="4">
        <v>754</v>
      </c>
      <c r="N648" s="4" t="s">
        <v>753</v>
      </c>
      <c r="O648" s="12">
        <v>46034.815046296295</v>
      </c>
      <c r="P648" s="92">
        <v>-17.8530112733994</v>
      </c>
      <c r="Q648" s="93">
        <v>724.47692838748981</v>
      </c>
    </row>
    <row r="649" spans="1:17" x14ac:dyDescent="0.3">
      <c r="A649">
        <v>10</v>
      </c>
      <c r="B649" s="86">
        <v>6.1</v>
      </c>
      <c r="C649" s="78">
        <v>45988</v>
      </c>
      <c r="D649" s="78">
        <v>45990</v>
      </c>
      <c r="E649">
        <v>52</v>
      </c>
      <c r="F649" t="s">
        <v>917</v>
      </c>
      <c r="G649" t="s">
        <v>933</v>
      </c>
      <c r="H649">
        <v>7</v>
      </c>
      <c r="I649">
        <v>8</v>
      </c>
      <c r="J649" t="s">
        <v>908</v>
      </c>
      <c r="K649" t="s">
        <v>1576</v>
      </c>
      <c r="L649"/>
      <c r="M649" s="1">
        <v>755</v>
      </c>
      <c r="N649" s="1" t="s">
        <v>754</v>
      </c>
      <c r="O649" s="2">
        <v>46034.818773148145</v>
      </c>
      <c r="P649" s="92">
        <v>-18.413155409591131</v>
      </c>
      <c r="Q649" s="93">
        <v>680.60446737634277</v>
      </c>
    </row>
    <row r="650" spans="1:17" x14ac:dyDescent="0.3">
      <c r="A650">
        <v>10</v>
      </c>
      <c r="B650" s="86">
        <v>6.1</v>
      </c>
      <c r="C650" s="78">
        <v>45988</v>
      </c>
      <c r="D650" s="78">
        <v>45990</v>
      </c>
      <c r="E650">
        <v>53</v>
      </c>
      <c r="F650" t="s">
        <v>925</v>
      </c>
      <c r="G650" t="s">
        <v>907</v>
      </c>
      <c r="H650">
        <v>7</v>
      </c>
      <c r="I650">
        <v>9</v>
      </c>
      <c r="J650" t="s">
        <v>935</v>
      </c>
      <c r="K650" t="s">
        <v>1577</v>
      </c>
      <c r="L650"/>
      <c r="M650" s="4">
        <v>756</v>
      </c>
      <c r="N650" s="4" t="s">
        <v>755</v>
      </c>
      <c r="O650" s="12">
        <v>46034.822511574072</v>
      </c>
      <c r="P650" s="92">
        <v>-8.0514053980345448</v>
      </c>
      <c r="Q650" s="93">
        <v>592.28213213347601</v>
      </c>
    </row>
    <row r="651" spans="1:17" x14ac:dyDescent="0.3">
      <c r="A651">
        <v>10</v>
      </c>
      <c r="B651" s="86">
        <v>6.1</v>
      </c>
      <c r="C651" s="78">
        <v>45988</v>
      </c>
      <c r="D651" s="78">
        <v>45990</v>
      </c>
      <c r="E651">
        <v>49</v>
      </c>
      <c r="F651" t="s">
        <v>932</v>
      </c>
      <c r="G651" t="s">
        <v>15</v>
      </c>
      <c r="H651">
        <v>7</v>
      </c>
      <c r="I651">
        <v>10</v>
      </c>
      <c r="J651" t="s">
        <v>935</v>
      </c>
      <c r="K651" t="s">
        <v>1578</v>
      </c>
      <c r="L651"/>
      <c r="M651" s="1">
        <v>757</v>
      </c>
      <c r="N651" s="1" t="s">
        <v>756</v>
      </c>
      <c r="O651" s="2">
        <v>46034.826215277775</v>
      </c>
      <c r="P651" s="92">
        <v>-13.984751162474925</v>
      </c>
      <c r="Q651" s="93">
        <v>635.94997813808777</v>
      </c>
    </row>
    <row r="652" spans="1:17" x14ac:dyDescent="0.3">
      <c r="A652">
        <v>10</v>
      </c>
      <c r="B652" s="86">
        <v>6.1</v>
      </c>
      <c r="C652" s="78">
        <v>45988</v>
      </c>
      <c r="D652" s="78">
        <v>45990</v>
      </c>
      <c r="E652">
        <v>55</v>
      </c>
      <c r="F652" t="s">
        <v>929</v>
      </c>
      <c r="G652" t="s">
        <v>914</v>
      </c>
      <c r="H652">
        <v>7</v>
      </c>
      <c r="I652">
        <v>11</v>
      </c>
      <c r="J652" t="s">
        <v>935</v>
      </c>
      <c r="K652" t="s">
        <v>1579</v>
      </c>
      <c r="L652"/>
      <c r="M652" s="4">
        <v>758</v>
      </c>
      <c r="N652" s="4" t="s">
        <v>757</v>
      </c>
      <c r="O652" s="12">
        <v>46034.830034722225</v>
      </c>
      <c r="P652" s="92">
        <v>-8.7899655458088244</v>
      </c>
      <c r="Q652" s="93">
        <v>591.46618301155922</v>
      </c>
    </row>
    <row r="653" spans="1:17" x14ac:dyDescent="0.3">
      <c r="A653">
        <v>10</v>
      </c>
      <c r="B653" s="86">
        <v>6.1</v>
      </c>
      <c r="C653" s="78">
        <v>45988</v>
      </c>
      <c r="D653" s="78">
        <v>45990</v>
      </c>
      <c r="E653">
        <v>54</v>
      </c>
      <c r="F653" t="s">
        <v>906</v>
      </c>
      <c r="G653" t="s">
        <v>918</v>
      </c>
      <c r="H653">
        <v>7</v>
      </c>
      <c r="I653">
        <v>12</v>
      </c>
      <c r="J653" t="s">
        <v>935</v>
      </c>
      <c r="K653" t="s">
        <v>1580</v>
      </c>
      <c r="L653"/>
      <c r="M653" s="1">
        <v>759</v>
      </c>
      <c r="N653" s="1" t="s">
        <v>758</v>
      </c>
      <c r="O653" s="2">
        <v>46034.833784722221</v>
      </c>
      <c r="P653" s="92">
        <v>-7.3377821887678998</v>
      </c>
      <c r="Q653" s="93">
        <v>666.8834180506193</v>
      </c>
    </row>
    <row r="654" spans="1:17" x14ac:dyDescent="0.3">
      <c r="A654">
        <v>10</v>
      </c>
      <c r="B654" s="86">
        <v>6.1</v>
      </c>
      <c r="C654" s="78">
        <v>45988</v>
      </c>
      <c r="D654" s="78">
        <v>45990</v>
      </c>
      <c r="E654">
        <v>50</v>
      </c>
      <c r="F654" t="s">
        <v>913</v>
      </c>
      <c r="G654" t="s">
        <v>922</v>
      </c>
      <c r="H654">
        <v>7</v>
      </c>
      <c r="I654">
        <v>13</v>
      </c>
      <c r="J654" t="s">
        <v>935</v>
      </c>
      <c r="K654" t="s">
        <v>1581</v>
      </c>
      <c r="L654"/>
      <c r="M654" s="4">
        <v>760</v>
      </c>
      <c r="N654" s="4" t="s">
        <v>759</v>
      </c>
      <c r="O654" s="12">
        <v>46034.837511574071</v>
      </c>
      <c r="P654" s="92">
        <v>-13.206908491426704</v>
      </c>
      <c r="Q654" s="93">
        <v>617.17210983052098</v>
      </c>
    </row>
    <row r="655" spans="1:17" x14ac:dyDescent="0.3">
      <c r="A655">
        <v>10</v>
      </c>
      <c r="B655" s="86">
        <v>6.1</v>
      </c>
      <c r="C655" s="78">
        <v>45988</v>
      </c>
      <c r="D655" s="78">
        <v>45990</v>
      </c>
      <c r="E655">
        <v>51</v>
      </c>
      <c r="F655" t="s">
        <v>910</v>
      </c>
      <c r="G655" t="s">
        <v>926</v>
      </c>
      <c r="H655">
        <v>7</v>
      </c>
      <c r="I655">
        <v>14</v>
      </c>
      <c r="J655" t="s">
        <v>935</v>
      </c>
      <c r="K655" t="s">
        <v>1582</v>
      </c>
      <c r="L655"/>
      <c r="M655" s="1">
        <v>761</v>
      </c>
      <c r="N655" s="1" t="s">
        <v>760</v>
      </c>
      <c r="O655" s="2">
        <v>46034.841249999998</v>
      </c>
      <c r="P655" s="92">
        <v>-16.078011529491025</v>
      </c>
      <c r="Q655" s="93">
        <v>678.46062892398356</v>
      </c>
    </row>
    <row r="656" spans="1:17" x14ac:dyDescent="0.3">
      <c r="A656">
        <v>10</v>
      </c>
      <c r="B656" s="86">
        <v>6.1</v>
      </c>
      <c r="C656" s="78">
        <v>45988</v>
      </c>
      <c r="D656" s="78">
        <v>45990</v>
      </c>
      <c r="E656">
        <v>56</v>
      </c>
      <c r="F656" t="s">
        <v>921</v>
      </c>
      <c r="G656" t="s">
        <v>930</v>
      </c>
      <c r="H656">
        <v>7</v>
      </c>
      <c r="I656">
        <v>15</v>
      </c>
      <c r="J656" t="s">
        <v>935</v>
      </c>
      <c r="K656" t="s">
        <v>1583</v>
      </c>
      <c r="L656"/>
      <c r="M656" s="4">
        <v>762</v>
      </c>
      <c r="N656" s="4" t="s">
        <v>761</v>
      </c>
      <c r="O656" s="12">
        <v>46034.844965277778</v>
      </c>
      <c r="P656" s="92">
        <v>-13.091142437548022</v>
      </c>
      <c r="Q656" s="93">
        <v>720.72222643612236</v>
      </c>
    </row>
    <row r="657" spans="1:17" x14ac:dyDescent="0.3">
      <c r="A657">
        <v>10</v>
      </c>
      <c r="B657" s="86">
        <v>6.1</v>
      </c>
      <c r="C657" s="78">
        <v>45988</v>
      </c>
      <c r="D657" s="78">
        <v>45990</v>
      </c>
      <c r="E657">
        <v>52</v>
      </c>
      <c r="F657" t="s">
        <v>917</v>
      </c>
      <c r="G657" t="s">
        <v>933</v>
      </c>
      <c r="H657">
        <v>7</v>
      </c>
      <c r="I657">
        <v>16</v>
      </c>
      <c r="J657" t="s">
        <v>935</v>
      </c>
      <c r="K657" t="s">
        <v>1584</v>
      </c>
      <c r="L657"/>
      <c r="M657" s="1">
        <v>763</v>
      </c>
      <c r="N657" s="1" t="s">
        <v>762</v>
      </c>
      <c r="O657" s="2">
        <v>46034.848726851851</v>
      </c>
      <c r="P657" s="92">
        <v>-14.724273633074739</v>
      </c>
      <c r="Q657" s="93">
        <v>643.09231626850578</v>
      </c>
    </row>
    <row r="658" spans="1:17" x14ac:dyDescent="0.3">
      <c r="A658">
        <v>10</v>
      </c>
      <c r="B658" s="86">
        <v>6.1</v>
      </c>
      <c r="C658" s="78">
        <v>45988</v>
      </c>
      <c r="D658" s="78">
        <v>45990</v>
      </c>
      <c r="E658">
        <v>53</v>
      </c>
      <c r="F658" t="s">
        <v>925</v>
      </c>
      <c r="G658" t="s">
        <v>907</v>
      </c>
      <c r="H658">
        <v>7</v>
      </c>
      <c r="I658">
        <v>17</v>
      </c>
      <c r="J658" t="s">
        <v>24</v>
      </c>
      <c r="K658" t="s">
        <v>1585</v>
      </c>
      <c r="L658"/>
      <c r="M658" s="4">
        <v>764</v>
      </c>
      <c r="N658" s="4" t="s">
        <v>763</v>
      </c>
      <c r="O658" s="12">
        <v>46034.852465277778</v>
      </c>
      <c r="P658" s="92">
        <v>-3.3543381815800162</v>
      </c>
      <c r="Q658" s="93">
        <v>658.49022323635006</v>
      </c>
    </row>
    <row r="659" spans="1:17" x14ac:dyDescent="0.3">
      <c r="A659">
        <v>10</v>
      </c>
      <c r="B659" s="86">
        <v>6.1</v>
      </c>
      <c r="C659" s="78">
        <v>45988</v>
      </c>
      <c r="D659" s="78">
        <v>45990</v>
      </c>
      <c r="E659">
        <v>49</v>
      </c>
      <c r="F659" t="s">
        <v>932</v>
      </c>
      <c r="G659" t="s">
        <v>15</v>
      </c>
      <c r="H659">
        <v>7</v>
      </c>
      <c r="I659">
        <v>18</v>
      </c>
      <c r="J659" t="s">
        <v>24</v>
      </c>
      <c r="K659" t="s">
        <v>1586</v>
      </c>
      <c r="L659"/>
      <c r="M659" s="1">
        <v>765</v>
      </c>
      <c r="N659" s="1" t="s">
        <v>764</v>
      </c>
      <c r="O659" s="2">
        <v>46034.856215277781</v>
      </c>
      <c r="P659" s="92">
        <v>-9.3554301877847248</v>
      </c>
      <c r="Q659" s="93">
        <v>592.80108392361001</v>
      </c>
    </row>
    <row r="660" spans="1:17" x14ac:dyDescent="0.3">
      <c r="A660">
        <v>10</v>
      </c>
      <c r="B660" s="86">
        <v>6.1</v>
      </c>
      <c r="C660" s="78">
        <v>45988</v>
      </c>
      <c r="D660" s="78">
        <v>45990</v>
      </c>
      <c r="E660">
        <v>55</v>
      </c>
      <c r="F660" t="s">
        <v>929</v>
      </c>
      <c r="G660" t="s">
        <v>914</v>
      </c>
      <c r="H660">
        <v>7</v>
      </c>
      <c r="I660">
        <v>19</v>
      </c>
      <c r="J660" t="s">
        <v>24</v>
      </c>
      <c r="K660" t="s">
        <v>1587</v>
      </c>
      <c r="L660"/>
      <c r="M660" s="4">
        <v>766</v>
      </c>
      <c r="N660" s="4" t="s">
        <v>765</v>
      </c>
      <c r="O660" s="12">
        <v>46034.859976851854</v>
      </c>
      <c r="P660" s="92">
        <v>-3.7775770678385139</v>
      </c>
      <c r="Q660" s="93">
        <v>643.21625071099163</v>
      </c>
    </row>
    <row r="661" spans="1:17" x14ac:dyDescent="0.3">
      <c r="A661">
        <v>10</v>
      </c>
      <c r="B661" s="86">
        <v>6.1</v>
      </c>
      <c r="C661" s="78">
        <v>45988</v>
      </c>
      <c r="D661" s="78">
        <v>45990</v>
      </c>
      <c r="E661">
        <v>54</v>
      </c>
      <c r="F661" t="s">
        <v>906</v>
      </c>
      <c r="G661" t="s">
        <v>918</v>
      </c>
      <c r="H661">
        <v>7</v>
      </c>
      <c r="I661">
        <v>20</v>
      </c>
      <c r="J661" t="s">
        <v>24</v>
      </c>
      <c r="K661" t="s">
        <v>1588</v>
      </c>
      <c r="L661"/>
      <c r="M661" s="1">
        <v>767</v>
      </c>
      <c r="N661" s="1" t="s">
        <v>766</v>
      </c>
      <c r="O661" s="2">
        <v>46034.86377314815</v>
      </c>
      <c r="P661" s="92">
        <v>0.86244062291276624</v>
      </c>
      <c r="Q661" s="93">
        <v>643.04787800128406</v>
      </c>
    </row>
    <row r="662" spans="1:17" x14ac:dyDescent="0.3">
      <c r="A662">
        <v>10</v>
      </c>
      <c r="B662" s="86">
        <v>6.1</v>
      </c>
      <c r="C662" s="78">
        <v>45988</v>
      </c>
      <c r="D662" s="78">
        <v>45990</v>
      </c>
      <c r="E662">
        <v>50</v>
      </c>
      <c r="F662" t="s">
        <v>913</v>
      </c>
      <c r="G662" t="s">
        <v>922</v>
      </c>
      <c r="H662">
        <v>7</v>
      </c>
      <c r="I662">
        <v>21</v>
      </c>
      <c r="J662" t="s">
        <v>24</v>
      </c>
      <c r="K662" t="s">
        <v>1589</v>
      </c>
      <c r="L662"/>
      <c r="M662" s="4">
        <v>768</v>
      </c>
      <c r="N662" s="4" t="s">
        <v>767</v>
      </c>
      <c r="O662" s="12">
        <v>46034.867511574077</v>
      </c>
      <c r="P662" s="92">
        <v>-9.2389638140640944</v>
      </c>
      <c r="Q662" s="93">
        <v>610.46823242839321</v>
      </c>
    </row>
    <row r="663" spans="1:17" x14ac:dyDescent="0.3">
      <c r="A663">
        <v>10</v>
      </c>
      <c r="B663" s="86">
        <v>6.1</v>
      </c>
      <c r="C663" s="78">
        <v>45988</v>
      </c>
      <c r="D663" s="78">
        <v>45990</v>
      </c>
      <c r="E663">
        <v>51</v>
      </c>
      <c r="F663" t="s">
        <v>910</v>
      </c>
      <c r="G663" t="s">
        <v>926</v>
      </c>
      <c r="H663">
        <v>7</v>
      </c>
      <c r="I663">
        <v>22</v>
      </c>
      <c r="J663" t="s">
        <v>24</v>
      </c>
      <c r="K663" t="s">
        <v>1590</v>
      </c>
      <c r="L663"/>
      <c r="M663" s="1">
        <v>769</v>
      </c>
      <c r="N663" s="1" t="s">
        <v>768</v>
      </c>
      <c r="O663" s="2">
        <v>46034.871261574073</v>
      </c>
      <c r="P663" s="92">
        <v>-13.922227642715383</v>
      </c>
      <c r="Q663" s="93">
        <v>663.09128941363883</v>
      </c>
    </row>
    <row r="664" spans="1:17" x14ac:dyDescent="0.3">
      <c r="A664">
        <v>10</v>
      </c>
      <c r="B664" s="86">
        <v>6.1</v>
      </c>
      <c r="C664" s="78">
        <v>45988</v>
      </c>
      <c r="D664" s="78">
        <v>45990</v>
      </c>
      <c r="E664">
        <v>56</v>
      </c>
      <c r="F664" t="s">
        <v>921</v>
      </c>
      <c r="G664" t="s">
        <v>930</v>
      </c>
      <c r="H664">
        <v>7</v>
      </c>
      <c r="I664">
        <v>23</v>
      </c>
      <c r="J664" t="s">
        <v>24</v>
      </c>
      <c r="K664" t="s">
        <v>1591</v>
      </c>
      <c r="L664"/>
      <c r="M664" s="4">
        <v>770</v>
      </c>
      <c r="N664" s="4" t="s">
        <v>769</v>
      </c>
      <c r="O664" s="12">
        <v>46034.875023148146</v>
      </c>
      <c r="P664" s="92">
        <v>-8.8156240652976425</v>
      </c>
      <c r="Q664" s="93">
        <v>703.77163314640018</v>
      </c>
    </row>
    <row r="665" spans="1:17" x14ac:dyDescent="0.3">
      <c r="A665">
        <v>10</v>
      </c>
      <c r="B665" s="86">
        <v>6.1</v>
      </c>
      <c r="C665" s="78">
        <v>45988</v>
      </c>
      <c r="D665" s="78">
        <v>45990</v>
      </c>
      <c r="E665">
        <v>52</v>
      </c>
      <c r="F665" t="s">
        <v>917</v>
      </c>
      <c r="G665" t="s">
        <v>933</v>
      </c>
      <c r="H665">
        <v>7</v>
      </c>
      <c r="I665">
        <v>24</v>
      </c>
      <c r="J665" t="s">
        <v>24</v>
      </c>
      <c r="K665" t="s">
        <v>1592</v>
      </c>
      <c r="L665"/>
      <c r="M665" s="1">
        <v>771</v>
      </c>
      <c r="N665" s="1" t="s">
        <v>770</v>
      </c>
      <c r="O665" s="2">
        <v>46034.878796296296</v>
      </c>
      <c r="P665" s="92">
        <v>-13.076593156407251</v>
      </c>
      <c r="Q665" s="93">
        <v>651.0320323046883</v>
      </c>
    </row>
    <row r="666" spans="1:17" x14ac:dyDescent="0.3">
      <c r="A666">
        <v>10</v>
      </c>
      <c r="B666" s="86">
        <v>6.1</v>
      </c>
      <c r="C666" s="78">
        <v>45988</v>
      </c>
      <c r="D666" s="78">
        <v>45990</v>
      </c>
      <c r="E666">
        <v>53</v>
      </c>
      <c r="F666" t="s">
        <v>925</v>
      </c>
      <c r="G666" t="s">
        <v>907</v>
      </c>
      <c r="H666">
        <v>7</v>
      </c>
      <c r="I666">
        <v>25</v>
      </c>
      <c r="J666" t="s">
        <v>25</v>
      </c>
      <c r="K666" t="s">
        <v>1593</v>
      </c>
      <c r="L666"/>
      <c r="M666" s="4">
        <v>772</v>
      </c>
      <c r="N666" s="4" t="s">
        <v>771</v>
      </c>
      <c r="O666" s="12">
        <v>46034.8825462963</v>
      </c>
      <c r="P666" s="92">
        <v>4.0656586417991569</v>
      </c>
      <c r="Q666" s="93">
        <v>627.76608850994319</v>
      </c>
    </row>
    <row r="667" spans="1:17" x14ac:dyDescent="0.3">
      <c r="A667">
        <v>10</v>
      </c>
      <c r="B667" s="86">
        <v>6.1</v>
      </c>
      <c r="C667" s="78">
        <v>45988</v>
      </c>
      <c r="D667" s="78">
        <v>45990</v>
      </c>
      <c r="E667">
        <v>49</v>
      </c>
      <c r="F667" t="s">
        <v>932</v>
      </c>
      <c r="G667" t="s">
        <v>15</v>
      </c>
      <c r="H667">
        <v>7</v>
      </c>
      <c r="I667">
        <v>26</v>
      </c>
      <c r="J667" t="s">
        <v>25</v>
      </c>
      <c r="K667" t="s">
        <v>1594</v>
      </c>
      <c r="L667"/>
      <c r="M667" s="1">
        <v>773</v>
      </c>
      <c r="N667" s="1" t="s">
        <v>772</v>
      </c>
      <c r="O667" s="2">
        <v>46034.886284722219</v>
      </c>
      <c r="P667" s="92">
        <v>-9.7941776775234217</v>
      </c>
      <c r="Q667" s="93">
        <v>645.10923561864024</v>
      </c>
    </row>
    <row r="668" spans="1:17" x14ac:dyDescent="0.3">
      <c r="A668">
        <v>10</v>
      </c>
      <c r="B668" s="86">
        <v>6.1</v>
      </c>
      <c r="C668" s="78">
        <v>45988</v>
      </c>
      <c r="D668" s="78">
        <v>45990</v>
      </c>
      <c r="E668">
        <v>55</v>
      </c>
      <c r="F668" t="s">
        <v>929</v>
      </c>
      <c r="G668" t="s">
        <v>914</v>
      </c>
      <c r="H668">
        <v>7</v>
      </c>
      <c r="I668">
        <v>27</v>
      </c>
      <c r="J668" t="s">
        <v>25</v>
      </c>
      <c r="K668" t="s">
        <v>1595</v>
      </c>
      <c r="L668"/>
      <c r="M668" s="4">
        <v>774</v>
      </c>
      <c r="N668" s="4" t="s">
        <v>773</v>
      </c>
      <c r="O668" s="12">
        <v>46034.890092592592</v>
      </c>
      <c r="P668" s="92">
        <v>0.86048405378401327</v>
      </c>
      <c r="Q668" s="93">
        <v>660.93451743574508</v>
      </c>
    </row>
    <row r="669" spans="1:17" x14ac:dyDescent="0.3">
      <c r="A669">
        <v>10</v>
      </c>
      <c r="B669" s="86">
        <v>6.1</v>
      </c>
      <c r="C669" s="78">
        <v>45988</v>
      </c>
      <c r="D669" s="78">
        <v>45990</v>
      </c>
      <c r="E669">
        <v>54</v>
      </c>
      <c r="F669" t="s">
        <v>906</v>
      </c>
      <c r="G669" t="s">
        <v>918</v>
      </c>
      <c r="H669">
        <v>7</v>
      </c>
      <c r="I669">
        <v>28</v>
      </c>
      <c r="J669" t="s">
        <v>25</v>
      </c>
      <c r="K669" t="s">
        <v>1596</v>
      </c>
      <c r="L669"/>
      <c r="M669" s="1">
        <v>775</v>
      </c>
      <c r="N669" s="1" t="s">
        <v>774</v>
      </c>
      <c r="O669" s="2">
        <v>46034.893877314818</v>
      </c>
      <c r="P669" s="92">
        <v>6.204645620356473</v>
      </c>
      <c r="Q669" s="93">
        <v>660.53220425317988</v>
      </c>
    </row>
    <row r="670" spans="1:17" x14ac:dyDescent="0.3">
      <c r="A670">
        <v>10</v>
      </c>
      <c r="B670" s="86">
        <v>6.1</v>
      </c>
      <c r="C670" s="78">
        <v>45988</v>
      </c>
      <c r="D670" s="78">
        <v>45990</v>
      </c>
      <c r="E670">
        <v>50</v>
      </c>
      <c r="F670" t="s">
        <v>913</v>
      </c>
      <c r="G670" t="s">
        <v>922</v>
      </c>
      <c r="H670">
        <v>7</v>
      </c>
      <c r="I670">
        <v>29</v>
      </c>
      <c r="J670" t="s">
        <v>25</v>
      </c>
      <c r="K670" t="s">
        <v>1597</v>
      </c>
      <c r="L670"/>
      <c r="M670" s="4">
        <v>776</v>
      </c>
      <c r="N670" s="4" t="s">
        <v>775</v>
      </c>
      <c r="O670" s="12">
        <v>46034.897743055553</v>
      </c>
      <c r="P670" s="92">
        <v>-5.9420965203679303</v>
      </c>
      <c r="Q670" s="93">
        <v>602.49914355033695</v>
      </c>
    </row>
    <row r="671" spans="1:17" x14ac:dyDescent="0.3">
      <c r="A671">
        <v>10</v>
      </c>
      <c r="B671" s="86">
        <v>6.1</v>
      </c>
      <c r="C671" s="78">
        <v>45988</v>
      </c>
      <c r="D671" s="78">
        <v>45990</v>
      </c>
      <c r="E671">
        <v>51</v>
      </c>
      <c r="F671" t="s">
        <v>910</v>
      </c>
      <c r="G671" t="s">
        <v>926</v>
      </c>
      <c r="H671">
        <v>7</v>
      </c>
      <c r="I671">
        <v>30</v>
      </c>
      <c r="J671" t="s">
        <v>25</v>
      </c>
      <c r="K671" t="s">
        <v>1598</v>
      </c>
      <c r="L671"/>
      <c r="M671" s="1">
        <v>777</v>
      </c>
      <c r="N671" s="1" t="s">
        <v>776</v>
      </c>
      <c r="O671" s="2">
        <v>46034.901504629626</v>
      </c>
      <c r="P671" s="92">
        <v>-11.586481186499293</v>
      </c>
      <c r="Q671" s="93">
        <v>634.48180979992333</v>
      </c>
    </row>
    <row r="672" spans="1:17" x14ac:dyDescent="0.3">
      <c r="A672">
        <v>10</v>
      </c>
      <c r="B672" s="86">
        <v>6.1</v>
      </c>
      <c r="C672" s="78">
        <v>45988</v>
      </c>
      <c r="D672" s="78">
        <v>45990</v>
      </c>
      <c r="E672">
        <v>56</v>
      </c>
      <c r="F672" t="s">
        <v>921</v>
      </c>
      <c r="G672" t="s">
        <v>930</v>
      </c>
      <c r="H672">
        <v>7</v>
      </c>
      <c r="I672">
        <v>31</v>
      </c>
      <c r="J672" t="s">
        <v>25</v>
      </c>
      <c r="K672" t="s">
        <v>1599</v>
      </c>
      <c r="L672"/>
      <c r="M672" s="4">
        <v>778</v>
      </c>
      <c r="N672" s="4" t="s">
        <v>777</v>
      </c>
      <c r="O672" s="12">
        <v>46034.905300925922</v>
      </c>
      <c r="P672" s="92">
        <v>-6.0663221161993262</v>
      </c>
      <c r="Q672" s="93">
        <v>717.17076560029955</v>
      </c>
    </row>
    <row r="673" spans="1:17" x14ac:dyDescent="0.3">
      <c r="A673">
        <v>10</v>
      </c>
      <c r="B673" s="86">
        <v>6.1</v>
      </c>
      <c r="C673" s="78">
        <v>45988</v>
      </c>
      <c r="D673" s="78">
        <v>45990</v>
      </c>
      <c r="E673">
        <v>52</v>
      </c>
      <c r="F673" t="s">
        <v>917</v>
      </c>
      <c r="G673" t="s">
        <v>933</v>
      </c>
      <c r="H673">
        <v>7</v>
      </c>
      <c r="I673">
        <v>32</v>
      </c>
      <c r="J673" t="s">
        <v>25</v>
      </c>
      <c r="K673" t="s">
        <v>1600</v>
      </c>
      <c r="L673"/>
      <c r="M673" s="1">
        <v>779</v>
      </c>
      <c r="N673" s="1" t="s">
        <v>778</v>
      </c>
      <c r="O673" s="2">
        <v>46034.90929398148</v>
      </c>
      <c r="P673" s="92">
        <v>-12.341307217186305</v>
      </c>
      <c r="Q673" s="93">
        <v>682.85608520815742</v>
      </c>
    </row>
    <row r="674" spans="1:17" x14ac:dyDescent="0.3">
      <c r="A674">
        <v>10</v>
      </c>
      <c r="B674" s="86">
        <v>6.2</v>
      </c>
      <c r="C674" s="78">
        <v>45989</v>
      </c>
      <c r="D674" s="78">
        <v>45991</v>
      </c>
      <c r="E674">
        <v>53</v>
      </c>
      <c r="F674" t="s">
        <v>925</v>
      </c>
      <c r="G674" t="s">
        <v>907</v>
      </c>
      <c r="H674">
        <v>25</v>
      </c>
      <c r="I674">
        <v>1</v>
      </c>
      <c r="J674" t="s">
        <v>908</v>
      </c>
      <c r="K674" t="s">
        <v>1601</v>
      </c>
      <c r="L674"/>
      <c r="M674" s="4">
        <v>799</v>
      </c>
      <c r="N674" s="4" t="s">
        <v>795</v>
      </c>
      <c r="O674" s="12">
        <v>46035.421782407408</v>
      </c>
      <c r="P674" s="92">
        <v>-13.856754951494747</v>
      </c>
      <c r="Q674" s="93">
        <v>616.0082346590566</v>
      </c>
    </row>
    <row r="675" spans="1:17" x14ac:dyDescent="0.3">
      <c r="A675">
        <v>10</v>
      </c>
      <c r="B675" s="86">
        <v>6.2</v>
      </c>
      <c r="C675" s="78">
        <v>45989</v>
      </c>
      <c r="D675" s="78">
        <v>45991</v>
      </c>
      <c r="E675">
        <v>49</v>
      </c>
      <c r="F675" t="s">
        <v>932</v>
      </c>
      <c r="G675" t="s">
        <v>15</v>
      </c>
      <c r="H675">
        <v>25</v>
      </c>
      <c r="I675">
        <v>2</v>
      </c>
      <c r="J675" t="s">
        <v>908</v>
      </c>
      <c r="K675" t="s">
        <v>1602</v>
      </c>
      <c r="L675"/>
      <c r="M675" s="1">
        <v>800</v>
      </c>
      <c r="N675" s="1" t="s">
        <v>796</v>
      </c>
      <c r="O675" s="2">
        <v>46035.425509259258</v>
      </c>
      <c r="P675" s="92">
        <v>-12.561837509172742</v>
      </c>
      <c r="Q675" s="93">
        <v>650.22172087338913</v>
      </c>
    </row>
    <row r="676" spans="1:17" x14ac:dyDescent="0.3">
      <c r="A676">
        <v>10</v>
      </c>
      <c r="B676" s="86">
        <v>6.2</v>
      </c>
      <c r="C676" s="78">
        <v>45989</v>
      </c>
      <c r="D676" s="78">
        <v>45991</v>
      </c>
      <c r="E676">
        <v>55</v>
      </c>
      <c r="F676" t="s">
        <v>929</v>
      </c>
      <c r="G676" t="s">
        <v>914</v>
      </c>
      <c r="H676">
        <v>25</v>
      </c>
      <c r="I676">
        <v>3</v>
      </c>
      <c r="J676" t="s">
        <v>908</v>
      </c>
      <c r="K676" t="s">
        <v>1603</v>
      </c>
      <c r="L676"/>
      <c r="M676" s="4">
        <v>801</v>
      </c>
      <c r="N676" s="4" t="s">
        <v>797</v>
      </c>
      <c r="O676" s="12">
        <v>46035.429224537038</v>
      </c>
      <c r="P676" s="92">
        <v>-14.254462309369847</v>
      </c>
      <c r="Q676" s="93">
        <v>665.16633856535225</v>
      </c>
    </row>
    <row r="677" spans="1:17" x14ac:dyDescent="0.3">
      <c r="A677">
        <v>10</v>
      </c>
      <c r="B677" s="86">
        <v>6.2</v>
      </c>
      <c r="C677" s="78">
        <v>45989</v>
      </c>
      <c r="D677" s="78">
        <v>45991</v>
      </c>
      <c r="E677">
        <v>54</v>
      </c>
      <c r="F677" t="s">
        <v>906</v>
      </c>
      <c r="G677" t="s">
        <v>918</v>
      </c>
      <c r="H677">
        <v>25</v>
      </c>
      <c r="I677">
        <v>4</v>
      </c>
      <c r="J677" t="s">
        <v>908</v>
      </c>
      <c r="K677" t="s">
        <v>1604</v>
      </c>
      <c r="L677"/>
      <c r="M677" s="1">
        <v>802</v>
      </c>
      <c r="N677" s="1" t="s">
        <v>798</v>
      </c>
      <c r="O677" s="2">
        <v>46035.432962962965</v>
      </c>
      <c r="P677" s="92">
        <v>-15.346355497946215</v>
      </c>
      <c r="Q677" s="93">
        <v>674.28665334264667</v>
      </c>
    </row>
    <row r="678" spans="1:17" x14ac:dyDescent="0.3">
      <c r="A678">
        <v>10</v>
      </c>
      <c r="B678" s="86">
        <v>6.2</v>
      </c>
      <c r="C678" s="78">
        <v>45989</v>
      </c>
      <c r="D678" s="78">
        <v>45991</v>
      </c>
      <c r="E678">
        <v>50</v>
      </c>
      <c r="F678" t="s">
        <v>913</v>
      </c>
      <c r="G678" t="s">
        <v>922</v>
      </c>
      <c r="H678">
        <v>25</v>
      </c>
      <c r="I678">
        <v>5</v>
      </c>
      <c r="J678" t="s">
        <v>908</v>
      </c>
      <c r="K678" t="s">
        <v>1605</v>
      </c>
      <c r="L678"/>
      <c r="M678" s="4">
        <v>803</v>
      </c>
      <c r="N678" s="4" t="s">
        <v>799</v>
      </c>
      <c r="O678" s="12">
        <v>46035.436689814815</v>
      </c>
      <c r="P678" s="92">
        <v>-16.030444613046782</v>
      </c>
      <c r="Q678" s="93">
        <v>731.892670825089</v>
      </c>
    </row>
    <row r="679" spans="1:17" x14ac:dyDescent="0.3">
      <c r="A679">
        <v>10</v>
      </c>
      <c r="B679" s="86">
        <v>6.2</v>
      </c>
      <c r="C679" s="78">
        <v>45989</v>
      </c>
      <c r="D679" s="78">
        <v>45991</v>
      </c>
      <c r="E679">
        <v>51</v>
      </c>
      <c r="F679" t="s">
        <v>910</v>
      </c>
      <c r="G679" t="s">
        <v>926</v>
      </c>
      <c r="H679">
        <v>25</v>
      </c>
      <c r="I679">
        <v>6</v>
      </c>
      <c r="J679" t="s">
        <v>908</v>
      </c>
      <c r="K679" t="s">
        <v>1606</v>
      </c>
      <c r="L679"/>
      <c r="M679" s="1">
        <v>804</v>
      </c>
      <c r="N679" s="1" t="s">
        <v>800</v>
      </c>
      <c r="O679" s="2">
        <v>46035.440405092595</v>
      </c>
      <c r="P679" s="92">
        <v>-16.43586669537936</v>
      </c>
      <c r="Q679" s="93">
        <v>732.58947043521232</v>
      </c>
    </row>
    <row r="680" spans="1:17" x14ac:dyDescent="0.3">
      <c r="A680">
        <v>10</v>
      </c>
      <c r="B680" s="86">
        <v>6.2</v>
      </c>
      <c r="C680" s="78">
        <v>45989</v>
      </c>
      <c r="D680" s="78">
        <v>45991</v>
      </c>
      <c r="E680">
        <v>56</v>
      </c>
      <c r="F680" t="s">
        <v>921</v>
      </c>
      <c r="G680" t="s">
        <v>930</v>
      </c>
      <c r="H680">
        <v>25</v>
      </c>
      <c r="I680">
        <v>7</v>
      </c>
      <c r="J680" t="s">
        <v>908</v>
      </c>
      <c r="K680" t="s">
        <v>1607</v>
      </c>
      <c r="L680"/>
      <c r="M680" s="4">
        <v>805</v>
      </c>
      <c r="N680" s="4" t="s">
        <v>801</v>
      </c>
      <c r="O680" s="12">
        <v>46035.444131944445</v>
      </c>
      <c r="P680" s="92">
        <v>-14.459330796301723</v>
      </c>
      <c r="Q680" s="93">
        <v>723.42130635099488</v>
      </c>
    </row>
    <row r="681" spans="1:17" x14ac:dyDescent="0.3">
      <c r="A681">
        <v>10</v>
      </c>
      <c r="B681" s="86">
        <v>6.2</v>
      </c>
      <c r="C681" s="78">
        <v>45989</v>
      </c>
      <c r="D681" s="78">
        <v>45991</v>
      </c>
      <c r="E681">
        <v>52</v>
      </c>
      <c r="F681" t="s">
        <v>917</v>
      </c>
      <c r="G681" t="s">
        <v>933</v>
      </c>
      <c r="H681">
        <v>25</v>
      </c>
      <c r="I681">
        <v>8</v>
      </c>
      <c r="J681" t="s">
        <v>908</v>
      </c>
      <c r="K681" t="s">
        <v>1608</v>
      </c>
      <c r="L681"/>
      <c r="M681" s="1">
        <v>806</v>
      </c>
      <c r="N681" s="1" t="s">
        <v>802</v>
      </c>
      <c r="O681" s="2">
        <v>46035.447870370372</v>
      </c>
      <c r="P681" s="92">
        <v>-16.610971101833648</v>
      </c>
      <c r="Q681" s="93">
        <v>718.19445651514479</v>
      </c>
    </row>
    <row r="682" spans="1:17" x14ac:dyDescent="0.3">
      <c r="A682">
        <v>10</v>
      </c>
      <c r="B682" s="86">
        <v>6.2</v>
      </c>
      <c r="C682" s="78">
        <v>45989</v>
      </c>
      <c r="D682" s="78">
        <v>45991</v>
      </c>
      <c r="E682">
        <v>53</v>
      </c>
      <c r="F682" t="s">
        <v>925</v>
      </c>
      <c r="G682" t="s">
        <v>907</v>
      </c>
      <c r="H682">
        <v>25</v>
      </c>
      <c r="I682">
        <v>9</v>
      </c>
      <c r="J682" t="s">
        <v>935</v>
      </c>
      <c r="K682" t="s">
        <v>1609</v>
      </c>
      <c r="L682"/>
      <c r="M682" s="4">
        <v>807</v>
      </c>
      <c r="N682" s="4" t="s">
        <v>803</v>
      </c>
      <c r="O682" s="12">
        <v>46035.451608796298</v>
      </c>
      <c r="P682" s="92">
        <v>-0.62007077190890869</v>
      </c>
      <c r="Q682" s="93">
        <v>698.41971185483044</v>
      </c>
    </row>
    <row r="683" spans="1:17" x14ac:dyDescent="0.3">
      <c r="A683">
        <v>10</v>
      </c>
      <c r="B683" s="86">
        <v>6.2</v>
      </c>
      <c r="C683" s="78">
        <v>45989</v>
      </c>
      <c r="D683" s="78">
        <v>45991</v>
      </c>
      <c r="E683">
        <v>49</v>
      </c>
      <c r="F683" t="s">
        <v>932</v>
      </c>
      <c r="G683" t="s">
        <v>15</v>
      </c>
      <c r="H683">
        <v>25</v>
      </c>
      <c r="I683">
        <v>10</v>
      </c>
      <c r="J683" t="s">
        <v>935</v>
      </c>
      <c r="K683" t="s">
        <v>27</v>
      </c>
      <c r="L683"/>
      <c r="M683" s="1">
        <v>808</v>
      </c>
      <c r="N683" s="1" t="s">
        <v>804</v>
      </c>
      <c r="O683" s="2">
        <v>46035.455335648148</v>
      </c>
      <c r="P683" s="92">
        <v>-2.8778031538611577</v>
      </c>
      <c r="Q683" s="93">
        <v>648.04310876629563</v>
      </c>
    </row>
    <row r="684" spans="1:17" x14ac:dyDescent="0.3">
      <c r="A684">
        <v>10</v>
      </c>
      <c r="B684" s="86">
        <v>6.2</v>
      </c>
      <c r="C684" s="78">
        <v>45989</v>
      </c>
      <c r="D684" s="78">
        <v>45991</v>
      </c>
      <c r="E684">
        <v>55</v>
      </c>
      <c r="F684" t="s">
        <v>929</v>
      </c>
      <c r="G684" t="s">
        <v>914</v>
      </c>
      <c r="H684">
        <v>25</v>
      </c>
      <c r="I684">
        <v>11</v>
      </c>
      <c r="J684" t="s">
        <v>935</v>
      </c>
      <c r="K684" t="s">
        <v>1610</v>
      </c>
      <c r="L684"/>
      <c r="M684" s="4">
        <v>809</v>
      </c>
      <c r="N684" s="4" t="s">
        <v>805</v>
      </c>
      <c r="O684" s="12">
        <v>46035.459062499998</v>
      </c>
      <c r="P684" s="92">
        <v>0.77398083910720195</v>
      </c>
      <c r="Q684" s="93">
        <v>685.2145349083994</v>
      </c>
    </row>
    <row r="685" spans="1:17" x14ac:dyDescent="0.3">
      <c r="A685">
        <v>10</v>
      </c>
      <c r="B685" s="86">
        <v>6.2</v>
      </c>
      <c r="C685" s="78">
        <v>45989</v>
      </c>
      <c r="D685" s="78">
        <v>45991</v>
      </c>
      <c r="E685">
        <v>54</v>
      </c>
      <c r="F685" t="s">
        <v>906</v>
      </c>
      <c r="G685" t="s">
        <v>918</v>
      </c>
      <c r="H685">
        <v>25</v>
      </c>
      <c r="I685">
        <v>12</v>
      </c>
      <c r="J685" t="s">
        <v>935</v>
      </c>
      <c r="K685" t="s">
        <v>1611</v>
      </c>
      <c r="L685"/>
      <c r="M685" s="1">
        <v>810</v>
      </c>
      <c r="N685" s="1" t="s">
        <v>806</v>
      </c>
      <c r="O685" s="2">
        <v>46035.462800925925</v>
      </c>
      <c r="P685" s="92">
        <v>6.4512253030306985E-2</v>
      </c>
      <c r="Q685" s="93">
        <v>711.746596592831</v>
      </c>
    </row>
    <row r="686" spans="1:17" x14ac:dyDescent="0.3">
      <c r="A686">
        <v>10</v>
      </c>
      <c r="B686" s="86">
        <v>6.2</v>
      </c>
      <c r="C686" s="78">
        <v>45989</v>
      </c>
      <c r="D686" s="78">
        <v>45991</v>
      </c>
      <c r="E686">
        <v>50</v>
      </c>
      <c r="F686" t="s">
        <v>913</v>
      </c>
      <c r="G686" t="s">
        <v>922</v>
      </c>
      <c r="H686">
        <v>25</v>
      </c>
      <c r="I686">
        <v>13</v>
      </c>
      <c r="J686" t="s">
        <v>935</v>
      </c>
      <c r="K686" t="s">
        <v>1612</v>
      </c>
      <c r="L686"/>
      <c r="M686" s="4">
        <v>811</v>
      </c>
      <c r="N686" s="4" t="s">
        <v>807</v>
      </c>
      <c r="O686" s="12">
        <v>46035.466527777775</v>
      </c>
      <c r="P686" s="92">
        <v>-4.7471167411338344</v>
      </c>
      <c r="Q686" s="93">
        <v>762.03574441346473</v>
      </c>
    </row>
    <row r="687" spans="1:17" x14ac:dyDescent="0.3">
      <c r="A687">
        <v>10</v>
      </c>
      <c r="B687" s="86">
        <v>6.2</v>
      </c>
      <c r="C687" s="78">
        <v>45989</v>
      </c>
      <c r="D687" s="78">
        <v>45991</v>
      </c>
      <c r="E687">
        <v>51</v>
      </c>
      <c r="F687" t="s">
        <v>910</v>
      </c>
      <c r="G687" t="s">
        <v>926</v>
      </c>
      <c r="H687">
        <v>25</v>
      </c>
      <c r="I687">
        <v>14</v>
      </c>
      <c r="J687" t="s">
        <v>935</v>
      </c>
      <c r="K687" t="s">
        <v>1613</v>
      </c>
      <c r="L687"/>
      <c r="M687" s="1">
        <v>812</v>
      </c>
      <c r="N687" s="1" t="s">
        <v>808</v>
      </c>
      <c r="O687" s="2">
        <v>46035.470266203702</v>
      </c>
      <c r="P687" s="92">
        <v>-10.949495167975254</v>
      </c>
      <c r="Q687" s="93">
        <v>753.15273377317794</v>
      </c>
    </row>
    <row r="688" spans="1:17" x14ac:dyDescent="0.3">
      <c r="A688">
        <v>10</v>
      </c>
      <c r="B688" s="86">
        <v>6.2</v>
      </c>
      <c r="C688" s="78">
        <v>45989</v>
      </c>
      <c r="D688" s="78">
        <v>45991</v>
      </c>
      <c r="E688">
        <v>56</v>
      </c>
      <c r="F688" t="s">
        <v>921</v>
      </c>
      <c r="G688" t="s">
        <v>930</v>
      </c>
      <c r="H688">
        <v>25</v>
      </c>
      <c r="I688">
        <v>15</v>
      </c>
      <c r="J688" t="s">
        <v>935</v>
      </c>
      <c r="K688" t="s">
        <v>1614</v>
      </c>
      <c r="L688"/>
      <c r="M688" s="4">
        <v>813</v>
      </c>
      <c r="N688" s="4" t="s">
        <v>809</v>
      </c>
      <c r="O688" s="12">
        <v>46035.474016203705</v>
      </c>
      <c r="P688" s="92">
        <v>-5.3257506825718934</v>
      </c>
      <c r="Q688" s="93">
        <v>782.88089228231365</v>
      </c>
    </row>
    <row r="689" spans="1:17" x14ac:dyDescent="0.3">
      <c r="A689">
        <v>10</v>
      </c>
      <c r="B689" s="86">
        <v>6.2</v>
      </c>
      <c r="C689" s="78">
        <v>45989</v>
      </c>
      <c r="D689" s="78">
        <v>45991</v>
      </c>
      <c r="E689">
        <v>52</v>
      </c>
      <c r="F689" t="s">
        <v>917</v>
      </c>
      <c r="G689" t="s">
        <v>933</v>
      </c>
      <c r="H689">
        <v>25</v>
      </c>
      <c r="I689">
        <v>16</v>
      </c>
      <c r="J689" t="s">
        <v>935</v>
      </c>
      <c r="K689" t="s">
        <v>1332</v>
      </c>
      <c r="L689"/>
      <c r="M689" s="1">
        <v>814</v>
      </c>
      <c r="N689" s="1" t="s">
        <v>810</v>
      </c>
      <c r="O689" s="2">
        <v>46035.477743055555</v>
      </c>
      <c r="P689" s="92">
        <v>-10.587260163888097</v>
      </c>
      <c r="Q689" s="93">
        <v>741.62327745563391</v>
      </c>
    </row>
    <row r="690" spans="1:17" x14ac:dyDescent="0.3">
      <c r="A690">
        <v>10</v>
      </c>
      <c r="B690" s="86">
        <v>6.2</v>
      </c>
      <c r="C690" s="78">
        <v>45989</v>
      </c>
      <c r="D690" s="78">
        <v>45991</v>
      </c>
      <c r="E690">
        <v>53</v>
      </c>
      <c r="F690" t="s">
        <v>925</v>
      </c>
      <c r="G690" t="s">
        <v>907</v>
      </c>
      <c r="H690">
        <v>25</v>
      </c>
      <c r="I690">
        <v>17</v>
      </c>
      <c r="J690" t="s">
        <v>24</v>
      </c>
      <c r="K690" t="s">
        <v>1615</v>
      </c>
      <c r="L690"/>
      <c r="M690" s="4">
        <v>815</v>
      </c>
      <c r="N690" s="4" t="s">
        <v>811</v>
      </c>
      <c r="O690" s="12">
        <v>46035.481493055559</v>
      </c>
      <c r="P690" s="92">
        <v>8.5004130958506661</v>
      </c>
      <c r="Q690" s="93">
        <v>703.38277462043516</v>
      </c>
    </row>
    <row r="691" spans="1:17" x14ac:dyDescent="0.3">
      <c r="A691">
        <v>10</v>
      </c>
      <c r="B691" s="86">
        <v>6.2</v>
      </c>
      <c r="C691" s="78">
        <v>45989</v>
      </c>
      <c r="D691" s="78">
        <v>45991</v>
      </c>
      <c r="E691">
        <v>49</v>
      </c>
      <c r="F691" t="s">
        <v>932</v>
      </c>
      <c r="G691" t="s">
        <v>15</v>
      </c>
      <c r="H691">
        <v>25</v>
      </c>
      <c r="I691">
        <v>18</v>
      </c>
      <c r="J691" t="s">
        <v>24</v>
      </c>
      <c r="K691" t="s">
        <v>1616</v>
      </c>
      <c r="L691"/>
      <c r="M691" s="1">
        <v>816</v>
      </c>
      <c r="N691" s="1" t="s">
        <v>812</v>
      </c>
      <c r="O691" s="2">
        <v>46035.485335648147</v>
      </c>
      <c r="P691" s="92">
        <v>3.4253851165586902</v>
      </c>
      <c r="Q691" s="93">
        <v>703.24358525039565</v>
      </c>
    </row>
    <row r="692" spans="1:17" x14ac:dyDescent="0.3">
      <c r="A692">
        <v>10</v>
      </c>
      <c r="B692" s="86">
        <v>6.2</v>
      </c>
      <c r="C692" s="78">
        <v>45989</v>
      </c>
      <c r="D692" s="78">
        <v>45991</v>
      </c>
      <c r="E692">
        <v>55</v>
      </c>
      <c r="F692" t="s">
        <v>929</v>
      </c>
      <c r="G692" t="s">
        <v>914</v>
      </c>
      <c r="H692">
        <v>25</v>
      </c>
      <c r="I692">
        <v>19</v>
      </c>
      <c r="J692" t="s">
        <v>24</v>
      </c>
      <c r="K692" t="s">
        <v>1617</v>
      </c>
      <c r="L692"/>
      <c r="M692" s="4">
        <v>817</v>
      </c>
      <c r="N692" s="4" t="s">
        <v>813</v>
      </c>
      <c r="O692" s="12">
        <v>46035.489062499997</v>
      </c>
      <c r="P692" s="92">
        <v>10.420016538187319</v>
      </c>
      <c r="Q692" s="93">
        <v>761.10827324353102</v>
      </c>
    </row>
    <row r="693" spans="1:17" x14ac:dyDescent="0.3">
      <c r="A693">
        <v>10</v>
      </c>
      <c r="B693" s="86">
        <v>6.2</v>
      </c>
      <c r="C693" s="78">
        <v>45989</v>
      </c>
      <c r="D693" s="78">
        <v>45991</v>
      </c>
      <c r="E693">
        <v>54</v>
      </c>
      <c r="F693" t="s">
        <v>906</v>
      </c>
      <c r="G693" t="s">
        <v>918</v>
      </c>
      <c r="H693">
        <v>25</v>
      </c>
      <c r="I693">
        <v>20</v>
      </c>
      <c r="J693" t="s">
        <v>24</v>
      </c>
      <c r="K693" t="s">
        <v>1618</v>
      </c>
      <c r="L693"/>
      <c r="M693" s="1">
        <v>818</v>
      </c>
      <c r="N693" s="1" t="s">
        <v>814</v>
      </c>
      <c r="O693" s="2">
        <v>46035.492800925924</v>
      </c>
      <c r="P693" s="92">
        <v>9.5842031149131675</v>
      </c>
      <c r="Q693" s="93">
        <v>763.96113419827714</v>
      </c>
    </row>
    <row r="694" spans="1:17" x14ac:dyDescent="0.3">
      <c r="A694">
        <v>10</v>
      </c>
      <c r="B694" s="86">
        <v>6.2</v>
      </c>
      <c r="C694" s="78">
        <v>45989</v>
      </c>
      <c r="D694" s="78">
        <v>45991</v>
      </c>
      <c r="E694">
        <v>50</v>
      </c>
      <c r="F694" t="s">
        <v>913</v>
      </c>
      <c r="G694" t="s">
        <v>922</v>
      </c>
      <c r="H694">
        <v>25</v>
      </c>
      <c r="I694">
        <v>21</v>
      </c>
      <c r="J694" t="s">
        <v>24</v>
      </c>
      <c r="K694" t="s">
        <v>1619</v>
      </c>
      <c r="L694"/>
      <c r="M694" s="4">
        <v>819</v>
      </c>
      <c r="N694" s="4" t="s">
        <v>815</v>
      </c>
      <c r="O694" s="12">
        <v>46035.496539351851</v>
      </c>
      <c r="P694" s="92">
        <v>7.5308081302693228</v>
      </c>
      <c r="Q694" s="93">
        <v>722.08010449060657</v>
      </c>
    </row>
    <row r="695" spans="1:17" x14ac:dyDescent="0.3">
      <c r="A695">
        <v>10</v>
      </c>
      <c r="B695" s="86">
        <v>6.2</v>
      </c>
      <c r="C695" s="78">
        <v>45989</v>
      </c>
      <c r="D695" s="78">
        <v>45991</v>
      </c>
      <c r="E695">
        <v>51</v>
      </c>
      <c r="F695" t="s">
        <v>910</v>
      </c>
      <c r="G695" t="s">
        <v>926</v>
      </c>
      <c r="H695">
        <v>25</v>
      </c>
      <c r="I695">
        <v>22</v>
      </c>
      <c r="J695" t="s">
        <v>24</v>
      </c>
      <c r="K695" t="s">
        <v>1620</v>
      </c>
      <c r="L695"/>
      <c r="M695" s="1">
        <v>820</v>
      </c>
      <c r="N695" s="1" t="s">
        <v>816</v>
      </c>
      <c r="O695" s="2">
        <v>46035.5002662037</v>
      </c>
      <c r="P695" s="92">
        <v>-4.9872674897376017</v>
      </c>
      <c r="Q695" s="93">
        <v>713.13498450242264</v>
      </c>
    </row>
    <row r="696" spans="1:17" x14ac:dyDescent="0.3">
      <c r="A696">
        <v>10</v>
      </c>
      <c r="B696" s="86">
        <v>6.2</v>
      </c>
      <c r="C696" s="78">
        <v>45989</v>
      </c>
      <c r="D696" s="78">
        <v>45991</v>
      </c>
      <c r="E696">
        <v>56</v>
      </c>
      <c r="F696" t="s">
        <v>921</v>
      </c>
      <c r="G696" t="s">
        <v>930</v>
      </c>
      <c r="H696">
        <v>25</v>
      </c>
      <c r="I696">
        <v>23</v>
      </c>
      <c r="J696" t="s">
        <v>24</v>
      </c>
      <c r="K696" t="s">
        <v>1621</v>
      </c>
      <c r="L696"/>
      <c r="M696" s="4">
        <v>821</v>
      </c>
      <c r="N696" s="4" t="s">
        <v>817</v>
      </c>
      <c r="O696" s="12">
        <v>46035.504016203704</v>
      </c>
      <c r="P696" s="92">
        <v>0.16980015456315906</v>
      </c>
      <c r="Q696" s="93">
        <v>840.83284604114442</v>
      </c>
    </row>
    <row r="697" spans="1:17" x14ac:dyDescent="0.3">
      <c r="A697">
        <v>10</v>
      </c>
      <c r="B697" s="86">
        <v>6.2</v>
      </c>
      <c r="C697" s="78">
        <v>45989</v>
      </c>
      <c r="D697" s="78">
        <v>45991</v>
      </c>
      <c r="E697">
        <v>52</v>
      </c>
      <c r="F697" t="s">
        <v>917</v>
      </c>
      <c r="G697" t="s">
        <v>933</v>
      </c>
      <c r="H697">
        <v>25</v>
      </c>
      <c r="I697">
        <v>24</v>
      </c>
      <c r="J697" t="s">
        <v>24</v>
      </c>
      <c r="K697" t="s">
        <v>1622</v>
      </c>
      <c r="L697"/>
      <c r="M697" s="1">
        <v>822</v>
      </c>
      <c r="N697" s="1" t="s">
        <v>818</v>
      </c>
      <c r="O697" s="2">
        <v>46035.507731481484</v>
      </c>
      <c r="P697" s="92">
        <v>-3.9972687733415793</v>
      </c>
      <c r="Q697" s="93">
        <v>695.4976352194758</v>
      </c>
    </row>
    <row r="698" spans="1:17" x14ac:dyDescent="0.3">
      <c r="A698">
        <v>10</v>
      </c>
      <c r="B698" s="86">
        <v>6.2</v>
      </c>
      <c r="C698" s="78">
        <v>45989</v>
      </c>
      <c r="D698" s="78">
        <v>45991</v>
      </c>
      <c r="E698">
        <v>53</v>
      </c>
      <c r="F698" t="s">
        <v>925</v>
      </c>
      <c r="G698" t="s">
        <v>907</v>
      </c>
      <c r="H698">
        <v>25</v>
      </c>
      <c r="I698">
        <v>25</v>
      </c>
      <c r="J698" t="s">
        <v>25</v>
      </c>
      <c r="K698" t="s">
        <v>1623</v>
      </c>
      <c r="L698"/>
      <c r="M698" s="4">
        <v>823</v>
      </c>
      <c r="N698" s="4" t="s">
        <v>819</v>
      </c>
      <c r="O698" s="12">
        <v>46035.511469907404</v>
      </c>
      <c r="P698" s="92">
        <v>16.530742835959845</v>
      </c>
      <c r="Q698" s="93">
        <v>709.91737917737885</v>
      </c>
    </row>
    <row r="699" spans="1:17" x14ac:dyDescent="0.3">
      <c r="A699">
        <v>10</v>
      </c>
      <c r="B699" s="86">
        <v>6.2</v>
      </c>
      <c r="C699" s="78">
        <v>45989</v>
      </c>
      <c r="D699" s="78">
        <v>45991</v>
      </c>
      <c r="E699">
        <v>49</v>
      </c>
      <c r="F699" t="s">
        <v>932</v>
      </c>
      <c r="G699" t="s">
        <v>15</v>
      </c>
      <c r="H699">
        <v>25</v>
      </c>
      <c r="I699">
        <v>26</v>
      </c>
      <c r="J699" t="s">
        <v>25</v>
      </c>
      <c r="K699" t="s">
        <v>1624</v>
      </c>
      <c r="L699"/>
      <c r="M699" s="1">
        <v>824</v>
      </c>
      <c r="N699" s="1" t="s">
        <v>820</v>
      </c>
      <c r="O699" s="2">
        <v>46035.515208333331</v>
      </c>
      <c r="P699" s="92">
        <v>8.8895206577156305</v>
      </c>
      <c r="Q699" s="93">
        <v>725.2877135743031</v>
      </c>
    </row>
    <row r="700" spans="1:17" x14ac:dyDescent="0.3">
      <c r="A700">
        <v>10</v>
      </c>
      <c r="B700" s="86">
        <v>6.2</v>
      </c>
      <c r="C700" s="78">
        <v>45989</v>
      </c>
      <c r="D700" s="78">
        <v>45991</v>
      </c>
      <c r="E700">
        <v>55</v>
      </c>
      <c r="F700" t="s">
        <v>929</v>
      </c>
      <c r="G700" t="s">
        <v>914</v>
      </c>
      <c r="H700">
        <v>25</v>
      </c>
      <c r="I700">
        <v>27</v>
      </c>
      <c r="J700" t="s">
        <v>25</v>
      </c>
      <c r="K700" t="s">
        <v>1625</v>
      </c>
      <c r="L700"/>
      <c r="M700" s="4">
        <v>825</v>
      </c>
      <c r="N700" s="4" t="s">
        <v>821</v>
      </c>
      <c r="O700" s="12">
        <v>46035.518946759257</v>
      </c>
      <c r="P700" s="92">
        <v>21.715772569915075</v>
      </c>
      <c r="Q700" s="93">
        <v>763.75007611675017</v>
      </c>
    </row>
    <row r="701" spans="1:17" x14ac:dyDescent="0.3">
      <c r="A701">
        <v>10</v>
      </c>
      <c r="B701" s="86">
        <v>6.2</v>
      </c>
      <c r="C701" s="78">
        <v>45989</v>
      </c>
      <c r="D701" s="78">
        <v>45991</v>
      </c>
      <c r="E701">
        <v>54</v>
      </c>
      <c r="F701" t="s">
        <v>906</v>
      </c>
      <c r="G701" t="s">
        <v>918</v>
      </c>
      <c r="H701">
        <v>25</v>
      </c>
      <c r="I701">
        <v>28</v>
      </c>
      <c r="J701" t="s">
        <v>25</v>
      </c>
      <c r="K701" t="s">
        <v>1626</v>
      </c>
      <c r="L701"/>
      <c r="M701" s="1">
        <v>826</v>
      </c>
      <c r="N701" s="1" t="s">
        <v>822</v>
      </c>
      <c r="O701" s="2">
        <v>46035.522673611114</v>
      </c>
      <c r="P701" s="92">
        <v>17.675706542444011</v>
      </c>
      <c r="Q701" s="93">
        <v>699.01446452721871</v>
      </c>
    </row>
    <row r="702" spans="1:17" x14ac:dyDescent="0.3">
      <c r="A702">
        <v>10</v>
      </c>
      <c r="B702" s="86">
        <v>6.2</v>
      </c>
      <c r="C702" s="78">
        <v>45989</v>
      </c>
      <c r="D702" s="78">
        <v>45991</v>
      </c>
      <c r="E702">
        <v>50</v>
      </c>
      <c r="F702" t="s">
        <v>913</v>
      </c>
      <c r="G702" t="s">
        <v>922</v>
      </c>
      <c r="H702">
        <v>25</v>
      </c>
      <c r="I702">
        <v>29</v>
      </c>
      <c r="J702" t="s">
        <v>25</v>
      </c>
      <c r="K702" t="s">
        <v>1627</v>
      </c>
      <c r="L702"/>
      <c r="M702" s="4">
        <v>827</v>
      </c>
      <c r="N702" s="4" t="s">
        <v>823</v>
      </c>
      <c r="O702" s="12">
        <v>46035.526412037034</v>
      </c>
      <c r="P702" s="92">
        <v>17.614671436764958</v>
      </c>
      <c r="Q702" s="93">
        <v>715.29014571156858</v>
      </c>
    </row>
    <row r="703" spans="1:17" x14ac:dyDescent="0.3">
      <c r="A703">
        <v>10</v>
      </c>
      <c r="B703" s="86">
        <v>6.2</v>
      </c>
      <c r="C703" s="78">
        <v>45989</v>
      </c>
      <c r="D703" s="78">
        <v>45991</v>
      </c>
      <c r="E703">
        <v>51</v>
      </c>
      <c r="F703" t="s">
        <v>910</v>
      </c>
      <c r="G703" t="s">
        <v>926</v>
      </c>
      <c r="H703">
        <v>25</v>
      </c>
      <c r="I703">
        <v>30</v>
      </c>
      <c r="J703" t="s">
        <v>25</v>
      </c>
      <c r="K703" t="s">
        <v>1628</v>
      </c>
      <c r="L703"/>
      <c r="M703" s="1">
        <v>828</v>
      </c>
      <c r="N703" s="1" t="s">
        <v>824</v>
      </c>
      <c r="O703" s="2">
        <v>46035.530150462961</v>
      </c>
      <c r="P703" s="92">
        <v>-1.5118247013482096</v>
      </c>
      <c r="Q703" s="93">
        <v>753.70816473789682</v>
      </c>
    </row>
    <row r="704" spans="1:17" x14ac:dyDescent="0.3">
      <c r="A704">
        <v>10</v>
      </c>
      <c r="B704" s="86">
        <v>6.2</v>
      </c>
      <c r="C704" s="78">
        <v>45989</v>
      </c>
      <c r="D704" s="78">
        <v>45991</v>
      </c>
      <c r="E704">
        <v>56</v>
      </c>
      <c r="F704" t="s">
        <v>921</v>
      </c>
      <c r="G704" t="s">
        <v>930</v>
      </c>
      <c r="H704">
        <v>25</v>
      </c>
      <c r="I704">
        <v>31</v>
      </c>
      <c r="J704" t="s">
        <v>25</v>
      </c>
      <c r="K704" t="s">
        <v>1629</v>
      </c>
      <c r="L704"/>
      <c r="M704" s="4">
        <v>829</v>
      </c>
      <c r="N704" s="4" t="s">
        <v>825</v>
      </c>
      <c r="O704" s="12">
        <v>46035.533900462964</v>
      </c>
      <c r="P704" s="92">
        <v>7.2938891482932284</v>
      </c>
      <c r="Q704" s="93">
        <v>820.13626790151397</v>
      </c>
    </row>
    <row r="705" spans="1:17" x14ac:dyDescent="0.3">
      <c r="A705">
        <v>10</v>
      </c>
      <c r="B705" s="86">
        <v>6.2</v>
      </c>
      <c r="C705" s="78">
        <v>45989</v>
      </c>
      <c r="D705" s="78">
        <v>45991</v>
      </c>
      <c r="E705">
        <v>52</v>
      </c>
      <c r="F705" t="s">
        <v>917</v>
      </c>
      <c r="G705" t="s">
        <v>933</v>
      </c>
      <c r="H705">
        <v>25</v>
      </c>
      <c r="I705">
        <v>32</v>
      </c>
      <c r="J705" t="s">
        <v>25</v>
      </c>
      <c r="K705" t="s">
        <v>1630</v>
      </c>
      <c r="L705"/>
      <c r="M705" s="1">
        <v>830</v>
      </c>
      <c r="N705" s="1" t="s">
        <v>826</v>
      </c>
      <c r="O705" s="2">
        <v>46035.537638888891</v>
      </c>
      <c r="P705" s="92">
        <v>-0.37942981750952715</v>
      </c>
      <c r="Q705" s="93">
        <v>721.23426139575065</v>
      </c>
    </row>
    <row r="706" spans="1:17" x14ac:dyDescent="0.3">
      <c r="A706" t="s">
        <v>1631</v>
      </c>
      <c r="B706" s="86">
        <v>6.3</v>
      </c>
      <c r="C706" s="78">
        <v>45990</v>
      </c>
      <c r="D706" s="78">
        <v>45992</v>
      </c>
      <c r="E706">
        <v>53</v>
      </c>
      <c r="F706" t="s">
        <v>925</v>
      </c>
      <c r="G706" t="s">
        <v>907</v>
      </c>
      <c r="H706">
        <v>49</v>
      </c>
      <c r="I706">
        <v>1</v>
      </c>
      <c r="J706" t="s">
        <v>908</v>
      </c>
      <c r="K706" t="s">
        <v>1632</v>
      </c>
      <c r="L706"/>
      <c r="M706" s="4">
        <v>831</v>
      </c>
      <c r="N706" s="4" t="s">
        <v>827</v>
      </c>
      <c r="O706" s="12">
        <v>46035.541365740741</v>
      </c>
      <c r="P706" s="92">
        <v>-14.437379934294006</v>
      </c>
      <c r="Q706" s="93">
        <v>627.16659828241404</v>
      </c>
    </row>
    <row r="707" spans="1:17" x14ac:dyDescent="0.3">
      <c r="A707" t="s">
        <v>1631</v>
      </c>
      <c r="B707" s="86">
        <v>6.3</v>
      </c>
      <c r="C707" s="78">
        <v>45990</v>
      </c>
      <c r="D707" s="78">
        <v>45992</v>
      </c>
      <c r="E707">
        <v>49</v>
      </c>
      <c r="F707" t="s">
        <v>932</v>
      </c>
      <c r="G707" t="s">
        <v>15</v>
      </c>
      <c r="H707">
        <v>49</v>
      </c>
      <c r="I707">
        <v>2</v>
      </c>
      <c r="J707" t="s">
        <v>908</v>
      </c>
      <c r="K707" t="s">
        <v>1633</v>
      </c>
      <c r="L707"/>
      <c r="M707" s="1">
        <v>832</v>
      </c>
      <c r="N707" s="1" t="s">
        <v>828</v>
      </c>
      <c r="O707" s="2">
        <v>46035.545104166667</v>
      </c>
      <c r="P707" s="92">
        <v>-9.9723622557324241</v>
      </c>
      <c r="Q707" s="93">
        <v>671.99054986805891</v>
      </c>
    </row>
    <row r="708" spans="1:17" x14ac:dyDescent="0.3">
      <c r="A708" t="s">
        <v>1631</v>
      </c>
      <c r="B708" s="86">
        <v>6.3</v>
      </c>
      <c r="C708" s="78">
        <v>45990</v>
      </c>
      <c r="D708" s="78">
        <v>45992</v>
      </c>
      <c r="E708">
        <v>55</v>
      </c>
      <c r="F708" t="s">
        <v>929</v>
      </c>
      <c r="G708" t="s">
        <v>914</v>
      </c>
      <c r="H708">
        <v>49</v>
      </c>
      <c r="I708">
        <v>3</v>
      </c>
      <c r="J708" t="s">
        <v>908</v>
      </c>
      <c r="K708" t="s">
        <v>1634</v>
      </c>
      <c r="L708"/>
      <c r="M708" s="4">
        <v>833</v>
      </c>
      <c r="N708" s="4" t="s">
        <v>829</v>
      </c>
      <c r="O708" s="12">
        <v>46035.548854166664</v>
      </c>
      <c r="P708" s="92">
        <v>-14.131800377937857</v>
      </c>
      <c r="Q708" s="93">
        <v>659.15836063787083</v>
      </c>
    </row>
    <row r="709" spans="1:17" x14ac:dyDescent="0.3">
      <c r="A709" t="s">
        <v>1631</v>
      </c>
      <c r="B709" s="86">
        <v>6.3</v>
      </c>
      <c r="C709" s="78">
        <v>45990</v>
      </c>
      <c r="D709" s="78">
        <v>45992</v>
      </c>
      <c r="E709">
        <v>54</v>
      </c>
      <c r="F709" t="s">
        <v>906</v>
      </c>
      <c r="G709" t="s">
        <v>918</v>
      </c>
      <c r="H709">
        <v>49</v>
      </c>
      <c r="I709">
        <v>4</v>
      </c>
      <c r="J709" t="s">
        <v>908</v>
      </c>
      <c r="K709" t="s">
        <v>1635</v>
      </c>
      <c r="L709"/>
      <c r="M709" s="1">
        <v>834</v>
      </c>
      <c r="N709" s="1" t="s">
        <v>830</v>
      </c>
      <c r="O709" s="2">
        <v>46035.55259259259</v>
      </c>
      <c r="P709" s="92">
        <v>-15.520173701043364</v>
      </c>
      <c r="Q709" s="93">
        <v>680.2714172499376</v>
      </c>
    </row>
    <row r="710" spans="1:17" x14ac:dyDescent="0.3">
      <c r="A710" t="s">
        <v>1631</v>
      </c>
      <c r="B710" s="86">
        <v>6.3</v>
      </c>
      <c r="C710" s="78">
        <v>45990</v>
      </c>
      <c r="D710" s="78">
        <v>45992</v>
      </c>
      <c r="E710">
        <v>50</v>
      </c>
      <c r="F710" t="s">
        <v>913</v>
      </c>
      <c r="G710" t="s">
        <v>922</v>
      </c>
      <c r="H710">
        <v>49</v>
      </c>
      <c r="I710">
        <v>5</v>
      </c>
      <c r="J710" t="s">
        <v>908</v>
      </c>
      <c r="K710" t="s">
        <v>1636</v>
      </c>
      <c r="L710"/>
      <c r="M710" s="4">
        <v>835</v>
      </c>
      <c r="N710" s="4" t="s">
        <v>831</v>
      </c>
      <c r="O710" s="12">
        <v>46035.556331018517</v>
      </c>
      <c r="P710" s="92">
        <v>-15.008761263925654</v>
      </c>
      <c r="Q710" s="93">
        <v>782.27799101508299</v>
      </c>
    </row>
    <row r="711" spans="1:17" x14ac:dyDescent="0.3">
      <c r="A711" t="s">
        <v>1631</v>
      </c>
      <c r="B711" s="86">
        <v>6.3</v>
      </c>
      <c r="C711" s="78">
        <v>45990</v>
      </c>
      <c r="D711" s="78">
        <v>45992</v>
      </c>
      <c r="E711">
        <v>51</v>
      </c>
      <c r="F711" t="s">
        <v>910</v>
      </c>
      <c r="G711" t="s">
        <v>926</v>
      </c>
      <c r="H711">
        <v>49</v>
      </c>
      <c r="I711">
        <v>6</v>
      </c>
      <c r="J711" t="s">
        <v>908</v>
      </c>
      <c r="K711" t="s">
        <v>1637</v>
      </c>
      <c r="L711"/>
      <c r="M711" s="1">
        <v>836</v>
      </c>
      <c r="N711" s="1" t="s">
        <v>832</v>
      </c>
      <c r="O711" s="2">
        <v>46035.560057870367</v>
      </c>
      <c r="P711" s="92">
        <v>-15.838449754293544</v>
      </c>
      <c r="Q711" s="93">
        <v>691.15921909919837</v>
      </c>
    </row>
    <row r="712" spans="1:17" x14ac:dyDescent="0.3">
      <c r="A712" t="s">
        <v>1631</v>
      </c>
      <c r="B712" s="86">
        <v>6.3</v>
      </c>
      <c r="C712" s="78">
        <v>45990</v>
      </c>
      <c r="D712" s="78">
        <v>45992</v>
      </c>
      <c r="E712">
        <v>56</v>
      </c>
      <c r="F712" t="s">
        <v>921</v>
      </c>
      <c r="G712" t="s">
        <v>930</v>
      </c>
      <c r="H712">
        <v>49</v>
      </c>
      <c r="I712">
        <v>7</v>
      </c>
      <c r="J712" t="s">
        <v>908</v>
      </c>
      <c r="K712" t="s">
        <v>1638</v>
      </c>
      <c r="L712"/>
      <c r="M712" s="4">
        <v>837</v>
      </c>
      <c r="N712" s="4" t="s">
        <v>833</v>
      </c>
      <c r="O712" s="12">
        <v>46035.563807870371</v>
      </c>
      <c r="P712" s="92">
        <v>-15.301592568853044</v>
      </c>
      <c r="Q712" s="93">
        <v>713.79776846663424</v>
      </c>
    </row>
    <row r="713" spans="1:17" x14ac:dyDescent="0.3">
      <c r="A713" t="s">
        <v>1631</v>
      </c>
      <c r="B713" s="86">
        <v>6.3</v>
      </c>
      <c r="C713" s="78">
        <v>45990</v>
      </c>
      <c r="D713" s="78">
        <v>45992</v>
      </c>
      <c r="E713">
        <v>52</v>
      </c>
      <c r="F713" t="s">
        <v>917</v>
      </c>
      <c r="G713" t="s">
        <v>933</v>
      </c>
      <c r="H713">
        <v>49</v>
      </c>
      <c r="I713">
        <v>8</v>
      </c>
      <c r="J713" t="s">
        <v>908</v>
      </c>
      <c r="K713" t="s">
        <v>1639</v>
      </c>
      <c r="L713"/>
      <c r="M713" s="1">
        <v>838</v>
      </c>
      <c r="N713" s="1" t="s">
        <v>834</v>
      </c>
      <c r="O713" s="2">
        <v>46035.56753472222</v>
      </c>
      <c r="P713" s="92">
        <v>-16.511958942761247</v>
      </c>
      <c r="Q713" s="93">
        <v>681.34153620516372</v>
      </c>
    </row>
    <row r="714" spans="1:17" x14ac:dyDescent="0.3">
      <c r="A714" t="s">
        <v>1631</v>
      </c>
      <c r="B714" s="86">
        <v>6.3</v>
      </c>
      <c r="C714" s="78">
        <v>45990</v>
      </c>
      <c r="D714" s="78">
        <v>45992</v>
      </c>
      <c r="E714">
        <v>53</v>
      </c>
      <c r="F714" t="s">
        <v>925</v>
      </c>
      <c r="G714" t="s">
        <v>907</v>
      </c>
      <c r="H714">
        <v>49</v>
      </c>
      <c r="I714">
        <v>9</v>
      </c>
      <c r="J714" t="s">
        <v>935</v>
      </c>
      <c r="K714" t="s">
        <v>1640</v>
      </c>
      <c r="L714"/>
      <c r="M714" s="4">
        <v>839</v>
      </c>
      <c r="N714" s="4" t="s">
        <v>835</v>
      </c>
      <c r="O714" s="12">
        <v>46035.571284722224</v>
      </c>
      <c r="P714" s="92">
        <v>10.462487589527203</v>
      </c>
      <c r="Q714" s="93">
        <v>639.89441917284807</v>
      </c>
    </row>
    <row r="715" spans="1:17" x14ac:dyDescent="0.3">
      <c r="A715" t="s">
        <v>1631</v>
      </c>
      <c r="B715" s="86">
        <v>6.3</v>
      </c>
      <c r="C715" s="78">
        <v>45990</v>
      </c>
      <c r="D715" s="78">
        <v>45992</v>
      </c>
      <c r="E715">
        <v>49</v>
      </c>
      <c r="F715" t="s">
        <v>932</v>
      </c>
      <c r="G715" t="s">
        <v>15</v>
      </c>
      <c r="H715">
        <v>49</v>
      </c>
      <c r="I715">
        <v>10</v>
      </c>
      <c r="J715" t="s">
        <v>935</v>
      </c>
      <c r="K715" t="s">
        <v>1641</v>
      </c>
      <c r="L715"/>
      <c r="M715" s="1">
        <v>840</v>
      </c>
      <c r="N715" s="1" t="s">
        <v>836</v>
      </c>
      <c r="O715" s="2">
        <v>46035.575011574074</v>
      </c>
      <c r="P715" s="92">
        <v>12.455125102719931</v>
      </c>
      <c r="Q715" s="93">
        <v>668.54985307143033</v>
      </c>
    </row>
    <row r="716" spans="1:17" x14ac:dyDescent="0.3">
      <c r="A716" t="s">
        <v>1631</v>
      </c>
      <c r="B716" s="86">
        <v>6.3</v>
      </c>
      <c r="C716" s="78">
        <v>45990</v>
      </c>
      <c r="D716" s="78">
        <v>45992</v>
      </c>
      <c r="E716">
        <v>55</v>
      </c>
      <c r="F716" t="s">
        <v>929</v>
      </c>
      <c r="G716" t="s">
        <v>914</v>
      </c>
      <c r="H716">
        <v>49</v>
      </c>
      <c r="I716">
        <v>11</v>
      </c>
      <c r="J716" t="s">
        <v>935</v>
      </c>
      <c r="K716" t="s">
        <v>1642</v>
      </c>
      <c r="L716"/>
      <c r="M716" s="4">
        <v>841</v>
      </c>
      <c r="N716" s="4" t="s">
        <v>837</v>
      </c>
      <c r="O716" s="12">
        <v>46035.578773148147</v>
      </c>
      <c r="P716" s="92">
        <v>20.167719552782913</v>
      </c>
      <c r="Q716" s="93">
        <v>677.05599120025863</v>
      </c>
    </row>
    <row r="717" spans="1:17" x14ac:dyDescent="0.3">
      <c r="A717" t="s">
        <v>1631</v>
      </c>
      <c r="B717" s="86">
        <v>6.3</v>
      </c>
      <c r="C717" s="78">
        <v>45990</v>
      </c>
      <c r="D717" s="78">
        <v>45992</v>
      </c>
      <c r="E717">
        <v>54</v>
      </c>
      <c r="F717" t="s">
        <v>906</v>
      </c>
      <c r="G717" t="s">
        <v>918</v>
      </c>
      <c r="H717">
        <v>49</v>
      </c>
      <c r="I717">
        <v>12</v>
      </c>
      <c r="J717" t="s">
        <v>935</v>
      </c>
      <c r="K717" t="s">
        <v>1643</v>
      </c>
      <c r="L717"/>
      <c r="M717" s="1">
        <v>842</v>
      </c>
      <c r="N717" s="1" t="s">
        <v>838</v>
      </c>
      <c r="O717" s="2">
        <v>46035.582511574074</v>
      </c>
      <c r="P717" s="92">
        <v>8.2469589460350896</v>
      </c>
      <c r="Q717" s="93">
        <v>729.54961817905507</v>
      </c>
    </row>
    <row r="718" spans="1:17" x14ac:dyDescent="0.3">
      <c r="A718" t="s">
        <v>1631</v>
      </c>
      <c r="B718" s="86">
        <v>6.3</v>
      </c>
      <c r="C718" s="78">
        <v>45990</v>
      </c>
      <c r="D718" s="78">
        <v>45992</v>
      </c>
      <c r="E718">
        <v>50</v>
      </c>
      <c r="F718" t="s">
        <v>913</v>
      </c>
      <c r="G718" t="s">
        <v>922</v>
      </c>
      <c r="H718">
        <v>49</v>
      </c>
      <c r="I718">
        <v>13</v>
      </c>
      <c r="J718" t="s">
        <v>935</v>
      </c>
      <c r="K718" t="s">
        <v>1644</v>
      </c>
      <c r="L718"/>
      <c r="M718" s="4">
        <v>843</v>
      </c>
      <c r="N718" s="4" t="s">
        <v>839</v>
      </c>
      <c r="O718" s="12">
        <v>46035.586238425924</v>
      </c>
      <c r="P718" s="92">
        <v>17.354111879782373</v>
      </c>
      <c r="Q718" s="93">
        <v>708.21157507334703</v>
      </c>
    </row>
    <row r="719" spans="1:17" x14ac:dyDescent="0.3">
      <c r="A719" t="s">
        <v>1631</v>
      </c>
      <c r="B719" s="86">
        <v>6.3</v>
      </c>
      <c r="C719" s="78">
        <v>45990</v>
      </c>
      <c r="D719" s="78">
        <v>45992</v>
      </c>
      <c r="E719">
        <v>51</v>
      </c>
      <c r="F719" t="s">
        <v>910</v>
      </c>
      <c r="G719" t="s">
        <v>926</v>
      </c>
      <c r="H719">
        <v>49</v>
      </c>
      <c r="I719">
        <v>14</v>
      </c>
      <c r="J719" t="s">
        <v>935</v>
      </c>
      <c r="K719" t="s">
        <v>1645</v>
      </c>
      <c r="L719"/>
      <c r="M719" s="1">
        <v>844</v>
      </c>
      <c r="N719" s="1" t="s">
        <v>840</v>
      </c>
      <c r="O719" s="2">
        <v>46035.589988425927</v>
      </c>
      <c r="P719" s="92">
        <v>2.8239097361044991</v>
      </c>
      <c r="Q719" s="93">
        <v>666.59191628279996</v>
      </c>
    </row>
    <row r="720" spans="1:17" x14ac:dyDescent="0.3">
      <c r="A720" t="s">
        <v>1631</v>
      </c>
      <c r="B720" s="86">
        <v>6.3</v>
      </c>
      <c r="C720" s="78">
        <v>45990</v>
      </c>
      <c r="D720" s="78">
        <v>45992</v>
      </c>
      <c r="E720">
        <v>56</v>
      </c>
      <c r="F720" t="s">
        <v>921</v>
      </c>
      <c r="G720" t="s">
        <v>930</v>
      </c>
      <c r="H720">
        <v>49</v>
      </c>
      <c r="I720">
        <v>15</v>
      </c>
      <c r="J720" t="s">
        <v>935</v>
      </c>
      <c r="K720" t="s">
        <v>1646</v>
      </c>
      <c r="L720"/>
      <c r="M720" s="4">
        <v>845</v>
      </c>
      <c r="N720" s="4" t="s">
        <v>841</v>
      </c>
      <c r="O720" s="12">
        <v>46035.593726851854</v>
      </c>
      <c r="P720" s="92">
        <v>3.8811648531684759</v>
      </c>
      <c r="Q720" s="93">
        <v>725.89691578987117</v>
      </c>
    </row>
    <row r="721" spans="1:17" x14ac:dyDescent="0.3">
      <c r="A721" t="s">
        <v>1631</v>
      </c>
      <c r="B721" s="86">
        <v>6.3</v>
      </c>
      <c r="C721" s="78">
        <v>45990</v>
      </c>
      <c r="D721" s="78">
        <v>45992</v>
      </c>
      <c r="E721">
        <v>52</v>
      </c>
      <c r="F721" t="s">
        <v>917</v>
      </c>
      <c r="G721" t="s">
        <v>933</v>
      </c>
      <c r="H721">
        <v>49</v>
      </c>
      <c r="I721">
        <v>16</v>
      </c>
      <c r="J721" t="s">
        <v>935</v>
      </c>
      <c r="K721" t="s">
        <v>1647</v>
      </c>
      <c r="L721"/>
      <c r="M721" s="1">
        <v>846</v>
      </c>
      <c r="N721" s="1" t="s">
        <v>842</v>
      </c>
      <c r="O721" s="2">
        <v>46035.597557870373</v>
      </c>
      <c r="P721" s="92">
        <v>-0.24627069329091814</v>
      </c>
      <c r="Q721" s="93">
        <v>675.13088566875467</v>
      </c>
    </row>
    <row r="722" spans="1:17" x14ac:dyDescent="0.3">
      <c r="A722" t="s">
        <v>1631</v>
      </c>
      <c r="B722" s="86">
        <v>6.3</v>
      </c>
      <c r="C722" s="78">
        <v>45990</v>
      </c>
      <c r="D722" s="78">
        <v>45992</v>
      </c>
      <c r="E722">
        <v>53</v>
      </c>
      <c r="F722" t="s">
        <v>925</v>
      </c>
      <c r="G722" t="s">
        <v>907</v>
      </c>
      <c r="H722">
        <v>49</v>
      </c>
      <c r="I722">
        <v>17</v>
      </c>
      <c r="J722" t="s">
        <v>24</v>
      </c>
      <c r="K722" t="s">
        <v>1648</v>
      </c>
      <c r="L722"/>
      <c r="M722" s="4">
        <v>847</v>
      </c>
      <c r="N722" s="4" t="s">
        <v>843</v>
      </c>
      <c r="O722" s="12">
        <v>46035.601284722223</v>
      </c>
      <c r="P722" s="92">
        <v>22.690625899150117</v>
      </c>
      <c r="Q722" s="93">
        <v>715.36642034933709</v>
      </c>
    </row>
    <row r="723" spans="1:17" x14ac:dyDescent="0.3">
      <c r="A723" t="s">
        <v>1631</v>
      </c>
      <c r="B723" s="86">
        <v>6.3</v>
      </c>
      <c r="C723" s="78">
        <v>45990</v>
      </c>
      <c r="D723" s="78">
        <v>45992</v>
      </c>
      <c r="E723">
        <v>49</v>
      </c>
      <c r="F723" t="s">
        <v>932</v>
      </c>
      <c r="G723" t="s">
        <v>15</v>
      </c>
      <c r="H723">
        <v>49</v>
      </c>
      <c r="I723">
        <v>18</v>
      </c>
      <c r="J723" t="s">
        <v>24</v>
      </c>
      <c r="K723" t="s">
        <v>1649</v>
      </c>
      <c r="L723"/>
      <c r="M723" s="1">
        <v>848</v>
      </c>
      <c r="N723" s="1" t="s">
        <v>844</v>
      </c>
      <c r="O723" s="2">
        <v>46035.605023148149</v>
      </c>
      <c r="P723" s="92">
        <v>31.089054749312975</v>
      </c>
      <c r="Q723" s="93">
        <v>663.79780101180097</v>
      </c>
    </row>
    <row r="724" spans="1:17" x14ac:dyDescent="0.3">
      <c r="A724" t="s">
        <v>1631</v>
      </c>
      <c r="B724" s="86">
        <v>6.3</v>
      </c>
      <c r="C724" s="78">
        <v>45990</v>
      </c>
      <c r="D724" s="78">
        <v>45992</v>
      </c>
      <c r="E724">
        <v>55</v>
      </c>
      <c r="F724" t="s">
        <v>929</v>
      </c>
      <c r="G724" t="s">
        <v>914</v>
      </c>
      <c r="H724">
        <v>49</v>
      </c>
      <c r="I724">
        <v>19</v>
      </c>
      <c r="J724" t="s">
        <v>24</v>
      </c>
      <c r="K724" t="s">
        <v>1650</v>
      </c>
      <c r="L724"/>
      <c r="M724" s="4">
        <v>849</v>
      </c>
      <c r="N724" s="4" t="s">
        <v>845</v>
      </c>
      <c r="O724" s="12">
        <v>46035.608773148146</v>
      </c>
      <c r="P724" s="92">
        <v>34.485139090336745</v>
      </c>
      <c r="Q724" s="93">
        <v>789.7191267482375</v>
      </c>
    </row>
    <row r="725" spans="1:17" x14ac:dyDescent="0.3">
      <c r="A725" t="s">
        <v>1631</v>
      </c>
      <c r="B725" s="86">
        <v>6.3</v>
      </c>
      <c r="C725" s="78">
        <v>45990</v>
      </c>
      <c r="D725" s="78">
        <v>45992</v>
      </c>
      <c r="E725">
        <v>54</v>
      </c>
      <c r="F725" t="s">
        <v>906</v>
      </c>
      <c r="G725" t="s">
        <v>918</v>
      </c>
      <c r="H725">
        <v>49</v>
      </c>
      <c r="I725">
        <v>20</v>
      </c>
      <c r="J725" t="s">
        <v>24</v>
      </c>
      <c r="K725" t="s">
        <v>1651</v>
      </c>
      <c r="L725"/>
      <c r="M725" s="1">
        <v>850</v>
      </c>
      <c r="N725" s="1" t="s">
        <v>846</v>
      </c>
      <c r="O725" s="2">
        <v>46035.612511574072</v>
      </c>
      <c r="P725" s="92">
        <v>23.70181502700493</v>
      </c>
      <c r="Q725" s="93">
        <v>743.31638491188812</v>
      </c>
    </row>
    <row r="726" spans="1:17" x14ac:dyDescent="0.3">
      <c r="A726" t="s">
        <v>1631</v>
      </c>
      <c r="B726" s="86">
        <v>6.3</v>
      </c>
      <c r="C726" s="78">
        <v>45990</v>
      </c>
      <c r="D726" s="78">
        <v>45992</v>
      </c>
      <c r="E726">
        <v>50</v>
      </c>
      <c r="F726" t="s">
        <v>913</v>
      </c>
      <c r="G726" t="s">
        <v>922</v>
      </c>
      <c r="H726">
        <v>49</v>
      </c>
      <c r="I726">
        <v>21</v>
      </c>
      <c r="J726" t="s">
        <v>24</v>
      </c>
      <c r="K726" t="s">
        <v>1652</v>
      </c>
      <c r="L726"/>
      <c r="M726" s="4">
        <v>851</v>
      </c>
      <c r="N726" s="4" t="s">
        <v>847</v>
      </c>
      <c r="O726" s="12">
        <v>46035.616249999999</v>
      </c>
      <c r="P726" s="92">
        <v>42.524351434534431</v>
      </c>
      <c r="Q726" s="93">
        <v>699.08571735653777</v>
      </c>
    </row>
    <row r="727" spans="1:17" x14ac:dyDescent="0.3">
      <c r="A727" t="s">
        <v>1631</v>
      </c>
      <c r="B727" s="86">
        <v>6.3</v>
      </c>
      <c r="C727" s="78">
        <v>45990</v>
      </c>
      <c r="D727" s="78">
        <v>45992</v>
      </c>
      <c r="E727">
        <v>51</v>
      </c>
      <c r="F727" t="s">
        <v>910</v>
      </c>
      <c r="G727" t="s">
        <v>926</v>
      </c>
      <c r="H727">
        <v>49</v>
      </c>
      <c r="I727">
        <v>22</v>
      </c>
      <c r="J727" t="s">
        <v>24</v>
      </c>
      <c r="K727" t="s">
        <v>1653</v>
      </c>
      <c r="L727"/>
      <c r="M727" s="1">
        <v>852</v>
      </c>
      <c r="N727" s="1" t="s">
        <v>848</v>
      </c>
      <c r="O727" s="2">
        <v>46035.619976851849</v>
      </c>
      <c r="P727" s="92">
        <v>15.677496847777475</v>
      </c>
      <c r="Q727" s="93">
        <v>658.76860197642918</v>
      </c>
    </row>
    <row r="728" spans="1:17" x14ac:dyDescent="0.3">
      <c r="A728" t="s">
        <v>1631</v>
      </c>
      <c r="B728" s="86">
        <v>6.3</v>
      </c>
      <c r="C728" s="78">
        <v>45990</v>
      </c>
      <c r="D728" s="78">
        <v>45992</v>
      </c>
      <c r="E728">
        <v>56</v>
      </c>
      <c r="F728" t="s">
        <v>921</v>
      </c>
      <c r="G728" t="s">
        <v>930</v>
      </c>
      <c r="H728">
        <v>49</v>
      </c>
      <c r="I728">
        <v>23</v>
      </c>
      <c r="J728" t="s">
        <v>24</v>
      </c>
      <c r="K728" t="s">
        <v>1654</v>
      </c>
      <c r="L728"/>
      <c r="M728" s="4">
        <v>853</v>
      </c>
      <c r="N728" s="4" t="s">
        <v>849</v>
      </c>
      <c r="O728" s="12">
        <v>46035.623726851853</v>
      </c>
      <c r="P728" s="92">
        <v>14.8727826413845</v>
      </c>
      <c r="Q728" s="93">
        <v>789.4659518015078</v>
      </c>
    </row>
    <row r="729" spans="1:17" x14ac:dyDescent="0.3">
      <c r="A729" t="s">
        <v>1631</v>
      </c>
      <c r="B729" s="86">
        <v>6.3</v>
      </c>
      <c r="C729" s="78">
        <v>45990</v>
      </c>
      <c r="D729" s="78">
        <v>45992</v>
      </c>
      <c r="E729">
        <v>52</v>
      </c>
      <c r="F729" t="s">
        <v>917</v>
      </c>
      <c r="G729" t="s">
        <v>933</v>
      </c>
      <c r="H729">
        <v>49</v>
      </c>
      <c r="I729">
        <v>24</v>
      </c>
      <c r="J729" t="s">
        <v>24</v>
      </c>
      <c r="K729" t="s">
        <v>1655</v>
      </c>
      <c r="L729"/>
      <c r="M729" s="1">
        <v>854</v>
      </c>
      <c r="N729" s="1" t="s">
        <v>850</v>
      </c>
      <c r="O729" s="2">
        <v>46035.627476851849</v>
      </c>
      <c r="P729" s="92">
        <v>12.839774110081409</v>
      </c>
      <c r="Q729" s="93">
        <v>667.26725476813499</v>
      </c>
    </row>
    <row r="730" spans="1:17" x14ac:dyDescent="0.3">
      <c r="A730" t="s">
        <v>1631</v>
      </c>
      <c r="B730" s="86">
        <v>6.3</v>
      </c>
      <c r="C730" s="78">
        <v>45990</v>
      </c>
      <c r="D730" s="78">
        <v>45992</v>
      </c>
      <c r="E730">
        <v>53</v>
      </c>
      <c r="F730" t="s">
        <v>925</v>
      </c>
      <c r="G730" t="s">
        <v>907</v>
      </c>
      <c r="H730">
        <v>49</v>
      </c>
      <c r="I730">
        <v>25</v>
      </c>
      <c r="J730" t="s">
        <v>25</v>
      </c>
      <c r="K730" t="s">
        <v>1656</v>
      </c>
      <c r="L730"/>
      <c r="M730" s="4">
        <v>855</v>
      </c>
      <c r="N730" s="4" t="s">
        <v>851</v>
      </c>
      <c r="O730" s="12">
        <v>46035.631215277775</v>
      </c>
      <c r="P730" s="92">
        <v>30.551830759254695</v>
      </c>
      <c r="Q730" s="93">
        <v>754.14212478880302</v>
      </c>
    </row>
    <row r="731" spans="1:17" x14ac:dyDescent="0.3">
      <c r="A731" t="s">
        <v>1631</v>
      </c>
      <c r="B731" s="86">
        <v>6.3</v>
      </c>
      <c r="C731" s="78">
        <v>45990</v>
      </c>
      <c r="D731" s="78">
        <v>45992</v>
      </c>
      <c r="E731">
        <v>49</v>
      </c>
      <c r="F731" t="s">
        <v>932</v>
      </c>
      <c r="G731" t="s">
        <v>15</v>
      </c>
      <c r="H731">
        <v>49</v>
      </c>
      <c r="I731">
        <v>26</v>
      </c>
      <c r="J731" t="s">
        <v>25</v>
      </c>
      <c r="K731" t="s">
        <v>1657</v>
      </c>
      <c r="L731"/>
      <c r="M731" s="1">
        <v>856</v>
      </c>
      <c r="N731" s="1" t="s">
        <v>852</v>
      </c>
      <c r="O731" s="2">
        <v>46035.635057870371</v>
      </c>
      <c r="P731" s="92">
        <v>44.171730187667769</v>
      </c>
      <c r="Q731" s="93">
        <v>681.28733857435179</v>
      </c>
    </row>
    <row r="732" spans="1:17" x14ac:dyDescent="0.3">
      <c r="A732" t="s">
        <v>1631</v>
      </c>
      <c r="B732" s="86">
        <v>6.3</v>
      </c>
      <c r="C732" s="78">
        <v>45990</v>
      </c>
      <c r="D732" s="78">
        <v>45992</v>
      </c>
      <c r="E732">
        <v>55</v>
      </c>
      <c r="F732" t="s">
        <v>929</v>
      </c>
      <c r="G732" t="s">
        <v>914</v>
      </c>
      <c r="H732">
        <v>49</v>
      </c>
      <c r="I732">
        <v>27</v>
      </c>
      <c r="J732" t="s">
        <v>25</v>
      </c>
      <c r="K732" t="s">
        <v>1658</v>
      </c>
      <c r="L732"/>
      <c r="M732" s="4">
        <v>857</v>
      </c>
      <c r="N732" s="4" t="s">
        <v>853</v>
      </c>
      <c r="O732" s="12">
        <v>46035.638784722221</v>
      </c>
      <c r="P732" s="92">
        <v>49.591132918779422</v>
      </c>
      <c r="Q732" s="93">
        <v>823.0029625172715</v>
      </c>
    </row>
    <row r="733" spans="1:17" x14ac:dyDescent="0.3">
      <c r="A733" t="s">
        <v>1631</v>
      </c>
      <c r="B733" s="86">
        <v>6.3</v>
      </c>
      <c r="C733" s="78">
        <v>45990</v>
      </c>
      <c r="D733" s="78">
        <v>45992</v>
      </c>
      <c r="E733">
        <v>54</v>
      </c>
      <c r="F733" t="s">
        <v>906</v>
      </c>
      <c r="G733" t="s">
        <v>918</v>
      </c>
      <c r="H733">
        <v>49</v>
      </c>
      <c r="I733">
        <v>28</v>
      </c>
      <c r="J733" t="s">
        <v>25</v>
      </c>
      <c r="K733" t="s">
        <v>1659</v>
      </c>
      <c r="L733"/>
      <c r="M733" s="1">
        <v>858</v>
      </c>
      <c r="N733" s="1" t="s">
        <v>854</v>
      </c>
      <c r="O733" s="2">
        <v>46035.642523148148</v>
      </c>
      <c r="P733" s="92">
        <v>34.265692337040832</v>
      </c>
      <c r="Q733" s="93">
        <v>807.2092801929565</v>
      </c>
    </row>
    <row r="734" spans="1:17" x14ac:dyDescent="0.3">
      <c r="A734" t="s">
        <v>1631</v>
      </c>
      <c r="B734" s="86">
        <v>6.3</v>
      </c>
      <c r="C734" s="78">
        <v>45990</v>
      </c>
      <c r="D734" s="78">
        <v>45992</v>
      </c>
      <c r="E734">
        <v>50</v>
      </c>
      <c r="F734" t="s">
        <v>913</v>
      </c>
      <c r="G734" t="s">
        <v>922</v>
      </c>
      <c r="H734">
        <v>49</v>
      </c>
      <c r="I734">
        <v>29</v>
      </c>
      <c r="J734" t="s">
        <v>25</v>
      </c>
      <c r="K734" t="s">
        <v>1660</v>
      </c>
      <c r="L734"/>
      <c r="M734" s="4">
        <v>859</v>
      </c>
      <c r="N734" s="4" t="s">
        <v>855</v>
      </c>
      <c r="O734" s="12">
        <v>46035.646261574075</v>
      </c>
      <c r="P734" s="92">
        <v>64.149805131838235</v>
      </c>
      <c r="Q734" s="93">
        <v>702.63755719677192</v>
      </c>
    </row>
    <row r="735" spans="1:17" x14ac:dyDescent="0.3">
      <c r="A735" t="s">
        <v>1631</v>
      </c>
      <c r="B735" s="86">
        <v>6.3</v>
      </c>
      <c r="C735" s="78">
        <v>45990</v>
      </c>
      <c r="D735" s="78">
        <v>45992</v>
      </c>
      <c r="E735">
        <v>51</v>
      </c>
      <c r="F735" t="s">
        <v>910</v>
      </c>
      <c r="G735" t="s">
        <v>926</v>
      </c>
      <c r="H735">
        <v>49</v>
      </c>
      <c r="I735">
        <v>30</v>
      </c>
      <c r="J735" t="s">
        <v>25</v>
      </c>
      <c r="K735" t="s">
        <v>1661</v>
      </c>
      <c r="L735"/>
      <c r="M735" s="1">
        <v>860</v>
      </c>
      <c r="N735" s="1" t="s">
        <v>856</v>
      </c>
      <c r="O735" s="2">
        <v>46035.65</v>
      </c>
      <c r="P735" s="92">
        <v>25.608276938988443</v>
      </c>
      <c r="Q735" s="93">
        <v>716.07260031863927</v>
      </c>
    </row>
    <row r="736" spans="1:17" x14ac:dyDescent="0.3">
      <c r="A736" t="s">
        <v>1631</v>
      </c>
      <c r="B736" s="86">
        <v>6.3</v>
      </c>
      <c r="C736" s="78">
        <v>45990</v>
      </c>
      <c r="D736" s="78">
        <v>45992</v>
      </c>
      <c r="E736">
        <v>56</v>
      </c>
      <c r="F736" t="s">
        <v>921</v>
      </c>
      <c r="G736" t="s">
        <v>930</v>
      </c>
      <c r="H736">
        <v>49</v>
      </c>
      <c r="I736">
        <v>31</v>
      </c>
      <c r="J736" t="s">
        <v>25</v>
      </c>
      <c r="K736" t="s">
        <v>1662</v>
      </c>
      <c r="L736"/>
      <c r="M736" s="4">
        <v>861</v>
      </c>
      <c r="N736" s="4" t="s">
        <v>857</v>
      </c>
      <c r="O736" s="12">
        <v>46035.653773148151</v>
      </c>
      <c r="P736" s="92">
        <v>23.90191370400812</v>
      </c>
      <c r="Q736" s="93">
        <v>848.59305611303841</v>
      </c>
    </row>
    <row r="737" spans="1:17" x14ac:dyDescent="0.3">
      <c r="A737" t="s">
        <v>1631</v>
      </c>
      <c r="B737" s="86">
        <v>6.3</v>
      </c>
      <c r="C737" s="78">
        <v>45990</v>
      </c>
      <c r="D737" s="78">
        <v>45992</v>
      </c>
      <c r="E737">
        <v>52</v>
      </c>
      <c r="F737" t="s">
        <v>917</v>
      </c>
      <c r="G737" t="s">
        <v>933</v>
      </c>
      <c r="H737">
        <v>49</v>
      </c>
      <c r="I737">
        <v>32</v>
      </c>
      <c r="J737" t="s">
        <v>25</v>
      </c>
      <c r="K737" t="s">
        <v>1663</v>
      </c>
      <c r="L737"/>
      <c r="M737" s="1">
        <v>862</v>
      </c>
      <c r="N737" s="1" t="s">
        <v>858</v>
      </c>
      <c r="O737" s="2">
        <v>46035.657523148147</v>
      </c>
      <c r="P737" s="92">
        <v>23.719770572115905</v>
      </c>
      <c r="Q737" s="93">
        <v>668.82562615618201</v>
      </c>
    </row>
    <row r="738" spans="1:17" x14ac:dyDescent="0.3">
      <c r="A738" t="s">
        <v>1631</v>
      </c>
      <c r="B738" s="86">
        <v>6.4</v>
      </c>
      <c r="C738" s="78">
        <v>45992</v>
      </c>
      <c r="D738" s="78">
        <v>45994</v>
      </c>
      <c r="E738">
        <v>53</v>
      </c>
      <c r="F738" t="s">
        <v>925</v>
      </c>
      <c r="G738" t="s">
        <v>907</v>
      </c>
      <c r="H738">
        <v>97</v>
      </c>
      <c r="I738">
        <v>1</v>
      </c>
      <c r="J738" t="s">
        <v>908</v>
      </c>
      <c r="K738" t="s">
        <v>1664</v>
      </c>
      <c r="L738" s="80"/>
      <c r="M738" s="4">
        <v>865</v>
      </c>
      <c r="N738" s="4" t="s">
        <v>861</v>
      </c>
      <c r="O738" s="12">
        <v>46035.668726851851</v>
      </c>
      <c r="P738" s="92">
        <v>-15.954635765495512</v>
      </c>
      <c r="Q738" s="93">
        <v>648.09863291254703</v>
      </c>
    </row>
    <row r="739" spans="1:17" x14ac:dyDescent="0.3">
      <c r="A739" t="s">
        <v>1631</v>
      </c>
      <c r="B739" s="86">
        <v>6.4</v>
      </c>
      <c r="C739" s="78">
        <v>45992</v>
      </c>
      <c r="D739" s="78">
        <v>45994</v>
      </c>
      <c r="E739">
        <v>49</v>
      </c>
      <c r="F739" t="s">
        <v>932</v>
      </c>
      <c r="G739" t="s">
        <v>15</v>
      </c>
      <c r="H739">
        <v>97</v>
      </c>
      <c r="I739">
        <v>2</v>
      </c>
      <c r="J739" t="s">
        <v>908</v>
      </c>
      <c r="K739" t="s">
        <v>1665</v>
      </c>
      <c r="L739"/>
      <c r="M739" s="1">
        <v>866</v>
      </c>
      <c r="N739" s="1" t="s">
        <v>862</v>
      </c>
      <c r="O739" s="2">
        <v>46035.672476851854</v>
      </c>
      <c r="P739" s="92">
        <v>-1.3266818598932206</v>
      </c>
      <c r="Q739" s="93">
        <v>677.53026784541396</v>
      </c>
    </row>
    <row r="740" spans="1:17" x14ac:dyDescent="0.3">
      <c r="A740" t="s">
        <v>1631</v>
      </c>
      <c r="B740" s="86">
        <v>6.4</v>
      </c>
      <c r="C740" s="78">
        <v>45992</v>
      </c>
      <c r="D740" s="78">
        <v>45994</v>
      </c>
      <c r="E740">
        <v>55</v>
      </c>
      <c r="F740" t="s">
        <v>929</v>
      </c>
      <c r="G740" t="s">
        <v>914</v>
      </c>
      <c r="H740">
        <v>97</v>
      </c>
      <c r="I740">
        <v>3</v>
      </c>
      <c r="J740" t="s">
        <v>908</v>
      </c>
      <c r="K740" t="s">
        <v>1666</v>
      </c>
      <c r="L740"/>
      <c r="M740" s="4">
        <v>867</v>
      </c>
      <c r="N740" s="4" t="s">
        <v>863</v>
      </c>
      <c r="O740" s="12">
        <v>46035.676215277781</v>
      </c>
      <c r="P740" s="92">
        <v>-13.092892412341614</v>
      </c>
      <c r="Q740" s="93">
        <v>667.38844142863911</v>
      </c>
    </row>
    <row r="741" spans="1:17" x14ac:dyDescent="0.3">
      <c r="A741" t="s">
        <v>1631</v>
      </c>
      <c r="B741" s="86">
        <v>6.4</v>
      </c>
      <c r="C741" s="78">
        <v>45992</v>
      </c>
      <c r="D741" s="78">
        <v>45994</v>
      </c>
      <c r="E741">
        <v>54</v>
      </c>
      <c r="F741" t="s">
        <v>906</v>
      </c>
      <c r="G741" t="s">
        <v>918</v>
      </c>
      <c r="H741">
        <v>97</v>
      </c>
      <c r="I741">
        <v>4</v>
      </c>
      <c r="J741" t="s">
        <v>908</v>
      </c>
      <c r="K741" t="s">
        <v>1667</v>
      </c>
      <c r="L741"/>
      <c r="M741" s="1">
        <v>868</v>
      </c>
      <c r="N741" s="1" t="s">
        <v>864</v>
      </c>
      <c r="O741" s="2">
        <v>46035.6799537037</v>
      </c>
      <c r="P741" s="92">
        <v>-16.08208359190445</v>
      </c>
      <c r="Q741" s="93">
        <v>676.98653864189316</v>
      </c>
    </row>
    <row r="742" spans="1:17" x14ac:dyDescent="0.3">
      <c r="A742" t="s">
        <v>1631</v>
      </c>
      <c r="B742" s="86">
        <v>6.4</v>
      </c>
      <c r="C742" s="78">
        <v>45992</v>
      </c>
      <c r="D742" s="78">
        <v>45994</v>
      </c>
      <c r="E742">
        <v>50</v>
      </c>
      <c r="F742" t="s">
        <v>913</v>
      </c>
      <c r="G742" t="s">
        <v>922</v>
      </c>
      <c r="H742">
        <v>97</v>
      </c>
      <c r="I742">
        <v>5</v>
      </c>
      <c r="J742" t="s">
        <v>908</v>
      </c>
      <c r="K742" t="s">
        <v>1668</v>
      </c>
      <c r="L742"/>
      <c r="M742" s="4">
        <v>869</v>
      </c>
      <c r="N742" s="4" t="s">
        <v>865</v>
      </c>
      <c r="O742" s="12">
        <v>46035.683680555558</v>
      </c>
      <c r="P742" s="92">
        <v>-15.181469648441794</v>
      </c>
      <c r="Q742" s="93">
        <v>749.60312058386</v>
      </c>
    </row>
    <row r="743" spans="1:17" x14ac:dyDescent="0.3">
      <c r="A743" t="s">
        <v>1631</v>
      </c>
      <c r="B743" s="86">
        <v>6.4</v>
      </c>
      <c r="C743" s="78">
        <v>45992</v>
      </c>
      <c r="D743" s="78">
        <v>45994</v>
      </c>
      <c r="E743">
        <v>51</v>
      </c>
      <c r="F743" t="s">
        <v>910</v>
      </c>
      <c r="G743" t="s">
        <v>926</v>
      </c>
      <c r="H743">
        <v>97</v>
      </c>
      <c r="I743">
        <v>6</v>
      </c>
      <c r="J743" t="s">
        <v>908</v>
      </c>
      <c r="K743" t="s">
        <v>1669</v>
      </c>
      <c r="L743"/>
      <c r="M743" s="1">
        <v>870</v>
      </c>
      <c r="N743" s="1" t="s">
        <v>866</v>
      </c>
      <c r="O743" s="2">
        <v>46035.687430555554</v>
      </c>
      <c r="P743" s="92">
        <v>-15.404009835545278</v>
      </c>
      <c r="Q743" s="93">
        <v>784.63629858867068</v>
      </c>
    </row>
    <row r="744" spans="1:17" x14ac:dyDescent="0.3">
      <c r="A744" t="s">
        <v>1631</v>
      </c>
      <c r="B744" s="86">
        <v>6.4</v>
      </c>
      <c r="C744" s="78">
        <v>45992</v>
      </c>
      <c r="D744" s="78">
        <v>45994</v>
      </c>
      <c r="E744">
        <v>56</v>
      </c>
      <c r="F744" t="s">
        <v>921</v>
      </c>
      <c r="G744" t="s">
        <v>930</v>
      </c>
      <c r="H744">
        <v>97</v>
      </c>
      <c r="I744">
        <v>7</v>
      </c>
      <c r="J744" t="s">
        <v>908</v>
      </c>
      <c r="K744" t="s">
        <v>1670</v>
      </c>
      <c r="L744"/>
      <c r="M744" s="4">
        <v>871</v>
      </c>
      <c r="N744" s="4" t="s">
        <v>867</v>
      </c>
      <c r="O744" s="12">
        <v>46035.691180555557</v>
      </c>
      <c r="P744" s="92">
        <v>-11.992926039463521</v>
      </c>
      <c r="Q744" s="93">
        <v>716.70620094318303</v>
      </c>
    </row>
    <row r="745" spans="1:17" x14ac:dyDescent="0.3">
      <c r="A745" t="s">
        <v>1631</v>
      </c>
      <c r="B745" s="86">
        <v>6.4</v>
      </c>
      <c r="C745" s="78">
        <v>45992</v>
      </c>
      <c r="D745" s="78">
        <v>45994</v>
      </c>
      <c r="E745">
        <v>52</v>
      </c>
      <c r="F745" t="s">
        <v>917</v>
      </c>
      <c r="G745" t="s">
        <v>933</v>
      </c>
      <c r="H745">
        <v>97</v>
      </c>
      <c r="I745">
        <v>8</v>
      </c>
      <c r="J745" t="s">
        <v>908</v>
      </c>
      <c r="K745" t="s">
        <v>1671</v>
      </c>
      <c r="L745"/>
      <c r="M745" s="1">
        <v>872</v>
      </c>
      <c r="N745" s="1" t="s">
        <v>868</v>
      </c>
      <c r="O745" s="2">
        <v>46035.694907407407</v>
      </c>
      <c r="P745" s="92">
        <v>-15.799497686218233</v>
      </c>
      <c r="Q745" s="93">
        <v>744.21358310447147</v>
      </c>
    </row>
    <row r="746" spans="1:17" x14ac:dyDescent="0.3">
      <c r="A746" t="s">
        <v>1631</v>
      </c>
      <c r="B746" s="86">
        <v>6.4</v>
      </c>
      <c r="C746" s="78">
        <v>45992</v>
      </c>
      <c r="D746" s="78">
        <v>45994</v>
      </c>
      <c r="E746">
        <v>53</v>
      </c>
      <c r="F746" t="s">
        <v>925</v>
      </c>
      <c r="G746" t="s">
        <v>907</v>
      </c>
      <c r="H746">
        <v>97</v>
      </c>
      <c r="I746">
        <v>9</v>
      </c>
      <c r="J746" t="s">
        <v>935</v>
      </c>
      <c r="K746" t="s">
        <v>1672</v>
      </c>
      <c r="L746"/>
      <c r="M746" s="4">
        <v>873</v>
      </c>
      <c r="N746" s="4" t="s">
        <v>869</v>
      </c>
      <c r="O746" s="12">
        <v>46035.698657407411</v>
      </c>
      <c r="P746" s="92">
        <v>13.275328852680907</v>
      </c>
      <c r="Q746" s="93">
        <v>701.04085898763503</v>
      </c>
    </row>
    <row r="747" spans="1:17" x14ac:dyDescent="0.3">
      <c r="A747" t="s">
        <v>1631</v>
      </c>
      <c r="B747" s="86">
        <v>6.4</v>
      </c>
      <c r="C747" s="78">
        <v>45992</v>
      </c>
      <c r="D747" s="78">
        <v>45994</v>
      </c>
      <c r="E747">
        <v>49</v>
      </c>
      <c r="F747" t="s">
        <v>932</v>
      </c>
      <c r="G747" t="s">
        <v>15</v>
      </c>
      <c r="H747">
        <v>97</v>
      </c>
      <c r="I747">
        <v>10</v>
      </c>
      <c r="J747" t="s">
        <v>935</v>
      </c>
      <c r="K747" t="s">
        <v>1673</v>
      </c>
      <c r="L747"/>
      <c r="M747" s="1">
        <v>874</v>
      </c>
      <c r="N747" s="1" t="s">
        <v>870</v>
      </c>
      <c r="O747" s="2">
        <v>46035.702407407407</v>
      </c>
      <c r="P747" s="92">
        <v>43.768907293592775</v>
      </c>
      <c r="Q747" s="93">
        <v>717.77887817818521</v>
      </c>
    </row>
    <row r="748" spans="1:17" x14ac:dyDescent="0.3">
      <c r="A748" t="s">
        <v>1631</v>
      </c>
      <c r="B748" s="86">
        <v>6.4</v>
      </c>
      <c r="C748" s="78">
        <v>45992</v>
      </c>
      <c r="D748" s="78">
        <v>45994</v>
      </c>
      <c r="E748">
        <v>55</v>
      </c>
      <c r="F748" t="s">
        <v>929</v>
      </c>
      <c r="G748" t="s">
        <v>914</v>
      </c>
      <c r="H748">
        <v>97</v>
      </c>
      <c r="I748">
        <v>11</v>
      </c>
      <c r="J748" t="s">
        <v>935</v>
      </c>
      <c r="K748" t="s">
        <v>1674</v>
      </c>
      <c r="L748"/>
      <c r="M748" s="4">
        <v>875</v>
      </c>
      <c r="N748" s="4" t="s">
        <v>871</v>
      </c>
      <c r="O748" s="12">
        <v>46035.706145833334</v>
      </c>
      <c r="P748" s="92">
        <v>42.185631060777411</v>
      </c>
      <c r="Q748" s="93">
        <v>709.54396508117327</v>
      </c>
    </row>
    <row r="749" spans="1:17" x14ac:dyDescent="0.3">
      <c r="A749" t="s">
        <v>1631</v>
      </c>
      <c r="B749" s="86">
        <v>6.4</v>
      </c>
      <c r="C749" s="78">
        <v>45992</v>
      </c>
      <c r="D749" s="78">
        <v>45994</v>
      </c>
      <c r="E749">
        <v>54</v>
      </c>
      <c r="F749" t="s">
        <v>906</v>
      </c>
      <c r="G749" t="s">
        <v>918</v>
      </c>
      <c r="H749">
        <v>97</v>
      </c>
      <c r="I749">
        <v>12</v>
      </c>
      <c r="J749" t="s">
        <v>935</v>
      </c>
      <c r="K749" t="s">
        <v>1675</v>
      </c>
      <c r="L749"/>
      <c r="M749" s="1">
        <v>876</v>
      </c>
      <c r="N749" s="1" t="s">
        <v>872</v>
      </c>
      <c r="O749" s="2">
        <v>46035.709872685184</v>
      </c>
      <c r="P749" s="92">
        <v>14.006580788493546</v>
      </c>
      <c r="Q749" s="93">
        <v>716.67554896142144</v>
      </c>
    </row>
    <row r="750" spans="1:17" x14ac:dyDescent="0.3">
      <c r="A750" t="s">
        <v>1631</v>
      </c>
      <c r="B750" s="86">
        <v>6.4</v>
      </c>
      <c r="C750" s="78">
        <v>45992</v>
      </c>
      <c r="D750" s="78">
        <v>45994</v>
      </c>
      <c r="E750">
        <v>50</v>
      </c>
      <c r="F750" t="s">
        <v>913</v>
      </c>
      <c r="G750" t="s">
        <v>922</v>
      </c>
      <c r="H750">
        <v>97</v>
      </c>
      <c r="I750">
        <v>13</v>
      </c>
      <c r="J750" t="s">
        <v>935</v>
      </c>
      <c r="K750" t="s">
        <v>1676</v>
      </c>
      <c r="L750"/>
      <c r="M750" s="4">
        <v>877</v>
      </c>
      <c r="N750" s="4" t="s">
        <v>873</v>
      </c>
      <c r="O750" s="12">
        <v>46035.71361111111</v>
      </c>
      <c r="P750" s="92">
        <v>40.520983051786757</v>
      </c>
      <c r="Q750" s="93">
        <v>695.38473928046812</v>
      </c>
    </row>
    <row r="751" spans="1:17" x14ac:dyDescent="0.3">
      <c r="A751" t="s">
        <v>1631</v>
      </c>
      <c r="B751" s="86">
        <v>6.4</v>
      </c>
      <c r="C751" s="78">
        <v>45992</v>
      </c>
      <c r="D751" s="78">
        <v>45994</v>
      </c>
      <c r="E751">
        <v>51</v>
      </c>
      <c r="F751" t="s">
        <v>910</v>
      </c>
      <c r="G751" t="s">
        <v>926</v>
      </c>
      <c r="H751">
        <v>97</v>
      </c>
      <c r="I751">
        <v>14</v>
      </c>
      <c r="J751" t="s">
        <v>935</v>
      </c>
      <c r="K751" t="s">
        <v>1677</v>
      </c>
      <c r="L751"/>
      <c r="M751" s="1">
        <v>878</v>
      </c>
      <c r="N751" s="1" t="s">
        <v>874</v>
      </c>
      <c r="O751" s="2">
        <v>46035.717361111114</v>
      </c>
      <c r="P751" s="92">
        <v>22.915082229540772</v>
      </c>
      <c r="Q751" s="93">
        <v>741.370765766624</v>
      </c>
    </row>
    <row r="752" spans="1:17" x14ac:dyDescent="0.3">
      <c r="A752" t="s">
        <v>1631</v>
      </c>
      <c r="B752" s="86">
        <v>6.4</v>
      </c>
      <c r="C752" s="78">
        <v>45992</v>
      </c>
      <c r="D752" s="78">
        <v>45994</v>
      </c>
      <c r="E752">
        <v>56</v>
      </c>
      <c r="F752" t="s">
        <v>921</v>
      </c>
      <c r="G752" t="s">
        <v>930</v>
      </c>
      <c r="H752">
        <v>97</v>
      </c>
      <c r="I752">
        <v>15</v>
      </c>
      <c r="J752" t="s">
        <v>935</v>
      </c>
      <c r="K752" t="s">
        <v>971</v>
      </c>
      <c r="L752"/>
      <c r="M752" s="4">
        <v>879</v>
      </c>
      <c r="N752" s="4" t="s">
        <v>875</v>
      </c>
      <c r="O752" s="12">
        <v>46035.721087962964</v>
      </c>
      <c r="P752" s="92">
        <v>21.704279364482659</v>
      </c>
      <c r="Q752" s="93">
        <v>799.9103184895805</v>
      </c>
    </row>
    <row r="753" spans="1:17" x14ac:dyDescent="0.3">
      <c r="A753" t="s">
        <v>1631</v>
      </c>
      <c r="B753" s="86">
        <v>6.4</v>
      </c>
      <c r="C753" s="78">
        <v>45992</v>
      </c>
      <c r="D753" s="78">
        <v>45994</v>
      </c>
      <c r="E753">
        <v>52</v>
      </c>
      <c r="F753" t="s">
        <v>917</v>
      </c>
      <c r="G753" t="s">
        <v>933</v>
      </c>
      <c r="H753">
        <v>97</v>
      </c>
      <c r="I753">
        <v>16</v>
      </c>
      <c r="J753" t="s">
        <v>935</v>
      </c>
      <c r="K753" t="s">
        <v>1678</v>
      </c>
      <c r="L753"/>
      <c r="M753" s="1">
        <v>880</v>
      </c>
      <c r="N753" s="1" t="s">
        <v>876</v>
      </c>
      <c r="O753" s="2">
        <v>46035.724826388891</v>
      </c>
      <c r="P753" s="92">
        <v>19.470692028305542</v>
      </c>
      <c r="Q753" s="93">
        <v>747.58013716314497</v>
      </c>
    </row>
    <row r="754" spans="1:17" x14ac:dyDescent="0.3">
      <c r="A754" t="s">
        <v>1631</v>
      </c>
      <c r="B754" s="86">
        <v>6.4</v>
      </c>
      <c r="C754" s="78">
        <v>45992</v>
      </c>
      <c r="D754" s="78">
        <v>45994</v>
      </c>
      <c r="E754">
        <v>53</v>
      </c>
      <c r="F754" t="s">
        <v>925</v>
      </c>
      <c r="G754" t="s">
        <v>907</v>
      </c>
      <c r="H754">
        <v>97</v>
      </c>
      <c r="I754">
        <v>17</v>
      </c>
      <c r="J754" t="s">
        <v>24</v>
      </c>
      <c r="K754" t="s">
        <v>1679</v>
      </c>
      <c r="L754"/>
      <c r="M754" s="4">
        <v>881</v>
      </c>
      <c r="N754" s="4" t="s">
        <v>877</v>
      </c>
      <c r="O754" s="12">
        <v>46035.72855324074</v>
      </c>
      <c r="P754" s="92">
        <v>37.455098461593408</v>
      </c>
      <c r="Q754" s="93">
        <v>715.20032166609712</v>
      </c>
    </row>
    <row r="755" spans="1:17" x14ac:dyDescent="0.3">
      <c r="A755" t="s">
        <v>1631</v>
      </c>
      <c r="B755" s="86">
        <v>6.4</v>
      </c>
      <c r="C755" s="78">
        <v>45992</v>
      </c>
      <c r="D755" s="78">
        <v>45994</v>
      </c>
      <c r="E755">
        <v>49</v>
      </c>
      <c r="F755" t="s">
        <v>932</v>
      </c>
      <c r="G755" t="s">
        <v>15</v>
      </c>
      <c r="H755">
        <v>97</v>
      </c>
      <c r="I755">
        <v>18</v>
      </c>
      <c r="J755" t="s">
        <v>24</v>
      </c>
      <c r="K755" t="s">
        <v>1680</v>
      </c>
      <c r="L755"/>
      <c r="M755" s="1">
        <v>882</v>
      </c>
      <c r="N755" s="1" t="s">
        <v>878</v>
      </c>
      <c r="O755" s="2">
        <v>46035.732303240744</v>
      </c>
      <c r="P755" s="92">
        <v>78.034744442059093</v>
      </c>
      <c r="Q755" s="93">
        <v>720.3238454243243</v>
      </c>
    </row>
    <row r="756" spans="1:17" x14ac:dyDescent="0.3">
      <c r="A756" t="s">
        <v>1631</v>
      </c>
      <c r="B756" s="86">
        <v>6.4</v>
      </c>
      <c r="C756" s="78">
        <v>45992</v>
      </c>
      <c r="D756" s="78">
        <v>45994</v>
      </c>
      <c r="E756">
        <v>55</v>
      </c>
      <c r="F756" t="s">
        <v>929</v>
      </c>
      <c r="G756" t="s">
        <v>914</v>
      </c>
      <c r="H756">
        <v>97</v>
      </c>
      <c r="I756">
        <v>19</v>
      </c>
      <c r="J756" t="s">
        <v>24</v>
      </c>
      <c r="K756" s="80" t="s">
        <v>1681</v>
      </c>
      <c r="L756"/>
      <c r="M756" s="4">
        <v>883</v>
      </c>
      <c r="N756" s="4" t="s">
        <v>879</v>
      </c>
      <c r="O756" s="12">
        <v>46035.73605324074</v>
      </c>
      <c r="P756" s="92">
        <v>72.495876277966062</v>
      </c>
      <c r="Q756" s="93">
        <v>759.17861965909196</v>
      </c>
    </row>
    <row r="757" spans="1:17" x14ac:dyDescent="0.3">
      <c r="A757" t="s">
        <v>1631</v>
      </c>
      <c r="B757" s="86">
        <v>6.4</v>
      </c>
      <c r="C757" s="78">
        <v>45992</v>
      </c>
      <c r="D757" s="78">
        <v>45994</v>
      </c>
      <c r="E757">
        <v>54</v>
      </c>
      <c r="F757" t="s">
        <v>906</v>
      </c>
      <c r="G757" t="s">
        <v>918</v>
      </c>
      <c r="H757">
        <v>97</v>
      </c>
      <c r="I757">
        <v>20</v>
      </c>
      <c r="J757" t="s">
        <v>24</v>
      </c>
      <c r="K757" t="s">
        <v>1682</v>
      </c>
      <c r="L757"/>
      <c r="M757" s="1">
        <v>884</v>
      </c>
      <c r="N757" s="1" t="s">
        <v>880</v>
      </c>
      <c r="O757" s="2">
        <v>46035.739791666667</v>
      </c>
      <c r="P757" s="92">
        <v>36.616263334678052</v>
      </c>
      <c r="Q757" s="93">
        <v>736.28585308279526</v>
      </c>
    </row>
    <row r="758" spans="1:17" x14ac:dyDescent="0.3">
      <c r="A758" t="s">
        <v>1631</v>
      </c>
      <c r="B758" s="86">
        <v>6.4</v>
      </c>
      <c r="C758" s="78">
        <v>45992</v>
      </c>
      <c r="D758" s="78">
        <v>45994</v>
      </c>
      <c r="E758">
        <v>50</v>
      </c>
      <c r="F758" t="s">
        <v>913</v>
      </c>
      <c r="G758" t="s">
        <v>922</v>
      </c>
      <c r="H758">
        <v>97</v>
      </c>
      <c r="I758">
        <v>21</v>
      </c>
      <c r="J758" t="s">
        <v>24</v>
      </c>
      <c r="K758" t="s">
        <v>1683</v>
      </c>
      <c r="L758"/>
      <c r="M758" s="4">
        <v>885</v>
      </c>
      <c r="N758" s="4" t="s">
        <v>881</v>
      </c>
      <c r="O758" s="12">
        <v>46035.743530092594</v>
      </c>
      <c r="P758" s="92">
        <v>75.010240245611897</v>
      </c>
      <c r="Q758" s="93">
        <v>713.18572371798166</v>
      </c>
    </row>
    <row r="759" spans="1:17" x14ac:dyDescent="0.3">
      <c r="A759" t="s">
        <v>1631</v>
      </c>
      <c r="B759" s="86">
        <v>6.4</v>
      </c>
      <c r="C759" s="78">
        <v>45992</v>
      </c>
      <c r="D759" s="78">
        <v>45994</v>
      </c>
      <c r="E759">
        <v>51</v>
      </c>
      <c r="F759" t="s">
        <v>910</v>
      </c>
      <c r="G759" t="s">
        <v>926</v>
      </c>
      <c r="H759">
        <v>97</v>
      </c>
      <c r="I759">
        <v>22</v>
      </c>
      <c r="J759" t="s">
        <v>24</v>
      </c>
      <c r="K759" t="s">
        <v>1684</v>
      </c>
      <c r="L759"/>
      <c r="M759" s="1">
        <v>886</v>
      </c>
      <c r="N759" s="1" t="s">
        <v>882</v>
      </c>
      <c r="O759" s="2">
        <v>46035.74726851852</v>
      </c>
      <c r="P759" s="92">
        <v>48.710115080487704</v>
      </c>
      <c r="Q759" s="93">
        <v>764.28333532340969</v>
      </c>
    </row>
    <row r="760" spans="1:17" x14ac:dyDescent="0.3">
      <c r="A760" t="s">
        <v>1631</v>
      </c>
      <c r="B760" s="86">
        <v>6.4</v>
      </c>
      <c r="C760" s="78">
        <v>45992</v>
      </c>
      <c r="D760" s="78">
        <v>45994</v>
      </c>
      <c r="E760">
        <v>56</v>
      </c>
      <c r="F760" t="s">
        <v>921</v>
      </c>
      <c r="G760" t="s">
        <v>930</v>
      </c>
      <c r="H760">
        <v>97</v>
      </c>
      <c r="I760">
        <v>23</v>
      </c>
      <c r="J760" t="s">
        <v>24</v>
      </c>
      <c r="K760" t="s">
        <v>1685</v>
      </c>
      <c r="L760"/>
      <c r="M760" s="4">
        <v>887</v>
      </c>
      <c r="N760" s="4" t="s">
        <v>883</v>
      </c>
      <c r="O760" s="12">
        <v>46035.751006944447</v>
      </c>
      <c r="P760" s="92">
        <v>42.765905627474076</v>
      </c>
      <c r="Q760" s="93">
        <v>823.03555689664086</v>
      </c>
    </row>
    <row r="761" spans="1:17" x14ac:dyDescent="0.3">
      <c r="A761" t="s">
        <v>1631</v>
      </c>
      <c r="B761" s="86">
        <v>6.4</v>
      </c>
      <c r="C761" s="78">
        <v>45992</v>
      </c>
      <c r="D761" s="78">
        <v>45994</v>
      </c>
      <c r="E761">
        <v>52</v>
      </c>
      <c r="F761" t="s">
        <v>917</v>
      </c>
      <c r="G761" t="s">
        <v>933</v>
      </c>
      <c r="H761">
        <v>97</v>
      </c>
      <c r="I761">
        <v>24</v>
      </c>
      <c r="J761" t="s">
        <v>24</v>
      </c>
      <c r="K761" t="s">
        <v>1686</v>
      </c>
      <c r="L761"/>
      <c r="M761" s="1">
        <v>888</v>
      </c>
      <c r="N761" s="1" t="s">
        <v>884</v>
      </c>
      <c r="O761" s="2">
        <v>46035.754733796297</v>
      </c>
      <c r="P761" s="92">
        <v>50.067577313433432</v>
      </c>
      <c r="Q761" s="93">
        <v>692.35701516547158</v>
      </c>
    </row>
    <row r="762" spans="1:17" x14ac:dyDescent="0.3">
      <c r="A762" t="s">
        <v>1631</v>
      </c>
      <c r="B762" s="86">
        <v>6.4</v>
      </c>
      <c r="C762" s="78">
        <v>45992</v>
      </c>
      <c r="D762" s="78">
        <v>45994</v>
      </c>
      <c r="E762">
        <v>53</v>
      </c>
      <c r="F762" t="s">
        <v>925</v>
      </c>
      <c r="G762" t="s">
        <v>907</v>
      </c>
      <c r="H762">
        <v>97</v>
      </c>
      <c r="I762">
        <v>25</v>
      </c>
      <c r="J762" t="s">
        <v>25</v>
      </c>
      <c r="K762" t="s">
        <v>1687</v>
      </c>
      <c r="L762"/>
      <c r="M762" s="4">
        <v>889</v>
      </c>
      <c r="N762" s="4" t="s">
        <v>885</v>
      </c>
      <c r="O762" s="12">
        <v>46035.758483796293</v>
      </c>
      <c r="P762" s="92">
        <v>59.118582915774908</v>
      </c>
      <c r="Q762" s="93">
        <v>707.87814594253064</v>
      </c>
    </row>
    <row r="763" spans="1:17" x14ac:dyDescent="0.3">
      <c r="A763" t="s">
        <v>1631</v>
      </c>
      <c r="B763" s="86">
        <v>6.4</v>
      </c>
      <c r="C763" s="78">
        <v>45992</v>
      </c>
      <c r="D763" s="78">
        <v>45994</v>
      </c>
      <c r="E763">
        <v>49</v>
      </c>
      <c r="F763" t="s">
        <v>932</v>
      </c>
      <c r="G763" t="s">
        <v>15</v>
      </c>
      <c r="H763">
        <v>97</v>
      </c>
      <c r="I763">
        <v>26</v>
      </c>
      <c r="J763" t="s">
        <v>25</v>
      </c>
      <c r="K763" t="s">
        <v>1688</v>
      </c>
      <c r="L763"/>
      <c r="M763" s="1">
        <v>890</v>
      </c>
      <c r="N763" s="1" t="s">
        <v>886</v>
      </c>
      <c r="O763" s="2">
        <v>46035.76222222222</v>
      </c>
      <c r="P763" s="92">
        <v>103.73345418510132</v>
      </c>
      <c r="Q763" s="93">
        <v>769.43973771431445</v>
      </c>
    </row>
    <row r="764" spans="1:17" x14ac:dyDescent="0.3">
      <c r="A764" t="s">
        <v>1631</v>
      </c>
      <c r="B764" s="86">
        <v>6.4</v>
      </c>
      <c r="C764" s="78">
        <v>45992</v>
      </c>
      <c r="D764" s="78">
        <v>45994</v>
      </c>
      <c r="E764">
        <v>55</v>
      </c>
      <c r="F764" t="s">
        <v>929</v>
      </c>
      <c r="G764" t="s">
        <v>914</v>
      </c>
      <c r="H764">
        <v>97</v>
      </c>
      <c r="I764">
        <v>27</v>
      </c>
      <c r="J764" t="s">
        <v>25</v>
      </c>
      <c r="K764" t="s">
        <v>1689</v>
      </c>
      <c r="L764"/>
      <c r="M764" s="4">
        <v>891</v>
      </c>
      <c r="N764" s="4" t="s">
        <v>887</v>
      </c>
      <c r="O764" s="12">
        <v>46035.765960648147</v>
      </c>
      <c r="P764" s="92">
        <v>100.18465966476569</v>
      </c>
      <c r="Q764" s="93">
        <v>805.90721053803213</v>
      </c>
    </row>
    <row r="765" spans="1:17" x14ac:dyDescent="0.3">
      <c r="A765" t="s">
        <v>1631</v>
      </c>
      <c r="B765" s="86">
        <v>6.4</v>
      </c>
      <c r="C765" s="78">
        <v>45992</v>
      </c>
      <c r="D765" s="78">
        <v>45994</v>
      </c>
      <c r="E765">
        <v>54</v>
      </c>
      <c r="F765" t="s">
        <v>906</v>
      </c>
      <c r="G765" t="s">
        <v>918</v>
      </c>
      <c r="H765">
        <v>97</v>
      </c>
      <c r="I765">
        <v>28</v>
      </c>
      <c r="J765" t="s">
        <v>25</v>
      </c>
      <c r="K765" t="s">
        <v>1690</v>
      </c>
      <c r="L765"/>
      <c r="M765" s="1">
        <v>892</v>
      </c>
      <c r="N765" s="1" t="s">
        <v>888</v>
      </c>
      <c r="O765" s="2">
        <v>46035.769699074073</v>
      </c>
      <c r="P765" s="92">
        <v>49.42432082741491</v>
      </c>
      <c r="Q765" s="93">
        <v>832.22063405271138</v>
      </c>
    </row>
    <row r="766" spans="1:17" x14ac:dyDescent="0.3">
      <c r="A766" t="s">
        <v>1631</v>
      </c>
      <c r="B766" s="86">
        <v>6.4</v>
      </c>
      <c r="C766" s="78">
        <v>45992</v>
      </c>
      <c r="D766" s="78">
        <v>45994</v>
      </c>
      <c r="E766">
        <v>50</v>
      </c>
      <c r="F766" t="s">
        <v>913</v>
      </c>
      <c r="G766" t="s">
        <v>922</v>
      </c>
      <c r="H766">
        <v>97</v>
      </c>
      <c r="I766">
        <v>29</v>
      </c>
      <c r="J766" t="s">
        <v>25</v>
      </c>
      <c r="K766" t="s">
        <v>1691</v>
      </c>
      <c r="L766"/>
      <c r="M766" s="4">
        <v>893</v>
      </c>
      <c r="N766" s="4" t="s">
        <v>889</v>
      </c>
      <c r="O766" s="12">
        <v>46035.773460648146</v>
      </c>
      <c r="P766" s="92">
        <v>112.3748406624385</v>
      </c>
      <c r="Q766" s="93">
        <v>719.79503951949721</v>
      </c>
    </row>
    <row r="767" spans="1:17" x14ac:dyDescent="0.3">
      <c r="A767" t="s">
        <v>1631</v>
      </c>
      <c r="B767" s="86">
        <v>6.4</v>
      </c>
      <c r="C767" s="78">
        <v>45992</v>
      </c>
      <c r="D767" s="78">
        <v>45994</v>
      </c>
      <c r="E767">
        <v>51</v>
      </c>
      <c r="F767" t="s">
        <v>910</v>
      </c>
      <c r="G767" t="s">
        <v>926</v>
      </c>
      <c r="H767">
        <v>97</v>
      </c>
      <c r="I767">
        <v>30</v>
      </c>
      <c r="J767" t="s">
        <v>25</v>
      </c>
      <c r="K767" t="s">
        <v>1692</v>
      </c>
      <c r="L767"/>
      <c r="M767" s="1">
        <v>894</v>
      </c>
      <c r="N767" s="1" t="s">
        <v>890</v>
      </c>
      <c r="O767" s="2">
        <v>46035.777199074073</v>
      </c>
      <c r="P767" s="92">
        <v>75.441074397280431</v>
      </c>
      <c r="Q767" s="93">
        <v>745.59192739716434</v>
      </c>
    </row>
    <row r="768" spans="1:17" x14ac:dyDescent="0.3">
      <c r="A768" t="s">
        <v>1631</v>
      </c>
      <c r="B768" s="86">
        <v>6.4</v>
      </c>
      <c r="C768" s="78">
        <v>45992</v>
      </c>
      <c r="D768" s="78">
        <v>45994</v>
      </c>
      <c r="E768">
        <v>56</v>
      </c>
      <c r="F768" t="s">
        <v>921</v>
      </c>
      <c r="G768" t="s">
        <v>930</v>
      </c>
      <c r="H768">
        <v>97</v>
      </c>
      <c r="I768">
        <v>31</v>
      </c>
      <c r="J768" t="s">
        <v>25</v>
      </c>
      <c r="K768" t="s">
        <v>1693</v>
      </c>
      <c r="L768"/>
      <c r="M768" s="4">
        <v>895</v>
      </c>
      <c r="N768" s="4" t="s">
        <v>891</v>
      </c>
      <c r="O768" s="12">
        <v>46035.7809375</v>
      </c>
      <c r="P768" s="92">
        <v>58.619197435863896</v>
      </c>
      <c r="Q768" s="93">
        <v>856.12576878706636</v>
      </c>
    </row>
    <row r="769" spans="1:17" x14ac:dyDescent="0.3">
      <c r="A769" t="s">
        <v>1631</v>
      </c>
      <c r="B769" s="86">
        <v>6.4</v>
      </c>
      <c r="C769" s="78">
        <v>45992</v>
      </c>
      <c r="D769" s="78">
        <v>45994</v>
      </c>
      <c r="E769">
        <v>52</v>
      </c>
      <c r="F769" t="s">
        <v>917</v>
      </c>
      <c r="G769" t="s">
        <v>933</v>
      </c>
      <c r="H769">
        <v>97</v>
      </c>
      <c r="I769">
        <v>32</v>
      </c>
      <c r="J769" t="s">
        <v>25</v>
      </c>
      <c r="K769" t="s">
        <v>1694</v>
      </c>
      <c r="L769"/>
      <c r="M769" s="1">
        <v>896</v>
      </c>
      <c r="N769" s="1" t="s">
        <v>892</v>
      </c>
      <c r="O769" s="2">
        <v>46035.784675925926</v>
      </c>
      <c r="P769" s="92">
        <v>68.590758929245141</v>
      </c>
      <c r="Q769" s="93">
        <v>750.69853808353844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A7377-19D1-4F34-9872-D4EEFCD67B78}">
  <dimension ref="E1:H5"/>
  <sheetViews>
    <sheetView topLeftCell="A4" workbookViewId="0">
      <selection activeCell="B16" sqref="B16"/>
    </sheetView>
  </sheetViews>
  <sheetFormatPr defaultRowHeight="14.4" x14ac:dyDescent="0.3"/>
  <sheetData>
    <row r="1" spans="5:8" x14ac:dyDescent="0.3">
      <c r="E1" t="s">
        <v>30</v>
      </c>
      <c r="F1" t="s">
        <v>29</v>
      </c>
      <c r="G1" t="s">
        <v>31</v>
      </c>
      <c r="H1" t="s">
        <v>32</v>
      </c>
    </row>
    <row r="2" spans="5:8" x14ac:dyDescent="0.3">
      <c r="E2" s="14">
        <v>-11.634215144619045</v>
      </c>
      <c r="F2" s="15">
        <v>416.51247253205895</v>
      </c>
      <c r="G2">
        <f>1/F2</f>
        <v>2.4008884870141073E-3</v>
      </c>
      <c r="H2" s="14">
        <v>-11.634215144619045</v>
      </c>
    </row>
    <row r="3" spans="5:8" x14ac:dyDescent="0.3">
      <c r="E3" s="14">
        <v>-13.041880352741167</v>
      </c>
      <c r="F3" s="15">
        <v>462.43850458420184</v>
      </c>
      <c r="G3">
        <f t="shared" ref="G3:G5" si="0">1/F3</f>
        <v>2.1624496880923499E-3</v>
      </c>
      <c r="H3" s="14">
        <v>-13.041880352741167</v>
      </c>
    </row>
    <row r="4" spans="5:8" x14ac:dyDescent="0.3">
      <c r="E4" s="14">
        <v>-14.824174989357985</v>
      </c>
      <c r="F4" s="15">
        <v>525.33797706755922</v>
      </c>
      <c r="G4">
        <f t="shared" si="0"/>
        <v>1.90353647299974E-3</v>
      </c>
      <c r="H4" s="14">
        <v>-14.824174989357985</v>
      </c>
    </row>
    <row r="5" spans="5:8" x14ac:dyDescent="0.3">
      <c r="E5" s="14">
        <v>-16.742912699062085</v>
      </c>
      <c r="F5" s="15">
        <v>598.88295988507184</v>
      </c>
      <c r="G5">
        <f t="shared" si="0"/>
        <v>1.6697753434024975E-3</v>
      </c>
      <c r="H5" s="14">
        <v>-16.742912699062085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CLEAN</vt:lpstr>
      <vt:lpstr>Example of Keeling plot</vt:lpstr>
    </vt:vector>
  </TitlesOfParts>
  <Company>Faculty of Science, University of Copenhagen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 Michelsen</dc:creator>
  <cp:lastModifiedBy>Anders Michelsen</cp:lastModifiedBy>
  <dcterms:created xsi:type="dcterms:W3CDTF">2016-05-06T10:48:08Z</dcterms:created>
  <dcterms:modified xsi:type="dcterms:W3CDTF">2026-06-16T15:54:11Z</dcterms:modified>
</cp:coreProperties>
</file>