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svalbard-my.sharepoint.com/personal/elisebs_unis_no/Documents/R/INSULATE/study_2/data/raw/irms/soil/"/>
    </mc:Choice>
  </mc:AlternateContent>
  <xr:revisionPtr revIDLastSave="46" documentId="13_ncr:1_{082F95B0-2ADE-41C8-A907-A8A58C4629E7}" xr6:coauthVersionLast="47" xr6:coauthVersionMax="47" xr10:uidLastSave="{FCD2610B-7DC6-45B2-9477-0CA7CF7B3460}"/>
  <bookViews>
    <workbookView xWindow="-120" yWindow="-120" windowWidth="29040" windowHeight="17520" xr2:uid="{00000000-000D-0000-FFFF-FFFF00000000}"/>
  </bookViews>
  <sheets>
    <sheet name="raw" sheetId="1" r:id="rId1"/>
    <sheet name="Sheet1" sheetId="7" r:id="rId2"/>
    <sheet name="FINAL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1" i="1" l="1"/>
  <c r="P171" i="1"/>
  <c r="O171" i="1"/>
  <c r="N171" i="1"/>
  <c r="M171" i="1"/>
  <c r="AF169" i="1"/>
  <c r="AE169" i="1"/>
  <c r="Y169" i="1"/>
  <c r="AA169" i="1" s="1"/>
  <c r="X169" i="1"/>
  <c r="Z169" i="1" s="1"/>
  <c r="AB169" i="1" s="1"/>
  <c r="AF168" i="1"/>
  <c r="AE168" i="1"/>
  <c r="Y168" i="1"/>
  <c r="AA168" i="1" s="1"/>
  <c r="X168" i="1"/>
  <c r="Z168" i="1" s="1"/>
  <c r="AB168" i="1" s="1"/>
  <c r="AF107" i="1"/>
  <c r="AE107" i="1"/>
  <c r="Y107" i="1"/>
  <c r="AA107" i="1" s="1"/>
  <c r="X107" i="1"/>
  <c r="Z107" i="1" s="1"/>
  <c r="AB107" i="1" s="1"/>
  <c r="AF106" i="1"/>
  <c r="AE106" i="1"/>
  <c r="Y106" i="1"/>
  <c r="AA106" i="1" s="1"/>
  <c r="X106" i="1"/>
  <c r="Z106" i="1" s="1"/>
  <c r="AB106" i="1" s="1"/>
  <c r="AF105" i="1"/>
  <c r="AE105" i="1"/>
  <c r="Y105" i="1"/>
  <c r="AA105" i="1" s="1"/>
  <c r="X105" i="1"/>
  <c r="Z105" i="1" s="1"/>
  <c r="AB105" i="1" s="1"/>
  <c r="AF104" i="1"/>
  <c r="AE104" i="1"/>
  <c r="Y104" i="1"/>
  <c r="AA104" i="1" s="1"/>
  <c r="X104" i="1"/>
  <c r="Z104" i="1" s="1"/>
  <c r="AB104" i="1" s="1"/>
  <c r="AF103" i="1"/>
  <c r="AE103" i="1"/>
  <c r="Y103" i="1"/>
  <c r="AA103" i="1" s="1"/>
  <c r="X103" i="1"/>
  <c r="Z103" i="1" s="1"/>
  <c r="AB103" i="1" s="1"/>
  <c r="AF102" i="1"/>
  <c r="AE102" i="1"/>
  <c r="Y102" i="1"/>
  <c r="AA102" i="1" s="1"/>
  <c r="X102" i="1"/>
  <c r="Z102" i="1" s="1"/>
  <c r="AB102" i="1" s="1"/>
  <c r="AF101" i="1"/>
  <c r="AE101" i="1"/>
  <c r="Y101" i="1"/>
  <c r="AA101" i="1" s="1"/>
  <c r="X101" i="1"/>
  <c r="Z101" i="1" s="1"/>
  <c r="AB101" i="1" s="1"/>
  <c r="AF100" i="1"/>
  <c r="AE100" i="1"/>
  <c r="Y100" i="1"/>
  <c r="AA100" i="1" s="1"/>
  <c r="X100" i="1"/>
  <c r="Z100" i="1" s="1"/>
  <c r="AB100" i="1" s="1"/>
  <c r="AF99" i="1"/>
  <c r="AE99" i="1"/>
  <c r="Y99" i="1"/>
  <c r="AA99" i="1" s="1"/>
  <c r="X99" i="1"/>
  <c r="Z99" i="1" s="1"/>
  <c r="AB99" i="1" s="1"/>
  <c r="AF98" i="1"/>
  <c r="AE98" i="1"/>
  <c r="Y98" i="1"/>
  <c r="AA98" i="1" s="1"/>
  <c r="X98" i="1"/>
  <c r="Z98" i="1" s="1"/>
  <c r="AB98" i="1" s="1"/>
  <c r="AF97" i="1"/>
  <c r="AE97" i="1"/>
  <c r="Y97" i="1"/>
  <c r="AA97" i="1" s="1"/>
  <c r="X97" i="1"/>
  <c r="Z97" i="1" s="1"/>
  <c r="AB97" i="1" s="1"/>
  <c r="AF96" i="1"/>
  <c r="AE96" i="1"/>
  <c r="Y96" i="1"/>
  <c r="AA96" i="1" s="1"/>
  <c r="X96" i="1"/>
  <c r="Z96" i="1" s="1"/>
  <c r="AB96" i="1" s="1"/>
  <c r="AF95" i="1"/>
  <c r="AE95" i="1"/>
  <c r="Y95" i="1"/>
  <c r="AA95" i="1" s="1"/>
  <c r="X95" i="1"/>
  <c r="Z95" i="1" s="1"/>
  <c r="AB95" i="1" s="1"/>
  <c r="AF94" i="1"/>
  <c r="AE94" i="1"/>
  <c r="Y94" i="1"/>
  <c r="AA94" i="1" s="1"/>
  <c r="X94" i="1"/>
  <c r="Z94" i="1" s="1"/>
  <c r="AB94" i="1" s="1"/>
  <c r="AF93" i="1"/>
  <c r="AE93" i="1"/>
  <c r="Y93" i="1"/>
  <c r="AA93" i="1" s="1"/>
  <c r="X93" i="1"/>
  <c r="Z93" i="1" s="1"/>
  <c r="AB93" i="1" s="1"/>
  <c r="AF92" i="1"/>
  <c r="AE92" i="1"/>
  <c r="Y92" i="1"/>
  <c r="AA92" i="1" s="1"/>
  <c r="X92" i="1"/>
  <c r="Z92" i="1" s="1"/>
  <c r="AB92" i="1" s="1"/>
  <c r="AF91" i="1"/>
  <c r="AE91" i="1"/>
  <c r="Y91" i="1"/>
  <c r="AA91" i="1" s="1"/>
  <c r="X91" i="1"/>
  <c r="Z91" i="1" s="1"/>
  <c r="AB91" i="1" s="1"/>
  <c r="AF90" i="1"/>
  <c r="AE90" i="1"/>
  <c r="Y90" i="1"/>
  <c r="AA90" i="1" s="1"/>
  <c r="X90" i="1"/>
  <c r="Z90" i="1" s="1"/>
  <c r="AB90" i="1" s="1"/>
  <c r="AF89" i="1"/>
  <c r="AE89" i="1"/>
  <c r="Y89" i="1"/>
  <c r="AA89" i="1" s="1"/>
  <c r="X89" i="1"/>
  <c r="Z89" i="1" s="1"/>
  <c r="AB89" i="1" s="1"/>
  <c r="AF88" i="1"/>
  <c r="AE88" i="1"/>
  <c r="Y88" i="1"/>
  <c r="AA88" i="1" s="1"/>
  <c r="X88" i="1"/>
  <c r="Z88" i="1" s="1"/>
  <c r="AB88" i="1" s="1"/>
  <c r="AF87" i="1"/>
  <c r="AE87" i="1"/>
  <c r="Y87" i="1"/>
  <c r="AA87" i="1" s="1"/>
  <c r="X87" i="1"/>
  <c r="Z87" i="1" s="1"/>
  <c r="AB87" i="1" s="1"/>
  <c r="AF86" i="1"/>
  <c r="AE86" i="1"/>
  <c r="Y86" i="1"/>
  <c r="AA86" i="1" s="1"/>
  <c r="X86" i="1"/>
  <c r="Z86" i="1" s="1"/>
  <c r="AB86" i="1" s="1"/>
  <c r="AF85" i="1"/>
  <c r="AE85" i="1"/>
  <c r="Y85" i="1"/>
  <c r="AA85" i="1" s="1"/>
  <c r="X85" i="1"/>
  <c r="Z85" i="1" s="1"/>
  <c r="AB85" i="1" s="1"/>
  <c r="AF84" i="1"/>
  <c r="AE84" i="1"/>
  <c r="Y84" i="1"/>
  <c r="AA84" i="1" s="1"/>
  <c r="X84" i="1"/>
  <c r="Z84" i="1" s="1"/>
  <c r="AB84" i="1" s="1"/>
  <c r="AF83" i="1"/>
  <c r="AE83" i="1"/>
  <c r="Y83" i="1"/>
  <c r="AA83" i="1" s="1"/>
  <c r="X83" i="1"/>
  <c r="Z83" i="1" s="1"/>
  <c r="AB83" i="1" s="1"/>
  <c r="AF82" i="1"/>
  <c r="AE82" i="1"/>
  <c r="Y82" i="1"/>
  <c r="AA82" i="1" s="1"/>
  <c r="X82" i="1"/>
  <c r="Z82" i="1" s="1"/>
  <c r="AB82" i="1" s="1"/>
  <c r="AF81" i="1"/>
  <c r="AE81" i="1"/>
  <c r="Y81" i="1"/>
  <c r="AA81" i="1" s="1"/>
  <c r="X81" i="1"/>
  <c r="Z81" i="1" s="1"/>
  <c r="AB81" i="1" s="1"/>
  <c r="AF80" i="1"/>
  <c r="AE80" i="1"/>
  <c r="Y80" i="1"/>
  <c r="AA80" i="1" s="1"/>
  <c r="X80" i="1"/>
  <c r="Z80" i="1" s="1"/>
  <c r="AB80" i="1" s="1"/>
  <c r="AF79" i="1"/>
  <c r="AE79" i="1"/>
  <c r="Y79" i="1"/>
  <c r="AA79" i="1" s="1"/>
  <c r="X79" i="1"/>
  <c r="Z79" i="1" s="1"/>
  <c r="AB79" i="1" s="1"/>
  <c r="AF78" i="1"/>
  <c r="AE78" i="1"/>
  <c r="Y78" i="1"/>
  <c r="AA78" i="1" s="1"/>
  <c r="X78" i="1"/>
  <c r="Z78" i="1" s="1"/>
  <c r="AB78" i="1" s="1"/>
  <c r="AF77" i="1"/>
  <c r="AE77" i="1"/>
  <c r="Y77" i="1"/>
  <c r="AA77" i="1" s="1"/>
  <c r="X77" i="1"/>
  <c r="Z77" i="1" s="1"/>
  <c r="AB77" i="1" s="1"/>
  <c r="AF76" i="1"/>
  <c r="AE76" i="1"/>
  <c r="Y76" i="1"/>
  <c r="AA76" i="1" s="1"/>
  <c r="X76" i="1"/>
  <c r="Z76" i="1" s="1"/>
  <c r="AB76" i="1" s="1"/>
  <c r="AF75" i="1"/>
  <c r="AE75" i="1"/>
  <c r="Y75" i="1"/>
  <c r="AA75" i="1" s="1"/>
  <c r="X75" i="1"/>
  <c r="Z75" i="1" s="1"/>
  <c r="AB75" i="1" s="1"/>
  <c r="AF74" i="1"/>
  <c r="AE74" i="1"/>
  <c r="Y74" i="1"/>
  <c r="AA74" i="1" s="1"/>
  <c r="X74" i="1"/>
  <c r="Z74" i="1" s="1"/>
  <c r="AB74" i="1" s="1"/>
  <c r="AF73" i="1"/>
  <c r="AE73" i="1"/>
  <c r="Y73" i="1"/>
  <c r="AA73" i="1" s="1"/>
  <c r="X73" i="1"/>
  <c r="Z73" i="1" s="1"/>
  <c r="AB73" i="1" s="1"/>
  <c r="AF72" i="1"/>
  <c r="AE72" i="1"/>
  <c r="Y72" i="1"/>
  <c r="AA72" i="1" s="1"/>
  <c r="X72" i="1"/>
  <c r="Z72" i="1" s="1"/>
  <c r="AB72" i="1" s="1"/>
  <c r="AF71" i="1"/>
  <c r="AE71" i="1"/>
  <c r="Y71" i="1"/>
  <c r="AA71" i="1" s="1"/>
  <c r="X71" i="1"/>
  <c r="Z71" i="1" s="1"/>
  <c r="AB71" i="1" s="1"/>
  <c r="AF70" i="1"/>
  <c r="AE70" i="1"/>
  <c r="Y70" i="1"/>
  <c r="AA70" i="1" s="1"/>
  <c r="X70" i="1"/>
  <c r="Z70" i="1" s="1"/>
  <c r="AB70" i="1" s="1"/>
  <c r="AF69" i="1"/>
  <c r="AE69" i="1"/>
  <c r="Y69" i="1"/>
  <c r="AA69" i="1" s="1"/>
  <c r="X69" i="1"/>
  <c r="Z69" i="1" s="1"/>
  <c r="AB69" i="1" s="1"/>
  <c r="AF68" i="1"/>
  <c r="AE68" i="1"/>
  <c r="Y68" i="1"/>
  <c r="AA68" i="1" s="1"/>
  <c r="X68" i="1"/>
  <c r="Z68" i="1" s="1"/>
  <c r="AB68" i="1" s="1"/>
  <c r="AF67" i="1"/>
  <c r="AE67" i="1"/>
  <c r="Y67" i="1"/>
  <c r="AA67" i="1" s="1"/>
  <c r="X67" i="1"/>
  <c r="Z67" i="1" s="1"/>
  <c r="AB67" i="1" s="1"/>
  <c r="AF66" i="1"/>
  <c r="AE66" i="1"/>
  <c r="Y66" i="1"/>
  <c r="AA66" i="1" s="1"/>
  <c r="X66" i="1"/>
  <c r="Z66" i="1" s="1"/>
  <c r="AB66" i="1" s="1"/>
  <c r="AF65" i="1"/>
  <c r="AE65" i="1"/>
  <c r="Y65" i="1"/>
  <c r="AA65" i="1" s="1"/>
  <c r="X65" i="1"/>
  <c r="Z65" i="1" s="1"/>
  <c r="AB65" i="1" s="1"/>
  <c r="AF64" i="1"/>
  <c r="AE64" i="1"/>
  <c r="Y64" i="1"/>
  <c r="AA64" i="1" s="1"/>
  <c r="X64" i="1"/>
  <c r="Z64" i="1" s="1"/>
  <c r="AB64" i="1" s="1"/>
  <c r="AF63" i="1"/>
  <c r="AE63" i="1"/>
  <c r="Y63" i="1"/>
  <c r="AA63" i="1" s="1"/>
  <c r="X63" i="1"/>
  <c r="Z63" i="1" s="1"/>
  <c r="AB63" i="1" s="1"/>
  <c r="AF62" i="1"/>
  <c r="AE62" i="1"/>
  <c r="Y62" i="1"/>
  <c r="AA62" i="1" s="1"/>
  <c r="X62" i="1"/>
  <c r="Z62" i="1" s="1"/>
  <c r="AB62" i="1" s="1"/>
  <c r="AF61" i="1"/>
  <c r="AE61" i="1"/>
  <c r="Y61" i="1"/>
  <c r="AA61" i="1" s="1"/>
  <c r="X61" i="1"/>
  <c r="Z61" i="1" s="1"/>
  <c r="AB61" i="1" s="1"/>
  <c r="AF60" i="1"/>
  <c r="AE60" i="1"/>
  <c r="Y60" i="1"/>
  <c r="AA60" i="1" s="1"/>
  <c r="X60" i="1"/>
  <c r="Z60" i="1" s="1"/>
  <c r="AB60" i="1" s="1"/>
  <c r="AF59" i="1"/>
  <c r="AE59" i="1"/>
  <c r="Y59" i="1"/>
  <c r="AA59" i="1" s="1"/>
  <c r="X59" i="1"/>
  <c r="Z59" i="1" s="1"/>
  <c r="AB59" i="1" s="1"/>
  <c r="AF58" i="1"/>
  <c r="AE58" i="1"/>
  <c r="Y58" i="1"/>
  <c r="AA58" i="1" s="1"/>
  <c r="X58" i="1"/>
  <c r="Z58" i="1" s="1"/>
  <c r="AB58" i="1" s="1"/>
  <c r="AF57" i="1"/>
  <c r="AE57" i="1"/>
  <c r="Y57" i="1"/>
  <c r="AA57" i="1" s="1"/>
  <c r="X57" i="1"/>
  <c r="Z57" i="1" s="1"/>
  <c r="AB57" i="1" s="1"/>
  <c r="AF56" i="1"/>
  <c r="AE56" i="1"/>
  <c r="Y56" i="1"/>
  <c r="AA56" i="1" s="1"/>
  <c r="X56" i="1"/>
  <c r="Z56" i="1" s="1"/>
  <c r="AB56" i="1" s="1"/>
  <c r="AF55" i="1"/>
  <c r="AE55" i="1"/>
  <c r="Y55" i="1"/>
  <c r="AA55" i="1" s="1"/>
  <c r="X55" i="1"/>
  <c r="Z55" i="1" s="1"/>
  <c r="AB55" i="1" s="1"/>
  <c r="AF54" i="1"/>
  <c r="AE54" i="1"/>
  <c r="Y54" i="1"/>
  <c r="AA54" i="1" s="1"/>
  <c r="X54" i="1"/>
  <c r="Z54" i="1" s="1"/>
  <c r="AB54" i="1" s="1"/>
  <c r="AF53" i="1"/>
  <c r="AE53" i="1"/>
  <c r="Y53" i="1"/>
  <c r="AA53" i="1" s="1"/>
  <c r="X53" i="1"/>
  <c r="Z53" i="1" s="1"/>
  <c r="AB53" i="1" s="1"/>
  <c r="AF52" i="1"/>
  <c r="AE52" i="1"/>
  <c r="Y52" i="1"/>
  <c r="AA52" i="1" s="1"/>
  <c r="X52" i="1"/>
  <c r="Z52" i="1" s="1"/>
  <c r="AB52" i="1" s="1"/>
  <c r="AF51" i="1"/>
  <c r="AE51" i="1"/>
  <c r="Y51" i="1"/>
  <c r="AA51" i="1" s="1"/>
  <c r="X51" i="1"/>
  <c r="Z51" i="1" s="1"/>
  <c r="AB51" i="1" s="1"/>
  <c r="AF50" i="1"/>
  <c r="AE50" i="1"/>
  <c r="Y50" i="1"/>
  <c r="AA50" i="1" s="1"/>
  <c r="X50" i="1"/>
  <c r="Z50" i="1" s="1"/>
  <c r="AB50" i="1" s="1"/>
  <c r="AF49" i="1"/>
  <c r="AE49" i="1"/>
  <c r="Y49" i="1"/>
  <c r="AA49" i="1" s="1"/>
  <c r="X49" i="1"/>
  <c r="Z49" i="1" s="1"/>
  <c r="AB49" i="1" s="1"/>
  <c r="AF48" i="1"/>
  <c r="AE48" i="1"/>
  <c r="Y48" i="1"/>
  <c r="AA48" i="1" s="1"/>
  <c r="X48" i="1"/>
  <c r="Z48" i="1" s="1"/>
  <c r="AB48" i="1" s="1"/>
  <c r="AF47" i="1"/>
  <c r="AE47" i="1"/>
  <c r="Y47" i="1"/>
  <c r="AA47" i="1" s="1"/>
  <c r="X47" i="1"/>
  <c r="Z47" i="1" s="1"/>
  <c r="AB47" i="1" s="1"/>
  <c r="AF46" i="1"/>
  <c r="AE46" i="1"/>
  <c r="Y46" i="1"/>
  <c r="AA46" i="1" s="1"/>
  <c r="X46" i="1"/>
  <c r="Z46" i="1" s="1"/>
  <c r="AB46" i="1" s="1"/>
  <c r="AF45" i="1"/>
  <c r="AE45" i="1"/>
  <c r="Y45" i="1"/>
  <c r="AA45" i="1" s="1"/>
  <c r="X45" i="1"/>
  <c r="Z45" i="1" s="1"/>
  <c r="AB45" i="1" s="1"/>
  <c r="AF44" i="1"/>
  <c r="AE44" i="1"/>
  <c r="Y44" i="1"/>
  <c r="AA44" i="1" s="1"/>
  <c r="X44" i="1"/>
  <c r="Z44" i="1" s="1"/>
  <c r="AB44" i="1" s="1"/>
  <c r="AF43" i="1"/>
  <c r="AE43" i="1"/>
  <c r="Y43" i="1"/>
  <c r="AA43" i="1" s="1"/>
  <c r="X43" i="1"/>
  <c r="Z43" i="1" s="1"/>
  <c r="AB43" i="1" s="1"/>
  <c r="AF42" i="1"/>
  <c r="AE42" i="1"/>
  <c r="Y42" i="1"/>
  <c r="AA42" i="1" s="1"/>
  <c r="X42" i="1"/>
  <c r="Z42" i="1" s="1"/>
  <c r="AB42" i="1" s="1"/>
  <c r="AF41" i="1"/>
  <c r="AE41" i="1"/>
  <c r="Y41" i="1"/>
  <c r="AA41" i="1" s="1"/>
  <c r="X41" i="1"/>
  <c r="Z41" i="1" s="1"/>
  <c r="AB41" i="1" s="1"/>
  <c r="AF40" i="1"/>
  <c r="AE40" i="1"/>
  <c r="Y40" i="1"/>
  <c r="AA40" i="1" s="1"/>
  <c r="X40" i="1"/>
  <c r="Z40" i="1" s="1"/>
  <c r="AB40" i="1" s="1"/>
  <c r="AF39" i="1"/>
  <c r="AE39" i="1"/>
  <c r="Y39" i="1"/>
  <c r="AA39" i="1" s="1"/>
  <c r="X39" i="1"/>
  <c r="Z39" i="1" s="1"/>
  <c r="AB39" i="1" s="1"/>
  <c r="AF38" i="1"/>
  <c r="AE38" i="1"/>
  <c r="Y38" i="1"/>
  <c r="AA38" i="1" s="1"/>
  <c r="X38" i="1"/>
  <c r="Z38" i="1" s="1"/>
  <c r="AB38" i="1" s="1"/>
  <c r="AF37" i="1"/>
  <c r="AE37" i="1"/>
  <c r="Y37" i="1"/>
  <c r="AA37" i="1" s="1"/>
  <c r="X37" i="1"/>
  <c r="Z37" i="1" s="1"/>
  <c r="AB37" i="1" s="1"/>
  <c r="AF36" i="1"/>
  <c r="AE36" i="1"/>
  <c r="Y36" i="1"/>
  <c r="AA36" i="1" s="1"/>
  <c r="X36" i="1"/>
  <c r="Z36" i="1" s="1"/>
  <c r="AB36" i="1" s="1"/>
  <c r="AF35" i="1"/>
  <c r="AE35" i="1"/>
  <c r="Y35" i="1"/>
  <c r="AA35" i="1" s="1"/>
  <c r="X35" i="1"/>
  <c r="Z35" i="1" s="1"/>
  <c r="AB35" i="1" s="1"/>
  <c r="AF34" i="1"/>
  <c r="AE34" i="1"/>
  <c r="Y34" i="1"/>
  <c r="AA34" i="1" s="1"/>
  <c r="X34" i="1"/>
  <c r="Z34" i="1" s="1"/>
  <c r="AB34" i="1" s="1"/>
  <c r="AF33" i="1"/>
  <c r="AE33" i="1"/>
  <c r="Y33" i="1"/>
  <c r="AA33" i="1" s="1"/>
  <c r="X33" i="1"/>
  <c r="Z33" i="1" s="1"/>
  <c r="AB33" i="1" s="1"/>
  <c r="AF32" i="1"/>
  <c r="AE32" i="1"/>
  <c r="Y32" i="1"/>
  <c r="AA32" i="1" s="1"/>
  <c r="X32" i="1"/>
  <c r="Z32" i="1" s="1"/>
  <c r="AB32" i="1" s="1"/>
  <c r="AF31" i="1"/>
  <c r="AE31" i="1"/>
  <c r="Y31" i="1"/>
  <c r="AA31" i="1" s="1"/>
  <c r="X31" i="1"/>
  <c r="Z31" i="1" s="1"/>
  <c r="AB31" i="1" s="1"/>
  <c r="AF30" i="1"/>
  <c r="AE30" i="1"/>
  <c r="Y30" i="1"/>
  <c r="AA30" i="1" s="1"/>
  <c r="X30" i="1"/>
  <c r="Z30" i="1" s="1"/>
  <c r="AB30" i="1" s="1"/>
  <c r="AF29" i="1"/>
  <c r="AE29" i="1"/>
  <c r="Y29" i="1"/>
  <c r="AA29" i="1" s="1"/>
  <c r="X29" i="1"/>
  <c r="Z29" i="1" s="1"/>
  <c r="AB29" i="1" s="1"/>
  <c r="AF28" i="1"/>
  <c r="AE28" i="1"/>
  <c r="Y28" i="1"/>
  <c r="AA28" i="1" s="1"/>
  <c r="X28" i="1"/>
  <c r="Z28" i="1" s="1"/>
  <c r="AB28" i="1" s="1"/>
  <c r="AF27" i="1"/>
  <c r="AE27" i="1"/>
  <c r="Y27" i="1"/>
  <c r="AA27" i="1" s="1"/>
  <c r="X27" i="1"/>
  <c r="Z27" i="1" s="1"/>
  <c r="AB27" i="1" s="1"/>
  <c r="AF26" i="1"/>
  <c r="AE26" i="1"/>
  <c r="Y26" i="1"/>
  <c r="AA26" i="1" s="1"/>
  <c r="X26" i="1"/>
  <c r="Z26" i="1" s="1"/>
  <c r="AB26" i="1" s="1"/>
  <c r="AF25" i="1"/>
  <c r="AE25" i="1"/>
  <c r="Y25" i="1"/>
  <c r="AA25" i="1" s="1"/>
  <c r="X25" i="1"/>
  <c r="Z25" i="1" s="1"/>
  <c r="AB25" i="1" s="1"/>
  <c r="AF24" i="1"/>
  <c r="AE24" i="1"/>
  <c r="Y24" i="1"/>
  <c r="AA24" i="1" s="1"/>
  <c r="X24" i="1"/>
  <c r="Z24" i="1" s="1"/>
  <c r="AB24" i="1" s="1"/>
  <c r="AF23" i="1"/>
  <c r="AE23" i="1"/>
  <c r="Y23" i="1"/>
  <c r="AA23" i="1" s="1"/>
  <c r="X23" i="1"/>
  <c r="Z23" i="1" s="1"/>
  <c r="AB23" i="1" s="1"/>
  <c r="AF22" i="1"/>
  <c r="AE22" i="1"/>
  <c r="Y22" i="1"/>
  <c r="AA22" i="1" s="1"/>
  <c r="X22" i="1"/>
  <c r="Z22" i="1" s="1"/>
  <c r="AB22" i="1" s="1"/>
  <c r="AF21" i="1"/>
  <c r="AE21" i="1"/>
  <c r="Y21" i="1"/>
  <c r="AA21" i="1" s="1"/>
  <c r="X21" i="1"/>
  <c r="Z21" i="1" s="1"/>
  <c r="AB21" i="1" s="1"/>
  <c r="AF20" i="1"/>
  <c r="AE20" i="1"/>
  <c r="Y20" i="1"/>
  <c r="AA20" i="1" s="1"/>
  <c r="X20" i="1"/>
  <c r="Z20" i="1" s="1"/>
  <c r="AB20" i="1" s="1"/>
  <c r="AF19" i="1"/>
  <c r="AE19" i="1"/>
  <c r="Y19" i="1"/>
  <c r="AA19" i="1" s="1"/>
  <c r="X19" i="1"/>
  <c r="Z19" i="1" s="1"/>
  <c r="AB19" i="1" s="1"/>
  <c r="AF18" i="1"/>
  <c r="AE18" i="1"/>
  <c r="Y18" i="1"/>
  <c r="AA18" i="1" s="1"/>
  <c r="X18" i="1"/>
  <c r="Z18" i="1" s="1"/>
  <c r="AB18" i="1" s="1"/>
  <c r="AF17" i="1"/>
  <c r="AE17" i="1"/>
  <c r="Y17" i="1"/>
  <c r="AA17" i="1" s="1"/>
  <c r="X17" i="1"/>
  <c r="Z17" i="1" s="1"/>
  <c r="AB17" i="1" s="1"/>
  <c r="AF16" i="1"/>
  <c r="AE16" i="1"/>
  <c r="Y16" i="1"/>
  <c r="AA16" i="1" s="1"/>
  <c r="X16" i="1"/>
  <c r="Z16" i="1" s="1"/>
  <c r="AB16" i="1" s="1"/>
  <c r="AF15" i="1"/>
  <c r="AE15" i="1"/>
  <c r="Y15" i="1"/>
  <c r="AA15" i="1" s="1"/>
  <c r="X15" i="1"/>
  <c r="Z15" i="1" s="1"/>
  <c r="AB15" i="1" s="1"/>
  <c r="AF14" i="1"/>
  <c r="AE14" i="1"/>
  <c r="Y14" i="1"/>
  <c r="AA14" i="1" s="1"/>
  <c r="X14" i="1"/>
  <c r="Z14" i="1" s="1"/>
  <c r="AB14" i="1" s="1"/>
  <c r="AF13" i="1"/>
  <c r="AE13" i="1"/>
  <c r="Y13" i="1"/>
  <c r="AA13" i="1" s="1"/>
  <c r="X13" i="1"/>
  <c r="Z13" i="1" s="1"/>
  <c r="AB13" i="1" s="1"/>
  <c r="AF12" i="1"/>
  <c r="AE12" i="1"/>
  <c r="Y12" i="1"/>
  <c r="AA12" i="1" s="1"/>
  <c r="X12" i="1"/>
  <c r="Z12" i="1" s="1"/>
  <c r="AB12" i="1" s="1"/>
  <c r="AF11" i="1"/>
  <c r="AE11" i="1"/>
  <c r="Y11" i="1"/>
  <c r="AA11" i="1" s="1"/>
  <c r="X11" i="1"/>
  <c r="Z11" i="1" s="1"/>
  <c r="AB11" i="1" s="1"/>
  <c r="AF10" i="1"/>
  <c r="AE10" i="1"/>
  <c r="Y10" i="1"/>
  <c r="AA10" i="1" s="1"/>
  <c r="X10" i="1"/>
  <c r="Z10" i="1" s="1"/>
  <c r="AB10" i="1" s="1"/>
  <c r="AF9" i="1"/>
  <c r="AE9" i="1"/>
  <c r="Y9" i="1"/>
  <c r="AA9" i="1" s="1"/>
  <c r="X9" i="1"/>
  <c r="Z9" i="1" s="1"/>
  <c r="AB9" i="1" s="1"/>
  <c r="AF8" i="1"/>
  <c r="AE8" i="1"/>
  <c r="Y8" i="1"/>
  <c r="AA8" i="1" s="1"/>
  <c r="X8" i="1"/>
  <c r="Z8" i="1" s="1"/>
  <c r="AB8" i="1" s="1"/>
  <c r="AF7" i="1"/>
  <c r="AE7" i="1"/>
  <c r="Y7" i="1"/>
  <c r="AA7" i="1" s="1"/>
  <c r="X7" i="1"/>
  <c r="Z7" i="1" s="1"/>
  <c r="AB7" i="1" s="1"/>
  <c r="AF6" i="1"/>
  <c r="AE6" i="1"/>
  <c r="Y6" i="1"/>
  <c r="AA6" i="1" s="1"/>
  <c r="X6" i="1"/>
  <c r="Z6" i="1" s="1"/>
  <c r="AB6" i="1" s="1"/>
  <c r="AF5" i="1"/>
  <c r="AE5" i="1"/>
  <c r="Y5" i="1"/>
  <c r="AA5" i="1" s="1"/>
  <c r="X5" i="1"/>
  <c r="Z5" i="1" s="1"/>
  <c r="AB5" i="1" s="1"/>
  <c r="AF4" i="1"/>
  <c r="AE4" i="1"/>
  <c r="Y4" i="1"/>
  <c r="AA4" i="1" s="1"/>
  <c r="X4" i="1"/>
  <c r="Z4" i="1" s="1"/>
  <c r="AB4" i="1" s="1"/>
  <c r="AF171" i="1"/>
  <c r="AE171" i="1"/>
  <c r="AF167" i="1"/>
  <c r="AE167" i="1"/>
  <c r="Y167" i="1"/>
  <c r="AA167" i="1" s="1"/>
  <c r="X167" i="1"/>
  <c r="Z167" i="1" s="1"/>
  <c r="AB167" i="1" s="1"/>
  <c r="AF159" i="1"/>
  <c r="AE159" i="1"/>
  <c r="Y159" i="1"/>
  <c r="AA159" i="1" s="1"/>
  <c r="X159" i="1"/>
  <c r="Z159" i="1" s="1"/>
  <c r="AB159" i="1" s="1"/>
  <c r="AF158" i="1"/>
  <c r="AE158" i="1"/>
  <c r="Y158" i="1"/>
  <c r="AA158" i="1" s="1"/>
  <c r="X158" i="1"/>
  <c r="Z158" i="1" s="1"/>
  <c r="AB158" i="1" s="1"/>
  <c r="AF157" i="1"/>
  <c r="AE157" i="1"/>
  <c r="Y157" i="1"/>
  <c r="AA157" i="1" s="1"/>
  <c r="X157" i="1"/>
  <c r="Z157" i="1" s="1"/>
  <c r="AB157" i="1" s="1"/>
  <c r="AF156" i="1"/>
  <c r="AE156" i="1"/>
  <c r="Y156" i="1"/>
  <c r="AA156" i="1" s="1"/>
  <c r="X156" i="1"/>
  <c r="Z156" i="1" s="1"/>
  <c r="AB156" i="1" s="1"/>
  <c r="AF155" i="1"/>
  <c r="AE155" i="1"/>
  <c r="Y155" i="1"/>
  <c r="AA155" i="1" s="1"/>
  <c r="X155" i="1"/>
  <c r="Z155" i="1" s="1"/>
  <c r="AB155" i="1" s="1"/>
  <c r="AF154" i="1"/>
  <c r="AE154" i="1"/>
  <c r="Y154" i="1"/>
  <c r="AA154" i="1" s="1"/>
  <c r="X154" i="1"/>
  <c r="Z154" i="1" s="1"/>
  <c r="AB154" i="1" s="1"/>
  <c r="AF153" i="1"/>
  <c r="AE153" i="1"/>
  <c r="Y153" i="1"/>
  <c r="AA153" i="1" s="1"/>
  <c r="X153" i="1"/>
  <c r="Z153" i="1" s="1"/>
  <c r="AB153" i="1" s="1"/>
  <c r="AF152" i="1"/>
  <c r="AE152" i="1"/>
  <c r="Y152" i="1"/>
  <c r="AA152" i="1" s="1"/>
  <c r="X152" i="1"/>
  <c r="Z152" i="1" s="1"/>
  <c r="AB152" i="1" s="1"/>
  <c r="AF151" i="1"/>
  <c r="AE151" i="1"/>
  <c r="Y151" i="1"/>
  <c r="AA151" i="1" s="1"/>
  <c r="X151" i="1"/>
  <c r="Z151" i="1" s="1"/>
  <c r="AB151" i="1" s="1"/>
  <c r="Y171" i="1"/>
  <c r="X171" i="1"/>
  <c r="AF166" i="1"/>
  <c r="AE166" i="1"/>
  <c r="Y166" i="1"/>
  <c r="AA166" i="1" s="1"/>
  <c r="X166" i="1"/>
  <c r="Z166" i="1" s="1"/>
  <c r="AB166" i="1" s="1"/>
  <c r="AF165" i="1"/>
  <c r="AE165" i="1"/>
  <c r="Y165" i="1"/>
  <c r="AA165" i="1" s="1"/>
  <c r="X165" i="1"/>
  <c r="Z165" i="1" s="1"/>
  <c r="AB165" i="1" s="1"/>
  <c r="AF164" i="1"/>
  <c r="AE164" i="1"/>
  <c r="Y164" i="1"/>
  <c r="AA164" i="1" s="1"/>
  <c r="X164" i="1"/>
  <c r="Z164" i="1" s="1"/>
  <c r="AB164" i="1" s="1"/>
  <c r="AF163" i="1"/>
  <c r="AE163" i="1"/>
  <c r="Y163" i="1"/>
  <c r="AA163" i="1" s="1"/>
  <c r="X163" i="1"/>
  <c r="Z163" i="1" s="1"/>
  <c r="AB163" i="1" s="1"/>
  <c r="AF162" i="1"/>
  <c r="AE162" i="1"/>
  <c r="Y162" i="1"/>
  <c r="AA162" i="1" s="1"/>
  <c r="X162" i="1"/>
  <c r="Z162" i="1" s="1"/>
  <c r="AB162" i="1" s="1"/>
  <c r="AF161" i="1"/>
  <c r="AE161" i="1"/>
  <c r="Y161" i="1"/>
  <c r="AA161" i="1" s="1"/>
  <c r="X161" i="1"/>
  <c r="Z161" i="1" s="1"/>
  <c r="AB161" i="1" s="1"/>
  <c r="AC169" i="1" l="1"/>
  <c r="AD169" i="1"/>
  <c r="AC168" i="1"/>
  <c r="AD168" i="1"/>
  <c r="AC107" i="1"/>
  <c r="AD107" i="1"/>
  <c r="AC106" i="1"/>
  <c r="AD106" i="1"/>
  <c r="AC105" i="1"/>
  <c r="AD105" i="1"/>
  <c r="AC104" i="1"/>
  <c r="AD104" i="1"/>
  <c r="AC103" i="1"/>
  <c r="AD103" i="1"/>
  <c r="AC102" i="1"/>
  <c r="AD102" i="1"/>
  <c r="AC101" i="1"/>
  <c r="AD101" i="1"/>
  <c r="AC100" i="1"/>
  <c r="AD100" i="1"/>
  <c r="AC99" i="1"/>
  <c r="AD99" i="1"/>
  <c r="AC98" i="1"/>
  <c r="AD98" i="1"/>
  <c r="AC97" i="1"/>
  <c r="AD97" i="1"/>
  <c r="AC96" i="1"/>
  <c r="AD96" i="1"/>
  <c r="AD95" i="1"/>
  <c r="AC95" i="1"/>
  <c r="AC94" i="1"/>
  <c r="AD94" i="1"/>
  <c r="AD93" i="1"/>
  <c r="AC93" i="1"/>
  <c r="AD92" i="1"/>
  <c r="AC92" i="1"/>
  <c r="AC91" i="1"/>
  <c r="AD91" i="1"/>
  <c r="AC90" i="1"/>
  <c r="AD90" i="1"/>
  <c r="AC89" i="1"/>
  <c r="AD89" i="1"/>
  <c r="AC88" i="1"/>
  <c r="AD88" i="1"/>
  <c r="AC87" i="1"/>
  <c r="AD87" i="1"/>
  <c r="AC86" i="1"/>
  <c r="AD86" i="1"/>
  <c r="AC85" i="1"/>
  <c r="AD85" i="1"/>
  <c r="AC84" i="1"/>
  <c r="AD84" i="1"/>
  <c r="AC83" i="1"/>
  <c r="AD83" i="1"/>
  <c r="AC82" i="1"/>
  <c r="AD82" i="1"/>
  <c r="AC81" i="1"/>
  <c r="AD81" i="1"/>
  <c r="AD80" i="1"/>
  <c r="AC80" i="1"/>
  <c r="AC79" i="1"/>
  <c r="AD79" i="1"/>
  <c r="AC78" i="1"/>
  <c r="AD78" i="1"/>
  <c r="AC77" i="1"/>
  <c r="AD77" i="1"/>
  <c r="AC76" i="1"/>
  <c r="AD76" i="1"/>
  <c r="AC75" i="1"/>
  <c r="AD75" i="1"/>
  <c r="AC74" i="1"/>
  <c r="AD74" i="1"/>
  <c r="AC73" i="1"/>
  <c r="AD73" i="1"/>
  <c r="AC72" i="1"/>
  <c r="AD72" i="1"/>
  <c r="AC71" i="1"/>
  <c r="AD71" i="1"/>
  <c r="AC70" i="1"/>
  <c r="AD70" i="1"/>
  <c r="AC69" i="1"/>
  <c r="AD69" i="1"/>
  <c r="AC68" i="1"/>
  <c r="AD68" i="1"/>
  <c r="AC67" i="1"/>
  <c r="AD67" i="1"/>
  <c r="AC66" i="1"/>
  <c r="AD66" i="1"/>
  <c r="AC65" i="1"/>
  <c r="AD65" i="1"/>
  <c r="AC64" i="1"/>
  <c r="AD64" i="1"/>
  <c r="AC63" i="1"/>
  <c r="AD63" i="1"/>
  <c r="AD62" i="1"/>
  <c r="AC62" i="1"/>
  <c r="AC61" i="1"/>
  <c r="AD61" i="1"/>
  <c r="AD60" i="1"/>
  <c r="AC60" i="1"/>
  <c r="AD59" i="1"/>
  <c r="AC59" i="1"/>
  <c r="AC58" i="1"/>
  <c r="AD58" i="1"/>
  <c r="AC57" i="1"/>
  <c r="AD57" i="1"/>
  <c r="AC56" i="1"/>
  <c r="AD56" i="1"/>
  <c r="AC55" i="1"/>
  <c r="AD55" i="1"/>
  <c r="AD54" i="1"/>
  <c r="AC54" i="1"/>
  <c r="AD53" i="1"/>
  <c r="AC53" i="1"/>
  <c r="AD52" i="1"/>
  <c r="AC52" i="1"/>
  <c r="AC51" i="1"/>
  <c r="AD51" i="1"/>
  <c r="AC50" i="1"/>
  <c r="AD50" i="1"/>
  <c r="AC49" i="1"/>
  <c r="AD49" i="1"/>
  <c r="AC48" i="1"/>
  <c r="AD48" i="1"/>
  <c r="AC47" i="1"/>
  <c r="AD47" i="1"/>
  <c r="AC46" i="1"/>
  <c r="AD46" i="1"/>
  <c r="AC45" i="1"/>
  <c r="AD45" i="1"/>
  <c r="AC44" i="1"/>
  <c r="AD44" i="1"/>
  <c r="AC43" i="1"/>
  <c r="AD43" i="1"/>
  <c r="AC42" i="1"/>
  <c r="AD42" i="1"/>
  <c r="AC41" i="1"/>
  <c r="AD41" i="1"/>
  <c r="AC40" i="1"/>
  <c r="AD40" i="1"/>
  <c r="AC39" i="1"/>
  <c r="AD39" i="1"/>
  <c r="AC38" i="1"/>
  <c r="AD38" i="1"/>
  <c r="AC37" i="1"/>
  <c r="AD37" i="1"/>
  <c r="AC36" i="1"/>
  <c r="AD36" i="1"/>
  <c r="AC35" i="1"/>
  <c r="AD35" i="1"/>
  <c r="AC34" i="1"/>
  <c r="AD34" i="1"/>
  <c r="AC33" i="1"/>
  <c r="AD33" i="1"/>
  <c r="AC32" i="1"/>
  <c r="AD32" i="1"/>
  <c r="AC31" i="1"/>
  <c r="AD31" i="1"/>
  <c r="AC30" i="1"/>
  <c r="AD30" i="1"/>
  <c r="AD29" i="1"/>
  <c r="AC29" i="1"/>
  <c r="AC28" i="1"/>
  <c r="AD28" i="1"/>
  <c r="AC27" i="1"/>
  <c r="AD27" i="1"/>
  <c r="AC26" i="1"/>
  <c r="AD26" i="1"/>
  <c r="AD25" i="1"/>
  <c r="AC25" i="1"/>
  <c r="AC24" i="1"/>
  <c r="AD24" i="1"/>
  <c r="AC23" i="1"/>
  <c r="AD23" i="1"/>
  <c r="AD22" i="1"/>
  <c r="AC22" i="1"/>
  <c r="AD21" i="1"/>
  <c r="AC21" i="1"/>
  <c r="AC20" i="1"/>
  <c r="AD20" i="1"/>
  <c r="AC19" i="1"/>
  <c r="AD19" i="1"/>
  <c r="AC18" i="1"/>
  <c r="AD18" i="1"/>
  <c r="AC17" i="1"/>
  <c r="AD17" i="1"/>
  <c r="AC16" i="1"/>
  <c r="AD16" i="1"/>
  <c r="AC15" i="1"/>
  <c r="AD15" i="1"/>
  <c r="AC14" i="1"/>
  <c r="AD14" i="1"/>
  <c r="AC13" i="1"/>
  <c r="AD13" i="1"/>
  <c r="AC12" i="1"/>
  <c r="AD12" i="1"/>
  <c r="AC11" i="1"/>
  <c r="AD11" i="1"/>
  <c r="AC10" i="1"/>
  <c r="AD10" i="1"/>
  <c r="AC9" i="1"/>
  <c r="AD9" i="1"/>
  <c r="AC8" i="1"/>
  <c r="AD8" i="1"/>
  <c r="AC7" i="1"/>
  <c r="AD7" i="1"/>
  <c r="AC6" i="1"/>
  <c r="AD6" i="1"/>
  <c r="AC5" i="1"/>
  <c r="AD5" i="1"/>
  <c r="AC4" i="1"/>
  <c r="AD4" i="1"/>
  <c r="AA171" i="1"/>
  <c r="AC171" i="1" s="1"/>
  <c r="AC167" i="1"/>
  <c r="AD167" i="1"/>
  <c r="Z171" i="1"/>
  <c r="AD159" i="1"/>
  <c r="AC159" i="1"/>
  <c r="AC158" i="1"/>
  <c r="AD158" i="1"/>
  <c r="AC157" i="1"/>
  <c r="AD157" i="1"/>
  <c r="AD156" i="1"/>
  <c r="AC156" i="1"/>
  <c r="AD155" i="1"/>
  <c r="AC155" i="1"/>
  <c r="AC154" i="1"/>
  <c r="AD154" i="1"/>
  <c r="AC153" i="1"/>
  <c r="AD153" i="1"/>
  <c r="AC152" i="1"/>
  <c r="AD152" i="1"/>
  <c r="AC151" i="1"/>
  <c r="AD151" i="1"/>
  <c r="AD166" i="1"/>
  <c r="AC166" i="1"/>
  <c r="AC165" i="1"/>
  <c r="AD165" i="1"/>
  <c r="AC164" i="1"/>
  <c r="AD164" i="1"/>
  <c r="AC163" i="1"/>
  <c r="AD163" i="1"/>
  <c r="AC162" i="1"/>
  <c r="AD162" i="1"/>
  <c r="AC161" i="1"/>
  <c r="AD161" i="1"/>
  <c r="AF150" i="1"/>
  <c r="AE150" i="1"/>
  <c r="Y150" i="1"/>
  <c r="AA150" i="1" s="1"/>
  <c r="X150" i="1"/>
  <c r="Z150" i="1" s="1"/>
  <c r="AB150" i="1" s="1"/>
  <c r="AF149" i="1"/>
  <c r="AE149" i="1"/>
  <c r="Y149" i="1"/>
  <c r="AA149" i="1" s="1"/>
  <c r="X149" i="1"/>
  <c r="Z149" i="1" s="1"/>
  <c r="AB149" i="1" s="1"/>
  <c r="AF148" i="1"/>
  <c r="AE148" i="1"/>
  <c r="Y148" i="1"/>
  <c r="AA148" i="1" s="1"/>
  <c r="X148" i="1"/>
  <c r="Z148" i="1" s="1"/>
  <c r="AB148" i="1" s="1"/>
  <c r="AF147" i="1"/>
  <c r="AE147" i="1"/>
  <c r="Y147" i="1"/>
  <c r="AA147" i="1" s="1"/>
  <c r="X147" i="1"/>
  <c r="Z147" i="1" s="1"/>
  <c r="AB147" i="1" s="1"/>
  <c r="AF146" i="1"/>
  <c r="AE146" i="1"/>
  <c r="Y146" i="1"/>
  <c r="AA146" i="1" s="1"/>
  <c r="AC146" i="1" s="1"/>
  <c r="X146" i="1"/>
  <c r="Z146" i="1" s="1"/>
  <c r="AB146" i="1" s="1"/>
  <c r="AF145" i="1"/>
  <c r="AE145" i="1"/>
  <c r="Y145" i="1"/>
  <c r="AA145" i="1" s="1"/>
  <c r="X145" i="1"/>
  <c r="Z145" i="1" s="1"/>
  <c r="AB145" i="1" s="1"/>
  <c r="AF144" i="1"/>
  <c r="AE144" i="1"/>
  <c r="Y144" i="1"/>
  <c r="AA144" i="1" s="1"/>
  <c r="AC144" i="1" s="1"/>
  <c r="X144" i="1"/>
  <c r="Z144" i="1" s="1"/>
  <c r="AF143" i="1"/>
  <c r="AE143" i="1"/>
  <c r="Y143" i="1"/>
  <c r="AA143" i="1" s="1"/>
  <c r="X143" i="1"/>
  <c r="Z143" i="1" s="1"/>
  <c r="AB143" i="1" s="1"/>
  <c r="AF142" i="1"/>
  <c r="AE142" i="1"/>
  <c r="Y142" i="1"/>
  <c r="AA142" i="1" s="1"/>
  <c r="X142" i="1"/>
  <c r="Z142" i="1" s="1"/>
  <c r="AB142" i="1" s="1"/>
  <c r="AF141" i="1"/>
  <c r="AE141" i="1"/>
  <c r="Y141" i="1"/>
  <c r="AA141" i="1" s="1"/>
  <c r="X141" i="1"/>
  <c r="Z141" i="1" s="1"/>
  <c r="AB141" i="1" s="1"/>
  <c r="AF140" i="1"/>
  <c r="AE140" i="1"/>
  <c r="Y140" i="1"/>
  <c r="AA140" i="1" s="1"/>
  <c r="X140" i="1"/>
  <c r="Z140" i="1" s="1"/>
  <c r="AB140" i="1" s="1"/>
  <c r="AF139" i="1"/>
  <c r="AE139" i="1"/>
  <c r="Y139" i="1"/>
  <c r="AA139" i="1" s="1"/>
  <c r="X139" i="1"/>
  <c r="Z139" i="1" s="1"/>
  <c r="AB139" i="1" s="1"/>
  <c r="AF138" i="1"/>
  <c r="AE138" i="1"/>
  <c r="Y138" i="1"/>
  <c r="AA138" i="1" s="1"/>
  <c r="X138" i="1"/>
  <c r="Z138" i="1" s="1"/>
  <c r="AB138" i="1" s="1"/>
  <c r="AF137" i="1"/>
  <c r="AE137" i="1"/>
  <c r="Y137" i="1"/>
  <c r="AA137" i="1" s="1"/>
  <c r="AC137" i="1" s="1"/>
  <c r="X137" i="1"/>
  <c r="Z137" i="1" s="1"/>
  <c r="AF136" i="1"/>
  <c r="AE136" i="1"/>
  <c r="Y136" i="1"/>
  <c r="AA136" i="1" s="1"/>
  <c r="AC136" i="1" s="1"/>
  <c r="X136" i="1"/>
  <c r="Z136" i="1" s="1"/>
  <c r="AB136" i="1" s="1"/>
  <c r="AF135" i="1"/>
  <c r="AE135" i="1"/>
  <c r="Y135" i="1"/>
  <c r="AA135" i="1" s="1"/>
  <c r="X135" i="1"/>
  <c r="Z135" i="1" s="1"/>
  <c r="AB135" i="1" s="1"/>
  <c r="AF134" i="1"/>
  <c r="AE134" i="1"/>
  <c r="Y134" i="1"/>
  <c r="AA134" i="1" s="1"/>
  <c r="X134" i="1"/>
  <c r="Z134" i="1" s="1"/>
  <c r="AB134" i="1" s="1"/>
  <c r="AF133" i="1"/>
  <c r="AE133" i="1"/>
  <c r="Y133" i="1"/>
  <c r="AA133" i="1" s="1"/>
  <c r="X133" i="1"/>
  <c r="Z133" i="1" s="1"/>
  <c r="AB133" i="1" s="1"/>
  <c r="AF132" i="1"/>
  <c r="AE132" i="1"/>
  <c r="Y132" i="1"/>
  <c r="AA132" i="1" s="1"/>
  <c r="X132" i="1"/>
  <c r="Z132" i="1" s="1"/>
  <c r="AB132" i="1" s="1"/>
  <c r="AF131" i="1"/>
  <c r="AE131" i="1"/>
  <c r="Y131" i="1"/>
  <c r="AA131" i="1" s="1"/>
  <c r="X131" i="1"/>
  <c r="Z131" i="1" s="1"/>
  <c r="AB131" i="1" s="1"/>
  <c r="AF130" i="1"/>
  <c r="AE130" i="1"/>
  <c r="Y130" i="1"/>
  <c r="AA130" i="1" s="1"/>
  <c r="X130" i="1"/>
  <c r="Z130" i="1" s="1"/>
  <c r="AB130" i="1" s="1"/>
  <c r="AF129" i="1"/>
  <c r="AE129" i="1"/>
  <c r="Y129" i="1"/>
  <c r="AA129" i="1" s="1"/>
  <c r="AC129" i="1" s="1"/>
  <c r="X129" i="1"/>
  <c r="Z129" i="1" s="1"/>
  <c r="AB129" i="1" s="1"/>
  <c r="AF128" i="1"/>
  <c r="AE128" i="1"/>
  <c r="Y128" i="1"/>
  <c r="AA128" i="1" s="1"/>
  <c r="AC128" i="1" s="1"/>
  <c r="X128" i="1"/>
  <c r="Z128" i="1" s="1"/>
  <c r="AB128" i="1" s="1"/>
  <c r="AF127" i="1"/>
  <c r="AE127" i="1"/>
  <c r="Y127" i="1"/>
  <c r="AA127" i="1" s="1"/>
  <c r="X127" i="1"/>
  <c r="Z127" i="1" s="1"/>
  <c r="AB127" i="1" s="1"/>
  <c r="AF126" i="1"/>
  <c r="AE126" i="1"/>
  <c r="Y126" i="1"/>
  <c r="AA126" i="1" s="1"/>
  <c r="AC126" i="1" s="1"/>
  <c r="X126" i="1"/>
  <c r="Z126" i="1" s="1"/>
  <c r="AB126" i="1" s="1"/>
  <c r="AF125" i="1"/>
  <c r="AE125" i="1"/>
  <c r="Y125" i="1"/>
  <c r="AA125" i="1" s="1"/>
  <c r="X125" i="1"/>
  <c r="Z125" i="1" s="1"/>
  <c r="AB125" i="1" s="1"/>
  <c r="AF124" i="1"/>
  <c r="AE124" i="1"/>
  <c r="Y124" i="1"/>
  <c r="AA124" i="1" s="1"/>
  <c r="X124" i="1"/>
  <c r="Z124" i="1" s="1"/>
  <c r="AB124" i="1" s="1"/>
  <c r="AF123" i="1"/>
  <c r="AE123" i="1"/>
  <c r="Y123" i="1"/>
  <c r="AA123" i="1" s="1"/>
  <c r="X123" i="1"/>
  <c r="Z123" i="1" s="1"/>
  <c r="AB123" i="1" s="1"/>
  <c r="AF122" i="1"/>
  <c r="AE122" i="1"/>
  <c r="Y122" i="1"/>
  <c r="AA122" i="1" s="1"/>
  <c r="AC122" i="1" s="1"/>
  <c r="X122" i="1"/>
  <c r="Z122" i="1" s="1"/>
  <c r="AB122" i="1" s="1"/>
  <c r="AF121" i="1"/>
  <c r="AE121" i="1"/>
  <c r="Y121" i="1"/>
  <c r="AA121" i="1" s="1"/>
  <c r="AC121" i="1" s="1"/>
  <c r="X121" i="1"/>
  <c r="Z121" i="1" s="1"/>
  <c r="AB121" i="1" s="1"/>
  <c r="AF120" i="1"/>
  <c r="AE120" i="1"/>
  <c r="Y120" i="1"/>
  <c r="AA120" i="1" s="1"/>
  <c r="AC120" i="1" s="1"/>
  <c r="X120" i="1"/>
  <c r="Z120" i="1" s="1"/>
  <c r="AB120" i="1" s="1"/>
  <c r="AF119" i="1"/>
  <c r="AE119" i="1"/>
  <c r="Y119" i="1"/>
  <c r="AA119" i="1" s="1"/>
  <c r="X119" i="1"/>
  <c r="Z119" i="1" s="1"/>
  <c r="AB119" i="1" s="1"/>
  <c r="AF118" i="1"/>
  <c r="AE118" i="1"/>
  <c r="Y118" i="1"/>
  <c r="AA118" i="1" s="1"/>
  <c r="AC118" i="1" s="1"/>
  <c r="X118" i="1"/>
  <c r="Z118" i="1" s="1"/>
  <c r="AB118" i="1" s="1"/>
  <c r="AF117" i="1"/>
  <c r="AE117" i="1"/>
  <c r="Y117" i="1"/>
  <c r="AA117" i="1" s="1"/>
  <c r="X117" i="1"/>
  <c r="Z117" i="1" s="1"/>
  <c r="AB117" i="1" s="1"/>
  <c r="AF116" i="1"/>
  <c r="AE116" i="1"/>
  <c r="Y116" i="1"/>
  <c r="AA116" i="1" s="1"/>
  <c r="X116" i="1"/>
  <c r="Z116" i="1" s="1"/>
  <c r="AB116" i="1" s="1"/>
  <c r="AF115" i="1"/>
  <c r="AE115" i="1"/>
  <c r="Y115" i="1"/>
  <c r="AA115" i="1" s="1"/>
  <c r="X115" i="1"/>
  <c r="Z115" i="1" s="1"/>
  <c r="AB115" i="1" s="1"/>
  <c r="AF114" i="1"/>
  <c r="AE114" i="1"/>
  <c r="Y114" i="1"/>
  <c r="AA114" i="1" s="1"/>
  <c r="X114" i="1"/>
  <c r="Z114" i="1" s="1"/>
  <c r="AB114" i="1" s="1"/>
  <c r="AF113" i="1"/>
  <c r="AE113" i="1"/>
  <c r="Y113" i="1"/>
  <c r="AA113" i="1" s="1"/>
  <c r="AC113" i="1" s="1"/>
  <c r="X113" i="1"/>
  <c r="Z113" i="1" s="1"/>
  <c r="AB113" i="1" s="1"/>
  <c r="AF112" i="1"/>
  <c r="AE112" i="1"/>
  <c r="Y112" i="1"/>
  <c r="AA112" i="1" s="1"/>
  <c r="AC112" i="1" s="1"/>
  <c r="X112" i="1"/>
  <c r="Z112" i="1" s="1"/>
  <c r="AB112" i="1" s="1"/>
  <c r="AF111" i="1"/>
  <c r="AE111" i="1"/>
  <c r="Y111" i="1"/>
  <c r="AA111" i="1" s="1"/>
  <c r="X111" i="1"/>
  <c r="Z111" i="1" s="1"/>
  <c r="AB111" i="1" s="1"/>
  <c r="AF110" i="1"/>
  <c r="AE110" i="1"/>
  <c r="Y110" i="1"/>
  <c r="AA110" i="1" s="1"/>
  <c r="AC110" i="1" s="1"/>
  <c r="X110" i="1"/>
  <c r="Z110" i="1" s="1"/>
  <c r="AB110" i="1" s="1"/>
  <c r="AF109" i="1"/>
  <c r="AE109" i="1"/>
  <c r="Y109" i="1"/>
  <c r="AA109" i="1" s="1"/>
  <c r="X109" i="1"/>
  <c r="Z109" i="1" s="1"/>
  <c r="AB109" i="1" s="1"/>
  <c r="AF108" i="1"/>
  <c r="AE108" i="1"/>
  <c r="Y108" i="1"/>
  <c r="AA108" i="1" s="1"/>
  <c r="X108" i="1"/>
  <c r="Z108" i="1" s="1"/>
  <c r="AB108" i="1" s="1"/>
  <c r="AF3" i="1"/>
  <c r="AE3" i="1"/>
  <c r="Y3" i="1"/>
  <c r="AA3" i="1" s="1"/>
  <c r="X3" i="1"/>
  <c r="Z3" i="1" s="1"/>
  <c r="AB3" i="1" s="1"/>
  <c r="AB171" i="1" l="1"/>
  <c r="AD171" i="1"/>
  <c r="AD119" i="1"/>
  <c r="AD126" i="1"/>
  <c r="AD139" i="1"/>
  <c r="AD110" i="1"/>
  <c r="AD114" i="1"/>
  <c r="AD145" i="1"/>
  <c r="AC145" i="1"/>
  <c r="AD138" i="1"/>
  <c r="AC138" i="1"/>
  <c r="AD111" i="1"/>
  <c r="AD127" i="1"/>
  <c r="AD113" i="1"/>
  <c r="AD140" i="1"/>
  <c r="AD120" i="1"/>
  <c r="AD112" i="1"/>
  <c r="AD128" i="1"/>
  <c r="AD147" i="1"/>
  <c r="AD108" i="1"/>
  <c r="AC108" i="1"/>
  <c r="AD124" i="1"/>
  <c r="AC124" i="1"/>
  <c r="AC3" i="1"/>
  <c r="AD3" i="1"/>
  <c r="AC123" i="1"/>
  <c r="AD123" i="1"/>
  <c r="AD116" i="1"/>
  <c r="AC116" i="1"/>
  <c r="AC115" i="1"/>
  <c r="AD115" i="1"/>
  <c r="AC119" i="1"/>
  <c r="AD121" i="1"/>
  <c r="AD131" i="1"/>
  <c r="AC131" i="1"/>
  <c r="AD109" i="1"/>
  <c r="AC109" i="1"/>
  <c r="AD125" i="1"/>
  <c r="AC125" i="1"/>
  <c r="AD129" i="1"/>
  <c r="AD130" i="1"/>
  <c r="AC130" i="1"/>
  <c r="AD133" i="1"/>
  <c r="AC133" i="1"/>
  <c r="AD135" i="1"/>
  <c r="AC135" i="1"/>
  <c r="AB137" i="1"/>
  <c r="AD137" i="1"/>
  <c r="AB144" i="1"/>
  <c r="AD144" i="1"/>
  <c r="AD142" i="1"/>
  <c r="AC142" i="1"/>
  <c r="AC114" i="1"/>
  <c r="AC127" i="1"/>
  <c r="AD132" i="1"/>
  <c r="AC132" i="1"/>
  <c r="AD134" i="1"/>
  <c r="AC134" i="1"/>
  <c r="AD141" i="1"/>
  <c r="AC141" i="1"/>
  <c r="AD148" i="1"/>
  <c r="AC148" i="1"/>
  <c r="AD149" i="1"/>
  <c r="AC149" i="1"/>
  <c r="AD118" i="1"/>
  <c r="AC111" i="1"/>
  <c r="AD117" i="1"/>
  <c r="AC117" i="1"/>
  <c r="AD122" i="1"/>
  <c r="AD136" i="1"/>
  <c r="AD143" i="1"/>
  <c r="AC143" i="1"/>
  <c r="AD150" i="1"/>
  <c r="AC150" i="1"/>
  <c r="AC139" i="1"/>
  <c r="AC140" i="1"/>
  <c r="AD146" i="1"/>
  <c r="AC147" i="1"/>
  <c r="AF2" i="1" l="1"/>
  <c r="AE2" i="1"/>
  <c r="Y2" i="1"/>
  <c r="AA2" i="1" s="1"/>
  <c r="X2" i="1"/>
  <c r="Z2" i="1" s="1"/>
  <c r="AB2" i="1" s="1"/>
  <c r="AD2" i="1" l="1"/>
  <c r="A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K1" authorId="0" shapeId="0" xr:uid="{FB08D3D0-6406-4F3F-BDDB-8DEABE9371E6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sharedStrings.xml><?xml version="1.0" encoding="utf-8"?>
<sst xmlns="http://schemas.openxmlformats.org/spreadsheetml/2006/main" count="1576" uniqueCount="290">
  <si>
    <t>Sample Number</t>
  </si>
  <si>
    <t>Name</t>
  </si>
  <si>
    <t>Height (nA)</t>
  </si>
  <si>
    <t>N15</t>
  </si>
  <si>
    <t>13C</t>
  </si>
  <si>
    <t>PEAnA</t>
  </si>
  <si>
    <t>PEA15N</t>
  </si>
  <si>
    <t>PEA13C</t>
  </si>
  <si>
    <t>gnsnSTD N weight</t>
  </si>
  <si>
    <t>gnsnSTD C weight</t>
  </si>
  <si>
    <t>1nA to x mgN STD</t>
  </si>
  <si>
    <t>1nA to x mgC STD</t>
  </si>
  <si>
    <t>mg N in sample</t>
  </si>
  <si>
    <t>mg C in sample</t>
  </si>
  <si>
    <t>%N</t>
  </si>
  <si>
    <t>%C</t>
  </si>
  <si>
    <t>C/N</t>
  </si>
  <si>
    <t>d15Nkorr</t>
  </si>
  <si>
    <t>d13Ckorr</t>
  </si>
  <si>
    <t>Weight</t>
  </si>
  <si>
    <t>Delta15N</t>
  </si>
  <si>
    <t>Delta13C</t>
  </si>
  <si>
    <t>nr</t>
  </si>
  <si>
    <t>run</t>
  </si>
  <si>
    <t>treatment</t>
  </si>
  <si>
    <t>layer</t>
  </si>
  <si>
    <t>LOI</t>
  </si>
  <si>
    <t>tray</t>
  </si>
  <si>
    <t>well</t>
  </si>
  <si>
    <t>6-8mg</t>
  </si>
  <si>
    <t>beriget</t>
  </si>
  <si>
    <t>BCD</t>
  </si>
  <si>
    <t>top</t>
  </si>
  <si>
    <t>A1</t>
  </si>
  <si>
    <t>middle</t>
  </si>
  <si>
    <t>A2</t>
  </si>
  <si>
    <t>bottom</t>
  </si>
  <si>
    <t>A3</t>
  </si>
  <si>
    <t>BCW</t>
  </si>
  <si>
    <t>A4</t>
  </si>
  <si>
    <t>A5</t>
  </si>
  <si>
    <t>A6</t>
  </si>
  <si>
    <t>BUD</t>
  </si>
  <si>
    <t>A7</t>
  </si>
  <si>
    <t>A8</t>
  </si>
  <si>
    <t>A9</t>
  </si>
  <si>
    <t>BUW</t>
  </si>
  <si>
    <t>A10</t>
  </si>
  <si>
    <t>A11</t>
  </si>
  <si>
    <t>A12</t>
  </si>
  <si>
    <t>SCD</t>
  </si>
  <si>
    <t>B1</t>
  </si>
  <si>
    <t>B2</t>
  </si>
  <si>
    <t>B3</t>
  </si>
  <si>
    <t>SCW</t>
  </si>
  <si>
    <t>B4</t>
  </si>
  <si>
    <t>B5</t>
  </si>
  <si>
    <t>B6</t>
  </si>
  <si>
    <t>SUD</t>
  </si>
  <si>
    <t>B7</t>
  </si>
  <si>
    <t>B8</t>
  </si>
  <si>
    <t>B9</t>
  </si>
  <si>
    <t>SUW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</si>
  <si>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</si>
  <si>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</si>
  <si>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</si>
  <si>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</si>
  <si>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</si>
  <si>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</si>
  <si>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</si>
  <si>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</si>
  <si>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</si>
  <si>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</si>
  <si>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</si>
  <si>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</si>
  <si>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</si>
  <si>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</si>
  <si>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</si>
  <si>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</si>
  <si>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</si>
  <si>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</si>
  <si>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</si>
  <si>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</si>
  <si>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</si>
  <si>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</si>
  <si>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</si>
  <si>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</si>
  <si>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</si>
  <si>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</si>
  <si>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</si>
  <si>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</si>
  <si>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</si>
  <si>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</si>
  <si>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</si>
  <si>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</si>
  <si>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</si>
  <si>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</si>
  <si>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</si>
  <si>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</si>
  <si>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</si>
  <si>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</si>
  <si>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</si>
  <si>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</si>
  <si>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</si>
  <si>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</si>
  <si>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</si>
  <si>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</si>
  <si>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</si>
  <si>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</si>
  <si>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</si>
  <si>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</si>
  <si>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</si>
  <si>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</si>
  <si>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</si>
  <si>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</si>
  <si>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</si>
  <si>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</si>
  <si>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</si>
  <si>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</si>
  <si>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</si>
  <si>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</si>
  <si>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</si>
  <si>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</si>
  <si>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H10</t>
  </si>
  <si>
    <t>H11</t>
  </si>
  <si>
    <t>H12</t>
  </si>
  <si>
    <t>D1</t>
  </si>
  <si>
    <t>D2</t>
  </si>
  <si>
    <t>D3</t>
  </si>
  <si>
    <t>top_poop</t>
  </si>
  <si>
    <t>EliseLabSoil_tray0_1.raw</t>
  </si>
  <si>
    <t>EliseLabSoil_tray0_2.raw</t>
  </si>
  <si>
    <t>EliseLabSoil_tray0_3.raw</t>
  </si>
  <si>
    <t>EliseLabSoil_tray0_4.raw</t>
  </si>
  <si>
    <t>EliseLabSoil_tray0_5.raw</t>
  </si>
  <si>
    <t>EliseLabSoil_tray0_6.raw</t>
  </si>
  <si>
    <t>EliseLabSoil_tray0_7.raw</t>
  </si>
  <si>
    <t>EliseLabSoil_tray0_8.raw</t>
  </si>
  <si>
    <t>EliseLabSoil_tray0_9.raw</t>
  </si>
  <si>
    <t>EliseLabSoil_tray0_10.raw</t>
  </si>
  <si>
    <t>EliseLabSoil_tray0_11.raw</t>
  </si>
  <si>
    <t>EliseLabSoil_tray0_12.raw</t>
  </si>
  <si>
    <t>peach 1324u.raw</t>
  </si>
  <si>
    <t>EliseLabSoil_tray0_13.raw</t>
  </si>
  <si>
    <t>EliseLabSoil_tray0_14.raw</t>
  </si>
  <si>
    <t>EliseLabSoil_tray0_15.raw</t>
  </si>
  <si>
    <t>EliseLabSoil_tray0_16.raw</t>
  </si>
  <si>
    <t>EliseLabSoil_tray0_17.raw</t>
  </si>
  <si>
    <t>EliseLabSoil_tray0_18.raw</t>
  </si>
  <si>
    <t>EliseLabSoil_tray0_19.raw</t>
  </si>
  <si>
    <t>EliseLabSoil_tray0_20.raw</t>
  </si>
  <si>
    <t>EliseLabSoil_tray0_21.raw</t>
  </si>
  <si>
    <t>EliseLabSoil_tray0_22.raw</t>
  </si>
  <si>
    <t>EliseLabSoil_tray0_23.raw</t>
  </si>
  <si>
    <t>EliseLabSoil_tray0_24.raw</t>
  </si>
  <si>
    <t>peach 1441u.raw</t>
  </si>
  <si>
    <t>peach 1310 eft ASH RED.raw</t>
  </si>
  <si>
    <t>EliseLabSoil_tray1_4.raw</t>
  </si>
  <si>
    <t>EliseLabSoil_tray1_5.raw</t>
  </si>
  <si>
    <t>EliseLabSoil_tray1_6.raw</t>
  </si>
  <si>
    <t>EliseLabSoil_tray1_7.raw</t>
  </si>
  <si>
    <t>EliseLabSoil_tray1_8.raw</t>
  </si>
  <si>
    <t>EliseLabSoil_tray1_9.raw</t>
  </si>
  <si>
    <t>EliseLabSoil_tray1_10.raw</t>
  </si>
  <si>
    <t>EliseLabSoil_tray1_11.raw</t>
  </si>
  <si>
    <t>EliseLabSoil_tray1_12.raw</t>
  </si>
  <si>
    <t>EliseLabSoil_tray1_13.raw</t>
  </si>
  <si>
    <t>EliseLabSoil_tray1_14.raw</t>
  </si>
  <si>
    <t>EliseLabSoil_tray1_15.raw</t>
  </si>
  <si>
    <t>EliseLabSoil_tray1_16.raw</t>
  </si>
  <si>
    <t>EliseLabSoil_tray1_17.raw</t>
  </si>
  <si>
    <t>EliseLabSoil_tray1_18.raw</t>
  </si>
  <si>
    <t>peach 1224u.raw</t>
  </si>
  <si>
    <t>EliseLabSoil_tray1_22.raw</t>
  </si>
  <si>
    <t>EliseLabSoil_tray1_23.raw</t>
  </si>
  <si>
    <t>EliseLabSoil_tray1_24.raw</t>
  </si>
  <si>
    <t>EliseLabSoil_tray1_25.raw</t>
  </si>
  <si>
    <t>EliseLabSoil_tray1_26.raw</t>
  </si>
  <si>
    <t>EliseLabSoil_tray1_27.raw</t>
  </si>
  <si>
    <t>EliseLabSoil_tray1_28.raw</t>
  </si>
  <si>
    <t>EliseLabSoil_tray1_29.raw</t>
  </si>
  <si>
    <t>EliseLabSoil_tray1_30.raw</t>
  </si>
  <si>
    <t>EliseLabSoil_tray1_31.raw</t>
  </si>
  <si>
    <t>EliseLabSoil_tray1_32.raw</t>
  </si>
  <si>
    <t>EliseLabSoil_tray1_33.raw</t>
  </si>
  <si>
    <t>EliseLabSoil_tray1_34.raw</t>
  </si>
  <si>
    <t>EliseLabSoil_tray1_35.raw</t>
  </si>
  <si>
    <t>EliseLabSoil_tray1_36.raw</t>
  </si>
  <si>
    <t>peach 1342u.raw</t>
  </si>
  <si>
    <t>EliseLabSoil_tray1_40.raw</t>
  </si>
  <si>
    <t>EliseLabSoil_tray1_41.raw</t>
  </si>
  <si>
    <t>EliseLabSoil_tray1_42.raw</t>
  </si>
  <si>
    <t>EliseLabSoil_tray1_43.raw</t>
  </si>
  <si>
    <t>EliseLabSoil_tray1_44.raw</t>
  </si>
  <si>
    <t>EliseLabSoil_tray1_45.raw</t>
  </si>
  <si>
    <t>EliseLabSoil_tray1_46.raw</t>
  </si>
  <si>
    <t>EliseLabSoil_tray1_47.raw</t>
  </si>
  <si>
    <t>EliseLabSoil_tray1_48.raw</t>
  </si>
  <si>
    <t>EliseLabSoil_tray1_49.raw</t>
  </si>
  <si>
    <t>EliseLabSoil_tray1_50.raw</t>
  </si>
  <si>
    <t>EliseLabSoil_tray1_51.raw</t>
  </si>
  <si>
    <t>EliseLabSoil_tray1_52.raw</t>
  </si>
  <si>
    <t>EliseLabSoil_tray1_53.raw</t>
  </si>
  <si>
    <t>EliseLabSoil_tray1_54.raw</t>
  </si>
  <si>
    <t>peach 1391u.raw</t>
  </si>
  <si>
    <t>EliseLabSoil_tray1_58.raw</t>
  </si>
  <si>
    <t>EliseLabSoil_tray1_59.raw</t>
  </si>
  <si>
    <t>EliseLabSoil_tray1_60.raw</t>
  </si>
  <si>
    <t>EliseLabSoil_tray1_61.raw</t>
  </si>
  <si>
    <t>EliseLabSoil_tray1_62.raw</t>
  </si>
  <si>
    <t>EliseLabSoil_tray1_63.raw</t>
  </si>
  <si>
    <t>EliseLabSoil_tray1_64.raw</t>
  </si>
  <si>
    <t>EliseLabSoil_tray1_65.raw</t>
  </si>
  <si>
    <t>EliseLabSoil_tray1_66.raw</t>
  </si>
  <si>
    <t>EliseLabSoil_tray1_67.raw</t>
  </si>
  <si>
    <t>EliseLabSoil_tray1_68.raw</t>
  </si>
  <si>
    <t>EliseLabSoil_tray1_69.raw</t>
  </si>
  <si>
    <t>EliseLabSoil_tray1_70.raw</t>
  </si>
  <si>
    <t>EliseLabSoil_tray1_71.raw</t>
  </si>
  <si>
    <t>EliseLabSoil_tray1_72.raw</t>
  </si>
  <si>
    <t>peach 1493u.raw</t>
  </si>
  <si>
    <t>EliseLabSoil_tray1_76.raw</t>
  </si>
  <si>
    <t>EliseLabSoil_tray1_77.raw</t>
  </si>
  <si>
    <t>EliseLabSoil_tray1_78.raw</t>
  </si>
  <si>
    <t>EliseLabSoil_tray1_79.raw</t>
  </si>
  <si>
    <t>EliseLabSoil_tray1_80.raw</t>
  </si>
  <si>
    <t>EliseLabSoil_tray1_81.raw</t>
  </si>
  <si>
    <t>EliseLabSoil_tray1_82.raw</t>
  </si>
  <si>
    <t>EliseLabSoil_tray1_83.raw</t>
  </si>
  <si>
    <t>EliseLabSoil_tray1_84.raw</t>
  </si>
  <si>
    <t>EliseLabSoil_tray1_85.raw</t>
  </si>
  <si>
    <t>EliseLabSoil_tray1_86.raw</t>
  </si>
  <si>
    <t>EliseLabSoil_tray1_87.raw</t>
  </si>
  <si>
    <t>EliseLabSoil_tray1_88.raw</t>
  </si>
  <si>
    <t>EliseLabSoil_tray1_89.raw</t>
  </si>
  <si>
    <t>EliseLabSoil_tray1_90.raw</t>
  </si>
  <si>
    <t>peach 1447u.raw</t>
  </si>
  <si>
    <t>EliseLabSoil_tray1_94.raw</t>
  </si>
  <si>
    <t>EliseLabSoil_tray1_95.raw</t>
  </si>
  <si>
    <t>EliseLabSoil_tray1_96.raw</t>
  </si>
  <si>
    <t>EliseLabSoil_tray2_1.raw</t>
  </si>
  <si>
    <t>EliseLabSoil_tray2_2.raw</t>
  </si>
  <si>
    <t>EliseLabSoil_tray2_3.raw</t>
  </si>
  <si>
    <t>EliseLabSoil_tray2_4.raw</t>
  </si>
  <si>
    <t>EliseLabSoil_tray2_5.raw</t>
  </si>
  <si>
    <t>EliseLabSoil_tray2_6.raw</t>
  </si>
  <si>
    <t>EliseLabSoil_tray2_7.raw</t>
  </si>
  <si>
    <t>EliseLabSoil_tray2_8.raw</t>
  </si>
  <si>
    <t>EliseLabSoil_tray2_9.raw</t>
  </si>
  <si>
    <t>EliseLabSoil_tray2_10.raw</t>
  </si>
  <si>
    <t>EliseLabSoil_tray2_11.raw</t>
  </si>
  <si>
    <t>EliseLabSoil_tray2_12.raw</t>
  </si>
  <si>
    <t>peach 2041u.raw</t>
  </si>
  <si>
    <t>EliseLabSoil_tray2_16.raw</t>
  </si>
  <si>
    <t>EliseLabSoil_tray2_17.raw</t>
  </si>
  <si>
    <t>EliseLabSoil_tray2_18.raw</t>
  </si>
  <si>
    <t>EliseLabSoil_tray2_19.raw</t>
  </si>
  <si>
    <t>EliseLabSoil_tray2_20.raw</t>
  </si>
  <si>
    <t>EliseLabSoil_tray2_21.raw</t>
  </si>
  <si>
    <t>EliseLabSoil_tray2_22.raw</t>
  </si>
  <si>
    <t>EliseLabSoil_tray2_23.raw</t>
  </si>
  <si>
    <t>EliseLabSoil_tray2_24.raw</t>
  </si>
  <si>
    <t>EliseLabSoil_tray2_25.raw</t>
  </si>
  <si>
    <t>EliseLabSoil_tray2_26.raw</t>
  </si>
  <si>
    <t>EliseLabSoil_tray2_27.raw</t>
  </si>
  <si>
    <t>EliseLabSoil_tray2_28.raw</t>
  </si>
  <si>
    <t>EliseLabSoil_tray2_29.raw</t>
  </si>
  <si>
    <t>EliseLabSoil_tray2_30.raw</t>
  </si>
  <si>
    <t>peach 2361u.raw</t>
  </si>
  <si>
    <t>EliseLabSoil_tray2_34.raw</t>
  </si>
  <si>
    <t>EliseLabSoil_tray2_35.raw</t>
  </si>
  <si>
    <t>EliseLabSoil_tray2_36.raw</t>
  </si>
  <si>
    <t>EliseLabSoil_tray2_37.raw</t>
  </si>
  <si>
    <t>EliseLabSoil_tray2_38.raw</t>
  </si>
  <si>
    <t>EliseLabSoil_tray2_39.raw</t>
  </si>
  <si>
    <t>EliseLabSoil_tray2_40.raw</t>
  </si>
  <si>
    <t>EliseLabSoil_tray2_41.raw</t>
  </si>
  <si>
    <t>EliseLabSoil_tray2_42.raw</t>
  </si>
  <si>
    <t>EliseLabSoil_tray2_43.raw</t>
  </si>
  <si>
    <t>EliseLabSoil_tray2_44.raw</t>
  </si>
  <si>
    <t>EliseLabSoil_tray2_45.raw</t>
  </si>
  <si>
    <t>EliseLabSoil_tray2_46.raw</t>
  </si>
  <si>
    <t>EliseLabSoil_tray2_47.raw</t>
  </si>
  <si>
    <t>EliseLabSoil_tray2_48.raw</t>
  </si>
  <si>
    <t>EliseLabSoil_tray2_49.raw</t>
  </si>
  <si>
    <t>EliseLabSoil_tray2_50.raw</t>
  </si>
  <si>
    <t>EliseLabSoil_tray2_51.raw</t>
  </si>
  <si>
    <t>EliseLabSoil_tray2_52.raw</t>
  </si>
  <si>
    <t>comment</t>
  </si>
  <si>
    <t>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</si>
</sst>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00000"/>
    <numFmt numFmtId="167" formatCode="0.0000000000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color theme="0" tint="-0.34998626667073579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 tint="-0.34998626667073579"/>
      <name val="Arial"/>
      <family val="2"/>
    </font>
    <font>
      <b/>
      <sz val="14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 tint="-0.34998626667073579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1" fillId="0" borderId="0"/>
    <xf numFmtId="0" fontId="2" fillId="2" borderId="0" applyNumberFormat="0" applyBorder="0" applyAlignment="0" applyProtection="0"/>
    <xf numFmtId="0" fontId="7" fillId="0" borderId="0"/>
    <xf numFmtId="0" fontId="7" fillId="0" borderId="0"/>
  </cellStyleXfs>
  <cellXfs count="61">
    <xf numFmtId="0" fontId="0" fillId="0" borderId="0" xfId="0"/>
    <xf numFmtId="2" fontId="5" fillId="5" borderId="1" xfId="0" applyNumberFormat="1" applyFont="1" applyFill="1" applyBorder="1" applyAlignment="1">
      <alignment wrapText="1"/>
    </xf>
    <xf numFmtId="164" fontId="6" fillId="5" borderId="0" xfId="0" applyNumberFormat="1" applyFont="1" applyFill="1" applyAlignment="1">
      <alignment wrapText="1"/>
    </xf>
    <xf numFmtId="165" fontId="11" fillId="5" borderId="1" xfId="3" applyNumberFormat="1" applyFont="1" applyFill="1" applyBorder="1"/>
    <xf numFmtId="2" fontId="11" fillId="5" borderId="1" xfId="3" applyNumberFormat="1" applyFont="1" applyFill="1" applyBorder="1"/>
    <xf numFmtId="2" fontId="12" fillId="5" borderId="1" xfId="0" applyNumberFormat="1" applyFont="1" applyFill="1" applyBorder="1" applyAlignment="1">
      <alignment wrapText="1"/>
    </xf>
    <xf numFmtId="165" fontId="13" fillId="5" borderId="1" xfId="0" applyNumberFormat="1" applyFont="1" applyFill="1" applyBorder="1" applyAlignment="1">
      <alignment wrapText="1"/>
    </xf>
    <xf numFmtId="0" fontId="14" fillId="0" borderId="2" xfId="4" applyFont="1" applyBorder="1" applyAlignment="1">
      <alignment horizontal="center" vertical="top"/>
    </xf>
    <xf numFmtId="2" fontId="14" fillId="0" borderId="2" xfId="4" applyNumberFormat="1" applyFont="1" applyBorder="1" applyAlignment="1">
      <alignment horizontal="center" vertical="top"/>
    </xf>
    <xf numFmtId="0" fontId="14" fillId="6" borderId="2" xfId="4" applyFont="1" applyFill="1" applyBorder="1" applyAlignment="1">
      <alignment horizontal="center" vertical="top"/>
    </xf>
    <xf numFmtId="2" fontId="14" fillId="6" borderId="2" xfId="4" applyNumberFormat="1" applyFont="1" applyFill="1" applyBorder="1" applyAlignment="1">
      <alignment horizontal="center" vertical="top"/>
    </xf>
    <xf numFmtId="2" fontId="9" fillId="10" borderId="0" xfId="0" applyNumberFormat="1" applyFont="1" applyFill="1"/>
    <xf numFmtId="2" fontId="13" fillId="5" borderId="1" xfId="0" applyNumberFormat="1" applyFont="1" applyFill="1" applyBorder="1" applyAlignment="1">
      <alignment wrapText="1"/>
    </xf>
    <xf numFmtId="2" fontId="17" fillId="5" borderId="1" xfId="0" applyNumberFormat="1" applyFont="1" applyFill="1" applyBorder="1" applyAlignment="1">
      <alignment wrapText="1"/>
    </xf>
    <xf numFmtId="0" fontId="19" fillId="0" borderId="0" xfId="0" applyFont="1"/>
    <xf numFmtId="0" fontId="14" fillId="0" borderId="3" xfId="4" applyFont="1" applyBorder="1" applyAlignment="1">
      <alignment horizontal="center" vertical="top"/>
    </xf>
    <xf numFmtId="2" fontId="14" fillId="0" borderId="3" xfId="4" applyNumberFormat="1" applyFont="1" applyBorder="1" applyAlignment="1">
      <alignment horizontal="center" vertical="top"/>
    </xf>
    <xf numFmtId="165" fontId="20" fillId="5" borderId="1" xfId="3" applyNumberFormat="1" applyFont="1" applyFill="1" applyBorder="1"/>
    <xf numFmtId="2" fontId="20" fillId="5" borderId="1" xfId="3" applyNumberFormat="1" applyFont="1" applyFill="1" applyBorder="1"/>
    <xf numFmtId="2" fontId="18" fillId="10" borderId="0" xfId="0" applyNumberFormat="1" applyFont="1" applyFill="1"/>
    <xf numFmtId="0" fontId="18" fillId="10" borderId="0" xfId="0" applyFont="1" applyFill="1"/>
    <xf numFmtId="0" fontId="7" fillId="0" borderId="0" xfId="4"/>
    <xf numFmtId="0" fontId="0" fillId="0" borderId="0" xfId="0" applyAlignment="1">
      <alignment horizontal="righ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166" fontId="15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right"/>
    </xf>
    <xf numFmtId="166" fontId="7" fillId="8" borderId="5" xfId="4" applyNumberFormat="1" applyFill="1" applyBorder="1" applyAlignment="1">
      <alignment horizontal="center" wrapText="1"/>
    </xf>
    <xf numFmtId="166" fontId="7" fillId="8" borderId="6" xfId="4" applyNumberFormat="1" applyFill="1" applyBorder="1" applyAlignment="1">
      <alignment horizontal="center" wrapText="1"/>
    </xf>
    <xf numFmtId="166" fontId="7" fillId="8" borderId="4" xfId="4" applyNumberFormat="1" applyFill="1" applyBorder="1" applyAlignment="1">
      <alignment horizontal="center" wrapText="1"/>
    </xf>
    <xf numFmtId="166" fontId="15" fillId="11" borderId="0" xfId="0" applyNumberFormat="1" applyFont="1" applyFill="1"/>
    <xf numFmtId="166" fontId="16" fillId="9" borderId="0" xfId="0" applyNumberFormat="1" applyFont="1" applyFill="1" applyAlignment="1">
      <alignment horizontal="center" vertical="top" wrapText="1"/>
    </xf>
    <xf numFmtId="166" fontId="13" fillId="7" borderId="1" xfId="0" applyNumberFormat="1" applyFont="1" applyFill="1" applyBorder="1" applyAlignment="1">
      <alignment horizontal="center" vertical="top" wrapText="1"/>
    </xf>
    <xf numFmtId="166" fontId="8" fillId="4" borderId="1" xfId="1" applyNumberFormat="1" applyFont="1" applyFill="1" applyBorder="1" applyAlignment="1">
      <alignment horizontal="center" vertical="top" wrapText="1"/>
    </xf>
    <xf numFmtId="166" fontId="10" fillId="4" borderId="1" xfId="1" applyNumberFormat="1" applyFont="1" applyFill="1" applyBorder="1" applyAlignment="1">
      <alignment horizontal="center" vertical="top" wrapText="1"/>
    </xf>
    <xf numFmtId="166" fontId="3" fillId="4" borderId="1" xfId="1" applyNumberFormat="1" applyFont="1" applyFill="1" applyBorder="1" applyAlignment="1">
      <alignment vertical="top" wrapText="1"/>
    </xf>
    <xf numFmtId="166" fontId="4" fillId="4" borderId="1" xfId="1" applyNumberFormat="1" applyFont="1" applyFill="1" applyBorder="1" applyAlignment="1">
      <alignment horizontal="center" vertical="top" wrapText="1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14" fillId="0" borderId="2" xfId="4" applyNumberFormat="1" applyFont="1" applyBorder="1" applyAlignment="1">
      <alignment horizontal="center" vertical="top"/>
    </xf>
    <xf numFmtId="166" fontId="18" fillId="10" borderId="0" xfId="0" applyNumberFormat="1" applyFont="1" applyFill="1"/>
    <xf numFmtId="166" fontId="6" fillId="5" borderId="0" xfId="0" applyNumberFormat="1" applyFont="1" applyFill="1" applyAlignment="1">
      <alignment wrapText="1"/>
    </xf>
    <xf numFmtId="166" fontId="13" fillId="5" borderId="1" xfId="0" applyNumberFormat="1" applyFont="1" applyFill="1" applyBorder="1" applyAlignment="1">
      <alignment wrapText="1"/>
    </xf>
    <xf numFmtId="166" fontId="11" fillId="5" borderId="1" xfId="3" applyNumberFormat="1" applyFont="1" applyFill="1" applyBorder="1"/>
    <xf numFmtId="166" fontId="12" fillId="5" borderId="1" xfId="0" applyNumberFormat="1" applyFont="1" applyFill="1" applyBorder="1" applyAlignment="1">
      <alignment wrapText="1"/>
    </xf>
    <xf numFmtId="166" fontId="5" fillId="5" borderId="1" xfId="0" applyNumberFormat="1" applyFont="1" applyFill="1" applyBorder="1" applyAlignment="1">
      <alignment wrapText="1"/>
    </xf>
    <xf numFmtId="166" fontId="14" fillId="6" borderId="2" xfId="4" applyNumberFormat="1" applyFont="1" applyFill="1" applyBorder="1" applyAlignment="1">
      <alignment horizontal="center" vertical="top"/>
    </xf>
    <xf numFmtId="166" fontId="21" fillId="5" borderId="1" xfId="0" applyNumberFormat="1" applyFont="1" applyFill="1" applyBorder="1" applyAlignment="1">
      <alignment wrapText="1"/>
    </xf>
    <xf numFmtId="166" fontId="14" fillId="6" borderId="3" xfId="4" applyNumberFormat="1" applyFont="1" applyFill="1" applyBorder="1" applyAlignment="1">
      <alignment horizontal="center" vertical="top"/>
    </xf>
    <xf numFmtId="166" fontId="14" fillId="12" borderId="2" xfId="4" applyNumberFormat="1" applyFont="1" applyFill="1" applyBorder="1" applyAlignment="1">
      <alignment horizontal="center" vertical="top"/>
    </xf>
    <xf numFmtId="167" fontId="15" fillId="13" borderId="0" xfId="0" applyNumberFormat="1" applyFont="1" applyFill="1" applyAlignment="1">
      <alignment horizontal="center"/>
    </xf>
    <xf numFmtId="167" fontId="15" fillId="13" borderId="0" xfId="0" applyNumberFormat="1" applyFont="1" applyFill="1" applyAlignment="1">
      <alignment horizontal="right"/>
    </xf>
    <xf numFmtId="167" fontId="8" fillId="4" borderId="1" xfId="1" applyNumberFormat="1" applyFont="1" applyFill="1" applyBorder="1" applyAlignment="1">
      <alignment horizontal="center" vertical="top" wrapText="1"/>
    </xf>
    <xf numFmtId="167" fontId="10" fillId="4" borderId="1" xfId="1" applyNumberFormat="1" applyFont="1" applyFill="1" applyBorder="1" applyAlignment="1">
      <alignment horizontal="center" vertical="top" wrapText="1"/>
    </xf>
    <xf numFmtId="167" fontId="3" fillId="4" borderId="1" xfId="1" applyNumberFormat="1" applyFont="1" applyFill="1" applyBorder="1" applyAlignment="1">
      <alignment vertical="top" wrapText="1"/>
    </xf>
    <xf numFmtId="167" fontId="4" fillId="4" borderId="1" xfId="1" applyNumberFormat="1" applyFont="1" applyFill="1" applyBorder="1" applyAlignment="1">
      <alignment horizontal="center" vertical="top" wrapText="1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7" fontId="11" fillId="5" borderId="1" xfId="3" applyNumberFormat="1" applyFont="1" applyFill="1" applyBorder="1"/>
    <xf numFmtId="167" fontId="12" fillId="5" borderId="1" xfId="0" applyNumberFormat="1" applyFont="1" applyFill="1" applyBorder="1" applyAlignment="1">
      <alignment wrapText="1"/>
    </xf>
    <xf numFmtId="167" fontId="22" fillId="5" borderId="1" xfId="0" applyNumberFormat="1" applyFont="1" applyFill="1" applyBorder="1" applyAlignment="1">
      <alignment wrapText="1"/>
    </xf>
  </cellXfs>
  <cellStyles count="6">
    <cellStyle name="20% - Accent6" xfId="1" builtinId="50"/>
    <cellStyle name="Bad 2" xfId="3" xr:uid="{00000000-0005-0000-0000-000001000000}"/>
    <cellStyle name="Normal" xfId="0" builtinId="0"/>
    <cellStyle name="Normal 2" xfId="4" xr:uid="{00000000-0005-0000-0000-000003000000}"/>
    <cellStyle name="Normal 2 2" xfId="2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1"/>
  <sheetViews>
    <sheetView tabSelected="1" zoomScale="85" zoomScaleNormal="85" workbookViewId="0">
      <selection activeCell="Q13" sqref="Q13"/>
    </sheetView>
  </sheetViews>
  <sheetFormatPr defaultRowHeight="15" x14ac:dyDescent="0.25"/>
  <cols>
    <col min="1" max="1" width="6.5703125" customWidth="1"/>
    <col min="2" max="2" width="7.7109375" customWidth="1"/>
    <col min="3" max="3" width="11.85546875" customWidth="1"/>
    <col min="4" max="4" width="10.85546875" customWidth="1"/>
    <col min="5" max="5" width="11.7109375" customWidth="1"/>
    <col min="6" max="6" width="7.7109375" customWidth="1"/>
    <col min="7" max="7" width="8.42578125" customWidth="1"/>
    <col min="8" max="8" width="9.7109375" customWidth="1"/>
    <col min="9" max="10" width="9.5703125" customWidth="1"/>
    <col min="11" max="11" width="14.7109375" bestFit="1" customWidth="1"/>
    <col min="12" max="12" width="21.28515625" customWidth="1"/>
    <col min="13" max="13" width="13.85546875" bestFit="1" customWidth="1"/>
    <col min="14" max="14" width="14.7109375" bestFit="1" customWidth="1"/>
    <col min="15" max="15" width="13" bestFit="1" customWidth="1"/>
    <col min="16" max="16" width="14.42578125" bestFit="1" customWidth="1"/>
    <col min="17" max="17" width="9.42578125" customWidth="1"/>
    <col min="18" max="18" width="17" bestFit="1" customWidth="1"/>
    <col min="19" max="19" width="16.42578125" bestFit="1" customWidth="1"/>
    <col min="20" max="20" width="16.7109375" bestFit="1" customWidth="1"/>
    <col min="21" max="21" width="18.7109375" bestFit="1" customWidth="1"/>
    <col min="22" max="23" width="16.7109375" bestFit="1" customWidth="1"/>
    <col min="24" max="24" width="16.140625" bestFit="1" customWidth="1"/>
    <col min="25" max="25" width="16.7109375" bestFit="1" customWidth="1"/>
    <col min="26" max="26" width="12.7109375" customWidth="1"/>
    <col min="27" max="27" width="11.28515625" customWidth="1"/>
    <col min="28" max="28" width="13" customWidth="1"/>
    <col min="29" max="29" width="12.140625" customWidth="1"/>
    <col min="30" max="30" width="12.28515625" customWidth="1"/>
    <col min="31" max="31" width="12.140625" customWidth="1"/>
    <col min="32" max="32" width="13.7109375" customWidth="1"/>
  </cols>
  <sheetData>
    <row r="1" spans="1:32" ht="31.5" x14ac:dyDescent="0.25">
      <c r="A1" s="25" t="s">
        <v>22</v>
      </c>
      <c r="B1" s="25" t="s">
        <v>23</v>
      </c>
      <c r="C1" s="25" t="s">
        <v>24</v>
      </c>
      <c r="D1" s="25" t="s">
        <v>25</v>
      </c>
      <c r="E1" s="25" t="s">
        <v>26</v>
      </c>
      <c r="F1" s="25" t="s">
        <v>27</v>
      </c>
      <c r="G1" s="26" t="s">
        <v>28</v>
      </c>
      <c r="H1" s="25" t="s">
        <v>29</v>
      </c>
      <c r="I1" s="25" t="s">
        <v>30</v>
      </c>
      <c r="J1" s="25" t="s">
        <v>288</v>
      </c>
      <c r="K1" s="27" t="s">
        <v>0</v>
      </c>
      <c r="L1" s="28" t="s">
        <v>1</v>
      </c>
      <c r="M1" s="27" t="s">
        <v>2</v>
      </c>
      <c r="N1" s="29" t="s">
        <v>3</v>
      </c>
      <c r="O1" s="27" t="s">
        <v>2</v>
      </c>
      <c r="P1" s="29" t="s">
        <v>4</v>
      </c>
      <c r="Q1" s="30" t="s">
        <v>19</v>
      </c>
      <c r="R1" s="31" t="s">
        <v>5</v>
      </c>
      <c r="S1" s="31" t="s">
        <v>6</v>
      </c>
      <c r="T1" s="31" t="s">
        <v>5</v>
      </c>
      <c r="U1" s="31" t="s">
        <v>7</v>
      </c>
      <c r="V1" s="31" t="s">
        <v>8</v>
      </c>
      <c r="W1" s="31" t="s">
        <v>9</v>
      </c>
      <c r="X1" s="31" t="s">
        <v>10</v>
      </c>
      <c r="Y1" s="31" t="s">
        <v>11</v>
      </c>
      <c r="Z1" s="32" t="s">
        <v>12</v>
      </c>
      <c r="AA1" s="32" t="s">
        <v>13</v>
      </c>
      <c r="AB1" s="33" t="s">
        <v>14</v>
      </c>
      <c r="AC1" s="34" t="s">
        <v>15</v>
      </c>
      <c r="AD1" s="34" t="s">
        <v>16</v>
      </c>
      <c r="AE1" s="35" t="s">
        <v>17</v>
      </c>
      <c r="AF1" s="36" t="s">
        <v>18</v>
      </c>
    </row>
    <row r="2" spans="1:32" ht="18" x14ac:dyDescent="0.25">
      <c r="A2" s="37">
        <v>1</v>
      </c>
      <c r="B2" s="37">
        <v>1</v>
      </c>
      <c r="C2" s="37" t="s">
        <v>31</v>
      </c>
      <c r="D2" s="37" t="s">
        <v>32</v>
      </c>
      <c r="E2" s="37"/>
      <c r="F2" s="37">
        <v>0</v>
      </c>
      <c r="G2" s="38" t="s">
        <v>33</v>
      </c>
      <c r="H2" s="37">
        <v>7.835</v>
      </c>
      <c r="I2" s="37">
        <v>0</v>
      </c>
      <c r="J2" s="37"/>
      <c r="K2" s="39">
        <v>119</v>
      </c>
      <c r="L2" s="39" t="s">
        <v>130</v>
      </c>
      <c r="M2" s="39">
        <v>5.6184835</v>
      </c>
      <c r="N2" s="39">
        <v>-0.7484870400177257</v>
      </c>
      <c r="O2" s="39">
        <v>4.8902225000000001</v>
      </c>
      <c r="P2" s="39">
        <v>-28.818320263125774</v>
      </c>
      <c r="Q2" s="37">
        <v>7.835</v>
      </c>
      <c r="R2" s="40">
        <v>3.7583036388888882</v>
      </c>
      <c r="S2" s="40">
        <v>2.0716198484927761</v>
      </c>
      <c r="T2" s="40">
        <v>2.6898764166666664</v>
      </c>
      <c r="U2" s="40">
        <v>-25.568353824712908</v>
      </c>
      <c r="V2" s="40">
        <v>1.5536666666666668</v>
      </c>
      <c r="W2" s="40">
        <v>1.5536666666666668</v>
      </c>
      <c r="X2" s="41">
        <f t="shared" ref="X2" si="0">((2.82/100)*V2)/R2</f>
        <v>1.1657759513266223E-2</v>
      </c>
      <c r="Y2" s="41">
        <f t="shared" ref="Y2" si="1">((46.01/100)*W2)/T2</f>
        <v>0.2657527419862567</v>
      </c>
      <c r="Z2" s="42">
        <f t="shared" ref="Z2" si="2">M2*X2</f>
        <v>6.5498929472254303E-2</v>
      </c>
      <c r="AA2" s="42">
        <f t="shared" ref="AA2" si="3">O2*Y2</f>
        <v>1.2995900382978873</v>
      </c>
      <c r="AB2" s="43">
        <f t="shared" ref="AB2" si="4">100*Z2/Q2</f>
        <v>0.83597867865034214</v>
      </c>
      <c r="AC2" s="43">
        <f t="shared" ref="AC2" si="5">100*AA2/Q2</f>
        <v>16.586981982104497</v>
      </c>
      <c r="AD2" s="44">
        <f t="shared" ref="AD2" si="6">AA2/Z2</f>
        <v>19.841393573438488</v>
      </c>
      <c r="AE2" s="45">
        <f t="shared" ref="AE2" si="7">N2+(1.98-S2)</f>
        <v>-0.84010688851050186</v>
      </c>
      <c r="AF2" s="45">
        <f t="shared" ref="AF2" si="8">P2+(-26.03-U2)</f>
        <v>-29.279966438412867</v>
      </c>
    </row>
    <row r="3" spans="1:32" ht="18" x14ac:dyDescent="0.25">
      <c r="A3" s="37">
        <v>2</v>
      </c>
      <c r="B3" s="37">
        <v>1</v>
      </c>
      <c r="C3" s="37" t="s">
        <v>31</v>
      </c>
      <c r="D3" s="37" t="s">
        <v>34</v>
      </c>
      <c r="E3" s="37">
        <v>19.920318730000002</v>
      </c>
      <c r="F3" s="37">
        <v>0</v>
      </c>
      <c r="G3" s="38" t="s">
        <v>35</v>
      </c>
      <c r="H3" s="37">
        <v>7.6319999999999997</v>
      </c>
      <c r="I3" s="37">
        <v>0</v>
      </c>
      <c r="J3" s="37"/>
      <c r="K3" s="46">
        <v>120</v>
      </c>
      <c r="L3" s="46" t="s">
        <v>131</v>
      </c>
      <c r="M3" s="46">
        <v>2.8932577500000001</v>
      </c>
      <c r="N3" s="46">
        <v>0.30235793515449305</v>
      </c>
      <c r="O3" s="46">
        <v>2.2485602500000001</v>
      </c>
      <c r="P3" s="46">
        <v>-26.660935720468974</v>
      </c>
      <c r="Q3" s="37">
        <v>7.6319999999999997</v>
      </c>
      <c r="R3" s="40">
        <v>3.7583036388888882</v>
      </c>
      <c r="S3" s="40">
        <v>2.0716198484927761</v>
      </c>
      <c r="T3" s="40">
        <v>2.6898764166666664</v>
      </c>
      <c r="U3" s="40">
        <v>-25.568353824712908</v>
      </c>
      <c r="V3" s="40">
        <v>1.5536666666666668</v>
      </c>
      <c r="W3" s="40">
        <v>1.5536666666666668</v>
      </c>
      <c r="X3" s="41">
        <f t="shared" ref="X3:X150" si="9">((2.82/100)*V3)/R3</f>
        <v>1.1657759513266223E-2</v>
      </c>
      <c r="Y3" s="41">
        <f t="shared" ref="Y3:Y150" si="10">((46.01/100)*W3)/T3</f>
        <v>0.2657527419862567</v>
      </c>
      <c r="Z3" s="42">
        <f t="shared" ref="Z3:Z150" si="11">M3*X3</f>
        <v>3.3728903059393731E-2</v>
      </c>
      <c r="AA3" s="42">
        <f t="shared" ref="AA3:AA150" si="12">O3*Y3</f>
        <v>0.59756105195880294</v>
      </c>
      <c r="AB3" s="43">
        <f t="shared" ref="AB3:AB150" si="13">100*Z3/Q3</f>
        <v>0.44194055371323021</v>
      </c>
      <c r="AC3" s="43">
        <f t="shared" ref="AC3:AC150" si="14">100*AA3/Q3</f>
        <v>7.8296783537579007</v>
      </c>
      <c r="AD3" s="44">
        <f t="shared" ref="AD3:AD150" si="15">AA3/Z3</f>
        <v>17.716587192490334</v>
      </c>
      <c r="AE3" s="45">
        <f t="shared" ref="AE3:AE150" si="16">N3+(1.98-S3)</f>
        <v>0.21073808666171689</v>
      </c>
      <c r="AF3" s="45">
        <f t="shared" ref="AF3:AF150" si="17">P3+(-26.03-U3)</f>
        <v>-27.122581895756067</v>
      </c>
    </row>
    <row r="4" spans="1:32" ht="18" x14ac:dyDescent="0.25">
      <c r="A4" s="37">
        <v>3</v>
      </c>
      <c r="B4" s="37">
        <v>1</v>
      </c>
      <c r="C4" s="37" t="s">
        <v>31</v>
      </c>
      <c r="D4" s="37" t="s">
        <v>36</v>
      </c>
      <c r="E4" s="37"/>
      <c r="F4" s="37">
        <v>0</v>
      </c>
      <c r="G4" s="38" t="s">
        <v>37</v>
      </c>
      <c r="H4" s="37">
        <v>7.5579999999999998</v>
      </c>
      <c r="I4" s="37">
        <v>0</v>
      </c>
      <c r="J4" s="37"/>
      <c r="K4" s="39">
        <v>121</v>
      </c>
      <c r="L4" s="39" t="s">
        <v>132</v>
      </c>
      <c r="M4" s="39">
        <v>1.9547516250000001</v>
      </c>
      <c r="N4" s="39">
        <v>0.88066739171223374</v>
      </c>
      <c r="O4" s="39">
        <v>1.223152375</v>
      </c>
      <c r="P4" s="39">
        <v>-24.979740370287676</v>
      </c>
      <c r="Q4" s="37">
        <v>7.5579999999999998</v>
      </c>
      <c r="R4" s="40">
        <v>3.7583036388888882</v>
      </c>
      <c r="S4" s="40">
        <v>2.0716198484927761</v>
      </c>
      <c r="T4" s="40">
        <v>2.6898764166666664</v>
      </c>
      <c r="U4" s="40">
        <v>-25.568353824712908</v>
      </c>
      <c r="V4" s="40">
        <v>1.5536666666666668</v>
      </c>
      <c r="W4" s="40">
        <v>1.5536666666666668</v>
      </c>
      <c r="X4" s="41">
        <f t="shared" ref="X4:X107" si="18">((2.82/100)*V4)/R4</f>
        <v>1.1657759513266223E-2</v>
      </c>
      <c r="Y4" s="41">
        <f t="shared" ref="Y4:Y107" si="19">((46.01/100)*W4)/T4</f>
        <v>0.2657527419862567</v>
      </c>
      <c r="Z4" s="42">
        <f t="shared" ref="Z4:Z107" si="20">M4*X4</f>
        <v>2.278802435241636E-2</v>
      </c>
      <c r="AA4" s="42">
        <f t="shared" ref="AA4:AA107" si="21">O4*Y4</f>
        <v>0.3250560975232521</v>
      </c>
      <c r="AB4" s="43">
        <f t="shared" ref="AB4:AB107" si="22">100*Z4/Q4</f>
        <v>0.30150865774565172</v>
      </c>
      <c r="AC4" s="43">
        <f t="shared" ref="AC4:AC107" si="23">100*AA4/Q4</f>
        <v>4.3008216131681936</v>
      </c>
      <c r="AD4" s="44">
        <f t="shared" ref="AD4:AD107" si="24">AA4/Z4</f>
        <v>14.264338693704454</v>
      </c>
      <c r="AE4" s="45">
        <f t="shared" ref="AE4:AE83" si="25">N4+(1.98-S4)</f>
        <v>0.78904754321945758</v>
      </c>
      <c r="AF4" s="45">
        <f t="shared" ref="AF4:AF83" si="26">P4+(-26.03-U4)</f>
        <v>-25.441386545574769</v>
      </c>
    </row>
    <row r="5" spans="1:32" ht="18" x14ac:dyDescent="0.25">
      <c r="A5" s="37">
        <v>19</v>
      </c>
      <c r="B5" s="37">
        <v>1</v>
      </c>
      <c r="C5" s="37" t="s">
        <v>38</v>
      </c>
      <c r="D5" s="37" t="s">
        <v>32</v>
      </c>
      <c r="E5" s="37"/>
      <c r="F5" s="37">
        <v>0</v>
      </c>
      <c r="G5" s="38" t="s">
        <v>39</v>
      </c>
      <c r="H5" s="37">
        <v>6.3479999999999999</v>
      </c>
      <c r="I5" s="37">
        <v>0</v>
      </c>
      <c r="J5" s="37"/>
      <c r="K5" s="46">
        <v>122</v>
      </c>
      <c r="L5" s="46" t="s">
        <v>133</v>
      </c>
      <c r="M5" s="46">
        <v>4.5876644999999998</v>
      </c>
      <c r="N5" s="46">
        <v>-0.37110527194949283</v>
      </c>
      <c r="O5" s="46">
        <v>4.3406969999999996</v>
      </c>
      <c r="P5" s="46">
        <v>-28.138243090387054</v>
      </c>
      <c r="Q5" s="37">
        <v>6.3479999999999999</v>
      </c>
      <c r="R5" s="40">
        <v>3.7583036388888882</v>
      </c>
      <c r="S5" s="40">
        <v>2.0716198484927761</v>
      </c>
      <c r="T5" s="40">
        <v>2.6898764166666664</v>
      </c>
      <c r="U5" s="40">
        <v>-25.568353824712908</v>
      </c>
      <c r="V5" s="40">
        <v>1.5536666666666668</v>
      </c>
      <c r="W5" s="40">
        <v>1.5536666666666668</v>
      </c>
      <c r="X5" s="41">
        <f t="shared" si="18"/>
        <v>1.1657759513266223E-2</v>
      </c>
      <c r="Y5" s="41">
        <f t="shared" si="19"/>
        <v>0.2657527419862567</v>
      </c>
      <c r="Z5" s="42">
        <f t="shared" si="20"/>
        <v>5.3481889468548725E-2</v>
      </c>
      <c r="AA5" s="42">
        <f t="shared" si="21"/>
        <v>1.1535521298815183</v>
      </c>
      <c r="AB5" s="43">
        <f t="shared" si="22"/>
        <v>0.84249983409812101</v>
      </c>
      <c r="AC5" s="43">
        <f t="shared" si="23"/>
        <v>18.171898706388127</v>
      </c>
      <c r="AD5" s="44">
        <f t="shared" si="24"/>
        <v>21.569023483358635</v>
      </c>
      <c r="AE5" s="45">
        <f t="shared" si="25"/>
        <v>-0.46272512044226899</v>
      </c>
      <c r="AF5" s="45">
        <f t="shared" si="26"/>
        <v>-28.599889265674147</v>
      </c>
    </row>
    <row r="6" spans="1:32" ht="18" x14ac:dyDescent="0.25">
      <c r="A6" s="37">
        <v>20</v>
      </c>
      <c r="B6" s="37">
        <v>1</v>
      </c>
      <c r="C6" s="37" t="s">
        <v>38</v>
      </c>
      <c r="D6" s="37" t="s">
        <v>34</v>
      </c>
      <c r="E6" s="37">
        <v>11.952191239999999</v>
      </c>
      <c r="F6" s="37">
        <v>0</v>
      </c>
      <c r="G6" s="38" t="s">
        <v>40</v>
      </c>
      <c r="H6" s="37">
        <v>7.4210000000000003</v>
      </c>
      <c r="I6" s="37">
        <v>0</v>
      </c>
      <c r="J6" s="37"/>
      <c r="K6" s="39">
        <v>123</v>
      </c>
      <c r="L6" s="39" t="s">
        <v>134</v>
      </c>
      <c r="M6" s="39">
        <v>2.6390760000000002</v>
      </c>
      <c r="N6" s="39">
        <v>-6.6432029485927191E-2</v>
      </c>
      <c r="O6" s="39">
        <v>1.82198525</v>
      </c>
      <c r="P6" s="39">
        <v>-26.794949027895417</v>
      </c>
      <c r="Q6" s="37">
        <v>7.4210000000000003</v>
      </c>
      <c r="R6" s="40">
        <v>3.7583036388888882</v>
      </c>
      <c r="S6" s="40">
        <v>2.0716198484927761</v>
      </c>
      <c r="T6" s="40">
        <v>2.6898764166666664</v>
      </c>
      <c r="U6" s="40">
        <v>-25.568353824712908</v>
      </c>
      <c r="V6" s="40">
        <v>1.5536666666666668</v>
      </c>
      <c r="W6" s="40">
        <v>1.5536666666666668</v>
      </c>
      <c r="X6" s="41">
        <f t="shared" si="18"/>
        <v>1.1657759513266223E-2</v>
      </c>
      <c r="Y6" s="41">
        <f t="shared" si="19"/>
        <v>0.2657527419862567</v>
      </c>
      <c r="Z6" s="42">
        <f t="shared" si="20"/>
        <v>3.0765713345232572E-2</v>
      </c>
      <c r="AA6" s="42">
        <f t="shared" si="21"/>
        <v>0.48419757604601543</v>
      </c>
      <c r="AB6" s="43">
        <f t="shared" si="22"/>
        <v>0.41457638249875445</v>
      </c>
      <c r="AC6" s="43">
        <f t="shared" si="23"/>
        <v>6.5246944622829188</v>
      </c>
      <c r="AD6" s="44">
        <f t="shared" si="24"/>
        <v>15.738220356299532</v>
      </c>
      <c r="AE6" s="45">
        <f t="shared" si="25"/>
        <v>-0.15805187797870335</v>
      </c>
      <c r="AF6" s="45">
        <f t="shared" si="26"/>
        <v>-27.25659520318251</v>
      </c>
    </row>
    <row r="7" spans="1:32" ht="18" x14ac:dyDescent="0.25">
      <c r="A7" s="37">
        <v>21</v>
      </c>
      <c r="B7" s="37">
        <v>1</v>
      </c>
      <c r="C7" s="37" t="s">
        <v>38</v>
      </c>
      <c r="D7" s="37" t="s">
        <v>36</v>
      </c>
      <c r="E7" s="37"/>
      <c r="F7" s="37">
        <v>0</v>
      </c>
      <c r="G7" s="38" t="s">
        <v>41</v>
      </c>
      <c r="H7" s="37">
        <v>7.907</v>
      </c>
      <c r="I7" s="37">
        <v>0</v>
      </c>
      <c r="J7" s="37"/>
      <c r="K7" s="46">
        <v>124</v>
      </c>
      <c r="L7" s="46" t="s">
        <v>135</v>
      </c>
      <c r="M7" s="46">
        <v>2.3599062499999999</v>
      </c>
      <c r="N7" s="46">
        <v>0.57127959912887938</v>
      </c>
      <c r="O7" s="46">
        <v>1.438348</v>
      </c>
      <c r="P7" s="46">
        <v>-25.532533687176169</v>
      </c>
      <c r="Q7" s="37">
        <v>7.907</v>
      </c>
      <c r="R7" s="40">
        <v>3.7583036388888882</v>
      </c>
      <c r="S7" s="40">
        <v>2.0716198484927761</v>
      </c>
      <c r="T7" s="40">
        <v>2.6898764166666664</v>
      </c>
      <c r="U7" s="40">
        <v>-25.568353824712908</v>
      </c>
      <c r="V7" s="40">
        <v>1.5536666666666668</v>
      </c>
      <c r="W7" s="40">
        <v>1.5536666666666668</v>
      </c>
      <c r="X7" s="41">
        <f t="shared" si="18"/>
        <v>1.1657759513266223E-2</v>
      </c>
      <c r="Y7" s="41">
        <f t="shared" si="19"/>
        <v>0.2657527419862567</v>
      </c>
      <c r="Z7" s="42">
        <f t="shared" si="20"/>
        <v>2.7511219536353916E-2</v>
      </c>
      <c r="AA7" s="42">
        <f t="shared" si="21"/>
        <v>0.38224492493044837</v>
      </c>
      <c r="AB7" s="43">
        <f t="shared" si="22"/>
        <v>0.34793498844509818</v>
      </c>
      <c r="AC7" s="43">
        <f t="shared" si="23"/>
        <v>4.8342598321796935</v>
      </c>
      <c r="AD7" s="44">
        <f t="shared" si="24"/>
        <v>13.894146874344909</v>
      </c>
      <c r="AE7" s="45">
        <f t="shared" si="25"/>
        <v>0.47965975063610322</v>
      </c>
      <c r="AF7" s="45">
        <f t="shared" si="26"/>
        <v>-25.994179862463263</v>
      </c>
    </row>
    <row r="8" spans="1:32" ht="18" x14ac:dyDescent="0.25">
      <c r="A8" s="37">
        <v>37</v>
      </c>
      <c r="B8" s="37">
        <v>1</v>
      </c>
      <c r="C8" s="37" t="s">
        <v>42</v>
      </c>
      <c r="D8" s="37" t="s">
        <v>32</v>
      </c>
      <c r="E8" s="37"/>
      <c r="F8" s="37">
        <v>0</v>
      </c>
      <c r="G8" s="38" t="s">
        <v>43</v>
      </c>
      <c r="H8" s="37">
        <v>6.4169999999999998</v>
      </c>
      <c r="I8" s="37">
        <v>0</v>
      </c>
      <c r="J8" s="37"/>
      <c r="K8" s="39">
        <v>125</v>
      </c>
      <c r="L8" s="39" t="s">
        <v>136</v>
      </c>
      <c r="M8" s="39">
        <v>4.9585875000000001</v>
      </c>
      <c r="N8" s="39">
        <v>-0.43295283469071688</v>
      </c>
      <c r="O8" s="39">
        <v>4.2036030000000002</v>
      </c>
      <c r="P8" s="39">
        <v>-27.940781185264317</v>
      </c>
      <c r="Q8" s="37">
        <v>6.4169999999999998</v>
      </c>
      <c r="R8" s="40">
        <v>3.7583036388888882</v>
      </c>
      <c r="S8" s="40">
        <v>2.0716198484927761</v>
      </c>
      <c r="T8" s="40">
        <v>2.6898764166666664</v>
      </c>
      <c r="U8" s="40">
        <v>-25.568353824712908</v>
      </c>
      <c r="V8" s="40">
        <v>1.5536666666666668</v>
      </c>
      <c r="W8" s="40">
        <v>1.5536666666666668</v>
      </c>
      <c r="X8" s="41">
        <f t="shared" si="18"/>
        <v>1.1657759513266223E-2</v>
      </c>
      <c r="Y8" s="41">
        <f t="shared" si="19"/>
        <v>0.2657527419862567</v>
      </c>
      <c r="Z8" s="42">
        <f t="shared" si="20"/>
        <v>5.7806020600487978E-2</v>
      </c>
      <c r="AA8" s="42">
        <f t="shared" si="21"/>
        <v>1.1171190234716546</v>
      </c>
      <c r="AB8" s="43">
        <f t="shared" si="22"/>
        <v>0.90082625215035039</v>
      </c>
      <c r="AC8" s="43">
        <f t="shared" si="23"/>
        <v>17.408742768765073</v>
      </c>
      <c r="AD8" s="44">
        <f t="shared" si="24"/>
        <v>19.325305770351267</v>
      </c>
      <c r="AE8" s="45">
        <f t="shared" si="25"/>
        <v>-0.52457268318349304</v>
      </c>
      <c r="AF8" s="45">
        <f t="shared" si="26"/>
        <v>-28.40242736055141</v>
      </c>
    </row>
    <row r="9" spans="1:32" ht="18" x14ac:dyDescent="0.25">
      <c r="A9" s="37">
        <v>38</v>
      </c>
      <c r="B9" s="37">
        <v>1</v>
      </c>
      <c r="C9" s="37" t="s">
        <v>42</v>
      </c>
      <c r="D9" s="37" t="s">
        <v>34</v>
      </c>
      <c r="E9" s="37">
        <v>16.071428569999998</v>
      </c>
      <c r="F9" s="37">
        <v>0</v>
      </c>
      <c r="G9" s="38" t="s">
        <v>44</v>
      </c>
      <c r="H9" s="37">
        <v>6.9909999999999997</v>
      </c>
      <c r="I9" s="37">
        <v>0</v>
      </c>
      <c r="J9" s="37"/>
      <c r="K9" s="46">
        <v>126</v>
      </c>
      <c r="L9" s="46" t="s">
        <v>137</v>
      </c>
      <c r="M9" s="46">
        <v>2.4459209999999998</v>
      </c>
      <c r="N9" s="46">
        <v>-0.19169083469121884</v>
      </c>
      <c r="O9" s="46">
        <v>2.0469702500000002</v>
      </c>
      <c r="P9" s="46">
        <v>-26.526880228880508</v>
      </c>
      <c r="Q9" s="37">
        <v>6.9909999999999997</v>
      </c>
      <c r="R9" s="40">
        <v>3.7583036388888882</v>
      </c>
      <c r="S9" s="40">
        <v>2.0716198484927761</v>
      </c>
      <c r="T9" s="40">
        <v>2.6898764166666664</v>
      </c>
      <c r="U9" s="40">
        <v>-25.568353824712908</v>
      </c>
      <c r="V9" s="40">
        <v>1.5536666666666668</v>
      </c>
      <c r="W9" s="40">
        <v>1.5536666666666668</v>
      </c>
      <c r="X9" s="41">
        <f t="shared" si="18"/>
        <v>1.1657759513266223E-2</v>
      </c>
      <c r="Y9" s="41">
        <f t="shared" si="19"/>
        <v>0.2657527419862567</v>
      </c>
      <c r="Z9" s="42">
        <f t="shared" si="20"/>
        <v>2.851395880644763E-2</v>
      </c>
      <c r="AA9" s="42">
        <f t="shared" si="21"/>
        <v>0.54398795670179345</v>
      </c>
      <c r="AB9" s="43">
        <f t="shared" si="22"/>
        <v>0.40786666866610832</v>
      </c>
      <c r="AC9" s="43">
        <f t="shared" si="23"/>
        <v>7.7812610027434346</v>
      </c>
      <c r="AD9" s="44">
        <f t="shared" si="24"/>
        <v>19.077952675543106</v>
      </c>
      <c r="AE9" s="45">
        <f t="shared" si="25"/>
        <v>-0.28331068318399499</v>
      </c>
      <c r="AF9" s="45">
        <f t="shared" si="26"/>
        <v>-26.988526404167601</v>
      </c>
    </row>
    <row r="10" spans="1:32" ht="18" x14ac:dyDescent="0.25">
      <c r="A10" s="37">
        <v>39</v>
      </c>
      <c r="B10" s="37">
        <v>1</v>
      </c>
      <c r="C10" s="37" t="s">
        <v>42</v>
      </c>
      <c r="D10" s="37" t="s">
        <v>36</v>
      </c>
      <c r="E10" s="37"/>
      <c r="F10" s="37">
        <v>0</v>
      </c>
      <c r="G10" s="38" t="s">
        <v>45</v>
      </c>
      <c r="H10" s="37">
        <v>8.1969999999999992</v>
      </c>
      <c r="I10" s="37">
        <v>0</v>
      </c>
      <c r="J10" s="37"/>
      <c r="K10" s="39">
        <v>127</v>
      </c>
      <c r="L10" s="39" t="s">
        <v>138</v>
      </c>
      <c r="M10" s="39">
        <v>2.03960725</v>
      </c>
      <c r="N10" s="39">
        <v>0.19434566431257017</v>
      </c>
      <c r="O10" s="39">
        <v>1.324812375</v>
      </c>
      <c r="P10" s="39">
        <v>-25.307884138571342</v>
      </c>
      <c r="Q10" s="37">
        <v>8.1969999999999992</v>
      </c>
      <c r="R10" s="40">
        <v>3.7583036388888882</v>
      </c>
      <c r="S10" s="40">
        <v>2.0716198484927761</v>
      </c>
      <c r="T10" s="40">
        <v>2.6898764166666664</v>
      </c>
      <c r="U10" s="40">
        <v>-25.568353824712908</v>
      </c>
      <c r="V10" s="40">
        <v>1.5536666666666668</v>
      </c>
      <c r="W10" s="40">
        <v>1.5536666666666668</v>
      </c>
      <c r="X10" s="41">
        <f t="shared" si="18"/>
        <v>1.1657759513266223E-2</v>
      </c>
      <c r="Y10" s="41">
        <f t="shared" si="19"/>
        <v>0.2657527419862567</v>
      </c>
      <c r="Z10" s="42">
        <f t="shared" si="20"/>
        <v>2.3777250822014259E-2</v>
      </c>
      <c r="AA10" s="42">
        <f t="shared" si="21"/>
        <v>0.35207252127357497</v>
      </c>
      <c r="AB10" s="43">
        <f t="shared" si="22"/>
        <v>0.29007259756025694</v>
      </c>
      <c r="AC10" s="43">
        <f t="shared" si="23"/>
        <v>4.2951387248209718</v>
      </c>
      <c r="AD10" s="44">
        <f t="shared" si="24"/>
        <v>14.807116428599359</v>
      </c>
      <c r="AE10" s="45">
        <f t="shared" si="25"/>
        <v>0.10272581581979401</v>
      </c>
      <c r="AF10" s="45">
        <f t="shared" si="26"/>
        <v>-25.769530313858436</v>
      </c>
    </row>
    <row r="11" spans="1:32" ht="18" x14ac:dyDescent="0.25">
      <c r="A11" s="37">
        <v>55</v>
      </c>
      <c r="B11" s="37">
        <v>1</v>
      </c>
      <c r="C11" s="37" t="s">
        <v>46</v>
      </c>
      <c r="D11" s="37" t="s">
        <v>32</v>
      </c>
      <c r="E11" s="37"/>
      <c r="F11" s="37">
        <v>0</v>
      </c>
      <c r="G11" s="38" t="s">
        <v>47</v>
      </c>
      <c r="H11" s="37">
        <v>6.3070000000000004</v>
      </c>
      <c r="I11" s="37">
        <v>0</v>
      </c>
      <c r="J11" s="37"/>
      <c r="K11" s="46">
        <v>128</v>
      </c>
      <c r="L11" s="46" t="s">
        <v>139</v>
      </c>
      <c r="M11" s="46">
        <v>5.1494425000000001</v>
      </c>
      <c r="N11" s="46">
        <v>-0.91641215566419798</v>
      </c>
      <c r="O11" s="46">
        <v>4.4407734999999997</v>
      </c>
      <c r="P11" s="46">
        <v>-28.138512944347777</v>
      </c>
      <c r="Q11" s="37">
        <v>6.3070000000000004</v>
      </c>
      <c r="R11" s="40">
        <v>3.7583036388888882</v>
      </c>
      <c r="S11" s="40">
        <v>2.0716198484927761</v>
      </c>
      <c r="T11" s="40">
        <v>2.6898764166666664</v>
      </c>
      <c r="U11" s="40">
        <v>-25.568353824712908</v>
      </c>
      <c r="V11" s="40">
        <v>1.5536666666666668</v>
      </c>
      <c r="W11" s="40">
        <v>1.5536666666666668</v>
      </c>
      <c r="X11" s="41">
        <f t="shared" si="18"/>
        <v>1.1657759513266223E-2</v>
      </c>
      <c r="Y11" s="41">
        <f t="shared" si="19"/>
        <v>0.2657527419862567</v>
      </c>
      <c r="Z11" s="42">
        <f t="shared" si="20"/>
        <v>6.0030962292392402E-2</v>
      </c>
      <c r="AA11" s="42">
        <f t="shared" si="21"/>
        <v>1.180147734164906</v>
      </c>
      <c r="AB11" s="43">
        <f t="shared" si="22"/>
        <v>0.95181484528924054</v>
      </c>
      <c r="AC11" s="43">
        <f t="shared" si="23"/>
        <v>18.71171292476464</v>
      </c>
      <c r="AD11" s="44">
        <f t="shared" si="24"/>
        <v>19.658984115842895</v>
      </c>
      <c r="AE11" s="45">
        <f t="shared" si="25"/>
        <v>-1.0080320041569741</v>
      </c>
      <c r="AF11" s="45">
        <f t="shared" si="26"/>
        <v>-28.600159119634871</v>
      </c>
    </row>
    <row r="12" spans="1:32" ht="18" x14ac:dyDescent="0.25">
      <c r="A12" s="37">
        <v>56</v>
      </c>
      <c r="B12" s="37">
        <v>1</v>
      </c>
      <c r="C12" s="37" t="s">
        <v>46</v>
      </c>
      <c r="D12" s="37" t="s">
        <v>34</v>
      </c>
      <c r="E12" s="37">
        <v>18.091451289999998</v>
      </c>
      <c r="F12" s="37">
        <v>0</v>
      </c>
      <c r="G12" s="38" t="s">
        <v>48</v>
      </c>
      <c r="H12" s="37">
        <v>8.1370000000000005</v>
      </c>
      <c r="I12" s="37">
        <v>0</v>
      </c>
      <c r="J12" s="37"/>
      <c r="K12" s="39">
        <v>129</v>
      </c>
      <c r="L12" s="39" t="s">
        <v>140</v>
      </c>
      <c r="M12" s="39">
        <v>3.5135242500000001</v>
      </c>
      <c r="N12" s="39">
        <v>3.0054338906371214E-2</v>
      </c>
      <c r="O12" s="39">
        <v>2.8346490000000002</v>
      </c>
      <c r="P12" s="39">
        <v>-26.805137422785762</v>
      </c>
      <c r="Q12" s="37">
        <v>8.1370000000000005</v>
      </c>
      <c r="R12" s="40">
        <v>3.7583036388888882</v>
      </c>
      <c r="S12" s="40">
        <v>2.0716198484927761</v>
      </c>
      <c r="T12" s="40">
        <v>2.6898764166666664</v>
      </c>
      <c r="U12" s="40">
        <v>-25.568353824712908</v>
      </c>
      <c r="V12" s="40">
        <v>1.5536666666666668</v>
      </c>
      <c r="W12" s="40">
        <v>1.5536666666666668</v>
      </c>
      <c r="X12" s="41">
        <f t="shared" si="18"/>
        <v>1.1657759513266223E-2</v>
      </c>
      <c r="Y12" s="41">
        <f t="shared" si="19"/>
        <v>0.2657527419862567</v>
      </c>
      <c r="Z12" s="42">
        <f t="shared" si="20"/>
        <v>4.095982075052907E-2</v>
      </c>
      <c r="AA12" s="42">
        <f t="shared" si="21"/>
        <v>0.7533157443186006</v>
      </c>
      <c r="AB12" s="43">
        <f t="shared" si="22"/>
        <v>0.5033774210461972</v>
      </c>
      <c r="AC12" s="43">
        <f t="shared" si="23"/>
        <v>9.2579051778124679</v>
      </c>
      <c r="AD12" s="44">
        <f t="shared" si="24"/>
        <v>18.391578149395837</v>
      </c>
      <c r="AE12" s="45">
        <f t="shared" si="25"/>
        <v>-6.1565509586404943E-2</v>
      </c>
      <c r="AF12" s="45">
        <f t="shared" si="26"/>
        <v>-27.266783598072855</v>
      </c>
    </row>
    <row r="13" spans="1:32" ht="18" x14ac:dyDescent="0.25">
      <c r="A13" s="37">
        <v>57</v>
      </c>
      <c r="B13" s="37">
        <v>1</v>
      </c>
      <c r="C13" s="37" t="s">
        <v>46</v>
      </c>
      <c r="D13" s="37" t="s">
        <v>36</v>
      </c>
      <c r="E13" s="37"/>
      <c r="F13" s="37">
        <v>0</v>
      </c>
      <c r="G13" s="38" t="s">
        <v>49</v>
      </c>
      <c r="H13" s="37">
        <v>8.5280000000000005</v>
      </c>
      <c r="I13" s="37">
        <v>0</v>
      </c>
      <c r="J13" s="37"/>
      <c r="K13" s="46">
        <v>130</v>
      </c>
      <c r="L13" s="46" t="s">
        <v>141</v>
      </c>
      <c r="M13" s="46">
        <v>1.047468625</v>
      </c>
      <c r="N13" s="46">
        <v>2.8883607071917865</v>
      </c>
      <c r="O13" s="46">
        <v>0.57281712500000004</v>
      </c>
      <c r="P13" s="46">
        <v>-23.165780217896405</v>
      </c>
      <c r="Q13" s="37">
        <v>8.5280000000000005</v>
      </c>
      <c r="R13" s="40">
        <v>3.7583036388888882</v>
      </c>
      <c r="S13" s="40">
        <v>2.0716198484927761</v>
      </c>
      <c r="T13" s="40">
        <v>2.6898764166666664</v>
      </c>
      <c r="U13" s="40">
        <v>-25.568353824712908</v>
      </c>
      <c r="V13" s="40">
        <v>1.5536666666666668</v>
      </c>
      <c r="W13" s="40">
        <v>1.5536666666666668</v>
      </c>
      <c r="X13" s="41">
        <f t="shared" si="18"/>
        <v>1.1657759513266223E-2</v>
      </c>
      <c r="Y13" s="41">
        <f t="shared" si="19"/>
        <v>0.2657527419862567</v>
      </c>
      <c r="Z13" s="42">
        <f t="shared" si="20"/>
        <v>1.2211137327941641E-2</v>
      </c>
      <c r="AA13" s="42">
        <f t="shared" si="21"/>
        <v>0.15222772162543435</v>
      </c>
      <c r="AB13" s="43">
        <f t="shared" si="22"/>
        <v>0.14318875853590105</v>
      </c>
      <c r="AC13" s="43">
        <f t="shared" si="23"/>
        <v>1.785034259210065</v>
      </c>
      <c r="AD13" s="44">
        <f t="shared" si="24"/>
        <v>12.466301666848462</v>
      </c>
      <c r="AE13" s="45">
        <f t="shared" si="25"/>
        <v>2.7967408586990103</v>
      </c>
      <c r="AF13" s="45">
        <f t="shared" si="26"/>
        <v>-23.627426393183498</v>
      </c>
    </row>
    <row r="14" spans="1:32" ht="18" x14ac:dyDescent="0.25">
      <c r="A14" s="37"/>
      <c r="B14" s="37"/>
      <c r="C14" s="37"/>
      <c r="D14" s="37"/>
      <c r="E14" s="37"/>
      <c r="F14" s="37"/>
      <c r="G14" s="37"/>
      <c r="H14" s="37">
        <v>1.3240000000000001</v>
      </c>
      <c r="I14" s="37"/>
      <c r="J14" s="37" t="s">
        <v>289</v>
      </c>
      <c r="K14" s="39">
        <v>131</v>
      </c>
      <c r="L14" s="39" t="s">
        <v>142</v>
      </c>
      <c r="M14" s="39">
        <v>3.1161867499999998</v>
      </c>
      <c r="N14" s="39">
        <v>2.1137631608796337</v>
      </c>
      <c r="O14" s="39">
        <v>2.2606744999999999</v>
      </c>
      <c r="P14" s="39">
        <v>-25.702732468738763</v>
      </c>
      <c r="Q14" s="37">
        <v>1.3240000000000001</v>
      </c>
      <c r="R14" s="40">
        <v>3.7583036388888882</v>
      </c>
      <c r="S14" s="40">
        <v>2.0716198484927761</v>
      </c>
      <c r="T14" s="40">
        <v>2.6898764166666664</v>
      </c>
      <c r="U14" s="40">
        <v>-25.568353824712908</v>
      </c>
      <c r="V14" s="40">
        <v>1.5536666666666668</v>
      </c>
      <c r="W14" s="40">
        <v>1.5536666666666668</v>
      </c>
      <c r="X14" s="41">
        <f t="shared" si="18"/>
        <v>1.1657759513266223E-2</v>
      </c>
      <c r="Y14" s="41">
        <f t="shared" si="19"/>
        <v>0.2657527419862567</v>
      </c>
      <c r="Z14" s="42">
        <f t="shared" si="20"/>
        <v>3.632775572992665E-2</v>
      </c>
      <c r="AA14" s="42">
        <f t="shared" si="21"/>
        <v>0.60078044711340983</v>
      </c>
      <c r="AB14" s="43">
        <f t="shared" si="22"/>
        <v>2.7437881971243692</v>
      </c>
      <c r="AC14" s="43">
        <f t="shared" si="23"/>
        <v>45.376166700408596</v>
      </c>
      <c r="AD14" s="44">
        <f t="shared" si="24"/>
        <v>16.537780411755232</v>
      </c>
      <c r="AE14" s="45">
        <f t="shared" si="25"/>
        <v>2.0221433123868575</v>
      </c>
      <c r="AF14" s="45">
        <f t="shared" si="26"/>
        <v>-26.164378644025856</v>
      </c>
    </row>
    <row r="15" spans="1:32" ht="18" x14ac:dyDescent="0.25">
      <c r="A15" s="37">
        <v>73</v>
      </c>
      <c r="B15" s="37">
        <v>1</v>
      </c>
      <c r="C15" s="37" t="s">
        <v>50</v>
      </c>
      <c r="D15" s="37" t="s">
        <v>32</v>
      </c>
      <c r="E15" s="37"/>
      <c r="F15" s="37">
        <v>0</v>
      </c>
      <c r="G15" s="38" t="s">
        <v>51</v>
      </c>
      <c r="H15" s="37">
        <v>6.665</v>
      </c>
      <c r="I15" s="37">
        <v>0</v>
      </c>
      <c r="J15" s="37"/>
      <c r="K15" s="46">
        <v>132</v>
      </c>
      <c r="L15" s="46" t="s">
        <v>143</v>
      </c>
      <c r="M15" s="46">
        <v>4.9237535000000001</v>
      </c>
      <c r="N15" s="46">
        <v>-0.92847026698606172</v>
      </c>
      <c r="O15" s="46">
        <v>5.7026589999999997</v>
      </c>
      <c r="P15" s="46">
        <v>-28.527864448255546</v>
      </c>
      <c r="Q15" s="37">
        <v>6.665</v>
      </c>
      <c r="R15" s="40">
        <v>3.7583036388888882</v>
      </c>
      <c r="S15" s="40">
        <v>2.0716198484927761</v>
      </c>
      <c r="T15" s="40">
        <v>2.6898764166666664</v>
      </c>
      <c r="U15" s="40">
        <v>-25.568353824712908</v>
      </c>
      <c r="V15" s="40">
        <v>1.5536666666666668</v>
      </c>
      <c r="W15" s="40">
        <v>1.5536666666666668</v>
      </c>
      <c r="X15" s="41">
        <f t="shared" si="18"/>
        <v>1.1657759513266223E-2</v>
      </c>
      <c r="Y15" s="41">
        <f t="shared" si="19"/>
        <v>0.2657527419862567</v>
      </c>
      <c r="Z15" s="42">
        <f t="shared" si="20"/>
        <v>5.7399934205602861E-2</v>
      </c>
      <c r="AA15" s="42">
        <f t="shared" si="21"/>
        <v>1.5154972658626045</v>
      </c>
      <c r="AB15" s="43">
        <f t="shared" si="22"/>
        <v>0.86121431666320869</v>
      </c>
      <c r="AC15" s="43">
        <f t="shared" si="23"/>
        <v>22.738143523820021</v>
      </c>
      <c r="AD15" s="44">
        <f t="shared" si="24"/>
        <v>26.402421654948089</v>
      </c>
      <c r="AE15" s="45">
        <f t="shared" si="25"/>
        <v>-1.0200901154788378</v>
      </c>
      <c r="AF15" s="45">
        <f t="shared" si="26"/>
        <v>-28.989510623542639</v>
      </c>
    </row>
    <row r="16" spans="1:32" ht="18" x14ac:dyDescent="0.25">
      <c r="A16" s="37">
        <v>74</v>
      </c>
      <c r="B16" s="37">
        <v>1</v>
      </c>
      <c r="C16" s="37" t="s">
        <v>50</v>
      </c>
      <c r="D16" s="37" t="s">
        <v>34</v>
      </c>
      <c r="E16" s="37">
        <v>20.039682540000001</v>
      </c>
      <c r="F16" s="37">
        <v>0</v>
      </c>
      <c r="G16" s="38" t="s">
        <v>52</v>
      </c>
      <c r="H16" s="37">
        <v>8.0779999999999994</v>
      </c>
      <c r="I16" s="37">
        <v>0</v>
      </c>
      <c r="J16" s="37"/>
      <c r="K16" s="39">
        <v>133</v>
      </c>
      <c r="L16" s="39" t="s">
        <v>144</v>
      </c>
      <c r="M16" s="39">
        <v>4.0382362499999997</v>
      </c>
      <c r="N16" s="39">
        <v>-0.31186826550109736</v>
      </c>
      <c r="O16" s="39">
        <v>2.8631294999999999</v>
      </c>
      <c r="P16" s="39">
        <v>-26.730871137754896</v>
      </c>
      <c r="Q16" s="37">
        <v>8.0779999999999994</v>
      </c>
      <c r="R16" s="40">
        <v>3.7583036388888882</v>
      </c>
      <c r="S16" s="40">
        <v>2.0716198484927761</v>
      </c>
      <c r="T16" s="40">
        <v>2.6898764166666664</v>
      </c>
      <c r="U16" s="40">
        <v>-25.568353824712908</v>
      </c>
      <c r="V16" s="40">
        <v>1.5536666666666668</v>
      </c>
      <c r="W16" s="40">
        <v>1.5536666666666668</v>
      </c>
      <c r="X16" s="41">
        <f t="shared" si="18"/>
        <v>1.1657759513266223E-2</v>
      </c>
      <c r="Y16" s="41">
        <f t="shared" si="19"/>
        <v>0.2657527419862567</v>
      </c>
      <c r="Z16" s="42">
        <f t="shared" si="20"/>
        <v>4.7076787060254012E-2</v>
      </c>
      <c r="AA16" s="42">
        <f t="shared" si="21"/>
        <v>0.76088451528674017</v>
      </c>
      <c r="AB16" s="43">
        <f t="shared" si="22"/>
        <v>0.58277775514055474</v>
      </c>
      <c r="AC16" s="43">
        <f t="shared" si="23"/>
        <v>9.4192190552951249</v>
      </c>
      <c r="AD16" s="44">
        <f t="shared" si="24"/>
        <v>16.162626270838686</v>
      </c>
      <c r="AE16" s="45">
        <f t="shared" si="25"/>
        <v>-0.40348811399387352</v>
      </c>
      <c r="AF16" s="45">
        <f t="shared" si="26"/>
        <v>-27.192517313041989</v>
      </c>
    </row>
    <row r="17" spans="1:33" ht="18" x14ac:dyDescent="0.25">
      <c r="A17" s="37">
        <v>75</v>
      </c>
      <c r="B17" s="37">
        <v>1</v>
      </c>
      <c r="C17" s="37" t="s">
        <v>50</v>
      </c>
      <c r="D17" s="37" t="s">
        <v>36</v>
      </c>
      <c r="E17" s="37"/>
      <c r="F17" s="37">
        <v>0</v>
      </c>
      <c r="G17" s="38" t="s">
        <v>53</v>
      </c>
      <c r="H17" s="37">
        <v>8.2249999999999996</v>
      </c>
      <c r="I17" s="37">
        <v>0</v>
      </c>
      <c r="J17" s="37"/>
      <c r="K17" s="46">
        <v>134</v>
      </c>
      <c r="L17" s="46" t="s">
        <v>145</v>
      </c>
      <c r="M17" s="46">
        <v>3.4062917499999998</v>
      </c>
      <c r="N17" s="46">
        <v>0.81559576031118575</v>
      </c>
      <c r="O17" s="46">
        <v>2.0446461249999999</v>
      </c>
      <c r="P17" s="46">
        <v>-25.673806205526549</v>
      </c>
      <c r="Q17" s="37">
        <v>8.2249999999999996</v>
      </c>
      <c r="R17" s="40">
        <v>3.7583036388888882</v>
      </c>
      <c r="S17" s="40">
        <v>2.0716198484927761</v>
      </c>
      <c r="T17" s="40">
        <v>2.6898764166666664</v>
      </c>
      <c r="U17" s="40">
        <v>-25.568353824712908</v>
      </c>
      <c r="V17" s="40">
        <v>1.5536666666666668</v>
      </c>
      <c r="W17" s="40">
        <v>1.5536666666666668</v>
      </c>
      <c r="X17" s="41">
        <f t="shared" si="18"/>
        <v>1.1657759513266223E-2</v>
      </c>
      <c r="Y17" s="41">
        <f t="shared" si="19"/>
        <v>0.2657527419862567</v>
      </c>
      <c r="Z17" s="42">
        <f t="shared" si="20"/>
        <v>3.9709730053522747E-2</v>
      </c>
      <c r="AA17" s="42">
        <f t="shared" si="21"/>
        <v>0.54337031411032455</v>
      </c>
      <c r="AB17" s="43">
        <f t="shared" si="22"/>
        <v>0.48279307055954712</v>
      </c>
      <c r="AC17" s="43">
        <f t="shared" si="23"/>
        <v>6.6063260074203596</v>
      </c>
      <c r="AD17" s="44">
        <f t="shared" si="24"/>
        <v>13.683555979301371</v>
      </c>
      <c r="AE17" s="45">
        <f t="shared" si="25"/>
        <v>0.72397591181840959</v>
      </c>
      <c r="AF17" s="45">
        <f t="shared" si="26"/>
        <v>-26.135452380813643</v>
      </c>
    </row>
    <row r="18" spans="1:33" ht="18" x14ac:dyDescent="0.25">
      <c r="A18" s="37">
        <v>91</v>
      </c>
      <c r="B18" s="37">
        <v>1</v>
      </c>
      <c r="C18" s="37" t="s">
        <v>54</v>
      </c>
      <c r="D18" s="37" t="s">
        <v>32</v>
      </c>
      <c r="E18" s="37"/>
      <c r="F18" s="37">
        <v>0</v>
      </c>
      <c r="G18" s="38" t="s">
        <v>55</v>
      </c>
      <c r="H18" s="37">
        <v>6.2039999999999997</v>
      </c>
      <c r="I18" s="37">
        <v>0</v>
      </c>
      <c r="J18" s="37"/>
      <c r="K18" s="39">
        <v>135</v>
      </c>
      <c r="L18" s="39" t="s">
        <v>146</v>
      </c>
      <c r="M18" s="39">
        <v>5.3500395000000003</v>
      </c>
      <c r="N18" s="39">
        <v>-0.16882262581505436</v>
      </c>
      <c r="O18" s="39">
        <v>5.3385805</v>
      </c>
      <c r="P18" s="39">
        <v>-27.720104208517736</v>
      </c>
      <c r="Q18" s="37">
        <v>6.2039999999999997</v>
      </c>
      <c r="R18" s="40">
        <v>3.7583036388888882</v>
      </c>
      <c r="S18" s="40">
        <v>2.0716198484927761</v>
      </c>
      <c r="T18" s="40">
        <v>2.6898764166666664</v>
      </c>
      <c r="U18" s="40">
        <v>-25.568353824712908</v>
      </c>
      <c r="V18" s="40">
        <v>1.5536666666666668</v>
      </c>
      <c r="W18" s="40">
        <v>1.5536666666666668</v>
      </c>
      <c r="X18" s="41">
        <f t="shared" si="18"/>
        <v>1.1657759513266223E-2</v>
      </c>
      <c r="Y18" s="41">
        <f t="shared" si="19"/>
        <v>0.2657527419862567</v>
      </c>
      <c r="Z18" s="42">
        <f t="shared" si="20"/>
        <v>6.2369473877475073E-2</v>
      </c>
      <c r="AA18" s="42">
        <f t="shared" si="21"/>
        <v>1.4187424061893612</v>
      </c>
      <c r="AB18" s="43">
        <f t="shared" si="22"/>
        <v>1.0053106685602045</v>
      </c>
      <c r="AC18" s="43">
        <f t="shared" si="23"/>
        <v>22.868188365399117</v>
      </c>
      <c r="AD18" s="44">
        <f t="shared" si="24"/>
        <v>22.74738454546663</v>
      </c>
      <c r="AE18" s="45">
        <f t="shared" si="25"/>
        <v>-0.26044247430783052</v>
      </c>
      <c r="AF18" s="45">
        <f t="shared" si="26"/>
        <v>-28.181750383804829</v>
      </c>
    </row>
    <row r="19" spans="1:33" ht="18" x14ac:dyDescent="0.25">
      <c r="A19" s="37">
        <v>92</v>
      </c>
      <c r="B19" s="37">
        <v>1</v>
      </c>
      <c r="C19" s="37" t="s">
        <v>54</v>
      </c>
      <c r="D19" s="37" t="s">
        <v>34</v>
      </c>
      <c r="E19" s="37">
        <v>20.792079210000001</v>
      </c>
      <c r="F19" s="37">
        <v>0</v>
      </c>
      <c r="G19" s="38" t="s">
        <v>56</v>
      </c>
      <c r="H19" s="37">
        <v>8.3719999999999999</v>
      </c>
      <c r="I19" s="37">
        <v>0</v>
      </c>
      <c r="J19" s="37"/>
      <c r="K19" s="46">
        <v>136</v>
      </c>
      <c r="L19" s="46" t="s">
        <v>147</v>
      </c>
      <c r="M19" s="46">
        <v>3.4288615</v>
      </c>
      <c r="N19" s="46">
        <v>0.99556314566358051</v>
      </c>
      <c r="O19" s="46">
        <v>2.6527052499999999</v>
      </c>
      <c r="P19" s="46">
        <v>-26.886972182707471</v>
      </c>
      <c r="Q19" s="37">
        <v>8.3719999999999999</v>
      </c>
      <c r="R19" s="40">
        <v>3.7583036388888882</v>
      </c>
      <c r="S19" s="40">
        <v>2.0716198484927761</v>
      </c>
      <c r="T19" s="40">
        <v>2.6898764166666664</v>
      </c>
      <c r="U19" s="40">
        <v>-25.568353824712908</v>
      </c>
      <c r="V19" s="40">
        <v>1.5536666666666668</v>
      </c>
      <c r="W19" s="40">
        <v>1.5536666666666668</v>
      </c>
      <c r="X19" s="41">
        <f t="shared" si="18"/>
        <v>1.1657759513266223E-2</v>
      </c>
      <c r="Y19" s="41">
        <f t="shared" si="19"/>
        <v>0.2657527419862567</v>
      </c>
      <c r="Z19" s="42">
        <f t="shared" si="20"/>
        <v>3.9972842771297291E-2</v>
      </c>
      <c r="AA19" s="42">
        <f t="shared" si="21"/>
        <v>0.7049636938688385</v>
      </c>
      <c r="AB19" s="43">
        <f t="shared" si="22"/>
        <v>0.47745870486499392</v>
      </c>
      <c r="AC19" s="43">
        <f t="shared" si="23"/>
        <v>8.420493237802658</v>
      </c>
      <c r="AD19" s="44">
        <f t="shared" si="24"/>
        <v>17.6360660136747</v>
      </c>
      <c r="AE19" s="45">
        <f t="shared" si="25"/>
        <v>0.90394329717080435</v>
      </c>
      <c r="AF19" s="45">
        <f t="shared" si="26"/>
        <v>-27.348618357994564</v>
      </c>
    </row>
    <row r="20" spans="1:33" ht="18" x14ac:dyDescent="0.25">
      <c r="A20" s="37">
        <v>93</v>
      </c>
      <c r="B20" s="37">
        <v>1</v>
      </c>
      <c r="C20" s="37" t="s">
        <v>54</v>
      </c>
      <c r="D20" s="37" t="s">
        <v>36</v>
      </c>
      <c r="E20" s="37"/>
      <c r="F20" s="37">
        <v>0</v>
      </c>
      <c r="G20" s="38" t="s">
        <v>57</v>
      </c>
      <c r="H20" s="37">
        <v>6.2869999999999999</v>
      </c>
      <c r="I20" s="37">
        <v>0</v>
      </c>
      <c r="J20" s="37"/>
      <c r="K20" s="39">
        <v>137</v>
      </c>
      <c r="L20" s="39" t="s">
        <v>148</v>
      </c>
      <c r="M20" s="39">
        <v>1.5439853750000001</v>
      </c>
      <c r="N20" s="39">
        <v>2.4688852775129777</v>
      </c>
      <c r="O20" s="39">
        <v>1.0916376249999999</v>
      </c>
      <c r="P20" s="39">
        <v>-25.727975398897275</v>
      </c>
      <c r="Q20" s="37">
        <v>6.2869999999999999</v>
      </c>
      <c r="R20" s="40">
        <v>3.7583036388888882</v>
      </c>
      <c r="S20" s="40">
        <v>2.0716198484927761</v>
      </c>
      <c r="T20" s="40">
        <v>2.6898764166666664</v>
      </c>
      <c r="U20" s="40">
        <v>-25.568353824712908</v>
      </c>
      <c r="V20" s="40">
        <v>1.5536666666666668</v>
      </c>
      <c r="W20" s="40">
        <v>1.5536666666666668</v>
      </c>
      <c r="X20" s="41">
        <f t="shared" si="18"/>
        <v>1.1657759513266223E-2</v>
      </c>
      <c r="Y20" s="41">
        <f t="shared" si="19"/>
        <v>0.2657527419862567</v>
      </c>
      <c r="Z20" s="42">
        <f t="shared" si="20"/>
        <v>1.7999410193750169E-2</v>
      </c>
      <c r="AA20" s="42">
        <f t="shared" si="21"/>
        <v>0.29010569209911502</v>
      </c>
      <c r="AB20" s="43">
        <f t="shared" si="22"/>
        <v>0.2862956925998118</v>
      </c>
      <c r="AC20" s="43">
        <f t="shared" si="23"/>
        <v>4.6143739796264516</v>
      </c>
      <c r="AD20" s="44">
        <f t="shared" si="24"/>
        <v>16.11751101710248</v>
      </c>
      <c r="AE20" s="45">
        <f t="shared" si="25"/>
        <v>2.3772654290202015</v>
      </c>
      <c r="AF20" s="45">
        <f t="shared" si="26"/>
        <v>-26.189621574184368</v>
      </c>
    </row>
    <row r="21" spans="1:33" ht="18" x14ac:dyDescent="0.25">
      <c r="A21" s="37">
        <v>109</v>
      </c>
      <c r="B21" s="37">
        <v>1</v>
      </c>
      <c r="C21" s="37" t="s">
        <v>58</v>
      </c>
      <c r="D21" s="37" t="s">
        <v>32</v>
      </c>
      <c r="E21" s="37"/>
      <c r="F21" s="37">
        <v>0</v>
      </c>
      <c r="G21" s="38" t="s">
        <v>59</v>
      </c>
      <c r="H21" s="37">
        <v>6.1509999999999998</v>
      </c>
      <c r="I21" s="37">
        <v>0</v>
      </c>
      <c r="J21" s="37"/>
      <c r="K21" s="46">
        <v>138</v>
      </c>
      <c r="L21" s="46" t="s">
        <v>149</v>
      </c>
      <c r="M21" s="46">
        <v>5.8064534999999999</v>
      </c>
      <c r="N21" s="46">
        <v>-1.1030981793059891</v>
      </c>
      <c r="O21" s="46">
        <v>5.0874565</v>
      </c>
      <c r="P21" s="46">
        <v>-29.01936574155167</v>
      </c>
      <c r="Q21" s="37">
        <v>6.1509999999999998</v>
      </c>
      <c r="R21" s="40">
        <v>3.7583036388888882</v>
      </c>
      <c r="S21" s="40">
        <v>2.0716198484927761</v>
      </c>
      <c r="T21" s="40">
        <v>2.6898764166666664</v>
      </c>
      <c r="U21" s="40">
        <v>-25.568353824712908</v>
      </c>
      <c r="V21" s="40">
        <v>1.5536666666666668</v>
      </c>
      <c r="W21" s="40">
        <v>1.5536666666666668</v>
      </c>
      <c r="X21" s="41">
        <f t="shared" si="18"/>
        <v>1.1657759513266223E-2</v>
      </c>
      <c r="Y21" s="41">
        <f t="shared" si="19"/>
        <v>0.2657527419862567</v>
      </c>
      <c r="Z21" s="42">
        <f t="shared" si="20"/>
        <v>6.7690238527962951E-2</v>
      </c>
      <c r="AA21" s="42">
        <f t="shared" si="21"/>
        <v>1.3520055146108045</v>
      </c>
      <c r="AB21" s="43">
        <f t="shared" si="22"/>
        <v>1.100475345926889</v>
      </c>
      <c r="AC21" s="43">
        <f t="shared" si="23"/>
        <v>21.980255480585345</v>
      </c>
      <c r="AD21" s="44">
        <f t="shared" si="24"/>
        <v>19.973419270081148</v>
      </c>
      <c r="AE21" s="45">
        <f t="shared" si="25"/>
        <v>-1.1947180277987652</v>
      </c>
      <c r="AF21" s="45">
        <f t="shared" si="26"/>
        <v>-29.481011916838764</v>
      </c>
    </row>
    <row r="22" spans="1:33" ht="18" x14ac:dyDescent="0.25">
      <c r="A22" s="37">
        <v>110</v>
      </c>
      <c r="B22" s="37">
        <v>1</v>
      </c>
      <c r="C22" s="37" t="s">
        <v>58</v>
      </c>
      <c r="D22" s="37" t="s">
        <v>34</v>
      </c>
      <c r="E22" s="37">
        <v>20.318725100000002</v>
      </c>
      <c r="F22" s="37">
        <v>0</v>
      </c>
      <c r="G22" s="38" t="s">
        <v>60</v>
      </c>
      <c r="H22" s="37">
        <v>7.875</v>
      </c>
      <c r="I22" s="37">
        <v>0</v>
      </c>
      <c r="J22" s="37"/>
      <c r="K22" s="39">
        <v>139</v>
      </c>
      <c r="L22" s="39" t="s">
        <v>150</v>
      </c>
      <c r="M22" s="39">
        <v>3.4815657500000001</v>
      </c>
      <c r="N22" s="39">
        <v>1.2972774699190892E-2</v>
      </c>
      <c r="O22" s="39">
        <v>2.5018129999999998</v>
      </c>
      <c r="P22" s="39">
        <v>-27.073914302142565</v>
      </c>
      <c r="Q22" s="37">
        <v>7.875</v>
      </c>
      <c r="R22" s="40">
        <v>3.7583036388888882</v>
      </c>
      <c r="S22" s="40">
        <v>2.0716198484927761</v>
      </c>
      <c r="T22" s="40">
        <v>2.6898764166666664</v>
      </c>
      <c r="U22" s="40">
        <v>-25.568353824712908</v>
      </c>
      <c r="V22" s="40">
        <v>1.5536666666666668</v>
      </c>
      <c r="W22" s="40">
        <v>1.5536666666666668</v>
      </c>
      <c r="X22" s="41">
        <f t="shared" si="18"/>
        <v>1.1657759513266223E-2</v>
      </c>
      <c r="Y22" s="41">
        <f t="shared" si="19"/>
        <v>0.2657527419862567</v>
      </c>
      <c r="Z22" s="42">
        <f t="shared" si="20"/>
        <v>4.0587256243124356E-2</v>
      </c>
      <c r="AA22" s="42">
        <f t="shared" si="21"/>
        <v>0.66486366468686275</v>
      </c>
      <c r="AB22" s="43">
        <f t="shared" si="22"/>
        <v>0.51539373007142042</v>
      </c>
      <c r="AC22" s="43">
        <f t="shared" si="23"/>
        <v>8.4427132023728593</v>
      </c>
      <c r="AD22" s="44">
        <f t="shared" si="24"/>
        <v>16.381094122357513</v>
      </c>
      <c r="AE22" s="45">
        <f t="shared" si="25"/>
        <v>-7.8647073793585265E-2</v>
      </c>
      <c r="AF22" s="45">
        <f t="shared" si="26"/>
        <v>-27.535560477429659</v>
      </c>
    </row>
    <row r="23" spans="1:33" ht="18" x14ac:dyDescent="0.25">
      <c r="A23" s="37">
        <v>111</v>
      </c>
      <c r="B23" s="37">
        <v>1</v>
      </c>
      <c r="C23" s="37" t="s">
        <v>58</v>
      </c>
      <c r="D23" s="37" t="s">
        <v>36</v>
      </c>
      <c r="E23" s="37"/>
      <c r="F23" s="37">
        <v>0</v>
      </c>
      <c r="G23" s="38" t="s">
        <v>61</v>
      </c>
      <c r="H23" s="37">
        <v>6.7329999999999997</v>
      </c>
      <c r="I23" s="37">
        <v>0</v>
      </c>
      <c r="J23" s="37"/>
      <c r="K23" s="46">
        <v>140</v>
      </c>
      <c r="L23" s="46" t="s">
        <v>151</v>
      </c>
      <c r="M23" s="46">
        <v>3.1522085</v>
      </c>
      <c r="N23" s="46">
        <v>0.23619303704593975</v>
      </c>
      <c r="O23" s="46">
        <v>1.971749</v>
      </c>
      <c r="P23" s="46">
        <v>-26.452216084254285</v>
      </c>
      <c r="Q23" s="37">
        <v>6.7329999999999997</v>
      </c>
      <c r="R23" s="40">
        <v>3.7583036388888882</v>
      </c>
      <c r="S23" s="40">
        <v>2.0716198484927761</v>
      </c>
      <c r="T23" s="40">
        <v>2.6898764166666664</v>
      </c>
      <c r="U23" s="40">
        <v>-25.568353824712908</v>
      </c>
      <c r="V23" s="40">
        <v>1.5536666666666668</v>
      </c>
      <c r="W23" s="40">
        <v>1.5536666666666668</v>
      </c>
      <c r="X23" s="41">
        <f t="shared" si="18"/>
        <v>1.1657759513266223E-2</v>
      </c>
      <c r="Y23" s="41">
        <f t="shared" si="19"/>
        <v>0.2657527419862567</v>
      </c>
      <c r="Z23" s="42">
        <f t="shared" si="20"/>
        <v>3.6747688628673648E-2</v>
      </c>
      <c r="AA23" s="42">
        <f t="shared" si="21"/>
        <v>0.52399770325865969</v>
      </c>
      <c r="AB23" s="43">
        <f t="shared" si="22"/>
        <v>0.54578477095906208</v>
      </c>
      <c r="AC23" s="43">
        <f t="shared" si="23"/>
        <v>7.7825293815336352</v>
      </c>
      <c r="AD23" s="44">
        <f t="shared" si="24"/>
        <v>14.259337738314034</v>
      </c>
      <c r="AE23" s="45">
        <f t="shared" si="25"/>
        <v>0.14457318855316359</v>
      </c>
      <c r="AF23" s="45">
        <f t="shared" si="26"/>
        <v>-26.913862259541379</v>
      </c>
    </row>
    <row r="24" spans="1:33" ht="18" x14ac:dyDescent="0.25">
      <c r="A24" s="37">
        <v>127</v>
      </c>
      <c r="B24" s="37">
        <v>1</v>
      </c>
      <c r="C24" s="37" t="s">
        <v>62</v>
      </c>
      <c r="D24" s="37" t="s">
        <v>32</v>
      </c>
      <c r="E24" s="37"/>
      <c r="F24" s="37">
        <v>0</v>
      </c>
      <c r="G24" s="38" t="s">
        <v>63</v>
      </c>
      <c r="H24" s="37">
        <v>6.492</v>
      </c>
      <c r="I24" s="37">
        <v>0</v>
      </c>
      <c r="J24" s="37"/>
      <c r="K24" s="39">
        <v>141</v>
      </c>
      <c r="L24" s="39" t="s">
        <v>152</v>
      </c>
      <c r="M24" s="39">
        <v>6.8828544999999997</v>
      </c>
      <c r="N24" s="39">
        <v>0.92893727861609043</v>
      </c>
      <c r="O24" s="39">
        <v>5.8472615000000001</v>
      </c>
      <c r="P24" s="39">
        <v>-28.871232815087108</v>
      </c>
      <c r="Q24" s="37">
        <v>6.492</v>
      </c>
      <c r="R24" s="40">
        <v>3.7583036388888882</v>
      </c>
      <c r="S24" s="40">
        <v>2.0716198484927761</v>
      </c>
      <c r="T24" s="40">
        <v>2.6898764166666664</v>
      </c>
      <c r="U24" s="40">
        <v>-25.568353824712908</v>
      </c>
      <c r="V24" s="40">
        <v>1.5536666666666668</v>
      </c>
      <c r="W24" s="40">
        <v>1.5536666666666668</v>
      </c>
      <c r="X24" s="41">
        <f t="shared" si="18"/>
        <v>1.1657759513266223E-2</v>
      </c>
      <c r="Y24" s="41">
        <f t="shared" si="19"/>
        <v>0.2657527419862567</v>
      </c>
      <c r="Z24" s="42">
        <f t="shared" si="20"/>
        <v>8.0238662525802223E-2</v>
      </c>
      <c r="AA24" s="42">
        <f t="shared" si="21"/>
        <v>1.5539257767356724</v>
      </c>
      <c r="AB24" s="43">
        <f t="shared" si="22"/>
        <v>1.2359621461152528</v>
      </c>
      <c r="AC24" s="43">
        <f t="shared" si="23"/>
        <v>23.936010116076286</v>
      </c>
      <c r="AD24" s="44">
        <f t="shared" si="24"/>
        <v>19.366297091953381</v>
      </c>
      <c r="AE24" s="45">
        <f t="shared" si="25"/>
        <v>0.83731743012331428</v>
      </c>
      <c r="AF24" s="45">
        <f t="shared" si="26"/>
        <v>-29.332878990374201</v>
      </c>
    </row>
    <row r="25" spans="1:33" ht="18" x14ac:dyDescent="0.25">
      <c r="A25" s="37">
        <v>128</v>
      </c>
      <c r="B25" s="37">
        <v>1</v>
      </c>
      <c r="C25" s="37" t="s">
        <v>62</v>
      </c>
      <c r="D25" s="37" t="s">
        <v>34</v>
      </c>
      <c r="E25" s="37">
        <v>19.207920789999999</v>
      </c>
      <c r="F25" s="37">
        <v>0</v>
      </c>
      <c r="G25" s="38" t="s">
        <v>64</v>
      </c>
      <c r="H25" s="37">
        <v>6.891</v>
      </c>
      <c r="I25" s="37">
        <v>0</v>
      </c>
      <c r="J25" s="37"/>
      <c r="K25" s="46">
        <v>142</v>
      </c>
      <c r="L25" s="46" t="s">
        <v>153</v>
      </c>
      <c r="M25" s="46">
        <v>2.7037650000000002</v>
      </c>
      <c r="N25" s="46">
        <v>-8.3230224591507307E-2</v>
      </c>
      <c r="O25" s="46">
        <v>1.8353891250000001</v>
      </c>
      <c r="P25" s="46">
        <v>-26.054084682348023</v>
      </c>
      <c r="Q25" s="37">
        <v>6.891</v>
      </c>
      <c r="R25" s="40">
        <v>3.7583036388888882</v>
      </c>
      <c r="S25" s="40">
        <v>2.0716198484927761</v>
      </c>
      <c r="T25" s="40">
        <v>2.6898764166666664</v>
      </c>
      <c r="U25" s="40">
        <v>-25.568353824712908</v>
      </c>
      <c r="V25" s="40">
        <v>1.5536666666666668</v>
      </c>
      <c r="W25" s="40">
        <v>1.5536666666666668</v>
      </c>
      <c r="X25" s="41">
        <f t="shared" si="18"/>
        <v>1.1657759513266223E-2</v>
      </c>
      <c r="Y25" s="41">
        <f t="shared" si="19"/>
        <v>0.2657527419862567</v>
      </c>
      <c r="Z25" s="42">
        <f t="shared" si="20"/>
        <v>3.1519842150386251E-2</v>
      </c>
      <c r="AA25" s="42">
        <f t="shared" si="21"/>
        <v>0.48775969258050644</v>
      </c>
      <c r="AB25" s="43">
        <f t="shared" si="22"/>
        <v>0.45740592294857424</v>
      </c>
      <c r="AC25" s="43">
        <f t="shared" si="23"/>
        <v>7.0782135042882954</v>
      </c>
      <c r="AD25" s="44">
        <f t="shared" si="24"/>
        <v>15.474687032166159</v>
      </c>
      <c r="AE25" s="45">
        <f t="shared" si="25"/>
        <v>-0.17485007308428346</v>
      </c>
      <c r="AF25" s="45">
        <f t="shared" si="26"/>
        <v>-26.515730857635116</v>
      </c>
    </row>
    <row r="26" spans="1:33" ht="18" x14ac:dyDescent="0.25">
      <c r="A26" s="37">
        <v>129</v>
      </c>
      <c r="B26" s="37">
        <v>1</v>
      </c>
      <c r="C26" s="37" t="s">
        <v>62</v>
      </c>
      <c r="D26" s="37" t="s">
        <v>36</v>
      </c>
      <c r="E26" s="37"/>
      <c r="F26" s="37">
        <v>0</v>
      </c>
      <c r="G26" s="38" t="s">
        <v>65</v>
      </c>
      <c r="H26" s="37">
        <v>6.5289999999999999</v>
      </c>
      <c r="I26" s="37">
        <v>0</v>
      </c>
      <c r="J26" s="37"/>
      <c r="K26" s="39">
        <v>143</v>
      </c>
      <c r="L26" s="39" t="s">
        <v>154</v>
      </c>
      <c r="M26" s="39">
        <v>2.0976780000000002</v>
      </c>
      <c r="N26" s="39">
        <v>0.8099681909219586</v>
      </c>
      <c r="O26" s="39">
        <v>1.3418816250000001</v>
      </c>
      <c r="P26" s="39">
        <v>-25.476015927895553</v>
      </c>
      <c r="Q26" s="37">
        <v>6.5289999999999999</v>
      </c>
      <c r="R26" s="40">
        <v>3.7583036388888882</v>
      </c>
      <c r="S26" s="40">
        <v>2.0716198484927761</v>
      </c>
      <c r="T26" s="40">
        <v>2.6898764166666664</v>
      </c>
      <c r="U26" s="40">
        <v>-25.568353824712908</v>
      </c>
      <c r="V26" s="40">
        <v>1.5536666666666668</v>
      </c>
      <c r="W26" s="40">
        <v>1.5536666666666668</v>
      </c>
      <c r="X26" s="41">
        <f t="shared" si="18"/>
        <v>1.1657759513266223E-2</v>
      </c>
      <c r="Y26" s="41">
        <f t="shared" si="19"/>
        <v>0.2657527419862567</v>
      </c>
      <c r="Z26" s="42">
        <f t="shared" si="20"/>
        <v>2.4454225660269266E-2</v>
      </c>
      <c r="AA26" s="42">
        <f t="shared" si="21"/>
        <v>0.35660872126472387</v>
      </c>
      <c r="AB26" s="43">
        <f t="shared" si="22"/>
        <v>0.37454779691023532</v>
      </c>
      <c r="AC26" s="43">
        <f t="shared" si="23"/>
        <v>5.4619194557317172</v>
      </c>
      <c r="AD26" s="44">
        <f t="shared" si="24"/>
        <v>14.582703464788311</v>
      </c>
      <c r="AE26" s="45">
        <f t="shared" si="25"/>
        <v>0.71834834242918244</v>
      </c>
      <c r="AF26" s="45">
        <f t="shared" si="26"/>
        <v>-25.937662103182646</v>
      </c>
    </row>
    <row r="27" spans="1:33" ht="18" x14ac:dyDescent="0.25">
      <c r="A27" s="37"/>
      <c r="B27" s="37"/>
      <c r="C27" s="37"/>
      <c r="D27" s="37"/>
      <c r="E27" s="37"/>
      <c r="F27" s="37"/>
      <c r="G27" s="37"/>
      <c r="H27" s="37">
        <v>1.4410000000000001</v>
      </c>
      <c r="I27" s="37"/>
      <c r="J27" s="37" t="s">
        <v>289</v>
      </c>
      <c r="K27" s="46">
        <v>144</v>
      </c>
      <c r="L27" s="46" t="s">
        <v>155</v>
      </c>
      <c r="M27" s="46">
        <v>3.3912847500000001</v>
      </c>
      <c r="N27" s="46">
        <v>2.5465444455059911</v>
      </c>
      <c r="O27" s="46">
        <v>2.4673745</v>
      </c>
      <c r="P27" s="46">
        <v>-25.86208440221241</v>
      </c>
      <c r="Q27" s="37">
        <v>1.4410000000000001</v>
      </c>
      <c r="R27" s="40">
        <v>3.7583036388888882</v>
      </c>
      <c r="S27" s="40">
        <v>2.0716198484927761</v>
      </c>
      <c r="T27" s="40">
        <v>2.6898764166666664</v>
      </c>
      <c r="U27" s="40">
        <v>-25.568353824712908</v>
      </c>
      <c r="V27" s="40">
        <v>1.5536666666666668</v>
      </c>
      <c r="W27" s="40">
        <v>1.5536666666666668</v>
      </c>
      <c r="X27" s="41">
        <f t="shared" si="18"/>
        <v>1.1657759513266223E-2</v>
      </c>
      <c r="Y27" s="41">
        <f t="shared" si="19"/>
        <v>0.2657527419862567</v>
      </c>
      <c r="Z27" s="42">
        <f t="shared" si="20"/>
        <v>3.9534782056507164E-2</v>
      </c>
      <c r="AA27" s="42">
        <f t="shared" si="21"/>
        <v>0.65571153888196909</v>
      </c>
      <c r="AB27" s="43">
        <f t="shared" si="22"/>
        <v>2.7435657221725998</v>
      </c>
      <c r="AC27" s="43">
        <f t="shared" si="23"/>
        <v>45.503923586534974</v>
      </c>
      <c r="AD27" s="44">
        <f t="shared" si="24"/>
        <v>16.585687457306808</v>
      </c>
      <c r="AE27" s="45">
        <f t="shared" si="25"/>
        <v>2.454924597013215</v>
      </c>
      <c r="AF27" s="45">
        <f t="shared" si="26"/>
        <v>-26.323730577499504</v>
      </c>
    </row>
    <row r="28" spans="1:33" ht="18" x14ac:dyDescent="0.25">
      <c r="A28" s="37"/>
      <c r="B28" s="37"/>
      <c r="C28" s="37"/>
      <c r="D28" s="37"/>
      <c r="E28" s="37"/>
      <c r="F28" s="37"/>
      <c r="G28" s="37"/>
      <c r="H28" s="37">
        <v>1.31</v>
      </c>
      <c r="I28" s="37"/>
      <c r="J28" s="37" t="s">
        <v>289</v>
      </c>
      <c r="K28" s="39">
        <v>145</v>
      </c>
      <c r="L28" s="39" t="s">
        <v>156</v>
      </c>
      <c r="M28" s="39">
        <v>3.1629505</v>
      </c>
      <c r="N28" s="39">
        <v>0.32142674709965957</v>
      </c>
      <c r="O28" s="39">
        <v>2.2600972499999998</v>
      </c>
      <c r="P28" s="39">
        <v>-25.746110883034063</v>
      </c>
      <c r="Q28" s="37">
        <v>1.31</v>
      </c>
      <c r="R28" s="40">
        <v>3.7583036388888882</v>
      </c>
      <c r="S28" s="40">
        <v>2.0716198484927761</v>
      </c>
      <c r="T28" s="40">
        <v>2.6898764166666664</v>
      </c>
      <c r="U28" s="40">
        <v>-25.568353824712908</v>
      </c>
      <c r="V28" s="40">
        <v>1.5536666666666668</v>
      </c>
      <c r="W28" s="40">
        <v>1.5536666666666668</v>
      </c>
      <c r="X28" s="41">
        <f t="shared" si="18"/>
        <v>1.1657759513266223E-2</v>
      </c>
      <c r="Y28" s="41">
        <f t="shared" si="19"/>
        <v>0.2657527419862567</v>
      </c>
      <c r="Z28" s="42">
        <f t="shared" si="20"/>
        <v>3.6872916281365159E-2</v>
      </c>
      <c r="AA28" s="42">
        <f t="shared" si="21"/>
        <v>0.6006270413430983</v>
      </c>
      <c r="AB28" s="43">
        <f t="shared" si="22"/>
        <v>2.8147264336919968</v>
      </c>
      <c r="AC28" s="43">
        <f t="shared" si="23"/>
        <v>45.849392468938802</v>
      </c>
      <c r="AD28" s="44">
        <f t="shared" si="24"/>
        <v>16.289111410660059</v>
      </c>
      <c r="AE28" s="45">
        <f t="shared" si="25"/>
        <v>0.22980689860688341</v>
      </c>
      <c r="AF28" s="45">
        <f t="shared" si="26"/>
        <v>-26.207757058321157</v>
      </c>
      <c r="AG28" s="14"/>
    </row>
    <row r="29" spans="1:33" ht="18" x14ac:dyDescent="0.25">
      <c r="A29" s="37">
        <v>4</v>
      </c>
      <c r="B29" s="37">
        <v>2</v>
      </c>
      <c r="C29" s="37" t="s">
        <v>31</v>
      </c>
      <c r="D29" s="37" t="s">
        <v>32</v>
      </c>
      <c r="E29" s="37"/>
      <c r="F29" s="37">
        <v>1</v>
      </c>
      <c r="G29" s="38" t="s">
        <v>39</v>
      </c>
      <c r="H29" s="37">
        <v>7.1289999999999996</v>
      </c>
      <c r="I29" s="37">
        <v>1</v>
      </c>
      <c r="J29" s="37"/>
      <c r="K29" s="46">
        <v>146</v>
      </c>
      <c r="L29" s="46" t="s">
        <v>157</v>
      </c>
      <c r="M29" s="46">
        <v>6.5199914999999997</v>
      </c>
      <c r="N29" s="46">
        <v>158.38154016657575</v>
      </c>
      <c r="O29" s="46">
        <v>6.4772794999999999</v>
      </c>
      <c r="P29" s="46">
        <v>-27.605245525663111</v>
      </c>
      <c r="Q29" s="37">
        <v>7.1289999999999996</v>
      </c>
      <c r="R29" s="40">
        <v>3.7583036388888882</v>
      </c>
      <c r="S29" s="40">
        <v>2.0716198484927761</v>
      </c>
      <c r="T29" s="40">
        <v>2.6898764166666664</v>
      </c>
      <c r="U29" s="40">
        <v>-25.568353824712908</v>
      </c>
      <c r="V29" s="40">
        <v>1.5536666666666668</v>
      </c>
      <c r="W29" s="40">
        <v>1.5536666666666668</v>
      </c>
      <c r="X29" s="41">
        <f t="shared" si="18"/>
        <v>1.1657759513266223E-2</v>
      </c>
      <c r="Y29" s="41">
        <f t="shared" si="19"/>
        <v>0.2657527419862567</v>
      </c>
      <c r="Z29" s="42">
        <f t="shared" si="20"/>
        <v>7.6008492935539906E-2</v>
      </c>
      <c r="AA29" s="42">
        <f t="shared" si="21"/>
        <v>1.7213547877363697</v>
      </c>
      <c r="AB29" s="43">
        <f t="shared" si="22"/>
        <v>1.0661873044682271</v>
      </c>
      <c r="AC29" s="43">
        <f t="shared" si="23"/>
        <v>24.145809899514237</v>
      </c>
      <c r="AD29" s="44">
        <f t="shared" si="24"/>
        <v>22.6468743327958</v>
      </c>
      <c r="AE29" s="45">
        <f t="shared" si="25"/>
        <v>158.28992031808298</v>
      </c>
      <c r="AF29" s="45">
        <f t="shared" si="26"/>
        <v>-28.066891700950205</v>
      </c>
    </row>
    <row r="30" spans="1:33" ht="18" x14ac:dyDescent="0.25">
      <c r="A30" s="37">
        <v>5</v>
      </c>
      <c r="B30" s="37">
        <v>2</v>
      </c>
      <c r="C30" s="37" t="s">
        <v>31</v>
      </c>
      <c r="D30" s="37" t="s">
        <v>34</v>
      </c>
      <c r="E30" s="37">
        <v>14.54183267</v>
      </c>
      <c r="F30" s="37">
        <v>1</v>
      </c>
      <c r="G30" s="38" t="s">
        <v>40</v>
      </c>
      <c r="H30" s="37">
        <v>7.4829999999999997</v>
      </c>
      <c r="I30" s="37">
        <v>1</v>
      </c>
      <c r="J30" s="37"/>
      <c r="K30" s="39">
        <v>147</v>
      </c>
      <c r="L30" s="39" t="s">
        <v>158</v>
      </c>
      <c r="M30" s="39">
        <v>2.7969715000000002</v>
      </c>
      <c r="N30" s="39">
        <v>53.362499233419385</v>
      </c>
      <c r="O30" s="39">
        <v>1.900776875</v>
      </c>
      <c r="P30" s="39">
        <v>-25.093723736598079</v>
      </c>
      <c r="Q30" s="37">
        <v>7.4829999999999997</v>
      </c>
      <c r="R30" s="40">
        <v>3.7583036388888882</v>
      </c>
      <c r="S30" s="40">
        <v>2.0716198484927761</v>
      </c>
      <c r="T30" s="40">
        <v>2.6898764166666664</v>
      </c>
      <c r="U30" s="40">
        <v>-25.568353824712908</v>
      </c>
      <c r="V30" s="40">
        <v>1.5536666666666668</v>
      </c>
      <c r="W30" s="40">
        <v>1.5536666666666668</v>
      </c>
      <c r="X30" s="41">
        <f t="shared" si="18"/>
        <v>1.1657759513266223E-2</v>
      </c>
      <c r="Y30" s="41">
        <f t="shared" si="19"/>
        <v>0.2657527419862567</v>
      </c>
      <c r="Z30" s="42">
        <f t="shared" si="20"/>
        <v>3.2606421112459497E-2</v>
      </c>
      <c r="AA30" s="42">
        <f t="shared" si="21"/>
        <v>0.50513666643531829</v>
      </c>
      <c r="AB30" s="43">
        <f t="shared" si="22"/>
        <v>0.43573995873926896</v>
      </c>
      <c r="AC30" s="43">
        <f t="shared" si="23"/>
        <v>6.7504565874023559</v>
      </c>
      <c r="AD30" s="44">
        <f t="shared" si="24"/>
        <v>15.49193837290829</v>
      </c>
      <c r="AE30" s="45">
        <f t="shared" si="25"/>
        <v>53.270879384926609</v>
      </c>
      <c r="AF30" s="45">
        <f t="shared" si="26"/>
        <v>-25.555369911885172</v>
      </c>
    </row>
    <row r="31" spans="1:33" ht="18" x14ac:dyDescent="0.25">
      <c r="A31" s="37">
        <v>6</v>
      </c>
      <c r="B31" s="37">
        <v>2</v>
      </c>
      <c r="C31" s="37" t="s">
        <v>31</v>
      </c>
      <c r="D31" s="37" t="s">
        <v>36</v>
      </c>
      <c r="E31" s="37"/>
      <c r="F31" s="37">
        <v>1</v>
      </c>
      <c r="G31" s="38" t="s">
        <v>41</v>
      </c>
      <c r="H31" s="37">
        <v>7.6159999999999997</v>
      </c>
      <c r="I31" s="37">
        <v>1</v>
      </c>
      <c r="J31" s="37"/>
      <c r="K31" s="46">
        <v>148</v>
      </c>
      <c r="L31" s="46" t="s">
        <v>159</v>
      </c>
      <c r="M31" s="46">
        <v>2.1518317499999999</v>
      </c>
      <c r="N31" s="46">
        <v>2.573104134421933</v>
      </c>
      <c r="O31" s="46">
        <v>1.3271288750000001</v>
      </c>
      <c r="P31" s="46">
        <v>-24.933537466492258</v>
      </c>
      <c r="Q31" s="37">
        <v>7.6159999999999997</v>
      </c>
      <c r="R31" s="40">
        <v>3.7583036388888882</v>
      </c>
      <c r="S31" s="40">
        <v>2.0716198484927761</v>
      </c>
      <c r="T31" s="40">
        <v>2.6898764166666664</v>
      </c>
      <c r="U31" s="40">
        <v>-25.568353824712908</v>
      </c>
      <c r="V31" s="40">
        <v>1.5536666666666668</v>
      </c>
      <c r="W31" s="40">
        <v>1.5536666666666668</v>
      </c>
      <c r="X31" s="41">
        <f t="shared" si="18"/>
        <v>1.1657759513266223E-2</v>
      </c>
      <c r="Y31" s="41">
        <f t="shared" si="19"/>
        <v>0.2657527419862567</v>
      </c>
      <c r="Z31" s="42">
        <f t="shared" si="20"/>
        <v>2.5085537054510804E-2</v>
      </c>
      <c r="AA31" s="42">
        <f t="shared" si="21"/>
        <v>0.35268813750038613</v>
      </c>
      <c r="AB31" s="43">
        <f t="shared" si="22"/>
        <v>0.32937942561069855</v>
      </c>
      <c r="AC31" s="43">
        <f t="shared" si="23"/>
        <v>4.6308841583559106</v>
      </c>
      <c r="AD31" s="44">
        <f t="shared" si="24"/>
        <v>14.059421440090988</v>
      </c>
      <c r="AE31" s="45">
        <f t="shared" si="25"/>
        <v>2.4814842859291568</v>
      </c>
      <c r="AF31" s="45">
        <f t="shared" si="26"/>
        <v>-25.395183641779351</v>
      </c>
    </row>
    <row r="32" spans="1:33" ht="18" x14ac:dyDescent="0.25">
      <c r="A32" s="37">
        <v>7</v>
      </c>
      <c r="B32" s="37">
        <v>3</v>
      </c>
      <c r="C32" s="37" t="s">
        <v>31</v>
      </c>
      <c r="D32" s="37" t="s">
        <v>32</v>
      </c>
      <c r="E32" s="37"/>
      <c r="F32" s="37">
        <v>1</v>
      </c>
      <c r="G32" s="38" t="s">
        <v>43</v>
      </c>
      <c r="H32" s="37">
        <v>6.1319999999999997</v>
      </c>
      <c r="I32" s="37">
        <v>1</v>
      </c>
      <c r="J32" s="37"/>
      <c r="K32" s="39">
        <v>149</v>
      </c>
      <c r="L32" s="39" t="s">
        <v>160</v>
      </c>
      <c r="M32" s="39">
        <v>4.7044804999999998</v>
      </c>
      <c r="N32" s="39">
        <v>169.52132144989477</v>
      </c>
      <c r="O32" s="39">
        <v>4.0359515000000004</v>
      </c>
      <c r="P32" s="39">
        <v>-24.539492340979518</v>
      </c>
      <c r="Q32" s="37">
        <v>6.1319999999999997</v>
      </c>
      <c r="R32" s="40">
        <v>3.7583036388888882</v>
      </c>
      <c r="S32" s="40">
        <v>2.0716198484927761</v>
      </c>
      <c r="T32" s="40">
        <v>2.6898764166666664</v>
      </c>
      <c r="U32" s="40">
        <v>-25.568353824712908</v>
      </c>
      <c r="V32" s="40">
        <v>1.5536666666666668</v>
      </c>
      <c r="W32" s="40">
        <v>1.5536666666666668</v>
      </c>
      <c r="X32" s="41">
        <f t="shared" si="18"/>
        <v>1.1657759513266223E-2</v>
      </c>
      <c r="Y32" s="41">
        <f t="shared" si="19"/>
        <v>0.2657527419862567</v>
      </c>
      <c r="Z32" s="42">
        <f t="shared" si="20"/>
        <v>5.4843702303850439E-2</v>
      </c>
      <c r="AA32" s="42">
        <f t="shared" si="21"/>
        <v>1.0725651776485459</v>
      </c>
      <c r="AB32" s="43">
        <f t="shared" si="22"/>
        <v>0.8943852300040841</v>
      </c>
      <c r="AC32" s="43">
        <f t="shared" si="23"/>
        <v>17.491278174307663</v>
      </c>
      <c r="AD32" s="44">
        <f t="shared" si="24"/>
        <v>19.55676098791098</v>
      </c>
      <c r="AE32" s="45">
        <f t="shared" si="25"/>
        <v>169.429701601402</v>
      </c>
      <c r="AF32" s="45">
        <f t="shared" si="26"/>
        <v>-25.001138516266611</v>
      </c>
    </row>
    <row r="33" spans="1:32" ht="18" x14ac:dyDescent="0.25">
      <c r="A33" s="37">
        <v>8</v>
      </c>
      <c r="B33" s="37">
        <v>3</v>
      </c>
      <c r="C33" s="37" t="s">
        <v>31</v>
      </c>
      <c r="D33" s="37" t="s">
        <v>34</v>
      </c>
      <c r="E33" s="37">
        <v>21.513944219999999</v>
      </c>
      <c r="F33" s="37">
        <v>1</v>
      </c>
      <c r="G33" s="38" t="s">
        <v>44</v>
      </c>
      <c r="H33" s="37">
        <v>7.2140000000000004</v>
      </c>
      <c r="I33" s="37">
        <v>1</v>
      </c>
      <c r="J33" s="37"/>
      <c r="K33" s="46">
        <v>150</v>
      </c>
      <c r="L33" s="46" t="s">
        <v>161</v>
      </c>
      <c r="M33" s="46">
        <v>4.2313495000000003</v>
      </c>
      <c r="N33" s="46">
        <v>10.909860509961428</v>
      </c>
      <c r="O33" s="46">
        <v>2.9431837500000002</v>
      </c>
      <c r="P33" s="46">
        <v>-26.858957941122874</v>
      </c>
      <c r="Q33" s="37">
        <v>7.2140000000000004</v>
      </c>
      <c r="R33" s="40">
        <v>3.7583036388888882</v>
      </c>
      <c r="S33" s="40">
        <v>2.0716198484927761</v>
      </c>
      <c r="T33" s="40">
        <v>2.6898764166666664</v>
      </c>
      <c r="U33" s="40">
        <v>-25.568353824712908</v>
      </c>
      <c r="V33" s="40">
        <v>1.5536666666666668</v>
      </c>
      <c r="W33" s="40">
        <v>1.5536666666666668</v>
      </c>
      <c r="X33" s="41">
        <f t="shared" si="18"/>
        <v>1.1657759513266223E-2</v>
      </c>
      <c r="Y33" s="41">
        <f t="shared" si="19"/>
        <v>0.2657527419862567</v>
      </c>
      <c r="Z33" s="42">
        <f t="shared" si="20"/>
        <v>4.9328054887579277E-2</v>
      </c>
      <c r="AA33" s="42">
        <f t="shared" si="21"/>
        <v>0.78215915173189354</v>
      </c>
      <c r="AB33" s="43">
        <f t="shared" si="22"/>
        <v>0.68378229675047508</v>
      </c>
      <c r="AC33" s="43">
        <f t="shared" si="23"/>
        <v>10.842239419627024</v>
      </c>
      <c r="AD33" s="44">
        <f t="shared" si="24"/>
        <v>15.85627395027976</v>
      </c>
      <c r="AE33" s="45">
        <f t="shared" si="25"/>
        <v>10.818240661468652</v>
      </c>
      <c r="AF33" s="45">
        <f t="shared" si="26"/>
        <v>-27.320604116409967</v>
      </c>
    </row>
    <row r="34" spans="1:32" ht="18" x14ac:dyDescent="0.25">
      <c r="A34" s="37">
        <v>9</v>
      </c>
      <c r="B34" s="37">
        <v>3</v>
      </c>
      <c r="C34" s="37" t="s">
        <v>31</v>
      </c>
      <c r="D34" s="37" t="s">
        <v>36</v>
      </c>
      <c r="E34" s="37"/>
      <c r="F34" s="37">
        <v>1</v>
      </c>
      <c r="G34" s="38" t="s">
        <v>45</v>
      </c>
      <c r="H34" s="37">
        <v>7.7889999999999997</v>
      </c>
      <c r="I34" s="37">
        <v>1</v>
      </c>
      <c r="J34" s="37"/>
      <c r="K34" s="39">
        <v>151</v>
      </c>
      <c r="L34" s="39" t="s">
        <v>162</v>
      </c>
      <c r="M34" s="39">
        <v>2.5988817499999999</v>
      </c>
      <c r="N34" s="39">
        <v>1.693261148628894</v>
      </c>
      <c r="O34" s="39">
        <v>1.493147625</v>
      </c>
      <c r="P34" s="39">
        <v>-24.957328140084872</v>
      </c>
      <c r="Q34" s="37">
        <v>7.7889999999999997</v>
      </c>
      <c r="R34" s="40">
        <v>3.7583036388888882</v>
      </c>
      <c r="S34" s="40">
        <v>2.0716198484927761</v>
      </c>
      <c r="T34" s="40">
        <v>2.6898764166666664</v>
      </c>
      <c r="U34" s="40">
        <v>-25.568353824712908</v>
      </c>
      <c r="V34" s="40">
        <v>1.5536666666666668</v>
      </c>
      <c r="W34" s="40">
        <v>1.5536666666666668</v>
      </c>
      <c r="X34" s="41">
        <f t="shared" si="18"/>
        <v>1.1657759513266223E-2</v>
      </c>
      <c r="Y34" s="41">
        <f t="shared" si="19"/>
        <v>0.2657527419862567</v>
      </c>
      <c r="Z34" s="42">
        <f t="shared" si="20"/>
        <v>3.0297138444916469E-2</v>
      </c>
      <c r="AA34" s="42">
        <f t="shared" si="21"/>
        <v>0.39680807553401698</v>
      </c>
      <c r="AB34" s="43">
        <f t="shared" si="22"/>
        <v>0.38897340409444692</v>
      </c>
      <c r="AC34" s="43">
        <f t="shared" si="23"/>
        <v>5.0944675251510718</v>
      </c>
      <c r="AD34" s="44">
        <f t="shared" si="24"/>
        <v>13.097213001005283</v>
      </c>
      <c r="AE34" s="45">
        <f t="shared" si="25"/>
        <v>1.6016413001361178</v>
      </c>
      <c r="AF34" s="45">
        <f t="shared" si="26"/>
        <v>-25.418974315371965</v>
      </c>
    </row>
    <row r="35" spans="1:32" ht="18" x14ac:dyDescent="0.25">
      <c r="A35" s="37">
        <v>10</v>
      </c>
      <c r="B35" s="37">
        <v>4</v>
      </c>
      <c r="C35" s="37" t="s">
        <v>31</v>
      </c>
      <c r="D35" s="37" t="s">
        <v>32</v>
      </c>
      <c r="E35" s="37"/>
      <c r="F35" s="37">
        <v>1</v>
      </c>
      <c r="G35" s="38" t="s">
        <v>47</v>
      </c>
      <c r="H35" s="37">
        <v>6.5940000000000003</v>
      </c>
      <c r="I35" s="37">
        <v>1</v>
      </c>
      <c r="J35" s="37"/>
      <c r="K35" s="46">
        <v>152</v>
      </c>
      <c r="L35" s="46" t="s">
        <v>163</v>
      </c>
      <c r="M35" s="46">
        <v>5.5507065000000004</v>
      </c>
      <c r="N35" s="46">
        <v>55.975699841350234</v>
      </c>
      <c r="O35" s="46">
        <v>4.9314724999999999</v>
      </c>
      <c r="P35" s="46">
        <v>-26.821828127145054</v>
      </c>
      <c r="Q35" s="37">
        <v>6.5940000000000003</v>
      </c>
      <c r="R35" s="40">
        <v>3.7583036388888882</v>
      </c>
      <c r="S35" s="40">
        <v>2.0716198484927761</v>
      </c>
      <c r="T35" s="40">
        <v>2.6898764166666664</v>
      </c>
      <c r="U35" s="40">
        <v>-25.568353824712908</v>
      </c>
      <c r="V35" s="40">
        <v>1.5536666666666668</v>
      </c>
      <c r="W35" s="40">
        <v>1.5536666666666668</v>
      </c>
      <c r="X35" s="41">
        <f t="shared" si="18"/>
        <v>1.1657759513266223E-2</v>
      </c>
      <c r="Y35" s="41">
        <f t="shared" si="19"/>
        <v>0.2657527419862567</v>
      </c>
      <c r="Z35" s="42">
        <f t="shared" si="20"/>
        <v>6.4708801505723668E-2</v>
      </c>
      <c r="AA35" s="42">
        <f t="shared" si="21"/>
        <v>1.3105523389048204</v>
      </c>
      <c r="AB35" s="43">
        <f t="shared" si="22"/>
        <v>0.98132850327151444</v>
      </c>
      <c r="AC35" s="43">
        <f t="shared" si="23"/>
        <v>19.874921730434036</v>
      </c>
      <c r="AD35" s="44">
        <f t="shared" si="24"/>
        <v>20.253076991217316</v>
      </c>
      <c r="AE35" s="45">
        <f t="shared" si="25"/>
        <v>55.884079992857458</v>
      </c>
      <c r="AF35" s="45">
        <f t="shared" si="26"/>
        <v>-27.283474302432147</v>
      </c>
    </row>
    <row r="36" spans="1:32" ht="18" x14ac:dyDescent="0.25">
      <c r="A36" s="37">
        <v>11</v>
      </c>
      <c r="B36" s="37">
        <v>4</v>
      </c>
      <c r="C36" s="37" t="s">
        <v>31</v>
      </c>
      <c r="D36" s="37" t="s">
        <v>34</v>
      </c>
      <c r="E36" s="37">
        <v>22.31075697</v>
      </c>
      <c r="F36" s="37">
        <v>1</v>
      </c>
      <c r="G36" s="38" t="s">
        <v>48</v>
      </c>
      <c r="H36" s="37">
        <v>6.859</v>
      </c>
      <c r="I36" s="37">
        <v>1</v>
      </c>
      <c r="J36" s="37"/>
      <c r="K36" s="39">
        <v>153</v>
      </c>
      <c r="L36" s="39" t="s">
        <v>164</v>
      </c>
      <c r="M36" s="39">
        <v>4.2096479999999996</v>
      </c>
      <c r="N36" s="39">
        <v>60.474464769491597</v>
      </c>
      <c r="O36" s="39">
        <v>3.3256887499999999</v>
      </c>
      <c r="P36" s="39">
        <v>-25.221302765359408</v>
      </c>
      <c r="Q36" s="37">
        <v>6.859</v>
      </c>
      <c r="R36" s="40">
        <v>3.7583036388888882</v>
      </c>
      <c r="S36" s="40">
        <v>2.0716198484927761</v>
      </c>
      <c r="T36" s="40">
        <v>2.6898764166666664</v>
      </c>
      <c r="U36" s="40">
        <v>-25.568353824712908</v>
      </c>
      <c r="V36" s="40">
        <v>1.5536666666666668</v>
      </c>
      <c r="W36" s="40">
        <v>1.5536666666666668</v>
      </c>
      <c r="X36" s="41">
        <f t="shared" si="18"/>
        <v>1.1657759513266223E-2</v>
      </c>
      <c r="Y36" s="41">
        <f t="shared" si="19"/>
        <v>0.2657527419862567</v>
      </c>
      <c r="Z36" s="42">
        <f t="shared" si="20"/>
        <v>4.9075064019502124E-2</v>
      </c>
      <c r="AA36" s="42">
        <f t="shared" si="21"/>
        <v>0.88381090430534648</v>
      </c>
      <c r="AB36" s="43">
        <f t="shared" si="22"/>
        <v>0.71548423996941424</v>
      </c>
      <c r="AC36" s="43">
        <f t="shared" si="23"/>
        <v>12.885419220080863</v>
      </c>
      <c r="AD36" s="44">
        <f t="shared" si="24"/>
        <v>18.009368341407065</v>
      </c>
      <c r="AE36" s="45">
        <f t="shared" si="25"/>
        <v>60.382844920998821</v>
      </c>
      <c r="AF36" s="45">
        <f t="shared" si="26"/>
        <v>-25.682948940646501</v>
      </c>
    </row>
    <row r="37" spans="1:32" ht="18" x14ac:dyDescent="0.25">
      <c r="A37" s="37">
        <v>12</v>
      </c>
      <c r="B37" s="37">
        <v>4</v>
      </c>
      <c r="C37" s="37" t="s">
        <v>31</v>
      </c>
      <c r="D37" s="37" t="s">
        <v>36</v>
      </c>
      <c r="E37" s="37"/>
      <c r="F37" s="37">
        <v>1</v>
      </c>
      <c r="G37" s="38" t="s">
        <v>49</v>
      </c>
      <c r="H37" s="37">
        <v>7.0650000000000004</v>
      </c>
      <c r="I37" s="37">
        <v>1</v>
      </c>
      <c r="J37" s="37"/>
      <c r="K37" s="46">
        <v>154</v>
      </c>
      <c r="L37" s="46" t="s">
        <v>165</v>
      </c>
      <c r="M37" s="46">
        <v>3.02267675</v>
      </c>
      <c r="N37" s="46">
        <v>0.66112423253352759</v>
      </c>
      <c r="O37" s="46">
        <v>1.9082501249999999</v>
      </c>
      <c r="P37" s="46">
        <v>-25.543567084556322</v>
      </c>
      <c r="Q37" s="37">
        <v>7.0650000000000004</v>
      </c>
      <c r="R37" s="40">
        <v>3.7583036388888882</v>
      </c>
      <c r="S37" s="40">
        <v>2.0716198484927761</v>
      </c>
      <c r="T37" s="40">
        <v>2.6898764166666664</v>
      </c>
      <c r="U37" s="40">
        <v>-25.568353824712908</v>
      </c>
      <c r="V37" s="40">
        <v>1.5536666666666668</v>
      </c>
      <c r="W37" s="40">
        <v>1.5536666666666668</v>
      </c>
      <c r="X37" s="41">
        <f t="shared" si="18"/>
        <v>1.1657759513266223E-2</v>
      </c>
      <c r="Y37" s="41">
        <f t="shared" si="19"/>
        <v>0.2657527419862567</v>
      </c>
      <c r="Z37" s="42">
        <f t="shared" si="20"/>
        <v>3.5237638637841129E-2</v>
      </c>
      <c r="AA37" s="42">
        <f t="shared" si="21"/>
        <v>0.50712270311436702</v>
      </c>
      <c r="AB37" s="43">
        <f t="shared" si="22"/>
        <v>0.4987634626729105</v>
      </c>
      <c r="AC37" s="43">
        <f t="shared" si="23"/>
        <v>7.1779575812366172</v>
      </c>
      <c r="AD37" s="44">
        <f t="shared" si="24"/>
        <v>14.391506432266326</v>
      </c>
      <c r="AE37" s="45">
        <f t="shared" si="25"/>
        <v>0.56950438404075143</v>
      </c>
      <c r="AF37" s="45">
        <f t="shared" si="26"/>
        <v>-26.005213259843416</v>
      </c>
    </row>
    <row r="38" spans="1:32" ht="18" x14ac:dyDescent="0.25">
      <c r="A38" s="37">
        <v>13</v>
      </c>
      <c r="B38" s="37">
        <v>5</v>
      </c>
      <c r="C38" s="37" t="s">
        <v>31</v>
      </c>
      <c r="D38" s="37" t="s">
        <v>32</v>
      </c>
      <c r="E38" s="37"/>
      <c r="F38" s="37">
        <v>1</v>
      </c>
      <c r="G38" s="38" t="s">
        <v>51</v>
      </c>
      <c r="H38" s="37">
        <v>6.2039999999999997</v>
      </c>
      <c r="I38" s="37">
        <v>1</v>
      </c>
      <c r="J38" s="37"/>
      <c r="K38" s="39">
        <v>155</v>
      </c>
      <c r="L38" s="39" t="s">
        <v>166</v>
      </c>
      <c r="M38" s="39">
        <v>4.9101765000000004</v>
      </c>
      <c r="N38" s="39">
        <v>55.369103875231346</v>
      </c>
      <c r="O38" s="39">
        <v>5.6065664999999996</v>
      </c>
      <c r="P38" s="39">
        <v>-28.02341907635719</v>
      </c>
      <c r="Q38" s="37">
        <v>6.2039999999999997</v>
      </c>
      <c r="R38" s="40">
        <v>3.7583036388888882</v>
      </c>
      <c r="S38" s="40">
        <v>2.0716198484927761</v>
      </c>
      <c r="T38" s="40">
        <v>2.6898764166666664</v>
      </c>
      <c r="U38" s="40">
        <v>-25.568353824712908</v>
      </c>
      <c r="V38" s="40">
        <v>1.5536666666666668</v>
      </c>
      <c r="W38" s="40">
        <v>1.5536666666666668</v>
      </c>
      <c r="X38" s="41">
        <f t="shared" si="18"/>
        <v>1.1657759513266223E-2</v>
      </c>
      <c r="Y38" s="41">
        <f t="shared" si="19"/>
        <v>0.2657527419862567</v>
      </c>
      <c r="Z38" s="42">
        <f t="shared" si="20"/>
        <v>5.7241656804691253E-2</v>
      </c>
      <c r="AA38" s="42">
        <f t="shared" si="21"/>
        <v>1.4899604205032901</v>
      </c>
      <c r="AB38" s="43">
        <f t="shared" si="22"/>
        <v>0.9226572663554361</v>
      </c>
      <c r="AC38" s="43">
        <f t="shared" si="23"/>
        <v>24.016125411078178</v>
      </c>
      <c r="AD38" s="44">
        <f t="shared" si="24"/>
        <v>26.029302848221892</v>
      </c>
      <c r="AE38" s="45">
        <f t="shared" si="25"/>
        <v>55.27748402673857</v>
      </c>
      <c r="AF38" s="45">
        <f t="shared" si="26"/>
        <v>-28.485065251644283</v>
      </c>
    </row>
    <row r="39" spans="1:32" ht="18" x14ac:dyDescent="0.25">
      <c r="A39" s="37">
        <v>14</v>
      </c>
      <c r="B39" s="37">
        <v>5</v>
      </c>
      <c r="C39" s="37" t="s">
        <v>31</v>
      </c>
      <c r="D39" s="37" t="s">
        <v>34</v>
      </c>
      <c r="E39" s="37">
        <v>16.468253969999999</v>
      </c>
      <c r="F39" s="37">
        <v>1</v>
      </c>
      <c r="G39" s="38" t="s">
        <v>52</v>
      </c>
      <c r="H39" s="37">
        <v>7.1859999999999999</v>
      </c>
      <c r="I39" s="37">
        <v>1</v>
      </c>
      <c r="J39" s="37"/>
      <c r="K39" s="46">
        <v>156</v>
      </c>
      <c r="L39" s="46" t="s">
        <v>167</v>
      </c>
      <c r="M39" s="46">
        <v>2.0663603749999999</v>
      </c>
      <c r="N39" s="46">
        <v>3.3572332918705028</v>
      </c>
      <c r="O39" s="46">
        <v>1.4125053750000001</v>
      </c>
      <c r="P39" s="46">
        <v>-25.575132636258033</v>
      </c>
      <c r="Q39" s="37">
        <v>7.1859999999999999</v>
      </c>
      <c r="R39" s="40">
        <v>3.7583036388888882</v>
      </c>
      <c r="S39" s="40">
        <v>2.0716198484927761</v>
      </c>
      <c r="T39" s="40">
        <v>2.6898764166666664</v>
      </c>
      <c r="U39" s="40">
        <v>-25.568353824712908</v>
      </c>
      <c r="V39" s="40">
        <v>1.5536666666666668</v>
      </c>
      <c r="W39" s="40">
        <v>1.5536666666666668</v>
      </c>
      <c r="X39" s="41">
        <f t="shared" si="18"/>
        <v>1.1657759513266223E-2</v>
      </c>
      <c r="Y39" s="41">
        <f t="shared" si="19"/>
        <v>0.2657527419862567</v>
      </c>
      <c r="Z39" s="42">
        <f t="shared" si="20"/>
        <v>2.4089132319492609E-2</v>
      </c>
      <c r="AA39" s="42">
        <f t="shared" si="21"/>
        <v>0.37537717647657576</v>
      </c>
      <c r="AB39" s="43">
        <f t="shared" si="22"/>
        <v>0.33522310491918461</v>
      </c>
      <c r="AC39" s="43">
        <f t="shared" si="23"/>
        <v>5.2237291466264368</v>
      </c>
      <c r="AD39" s="44">
        <f t="shared" si="24"/>
        <v>15.582843395850563</v>
      </c>
      <c r="AE39" s="45">
        <f t="shared" si="25"/>
        <v>3.2656134433777266</v>
      </c>
      <c r="AF39" s="45">
        <f t="shared" si="26"/>
        <v>-26.036778811545126</v>
      </c>
    </row>
    <row r="40" spans="1:32" ht="18" x14ac:dyDescent="0.25">
      <c r="A40" s="37">
        <v>15</v>
      </c>
      <c r="B40" s="37">
        <v>5</v>
      </c>
      <c r="C40" s="37" t="s">
        <v>31</v>
      </c>
      <c r="D40" s="37" t="s">
        <v>36</v>
      </c>
      <c r="E40" s="37"/>
      <c r="F40" s="37">
        <v>1</v>
      </c>
      <c r="G40" s="38" t="s">
        <v>53</v>
      </c>
      <c r="H40" s="37">
        <v>6.5659999999999998</v>
      </c>
      <c r="I40" s="37">
        <v>1</v>
      </c>
      <c r="J40" s="37"/>
      <c r="K40" s="39">
        <v>157</v>
      </c>
      <c r="L40" s="39" t="s">
        <v>168</v>
      </c>
      <c r="M40" s="39">
        <v>2.8809610000000001</v>
      </c>
      <c r="N40" s="39">
        <v>0.86097275716322808</v>
      </c>
      <c r="O40" s="39">
        <v>2.0020116250000002</v>
      </c>
      <c r="P40" s="39">
        <v>-26.226212528076868</v>
      </c>
      <c r="Q40" s="37">
        <v>6.5659999999999998</v>
      </c>
      <c r="R40" s="40">
        <v>3.7583036388888882</v>
      </c>
      <c r="S40" s="40">
        <v>2.0716198484927761</v>
      </c>
      <c r="T40" s="40">
        <v>2.6898764166666664</v>
      </c>
      <c r="U40" s="40">
        <v>-25.568353824712908</v>
      </c>
      <c r="V40" s="40">
        <v>1.5536666666666668</v>
      </c>
      <c r="W40" s="40">
        <v>1.5536666666666668</v>
      </c>
      <c r="X40" s="41">
        <f t="shared" si="18"/>
        <v>1.1657759513266223E-2</v>
      </c>
      <c r="Y40" s="41">
        <f t="shared" si="19"/>
        <v>0.2657527419862567</v>
      </c>
      <c r="Z40" s="42">
        <f t="shared" si="20"/>
        <v>3.3585550505098975E-2</v>
      </c>
      <c r="AA40" s="42">
        <f t="shared" si="21"/>
        <v>0.53204007883211157</v>
      </c>
      <c r="AB40" s="43">
        <f t="shared" si="22"/>
        <v>0.51150701348003313</v>
      </c>
      <c r="AC40" s="43">
        <f t="shared" si="23"/>
        <v>8.1029558152925922</v>
      </c>
      <c r="AD40" s="44">
        <f t="shared" si="24"/>
        <v>15.841338636129754</v>
      </c>
      <c r="AE40" s="45">
        <f t="shared" si="25"/>
        <v>0.76935290867045192</v>
      </c>
      <c r="AF40" s="45">
        <f t="shared" si="26"/>
        <v>-26.687858703363961</v>
      </c>
    </row>
    <row r="41" spans="1:32" ht="18" x14ac:dyDescent="0.25">
      <c r="A41" s="37">
        <v>16</v>
      </c>
      <c r="B41" s="37">
        <v>6</v>
      </c>
      <c r="C41" s="37" t="s">
        <v>31</v>
      </c>
      <c r="D41" s="37" t="s">
        <v>32</v>
      </c>
      <c r="E41" s="37"/>
      <c r="F41" s="37">
        <v>1</v>
      </c>
      <c r="G41" s="38" t="s">
        <v>55</v>
      </c>
      <c r="H41" s="37">
        <v>6.1769999999999996</v>
      </c>
      <c r="I41" s="37">
        <v>1</v>
      </c>
      <c r="J41" s="37"/>
      <c r="K41" s="46">
        <v>158</v>
      </c>
      <c r="L41" s="46" t="s">
        <v>169</v>
      </c>
      <c r="M41" s="46">
        <v>4.6587649999999998</v>
      </c>
      <c r="N41" s="46">
        <v>56.200555311066132</v>
      </c>
      <c r="O41" s="46">
        <v>5.7606615000000003</v>
      </c>
      <c r="P41" s="46">
        <v>-29.354446109465599</v>
      </c>
      <c r="Q41" s="37">
        <v>6.1769999999999996</v>
      </c>
      <c r="R41" s="40">
        <v>3.7583036388888882</v>
      </c>
      <c r="S41" s="40">
        <v>2.0716198484927761</v>
      </c>
      <c r="T41" s="40">
        <v>2.6898764166666664</v>
      </c>
      <c r="U41" s="40">
        <v>-25.568353824712908</v>
      </c>
      <c r="V41" s="40">
        <v>1.5536666666666668</v>
      </c>
      <c r="W41" s="40">
        <v>1.5536666666666668</v>
      </c>
      <c r="X41" s="41">
        <f t="shared" si="18"/>
        <v>1.1657759513266223E-2</v>
      </c>
      <c r="Y41" s="41">
        <f t="shared" si="19"/>
        <v>0.2657527419862567</v>
      </c>
      <c r="Z41" s="42">
        <f t="shared" si="20"/>
        <v>5.4310761998821712E-2</v>
      </c>
      <c r="AA41" s="42">
        <f t="shared" si="21"/>
        <v>1.5309115892796625</v>
      </c>
      <c r="AB41" s="43">
        <f t="shared" si="22"/>
        <v>0.87924173545121764</v>
      </c>
      <c r="AC41" s="43">
        <f t="shared" si="23"/>
        <v>24.784063287674645</v>
      </c>
      <c r="AD41" s="44">
        <f t="shared" si="24"/>
        <v>28.187996870912549</v>
      </c>
      <c r="AE41" s="45">
        <f t="shared" si="25"/>
        <v>56.108935462573356</v>
      </c>
      <c r="AF41" s="45">
        <f t="shared" si="26"/>
        <v>-29.816092284752692</v>
      </c>
    </row>
    <row r="42" spans="1:32" ht="18" x14ac:dyDescent="0.25">
      <c r="A42" s="37">
        <v>17</v>
      </c>
      <c r="B42" s="37">
        <v>6</v>
      </c>
      <c r="C42" s="37" t="s">
        <v>31</v>
      </c>
      <c r="D42" s="37" t="s">
        <v>34</v>
      </c>
      <c r="E42" s="37">
        <v>13.2</v>
      </c>
      <c r="F42" s="37">
        <v>1</v>
      </c>
      <c r="G42" s="38" t="s">
        <v>56</v>
      </c>
      <c r="H42" s="37">
        <v>6.6360000000000001</v>
      </c>
      <c r="I42" s="37">
        <v>1</v>
      </c>
      <c r="J42" s="37"/>
      <c r="K42" s="39">
        <v>159</v>
      </c>
      <c r="L42" s="39" t="s">
        <v>170</v>
      </c>
      <c r="M42" s="39">
        <v>1.554733125</v>
      </c>
      <c r="N42" s="39">
        <v>83.271861204674238</v>
      </c>
      <c r="O42" s="39">
        <v>1.2867630000000001</v>
      </c>
      <c r="P42" s="39">
        <v>-24.277056479411026</v>
      </c>
      <c r="Q42" s="37">
        <v>6.6360000000000001</v>
      </c>
      <c r="R42" s="40">
        <v>3.7583036388888882</v>
      </c>
      <c r="S42" s="40">
        <v>2.0716198484927761</v>
      </c>
      <c r="T42" s="40">
        <v>2.6898764166666664</v>
      </c>
      <c r="U42" s="40">
        <v>-25.568353824712908</v>
      </c>
      <c r="V42" s="40">
        <v>1.5536666666666668</v>
      </c>
      <c r="W42" s="40">
        <v>1.5536666666666668</v>
      </c>
      <c r="X42" s="41">
        <f t="shared" si="18"/>
        <v>1.1657759513266223E-2</v>
      </c>
      <c r="Y42" s="41">
        <f t="shared" si="19"/>
        <v>0.2657527419862567</v>
      </c>
      <c r="Z42" s="42">
        <f t="shared" si="20"/>
        <v>1.8124704878558873E-2</v>
      </c>
      <c r="AA42" s="42">
        <f t="shared" si="21"/>
        <v>0.34196079553646164</v>
      </c>
      <c r="AB42" s="43">
        <f t="shared" si="22"/>
        <v>0.27312695718141761</v>
      </c>
      <c r="AC42" s="43">
        <f t="shared" si="23"/>
        <v>5.1531162678791684</v>
      </c>
      <c r="AD42" s="44">
        <f t="shared" si="24"/>
        <v>18.867109717245313</v>
      </c>
      <c r="AE42" s="45">
        <f t="shared" si="25"/>
        <v>83.180241356181455</v>
      </c>
      <c r="AF42" s="45">
        <f t="shared" si="26"/>
        <v>-24.73870265469812</v>
      </c>
    </row>
    <row r="43" spans="1:32" ht="18" x14ac:dyDescent="0.25">
      <c r="A43" s="37">
        <v>18</v>
      </c>
      <c r="B43" s="37">
        <v>6</v>
      </c>
      <c r="C43" s="37" t="s">
        <v>31</v>
      </c>
      <c r="D43" s="37" t="s">
        <v>36</v>
      </c>
      <c r="E43" s="37"/>
      <c r="F43" s="37">
        <v>1</v>
      </c>
      <c r="G43" s="38" t="s">
        <v>57</v>
      </c>
      <c r="H43" s="37">
        <v>7.2919999999999998</v>
      </c>
      <c r="I43" s="37">
        <v>1</v>
      </c>
      <c r="J43" s="37"/>
      <c r="K43" s="46">
        <v>160</v>
      </c>
      <c r="L43" s="46" t="s">
        <v>171</v>
      </c>
      <c r="M43" s="46">
        <v>1.3615573750000001</v>
      </c>
      <c r="N43" s="46">
        <v>2.0122654780257765</v>
      </c>
      <c r="O43" s="46">
        <v>0.78739181250000001</v>
      </c>
      <c r="P43" s="46">
        <v>-24.198577476032916</v>
      </c>
      <c r="Q43" s="37">
        <v>7.2919999999999998</v>
      </c>
      <c r="R43" s="40">
        <v>3.7583036388888882</v>
      </c>
      <c r="S43" s="40">
        <v>2.0716198484927761</v>
      </c>
      <c r="T43" s="40">
        <v>2.6898764166666664</v>
      </c>
      <c r="U43" s="40">
        <v>-25.568353824712908</v>
      </c>
      <c r="V43" s="40">
        <v>1.5536666666666668</v>
      </c>
      <c r="W43" s="40">
        <v>1.5536666666666668</v>
      </c>
      <c r="X43" s="41">
        <f t="shared" si="18"/>
        <v>1.1657759513266223E-2</v>
      </c>
      <c r="Y43" s="41">
        <f t="shared" si="19"/>
        <v>0.2657527419862567</v>
      </c>
      <c r="Z43" s="42">
        <f t="shared" si="20"/>
        <v>1.5872708441264038E-2</v>
      </c>
      <c r="AA43" s="42">
        <f t="shared" si="21"/>
        <v>0.20925153318940351</v>
      </c>
      <c r="AB43" s="43">
        <f t="shared" si="22"/>
        <v>0.21767290786154744</v>
      </c>
      <c r="AC43" s="43">
        <f t="shared" si="23"/>
        <v>2.8696041304087152</v>
      </c>
      <c r="AD43" s="44">
        <f t="shared" si="24"/>
        <v>13.183101923891924</v>
      </c>
      <c r="AE43" s="45">
        <f t="shared" si="25"/>
        <v>1.9206456295330003</v>
      </c>
      <c r="AF43" s="45">
        <f t="shared" si="26"/>
        <v>-24.66022365132001</v>
      </c>
    </row>
    <row r="44" spans="1:32" ht="18" x14ac:dyDescent="0.25">
      <c r="A44" s="37"/>
      <c r="B44" s="37"/>
      <c r="C44" s="37"/>
      <c r="D44" s="37"/>
      <c r="E44" s="37"/>
      <c r="F44" s="37"/>
      <c r="G44" s="37"/>
      <c r="H44" s="37">
        <v>1.224</v>
      </c>
      <c r="I44" s="37"/>
      <c r="J44" s="37" t="s">
        <v>289</v>
      </c>
      <c r="K44" s="39">
        <v>161</v>
      </c>
      <c r="L44" s="39" t="s">
        <v>172</v>
      </c>
      <c r="M44" s="39">
        <v>2.9862912499999998</v>
      </c>
      <c r="N44" s="39">
        <v>1.9133736386890199</v>
      </c>
      <c r="O44" s="39">
        <v>2.1322549999999998</v>
      </c>
      <c r="P44" s="39">
        <v>-25.640634451045045</v>
      </c>
      <c r="Q44" s="37">
        <v>1.224</v>
      </c>
      <c r="R44" s="40">
        <v>3.7583036388888882</v>
      </c>
      <c r="S44" s="40">
        <v>2.0716198484927761</v>
      </c>
      <c r="T44" s="40">
        <v>2.6898764166666664</v>
      </c>
      <c r="U44" s="40">
        <v>-25.568353824712908</v>
      </c>
      <c r="V44" s="40">
        <v>1.5536666666666668</v>
      </c>
      <c r="W44" s="40">
        <v>1.5536666666666668</v>
      </c>
      <c r="X44" s="41">
        <f t="shared" si="18"/>
        <v>1.1657759513266223E-2</v>
      </c>
      <c r="Y44" s="41">
        <f t="shared" si="19"/>
        <v>0.2657527419862567</v>
      </c>
      <c r="Z44" s="42">
        <f t="shared" si="20"/>
        <v>3.481346522907118E-2</v>
      </c>
      <c r="AA44" s="42">
        <f t="shared" si="21"/>
        <v>0.56665261286390578</v>
      </c>
      <c r="AB44" s="43">
        <f t="shared" si="22"/>
        <v>2.844237355316273</v>
      </c>
      <c r="AC44" s="43">
        <f t="shared" si="23"/>
        <v>46.295148109796223</v>
      </c>
      <c r="AD44" s="44">
        <f t="shared" si="24"/>
        <v>16.276823037734243</v>
      </c>
      <c r="AE44" s="45">
        <f t="shared" si="25"/>
        <v>1.8217537901962437</v>
      </c>
      <c r="AF44" s="45">
        <f t="shared" si="26"/>
        <v>-26.102280626332139</v>
      </c>
    </row>
    <row r="45" spans="1:32" ht="18" x14ac:dyDescent="0.25">
      <c r="A45" s="37">
        <v>22</v>
      </c>
      <c r="B45" s="37">
        <v>2</v>
      </c>
      <c r="C45" s="37" t="s">
        <v>38</v>
      </c>
      <c r="D45" s="37" t="s">
        <v>32</v>
      </c>
      <c r="E45" s="37"/>
      <c r="F45" s="37">
        <v>1</v>
      </c>
      <c r="G45" s="38" t="s">
        <v>63</v>
      </c>
      <c r="H45" s="37">
        <v>6.9630000000000001</v>
      </c>
      <c r="I45" s="37">
        <v>1</v>
      </c>
      <c r="J45" s="37"/>
      <c r="K45" s="46">
        <v>162</v>
      </c>
      <c r="L45" s="46" t="s">
        <v>173</v>
      </c>
      <c r="M45" s="46">
        <v>4.9431159999999998</v>
      </c>
      <c r="N45" s="46">
        <v>155.26117731209385</v>
      </c>
      <c r="O45" s="46">
        <v>4.5390094999999997</v>
      </c>
      <c r="P45" s="46">
        <v>-25.653426812141692</v>
      </c>
      <c r="Q45" s="37">
        <v>6.9630000000000001</v>
      </c>
      <c r="R45" s="40">
        <v>3.7583036388888882</v>
      </c>
      <c r="S45" s="40">
        <v>2.0716198484927761</v>
      </c>
      <c r="T45" s="40">
        <v>2.6898764166666664</v>
      </c>
      <c r="U45" s="40">
        <v>-25.568353824712908</v>
      </c>
      <c r="V45" s="40">
        <v>1.5536666666666668</v>
      </c>
      <c r="W45" s="40">
        <v>1.5536666666666668</v>
      </c>
      <c r="X45" s="41">
        <f t="shared" si="18"/>
        <v>1.1657759513266223E-2</v>
      </c>
      <c r="Y45" s="41">
        <f t="shared" si="19"/>
        <v>0.2657527419862567</v>
      </c>
      <c r="Z45" s="42">
        <f t="shared" si="20"/>
        <v>5.7625657574178479E-2</v>
      </c>
      <c r="AA45" s="42">
        <f t="shared" si="21"/>
        <v>1.206254220526668</v>
      </c>
      <c r="AB45" s="43">
        <f t="shared" si="22"/>
        <v>0.82759812687316503</v>
      </c>
      <c r="AC45" s="43">
        <f t="shared" si="23"/>
        <v>17.323771657714605</v>
      </c>
      <c r="AD45" s="44">
        <f t="shared" si="24"/>
        <v>20.932589254602785</v>
      </c>
      <c r="AE45" s="45">
        <f t="shared" si="25"/>
        <v>155.16955746360108</v>
      </c>
      <c r="AF45" s="45">
        <f t="shared" si="26"/>
        <v>-26.115072987428785</v>
      </c>
    </row>
    <row r="46" spans="1:32" ht="18" x14ac:dyDescent="0.25">
      <c r="A46" s="37">
        <v>23</v>
      </c>
      <c r="B46" s="37">
        <v>2</v>
      </c>
      <c r="C46" s="37" t="s">
        <v>38</v>
      </c>
      <c r="D46" s="37" t="s">
        <v>34</v>
      </c>
      <c r="E46" s="37">
        <v>19.681908549999999</v>
      </c>
      <c r="F46" s="37">
        <v>1</v>
      </c>
      <c r="G46" s="38" t="s">
        <v>64</v>
      </c>
      <c r="H46" s="37">
        <v>7.8650000000000002</v>
      </c>
      <c r="I46" s="37">
        <v>1</v>
      </c>
      <c r="J46" s="37"/>
      <c r="K46" s="39">
        <v>163</v>
      </c>
      <c r="L46" s="39" t="s">
        <v>174</v>
      </c>
      <c r="M46" s="39">
        <v>3.5878457500000001</v>
      </c>
      <c r="N46" s="39">
        <v>93.279255387840507</v>
      </c>
      <c r="O46" s="39">
        <v>2.8181484999999999</v>
      </c>
      <c r="P46" s="39">
        <v>-25.208507295877023</v>
      </c>
      <c r="Q46" s="37">
        <v>7.8650000000000002</v>
      </c>
      <c r="R46" s="40">
        <v>3.7583036388888882</v>
      </c>
      <c r="S46" s="40">
        <v>2.0716198484927761</v>
      </c>
      <c r="T46" s="40">
        <v>2.6898764166666664</v>
      </c>
      <c r="U46" s="40">
        <v>-25.568353824712908</v>
      </c>
      <c r="V46" s="40">
        <v>1.5536666666666668</v>
      </c>
      <c r="W46" s="40">
        <v>1.5536666666666668</v>
      </c>
      <c r="X46" s="41">
        <f t="shared" si="18"/>
        <v>1.1657759513266223E-2</v>
      </c>
      <c r="Y46" s="41">
        <f t="shared" si="19"/>
        <v>0.2657527419862567</v>
      </c>
      <c r="Z46" s="42">
        <f t="shared" si="20"/>
        <v>4.182624292419429E-2</v>
      </c>
      <c r="AA46" s="42">
        <f t="shared" si="21"/>
        <v>0.74893069119945632</v>
      </c>
      <c r="AB46" s="43">
        <f t="shared" si="22"/>
        <v>0.53180219865472711</v>
      </c>
      <c r="AC46" s="43">
        <f t="shared" si="23"/>
        <v>9.5223228378824718</v>
      </c>
      <c r="AD46" s="44">
        <f t="shared" si="24"/>
        <v>17.905760566561408</v>
      </c>
      <c r="AE46" s="47">
        <f t="shared" si="25"/>
        <v>93.187635539347724</v>
      </c>
      <c r="AF46" s="45">
        <f t="shared" si="26"/>
        <v>-25.670153471164117</v>
      </c>
    </row>
    <row r="47" spans="1:32" ht="18" x14ac:dyDescent="0.25">
      <c r="A47" s="37">
        <v>24</v>
      </c>
      <c r="B47" s="37">
        <v>2</v>
      </c>
      <c r="C47" s="37" t="s">
        <v>38</v>
      </c>
      <c r="D47" s="37" t="s">
        <v>36</v>
      </c>
      <c r="E47" s="37"/>
      <c r="F47" s="37">
        <v>1</v>
      </c>
      <c r="G47" s="38" t="s">
        <v>65</v>
      </c>
      <c r="H47" s="37">
        <v>6.3070000000000004</v>
      </c>
      <c r="I47" s="37">
        <v>1</v>
      </c>
      <c r="J47" s="37"/>
      <c r="K47" s="46">
        <v>164</v>
      </c>
      <c r="L47" s="46" t="s">
        <v>175</v>
      </c>
      <c r="M47" s="46">
        <v>2.2051117499999999</v>
      </c>
      <c r="N47" s="46">
        <v>2.023039915509556</v>
      </c>
      <c r="O47" s="46">
        <v>1.5022348750000001</v>
      </c>
      <c r="P47" s="46">
        <v>-25.982615317011817</v>
      </c>
      <c r="Q47" s="37">
        <v>6.3070000000000004</v>
      </c>
      <c r="R47" s="40">
        <v>3.7583036388888882</v>
      </c>
      <c r="S47" s="40">
        <v>2.0716198484927761</v>
      </c>
      <c r="T47" s="40">
        <v>2.6898764166666664</v>
      </c>
      <c r="U47" s="40">
        <v>-25.568353824712908</v>
      </c>
      <c r="V47" s="40">
        <v>1.5536666666666668</v>
      </c>
      <c r="W47" s="40">
        <v>1.5536666666666668</v>
      </c>
      <c r="X47" s="41">
        <f t="shared" si="18"/>
        <v>1.1657759513266223E-2</v>
      </c>
      <c r="Y47" s="41">
        <f t="shared" si="19"/>
        <v>0.2657527419862567</v>
      </c>
      <c r="Z47" s="42">
        <f t="shared" si="20"/>
        <v>2.5706662481377627E-2</v>
      </c>
      <c r="AA47" s="42">
        <f t="shared" si="21"/>
        <v>0.39922303713863161</v>
      </c>
      <c r="AB47" s="43">
        <f t="shared" si="22"/>
        <v>0.40758938451526283</v>
      </c>
      <c r="AC47" s="43">
        <f t="shared" si="23"/>
        <v>6.3298404493203035</v>
      </c>
      <c r="AD47" s="44">
        <f t="shared" si="24"/>
        <v>15.52994432582744</v>
      </c>
      <c r="AE47" s="47">
        <f t="shared" si="25"/>
        <v>1.9314200670167798</v>
      </c>
      <c r="AF47" s="45">
        <f t="shared" si="26"/>
        <v>-26.44426149229891</v>
      </c>
    </row>
    <row r="48" spans="1:32" ht="18" x14ac:dyDescent="0.25">
      <c r="A48" s="37">
        <v>25</v>
      </c>
      <c r="B48" s="37">
        <v>3</v>
      </c>
      <c r="C48" s="37" t="s">
        <v>38</v>
      </c>
      <c r="D48" s="37" t="s">
        <v>32</v>
      </c>
      <c r="E48" s="37"/>
      <c r="F48" s="37">
        <v>1</v>
      </c>
      <c r="G48" s="38" t="s">
        <v>66</v>
      </c>
      <c r="H48" s="37">
        <v>7.7460000000000004</v>
      </c>
      <c r="I48" s="37">
        <v>1</v>
      </c>
      <c r="J48" s="37"/>
      <c r="K48" s="39">
        <v>165</v>
      </c>
      <c r="L48" s="39" t="s">
        <v>176</v>
      </c>
      <c r="M48" s="39">
        <v>7.1115184999999999</v>
      </c>
      <c r="N48" s="39">
        <v>800.72379521084213</v>
      </c>
      <c r="O48" s="39">
        <v>5.8796825000000004</v>
      </c>
      <c r="P48" s="39">
        <v>-17.803357620728114</v>
      </c>
      <c r="Q48" s="37">
        <v>7.7460000000000004</v>
      </c>
      <c r="R48" s="40">
        <v>3.7583036388888882</v>
      </c>
      <c r="S48" s="40">
        <v>2.0716198484927761</v>
      </c>
      <c r="T48" s="40">
        <v>2.6898764166666664</v>
      </c>
      <c r="U48" s="40">
        <v>-25.568353824712908</v>
      </c>
      <c r="V48" s="40">
        <v>1.5536666666666668</v>
      </c>
      <c r="W48" s="40">
        <v>1.5536666666666668</v>
      </c>
      <c r="X48" s="41">
        <f t="shared" si="18"/>
        <v>1.1657759513266223E-2</v>
      </c>
      <c r="Y48" s="41">
        <f t="shared" si="19"/>
        <v>0.2657527419862567</v>
      </c>
      <c r="Z48" s="42">
        <f t="shared" si="20"/>
        <v>8.2904372447143743E-2</v>
      </c>
      <c r="AA48" s="42">
        <f t="shared" si="21"/>
        <v>1.5625417463836089</v>
      </c>
      <c r="AB48" s="43">
        <f t="shared" si="22"/>
        <v>1.0702862438309286</v>
      </c>
      <c r="AC48" s="43">
        <f t="shared" si="23"/>
        <v>20.172240464544394</v>
      </c>
      <c r="AD48" s="44">
        <f t="shared" si="24"/>
        <v>18.847519138750108</v>
      </c>
      <c r="AE48" s="47">
        <f t="shared" si="25"/>
        <v>800.63217536234936</v>
      </c>
      <c r="AF48" s="45">
        <f t="shared" si="26"/>
        <v>-18.265003796015208</v>
      </c>
    </row>
    <row r="49" spans="1:32" ht="18" x14ac:dyDescent="0.25">
      <c r="A49" s="37">
        <v>26</v>
      </c>
      <c r="B49" s="37">
        <v>3</v>
      </c>
      <c r="C49" s="37" t="s">
        <v>38</v>
      </c>
      <c r="D49" s="37" t="s">
        <v>34</v>
      </c>
      <c r="E49" s="37">
        <v>12.350597609999999</v>
      </c>
      <c r="F49" s="37">
        <v>1</v>
      </c>
      <c r="G49" s="38" t="s">
        <v>67</v>
      </c>
      <c r="H49" s="37">
        <v>8.0489999999999995</v>
      </c>
      <c r="I49" s="37">
        <v>1</v>
      </c>
      <c r="J49" s="37"/>
      <c r="K49" s="46">
        <v>166</v>
      </c>
      <c r="L49" s="46" t="s">
        <v>177</v>
      </c>
      <c r="M49" s="46">
        <v>2.315957</v>
      </c>
      <c r="N49" s="46">
        <v>74.880699606402331</v>
      </c>
      <c r="O49" s="46">
        <v>1.6630425</v>
      </c>
      <c r="P49" s="46">
        <v>-24.126773638671732</v>
      </c>
      <c r="Q49" s="37">
        <v>8.0489999999999995</v>
      </c>
      <c r="R49" s="40">
        <v>3.7583036388888882</v>
      </c>
      <c r="S49" s="40">
        <v>2.0716198484927761</v>
      </c>
      <c r="T49" s="40">
        <v>2.6898764166666664</v>
      </c>
      <c r="U49" s="40">
        <v>-25.568353824712908</v>
      </c>
      <c r="V49" s="40">
        <v>1.5536666666666668</v>
      </c>
      <c r="W49" s="40">
        <v>1.5536666666666668</v>
      </c>
      <c r="X49" s="41">
        <f t="shared" si="18"/>
        <v>1.1657759513266223E-2</v>
      </c>
      <c r="Y49" s="41">
        <f t="shared" si="19"/>
        <v>0.2657527419862567</v>
      </c>
      <c r="Z49" s="42">
        <f t="shared" si="20"/>
        <v>2.6998869749065502E-2</v>
      </c>
      <c r="AA49" s="42">
        <f t="shared" si="21"/>
        <v>0.44195810441467931</v>
      </c>
      <c r="AB49" s="43">
        <f t="shared" si="22"/>
        <v>0.33543135481507647</v>
      </c>
      <c r="AC49" s="43">
        <f t="shared" si="23"/>
        <v>5.4908448802917054</v>
      </c>
      <c r="AD49" s="44">
        <f t="shared" si="24"/>
        <v>16.369503928214499</v>
      </c>
      <c r="AE49" s="47">
        <f t="shared" si="25"/>
        <v>74.789079757909548</v>
      </c>
      <c r="AF49" s="45">
        <f t="shared" si="26"/>
        <v>-24.588419813958826</v>
      </c>
    </row>
    <row r="50" spans="1:32" ht="18" x14ac:dyDescent="0.25">
      <c r="A50" s="37">
        <v>27</v>
      </c>
      <c r="B50" s="37">
        <v>3</v>
      </c>
      <c r="C50" s="37" t="s">
        <v>38</v>
      </c>
      <c r="D50" s="37" t="s">
        <v>36</v>
      </c>
      <c r="E50" s="37"/>
      <c r="F50" s="37">
        <v>1</v>
      </c>
      <c r="G50" s="38" t="s">
        <v>68</v>
      </c>
      <c r="H50" s="37">
        <v>7.891</v>
      </c>
      <c r="I50" s="37">
        <v>1</v>
      </c>
      <c r="J50" s="37"/>
      <c r="K50" s="39">
        <v>167</v>
      </c>
      <c r="L50" s="39" t="s">
        <v>178</v>
      </c>
      <c r="M50" s="39">
        <v>1.7228623750000001</v>
      </c>
      <c r="N50" s="39">
        <v>1.1470917729401315</v>
      </c>
      <c r="O50" s="39">
        <v>1.13083325</v>
      </c>
      <c r="P50" s="39">
        <v>-24.69460397445356</v>
      </c>
      <c r="Q50" s="37">
        <v>7.891</v>
      </c>
      <c r="R50" s="40">
        <v>3.7583036388888882</v>
      </c>
      <c r="S50" s="40">
        <v>2.0716198484927761</v>
      </c>
      <c r="T50" s="40">
        <v>2.6898764166666664</v>
      </c>
      <c r="U50" s="40">
        <v>-25.568353824712908</v>
      </c>
      <c r="V50" s="40">
        <v>1.5536666666666668</v>
      </c>
      <c r="W50" s="40">
        <v>1.5536666666666668</v>
      </c>
      <c r="X50" s="41">
        <f t="shared" si="18"/>
        <v>1.1657759513266223E-2</v>
      </c>
      <c r="Y50" s="41">
        <f t="shared" si="19"/>
        <v>0.2657527419862567</v>
      </c>
      <c r="Z50" s="42">
        <f t="shared" si="20"/>
        <v>2.008471524220469E-2</v>
      </c>
      <c r="AA50" s="42">
        <f t="shared" si="21"/>
        <v>0.30052203691673013</v>
      </c>
      <c r="AB50" s="43">
        <f t="shared" si="22"/>
        <v>0.25452686911930922</v>
      </c>
      <c r="AC50" s="43">
        <f t="shared" si="23"/>
        <v>3.8084151174341674</v>
      </c>
      <c r="AD50" s="44">
        <f t="shared" si="24"/>
        <v>14.962723309376726</v>
      </c>
      <c r="AE50" s="47">
        <f t="shared" si="25"/>
        <v>1.0554719244473554</v>
      </c>
      <c r="AF50" s="45">
        <f t="shared" si="26"/>
        <v>-25.156250149740654</v>
      </c>
    </row>
    <row r="51" spans="1:32" ht="18" x14ac:dyDescent="0.25">
      <c r="A51" s="37">
        <v>28</v>
      </c>
      <c r="B51" s="37">
        <v>4</v>
      </c>
      <c r="C51" s="37" t="s">
        <v>38</v>
      </c>
      <c r="D51" s="37" t="s">
        <v>32</v>
      </c>
      <c r="E51" s="37"/>
      <c r="F51" s="37">
        <v>1</v>
      </c>
      <c r="G51" s="38" t="s">
        <v>69</v>
      </c>
      <c r="H51" s="37">
        <v>6.3209999999999997</v>
      </c>
      <c r="I51" s="37">
        <v>1</v>
      </c>
      <c r="J51" s="37"/>
      <c r="K51" s="46">
        <v>168</v>
      </c>
      <c r="L51" s="46" t="s">
        <v>179</v>
      </c>
      <c r="M51" s="46">
        <v>5.3556584999999997</v>
      </c>
      <c r="N51" s="46">
        <v>153.06439948925396</v>
      </c>
      <c r="O51" s="46">
        <v>4.7140760000000004</v>
      </c>
      <c r="P51" s="46">
        <v>-25.632878625844221</v>
      </c>
      <c r="Q51" s="37">
        <v>6.3209999999999997</v>
      </c>
      <c r="R51" s="40">
        <v>3.7583036388888882</v>
      </c>
      <c r="S51" s="40">
        <v>2.0716198484927761</v>
      </c>
      <c r="T51" s="40">
        <v>2.6898764166666664</v>
      </c>
      <c r="U51" s="40">
        <v>-25.568353824712908</v>
      </c>
      <c r="V51" s="40">
        <v>1.5536666666666668</v>
      </c>
      <c r="W51" s="40">
        <v>1.5536666666666668</v>
      </c>
      <c r="X51" s="41">
        <f t="shared" si="18"/>
        <v>1.1657759513266223E-2</v>
      </c>
      <c r="Y51" s="41">
        <f t="shared" si="19"/>
        <v>0.2657527419862567</v>
      </c>
      <c r="Z51" s="42">
        <f t="shared" si="20"/>
        <v>6.243497882818011E-2</v>
      </c>
      <c r="AA51" s="42">
        <f t="shared" si="21"/>
        <v>1.2527786229316051</v>
      </c>
      <c r="AB51" s="43">
        <f t="shared" si="22"/>
        <v>0.98773894681506269</v>
      </c>
      <c r="AC51" s="43">
        <f t="shared" si="23"/>
        <v>19.819310598506647</v>
      </c>
      <c r="AD51" s="44">
        <f t="shared" si="24"/>
        <v>20.065332710037886</v>
      </c>
      <c r="AE51" s="47">
        <f t="shared" si="25"/>
        <v>152.97277964076119</v>
      </c>
      <c r="AF51" s="45">
        <f t="shared" si="26"/>
        <v>-26.094524801131314</v>
      </c>
    </row>
    <row r="52" spans="1:32" ht="18" x14ac:dyDescent="0.25">
      <c r="A52" s="37">
        <v>29</v>
      </c>
      <c r="B52" s="37">
        <v>4</v>
      </c>
      <c r="C52" s="37" t="s">
        <v>38</v>
      </c>
      <c r="D52" s="37" t="s">
        <v>34</v>
      </c>
      <c r="E52" s="37">
        <v>21.825396829999999</v>
      </c>
      <c r="F52" s="37">
        <v>1</v>
      </c>
      <c r="G52" s="38" t="s">
        <v>70</v>
      </c>
      <c r="H52" s="37">
        <v>6.8289999999999997</v>
      </c>
      <c r="I52" s="37">
        <v>1</v>
      </c>
      <c r="J52" s="37"/>
      <c r="K52" s="39">
        <v>169</v>
      </c>
      <c r="L52" s="39" t="s">
        <v>180</v>
      </c>
      <c r="M52" s="39">
        <v>4.1190255000000002</v>
      </c>
      <c r="N52" s="39">
        <v>102.29465147164088</v>
      </c>
      <c r="O52" s="39">
        <v>3.1011869999999999</v>
      </c>
      <c r="P52" s="39">
        <v>-24.38559884588043</v>
      </c>
      <c r="Q52" s="37">
        <v>6.8289999999999997</v>
      </c>
      <c r="R52" s="40">
        <v>3.7583036388888882</v>
      </c>
      <c r="S52" s="40">
        <v>2.0716198484927761</v>
      </c>
      <c r="T52" s="40">
        <v>2.6898764166666664</v>
      </c>
      <c r="U52" s="40">
        <v>-25.568353824712908</v>
      </c>
      <c r="V52" s="40">
        <v>1.5536666666666668</v>
      </c>
      <c r="W52" s="40">
        <v>1.5536666666666668</v>
      </c>
      <c r="X52" s="41">
        <f t="shared" si="18"/>
        <v>1.1657759513266223E-2</v>
      </c>
      <c r="Y52" s="41">
        <f t="shared" si="19"/>
        <v>0.2657527419862567</v>
      </c>
      <c r="Z52" s="42">
        <f t="shared" si="20"/>
        <v>4.8018608708011161E-2</v>
      </c>
      <c r="AA52" s="42">
        <f t="shared" si="21"/>
        <v>0.8241489486621334</v>
      </c>
      <c r="AB52" s="43">
        <f t="shared" si="22"/>
        <v>0.7031572515450456</v>
      </c>
      <c r="AC52" s="43">
        <f t="shared" si="23"/>
        <v>12.068369434209012</v>
      </c>
      <c r="AD52" s="44">
        <f t="shared" si="24"/>
        <v>17.16311594268738</v>
      </c>
      <c r="AE52" s="45">
        <f t="shared" si="25"/>
        <v>102.20303162314809</v>
      </c>
      <c r="AF52" s="45">
        <f t="shared" si="26"/>
        <v>-24.847245021167524</v>
      </c>
    </row>
    <row r="53" spans="1:32" ht="18" x14ac:dyDescent="0.25">
      <c r="A53" s="37">
        <v>30</v>
      </c>
      <c r="B53" s="37">
        <v>4</v>
      </c>
      <c r="C53" s="37" t="s">
        <v>38</v>
      </c>
      <c r="D53" s="37" t="s">
        <v>36</v>
      </c>
      <c r="E53" s="37"/>
      <c r="F53" s="37">
        <v>1</v>
      </c>
      <c r="G53" s="38" t="s">
        <v>71</v>
      </c>
      <c r="H53" s="37">
        <v>6.4039999999999999</v>
      </c>
      <c r="I53" s="37">
        <v>1</v>
      </c>
      <c r="J53" s="37"/>
      <c r="K53" s="46">
        <v>170</v>
      </c>
      <c r="L53" s="46" t="s">
        <v>181</v>
      </c>
      <c r="M53" s="46">
        <v>2.8112862500000002</v>
      </c>
      <c r="N53" s="46">
        <v>-0.19493929206611804</v>
      </c>
      <c r="O53" s="46">
        <v>1.7846096250000001</v>
      </c>
      <c r="P53" s="46">
        <v>-26.016996978948743</v>
      </c>
      <c r="Q53" s="37">
        <v>6.4039999999999999</v>
      </c>
      <c r="R53" s="40">
        <v>3.7583036388888882</v>
      </c>
      <c r="S53" s="40">
        <v>2.0716198484927761</v>
      </c>
      <c r="T53" s="40">
        <v>2.6898764166666664</v>
      </c>
      <c r="U53" s="40">
        <v>-25.568353824712908</v>
      </c>
      <c r="V53" s="40">
        <v>1.5536666666666668</v>
      </c>
      <c r="W53" s="40">
        <v>1.5536666666666668</v>
      </c>
      <c r="X53" s="41">
        <f t="shared" si="18"/>
        <v>1.1657759513266223E-2</v>
      </c>
      <c r="Y53" s="41">
        <f t="shared" si="19"/>
        <v>0.2657527419862567</v>
      </c>
      <c r="Z53" s="42">
        <f t="shared" si="20"/>
        <v>3.2773299025452028E-2</v>
      </c>
      <c r="AA53" s="42">
        <f t="shared" si="21"/>
        <v>0.47426490121881537</v>
      </c>
      <c r="AB53" s="43">
        <f t="shared" si="22"/>
        <v>0.51176294543179313</v>
      </c>
      <c r="AC53" s="43">
        <f t="shared" si="23"/>
        <v>7.4057604812432132</v>
      </c>
      <c r="AD53" s="44">
        <f t="shared" si="24"/>
        <v>14.471076007651751</v>
      </c>
      <c r="AE53" s="45">
        <f t="shared" si="25"/>
        <v>-0.2865591405588942</v>
      </c>
      <c r="AF53" s="45">
        <f t="shared" si="26"/>
        <v>-26.478643154235836</v>
      </c>
    </row>
    <row r="54" spans="1:32" ht="18" x14ac:dyDescent="0.25">
      <c r="A54" s="37">
        <v>31</v>
      </c>
      <c r="B54" s="37">
        <v>5</v>
      </c>
      <c r="C54" s="37" t="s">
        <v>38</v>
      </c>
      <c r="D54" s="37" t="s">
        <v>32</v>
      </c>
      <c r="E54" s="37"/>
      <c r="F54" s="37">
        <v>1</v>
      </c>
      <c r="G54" s="38" t="s">
        <v>72</v>
      </c>
      <c r="H54" s="37">
        <v>6.3789999999999996</v>
      </c>
      <c r="I54" s="37">
        <v>1</v>
      </c>
      <c r="J54" s="37"/>
      <c r="K54" s="39">
        <v>171</v>
      </c>
      <c r="L54" s="39" t="s">
        <v>182</v>
      </c>
      <c r="M54" s="39">
        <v>4.8465125000000002</v>
      </c>
      <c r="N54" s="39">
        <v>266.92243577078432</v>
      </c>
      <c r="O54" s="39">
        <v>5.8598805</v>
      </c>
      <c r="P54" s="39">
        <v>-26.25883144534826</v>
      </c>
      <c r="Q54" s="37">
        <v>6.3789999999999996</v>
      </c>
      <c r="R54" s="40">
        <v>3.7583036388888882</v>
      </c>
      <c r="S54" s="40">
        <v>2.0716198484927761</v>
      </c>
      <c r="T54" s="40">
        <v>2.6898764166666664</v>
      </c>
      <c r="U54" s="40">
        <v>-25.568353824712908</v>
      </c>
      <c r="V54" s="40">
        <v>1.5536666666666668</v>
      </c>
      <c r="W54" s="40">
        <v>1.5536666666666668</v>
      </c>
      <c r="X54" s="41">
        <f t="shared" si="18"/>
        <v>1.1657759513266223E-2</v>
      </c>
      <c r="Y54" s="41">
        <f t="shared" si="19"/>
        <v>0.2657527419862567</v>
      </c>
      <c r="Z54" s="42">
        <f t="shared" si="20"/>
        <v>5.6499477203038669E-2</v>
      </c>
      <c r="AA54" s="42">
        <f t="shared" si="21"/>
        <v>1.557279310586797</v>
      </c>
      <c r="AB54" s="43">
        <f t="shared" si="22"/>
        <v>0.88571056910234636</v>
      </c>
      <c r="AC54" s="43">
        <f t="shared" si="23"/>
        <v>24.412593048860277</v>
      </c>
      <c r="AD54" s="44">
        <f t="shared" si="24"/>
        <v>27.562720713158086</v>
      </c>
      <c r="AE54" s="45">
        <f t="shared" si="25"/>
        <v>266.83081592229155</v>
      </c>
      <c r="AF54" s="45">
        <f t="shared" si="26"/>
        <v>-26.720477620635354</v>
      </c>
    </row>
    <row r="55" spans="1:32" ht="18" x14ac:dyDescent="0.25">
      <c r="A55" s="37">
        <v>32</v>
      </c>
      <c r="B55" s="37">
        <v>5</v>
      </c>
      <c r="C55" s="37" t="s">
        <v>38</v>
      </c>
      <c r="D55" s="37" t="s">
        <v>34</v>
      </c>
      <c r="E55" s="37">
        <v>14.71172962</v>
      </c>
      <c r="F55" s="37">
        <v>1</v>
      </c>
      <c r="G55" s="38" t="s">
        <v>73</v>
      </c>
      <c r="H55" s="37">
        <v>7.4409999999999998</v>
      </c>
      <c r="I55" s="37">
        <v>1</v>
      </c>
      <c r="J55" s="37"/>
      <c r="K55" s="46">
        <v>172</v>
      </c>
      <c r="L55" s="46" t="s">
        <v>183</v>
      </c>
      <c r="M55" s="46">
        <v>2.4827812499999999</v>
      </c>
      <c r="N55" s="46">
        <v>47.259010049468756</v>
      </c>
      <c r="O55" s="46">
        <v>2.0091882499999998</v>
      </c>
      <c r="P55" s="46">
        <v>-25.294515958709976</v>
      </c>
      <c r="Q55" s="37">
        <v>7.4409999999999998</v>
      </c>
      <c r="R55" s="40">
        <v>3.7583036388888882</v>
      </c>
      <c r="S55" s="40">
        <v>2.0716198484927761</v>
      </c>
      <c r="T55" s="40">
        <v>2.6898764166666664</v>
      </c>
      <c r="U55" s="40">
        <v>-25.568353824712908</v>
      </c>
      <c r="V55" s="40">
        <v>1.5536666666666668</v>
      </c>
      <c r="W55" s="40">
        <v>1.5536666666666668</v>
      </c>
      <c r="X55" s="41">
        <f t="shared" si="18"/>
        <v>1.1657759513266223E-2</v>
      </c>
      <c r="Y55" s="41">
        <f t="shared" si="19"/>
        <v>0.2657527419862567</v>
      </c>
      <c r="Z55" s="42">
        <f t="shared" si="20"/>
        <v>2.8943666736546504E-2</v>
      </c>
      <c r="AA55" s="42">
        <f t="shared" si="21"/>
        <v>0.53394728660406854</v>
      </c>
      <c r="AB55" s="43">
        <f t="shared" si="22"/>
        <v>0.38897549706419171</v>
      </c>
      <c r="AC55" s="43">
        <f t="shared" si="23"/>
        <v>7.1757463594149788</v>
      </c>
      <c r="AD55" s="44">
        <f t="shared" si="24"/>
        <v>18.447810758194834</v>
      </c>
      <c r="AE55" s="45">
        <f t="shared" si="25"/>
        <v>47.16739020097598</v>
      </c>
      <c r="AF55" s="45">
        <f t="shared" si="26"/>
        <v>-25.756162133997069</v>
      </c>
    </row>
    <row r="56" spans="1:32" ht="18" x14ac:dyDescent="0.25">
      <c r="A56" s="37">
        <v>33</v>
      </c>
      <c r="B56" s="37">
        <v>5</v>
      </c>
      <c r="C56" s="37" t="s">
        <v>38</v>
      </c>
      <c r="D56" s="37" t="s">
        <v>36</v>
      </c>
      <c r="E56" s="37"/>
      <c r="F56" s="37">
        <v>1</v>
      </c>
      <c r="G56" s="38" t="s">
        <v>74</v>
      </c>
      <c r="H56" s="37">
        <v>7.2779999999999996</v>
      </c>
      <c r="I56" s="37">
        <v>1</v>
      </c>
      <c r="J56" s="37"/>
      <c r="K56" s="39">
        <v>173</v>
      </c>
      <c r="L56" s="39" t="s">
        <v>184</v>
      </c>
      <c r="M56" s="39">
        <v>3.3239535</v>
      </c>
      <c r="N56" s="39">
        <v>0.65278926742309562</v>
      </c>
      <c r="O56" s="39">
        <v>2.1583552500000001</v>
      </c>
      <c r="P56" s="39">
        <v>-26.226351895284896</v>
      </c>
      <c r="Q56" s="37">
        <v>7.2779999999999996</v>
      </c>
      <c r="R56" s="40">
        <v>3.7583036388888882</v>
      </c>
      <c r="S56" s="40">
        <v>2.0716198484927761</v>
      </c>
      <c r="T56" s="40">
        <v>2.6898764166666664</v>
      </c>
      <c r="U56" s="40">
        <v>-25.568353824712908</v>
      </c>
      <c r="V56" s="40">
        <v>1.5536666666666668</v>
      </c>
      <c r="W56" s="40">
        <v>1.5536666666666668</v>
      </c>
      <c r="X56" s="41">
        <f t="shared" si="18"/>
        <v>1.1657759513266223E-2</v>
      </c>
      <c r="Y56" s="41">
        <f t="shared" si="19"/>
        <v>0.2657527419862567</v>
      </c>
      <c r="Z56" s="42">
        <f t="shared" si="20"/>
        <v>3.8749850536279558E-2</v>
      </c>
      <c r="AA56" s="42">
        <f t="shared" si="21"/>
        <v>0.57358882586793258</v>
      </c>
      <c r="AB56" s="43">
        <f t="shared" si="22"/>
        <v>0.53242443715690524</v>
      </c>
      <c r="AC56" s="43">
        <f t="shared" si="23"/>
        <v>7.8811325345964907</v>
      </c>
      <c r="AD56" s="44">
        <f t="shared" si="24"/>
        <v>14.802349375023006</v>
      </c>
      <c r="AE56" s="45">
        <f t="shared" si="25"/>
        <v>0.56116941893031946</v>
      </c>
      <c r="AF56" s="45">
        <f t="shared" si="26"/>
        <v>-26.687998070571989</v>
      </c>
    </row>
    <row r="57" spans="1:32" ht="18" x14ac:dyDescent="0.25">
      <c r="A57" s="37">
        <v>34</v>
      </c>
      <c r="B57" s="37">
        <v>6</v>
      </c>
      <c r="C57" s="37" t="s">
        <v>38</v>
      </c>
      <c r="D57" s="37" t="s">
        <v>32</v>
      </c>
      <c r="E57" s="37"/>
      <c r="F57" s="37">
        <v>1</v>
      </c>
      <c r="G57" s="38" t="s">
        <v>75</v>
      </c>
      <c r="H57" s="37">
        <v>6.3369999999999997</v>
      </c>
      <c r="I57" s="37">
        <v>1</v>
      </c>
      <c r="J57" s="37"/>
      <c r="K57" s="46">
        <v>174</v>
      </c>
      <c r="L57" s="46" t="s">
        <v>185</v>
      </c>
      <c r="M57" s="46">
        <v>4.0713945000000002</v>
      </c>
      <c r="N57" s="46">
        <v>413.45349650080522</v>
      </c>
      <c r="O57" s="46">
        <v>5.6484019999999999</v>
      </c>
      <c r="P57" s="46">
        <v>-24.589632222438855</v>
      </c>
      <c r="Q57" s="37">
        <v>6.3369999999999997</v>
      </c>
      <c r="R57" s="40">
        <v>3.7583036388888882</v>
      </c>
      <c r="S57" s="40">
        <v>2.0716198484927761</v>
      </c>
      <c r="T57" s="40">
        <v>2.6898764166666664</v>
      </c>
      <c r="U57" s="40">
        <v>-25.568353824712908</v>
      </c>
      <c r="V57" s="40">
        <v>1.5536666666666668</v>
      </c>
      <c r="W57" s="40">
        <v>1.5536666666666668</v>
      </c>
      <c r="X57" s="41">
        <f t="shared" si="18"/>
        <v>1.1657759513266223E-2</v>
      </c>
      <c r="Y57" s="41">
        <f t="shared" si="19"/>
        <v>0.2657527419862567</v>
      </c>
      <c r="Z57" s="42">
        <f t="shared" si="20"/>
        <v>4.7463337964634783E-2</v>
      </c>
      <c r="AA57" s="42">
        <f t="shared" si="21"/>
        <v>1.5010783193406563</v>
      </c>
      <c r="AB57" s="43">
        <f t="shared" si="22"/>
        <v>0.74898750141446713</v>
      </c>
      <c r="AC57" s="43">
        <f t="shared" si="23"/>
        <v>23.687522792183309</v>
      </c>
      <c r="AD57" s="44">
        <f t="shared" si="24"/>
        <v>31.626058842703365</v>
      </c>
      <c r="AE57" s="45">
        <f t="shared" si="25"/>
        <v>413.36187665231245</v>
      </c>
      <c r="AF57" s="45">
        <f t="shared" si="26"/>
        <v>-25.051278397725948</v>
      </c>
    </row>
    <row r="58" spans="1:32" ht="18" x14ac:dyDescent="0.25">
      <c r="A58" s="37">
        <v>35</v>
      </c>
      <c r="B58" s="37">
        <v>6</v>
      </c>
      <c r="C58" s="37" t="s">
        <v>38</v>
      </c>
      <c r="D58" s="37" t="s">
        <v>34</v>
      </c>
      <c r="E58" s="37">
        <v>13.8</v>
      </c>
      <c r="F58" s="37">
        <v>1</v>
      </c>
      <c r="G58" s="38" t="s">
        <v>76</v>
      </c>
      <c r="H58" s="37">
        <v>6.9740000000000002</v>
      </c>
      <c r="I58" s="37">
        <v>1</v>
      </c>
      <c r="J58" s="37"/>
      <c r="K58" s="39">
        <v>175</v>
      </c>
      <c r="L58" s="39" t="s">
        <v>186</v>
      </c>
      <c r="M58" s="39">
        <v>2.1654244999999999</v>
      </c>
      <c r="N58" s="39">
        <v>71.378338345758536</v>
      </c>
      <c r="O58" s="39">
        <v>1.6458457500000001</v>
      </c>
      <c r="P58" s="39">
        <v>-24.132845596578694</v>
      </c>
      <c r="Q58" s="37">
        <v>6.9740000000000002</v>
      </c>
      <c r="R58" s="40">
        <v>3.7583036388888882</v>
      </c>
      <c r="S58" s="40">
        <v>2.0716198484927761</v>
      </c>
      <c r="T58" s="40">
        <v>2.6898764166666664</v>
      </c>
      <c r="U58" s="40">
        <v>-25.568353824712908</v>
      </c>
      <c r="V58" s="40">
        <v>1.5536666666666668</v>
      </c>
      <c r="W58" s="40">
        <v>1.5536666666666668</v>
      </c>
      <c r="X58" s="41">
        <f t="shared" si="18"/>
        <v>1.1657759513266223E-2</v>
      </c>
      <c r="Y58" s="41">
        <f t="shared" si="19"/>
        <v>0.2657527419862567</v>
      </c>
      <c r="Z58" s="42">
        <f t="shared" si="20"/>
        <v>2.5243998065134752E-2</v>
      </c>
      <c r="AA58" s="42">
        <f t="shared" si="21"/>
        <v>0.4373880209489272</v>
      </c>
      <c r="AB58" s="43">
        <f t="shared" si="22"/>
        <v>0.36197301498615936</v>
      </c>
      <c r="AC58" s="43">
        <f t="shared" si="23"/>
        <v>6.2716951670336565</v>
      </c>
      <c r="AD58" s="44">
        <f t="shared" si="24"/>
        <v>17.326416355300591</v>
      </c>
      <c r="AE58" s="45">
        <f t="shared" si="25"/>
        <v>71.286718497265753</v>
      </c>
      <c r="AF58" s="45">
        <f t="shared" si="26"/>
        <v>-24.594491771865787</v>
      </c>
    </row>
    <row r="59" spans="1:32" ht="18" x14ac:dyDescent="0.25">
      <c r="A59" s="37">
        <v>36</v>
      </c>
      <c r="B59" s="37">
        <v>6</v>
      </c>
      <c r="C59" s="37" t="s">
        <v>38</v>
      </c>
      <c r="D59" s="37" t="s">
        <v>36</v>
      </c>
      <c r="E59" s="37"/>
      <c r="F59" s="37">
        <v>1</v>
      </c>
      <c r="G59" s="38" t="s">
        <v>77</v>
      </c>
      <c r="H59" s="37">
        <v>6.1159999999999997</v>
      </c>
      <c r="I59" s="37">
        <v>1</v>
      </c>
      <c r="J59" s="37"/>
      <c r="K59" s="46">
        <v>176</v>
      </c>
      <c r="L59" s="46" t="s">
        <v>187</v>
      </c>
      <c r="M59" s="46">
        <v>1.4408596250000001</v>
      </c>
      <c r="N59" s="46">
        <v>1.0365542490624768</v>
      </c>
      <c r="O59" s="46">
        <v>0.95835281250000004</v>
      </c>
      <c r="P59" s="46">
        <v>-24.68570907091458</v>
      </c>
      <c r="Q59" s="37">
        <v>6.1159999999999997</v>
      </c>
      <c r="R59" s="40">
        <v>3.7583036388888882</v>
      </c>
      <c r="S59" s="40">
        <v>2.0716198484927761</v>
      </c>
      <c r="T59" s="40">
        <v>2.6898764166666664</v>
      </c>
      <c r="U59" s="40">
        <v>-25.568353824712908</v>
      </c>
      <c r="V59" s="40">
        <v>1.5536666666666668</v>
      </c>
      <c r="W59" s="40">
        <v>1.5536666666666668</v>
      </c>
      <c r="X59" s="41">
        <f t="shared" si="18"/>
        <v>1.1657759513266223E-2</v>
      </c>
      <c r="Y59" s="41">
        <f t="shared" si="19"/>
        <v>0.2657527419862567</v>
      </c>
      <c r="Z59" s="42">
        <f t="shared" si="20"/>
        <v>1.6797195000624952E-2</v>
      </c>
      <c r="AA59" s="42">
        <f t="shared" si="21"/>
        <v>0.25468488771211595</v>
      </c>
      <c r="AB59" s="43">
        <f t="shared" si="22"/>
        <v>0.27464347613840667</v>
      </c>
      <c r="AC59" s="43">
        <f t="shared" si="23"/>
        <v>4.1642394982360367</v>
      </c>
      <c r="AD59" s="44">
        <f t="shared" si="24"/>
        <v>15.162346314526932</v>
      </c>
      <c r="AE59" s="45">
        <f t="shared" si="25"/>
        <v>0.94493440056970068</v>
      </c>
      <c r="AF59" s="45">
        <f t="shared" si="26"/>
        <v>-25.147355246201673</v>
      </c>
    </row>
    <row r="60" spans="1:32" ht="18" x14ac:dyDescent="0.25">
      <c r="A60" s="37"/>
      <c r="B60" s="37"/>
      <c r="C60" s="37"/>
      <c r="D60" s="37"/>
      <c r="E60" s="37"/>
      <c r="F60" s="37"/>
      <c r="G60" s="37"/>
      <c r="H60" s="37">
        <v>1.3420000000000001</v>
      </c>
      <c r="I60" s="37"/>
      <c r="J60" s="37" t="s">
        <v>289</v>
      </c>
      <c r="K60" s="39">
        <v>177</v>
      </c>
      <c r="L60" s="39" t="s">
        <v>188</v>
      </c>
      <c r="M60" s="39">
        <v>3.2744487499999999</v>
      </c>
      <c r="N60" s="39">
        <v>1.9701940538814329</v>
      </c>
      <c r="O60" s="39">
        <v>2.3275990000000002</v>
      </c>
      <c r="P60" s="39">
        <v>-25.852822458864878</v>
      </c>
      <c r="Q60" s="37">
        <v>1.3420000000000001</v>
      </c>
      <c r="R60" s="40">
        <v>3.7583036388888882</v>
      </c>
      <c r="S60" s="40">
        <v>2.0716198484927761</v>
      </c>
      <c r="T60" s="40">
        <v>2.6898764166666664</v>
      </c>
      <c r="U60" s="40">
        <v>-25.568353824712908</v>
      </c>
      <c r="V60" s="40">
        <v>1.5536666666666668</v>
      </c>
      <c r="W60" s="40">
        <v>1.5536666666666668</v>
      </c>
      <c r="X60" s="41">
        <f t="shared" si="18"/>
        <v>1.1657759513266223E-2</v>
      </c>
      <c r="Y60" s="41">
        <f t="shared" si="19"/>
        <v>0.2657527419862567</v>
      </c>
      <c r="Z60" s="42">
        <f t="shared" si="20"/>
        <v>3.8172736066015192E-2</v>
      </c>
      <c r="AA60" s="42">
        <f t="shared" si="21"/>
        <v>0.61856581649446918</v>
      </c>
      <c r="AB60" s="43">
        <f t="shared" si="22"/>
        <v>2.8444661748148428</v>
      </c>
      <c r="AC60" s="43">
        <f t="shared" si="23"/>
        <v>46.09283282373093</v>
      </c>
      <c r="AD60" s="44">
        <f t="shared" si="24"/>
        <v>16.204387744822206</v>
      </c>
      <c r="AE60" s="45">
        <f t="shared" si="25"/>
        <v>1.8785742053886567</v>
      </c>
      <c r="AF60" s="45">
        <f t="shared" si="26"/>
        <v>-26.314468634151972</v>
      </c>
    </row>
    <row r="61" spans="1:32" ht="18" x14ac:dyDescent="0.25">
      <c r="A61" s="37">
        <v>40</v>
      </c>
      <c r="B61" s="37">
        <v>2</v>
      </c>
      <c r="C61" s="37" t="s">
        <v>42</v>
      </c>
      <c r="D61" s="37" t="s">
        <v>32</v>
      </c>
      <c r="E61" s="37"/>
      <c r="F61" s="37">
        <v>1</v>
      </c>
      <c r="G61" s="38" t="s">
        <v>78</v>
      </c>
      <c r="H61" s="37">
        <v>6.452</v>
      </c>
      <c r="I61" s="37">
        <v>1</v>
      </c>
      <c r="J61" s="37"/>
      <c r="K61" s="46">
        <v>178</v>
      </c>
      <c r="L61" s="46" t="s">
        <v>189</v>
      </c>
      <c r="M61" s="46">
        <v>5.9501939999999998</v>
      </c>
      <c r="N61" s="46">
        <v>139.24310941722513</v>
      </c>
      <c r="O61" s="46">
        <v>4.9376135000000003</v>
      </c>
      <c r="P61" s="46">
        <v>-26.284290584361948</v>
      </c>
      <c r="Q61" s="37">
        <v>6.452</v>
      </c>
      <c r="R61" s="40">
        <v>3.7583036388888882</v>
      </c>
      <c r="S61" s="40">
        <v>2.0716198484927761</v>
      </c>
      <c r="T61" s="40">
        <v>2.6898764166666664</v>
      </c>
      <c r="U61" s="40">
        <v>-25.568353824712908</v>
      </c>
      <c r="V61" s="40">
        <v>1.5536666666666668</v>
      </c>
      <c r="W61" s="40">
        <v>1.5536666666666668</v>
      </c>
      <c r="X61" s="41">
        <f t="shared" si="18"/>
        <v>1.1657759513266223E-2</v>
      </c>
      <c r="Y61" s="41">
        <f t="shared" si="19"/>
        <v>0.2657527419862567</v>
      </c>
      <c r="Z61" s="42">
        <f t="shared" si="20"/>
        <v>6.93659307092796E-2</v>
      </c>
      <c r="AA61" s="42">
        <f t="shared" si="21"/>
        <v>1.3121843264933579</v>
      </c>
      <c r="AB61" s="43">
        <f t="shared" si="22"/>
        <v>1.0751074195486607</v>
      </c>
      <c r="AC61" s="43">
        <f t="shared" si="23"/>
        <v>20.337636802438901</v>
      </c>
      <c r="AD61" s="44">
        <f t="shared" si="24"/>
        <v>18.916841640788611</v>
      </c>
      <c r="AE61" s="45">
        <f t="shared" si="25"/>
        <v>139.15148956873236</v>
      </c>
      <c r="AF61" s="45">
        <f t="shared" si="26"/>
        <v>-26.745936759649041</v>
      </c>
    </row>
    <row r="62" spans="1:32" ht="18" x14ac:dyDescent="0.25">
      <c r="A62" s="37">
        <v>41</v>
      </c>
      <c r="B62" s="37">
        <v>2</v>
      </c>
      <c r="C62" s="37" t="s">
        <v>42</v>
      </c>
      <c r="D62" s="37" t="s">
        <v>34</v>
      </c>
      <c r="E62" s="37">
        <v>13.88888889</v>
      </c>
      <c r="F62" s="37">
        <v>1</v>
      </c>
      <c r="G62" s="38" t="s">
        <v>79</v>
      </c>
      <c r="H62" s="37">
        <v>7.0179999999999998</v>
      </c>
      <c r="I62" s="37">
        <v>1</v>
      </c>
      <c r="J62" s="37"/>
      <c r="K62" s="39">
        <v>179</v>
      </c>
      <c r="L62" s="39" t="s">
        <v>190</v>
      </c>
      <c r="M62" s="39">
        <v>2.2302807499999999</v>
      </c>
      <c r="N62" s="39">
        <v>174.7384730187035</v>
      </c>
      <c r="O62" s="39">
        <v>1.6832428749999999</v>
      </c>
      <c r="P62" s="39">
        <v>-21.37426553258577</v>
      </c>
      <c r="Q62" s="37">
        <v>7.0179999999999998</v>
      </c>
      <c r="R62" s="40">
        <v>3.7583036388888882</v>
      </c>
      <c r="S62" s="40">
        <v>2.0716198484927761</v>
      </c>
      <c r="T62" s="40">
        <v>2.6898764166666664</v>
      </c>
      <c r="U62" s="40">
        <v>-25.568353824712908</v>
      </c>
      <c r="V62" s="40">
        <v>1.5536666666666668</v>
      </c>
      <c r="W62" s="40">
        <v>1.5536666666666668</v>
      </c>
      <c r="X62" s="41">
        <f t="shared" si="18"/>
        <v>1.1657759513266223E-2</v>
      </c>
      <c r="Y62" s="41">
        <f t="shared" si="19"/>
        <v>0.2657527419862567</v>
      </c>
      <c r="Z62" s="42">
        <f t="shared" si="20"/>
        <v>2.6000076630567026E-2</v>
      </c>
      <c r="AA62" s="42">
        <f t="shared" si="21"/>
        <v>0.4473264094600799</v>
      </c>
      <c r="AB62" s="43">
        <f t="shared" si="22"/>
        <v>0.37047701097986646</v>
      </c>
      <c r="AC62" s="43">
        <f t="shared" si="23"/>
        <v>6.3739870256494715</v>
      </c>
      <c r="AD62" s="44">
        <f t="shared" si="24"/>
        <v>17.204811194063176</v>
      </c>
      <c r="AE62" s="45">
        <f t="shared" si="25"/>
        <v>174.64685317021073</v>
      </c>
      <c r="AF62" s="45">
        <f t="shared" si="26"/>
        <v>-21.835911707872864</v>
      </c>
    </row>
    <row r="63" spans="1:32" ht="18" x14ac:dyDescent="0.25">
      <c r="A63" s="37">
        <v>42</v>
      </c>
      <c r="B63" s="37">
        <v>2</v>
      </c>
      <c r="C63" s="37" t="s">
        <v>42</v>
      </c>
      <c r="D63" s="37" t="s">
        <v>36</v>
      </c>
      <c r="E63" s="37"/>
      <c r="F63" s="37">
        <v>1</v>
      </c>
      <c r="G63" s="38" t="s">
        <v>80</v>
      </c>
      <c r="H63" s="37">
        <v>6.9539999999999997</v>
      </c>
      <c r="I63" s="37">
        <v>1</v>
      </c>
      <c r="J63" s="37"/>
      <c r="K63" s="46">
        <v>180</v>
      </c>
      <c r="L63" s="46" t="s">
        <v>191</v>
      </c>
      <c r="M63" s="46">
        <v>1.1169233750000001</v>
      </c>
      <c r="N63" s="46">
        <v>2.7054933234227363</v>
      </c>
      <c r="O63" s="46">
        <v>0.63729512499999996</v>
      </c>
      <c r="P63" s="46">
        <v>-23.741109709323336</v>
      </c>
      <c r="Q63" s="37">
        <v>6.9539999999999997</v>
      </c>
      <c r="R63" s="40">
        <v>3.7583036388888882</v>
      </c>
      <c r="S63" s="40">
        <v>2.0716198484927761</v>
      </c>
      <c r="T63" s="40">
        <v>2.6898764166666664</v>
      </c>
      <c r="U63" s="40">
        <v>-25.568353824712908</v>
      </c>
      <c r="V63" s="40">
        <v>1.5536666666666668</v>
      </c>
      <c r="W63" s="40">
        <v>1.5536666666666668</v>
      </c>
      <c r="X63" s="41">
        <f t="shared" si="18"/>
        <v>1.1657759513266223E-2</v>
      </c>
      <c r="Y63" s="41">
        <f t="shared" si="19"/>
        <v>0.2657527419862567</v>
      </c>
      <c r="Z63" s="42">
        <f t="shared" si="20"/>
        <v>1.3020824100495668E-2</v>
      </c>
      <c r="AA63" s="42">
        <f t="shared" si="21"/>
        <v>0.16936292692322422</v>
      </c>
      <c r="AB63" s="43">
        <f t="shared" si="22"/>
        <v>0.1872422217500096</v>
      </c>
      <c r="AC63" s="43">
        <f t="shared" si="23"/>
        <v>2.4354749341849904</v>
      </c>
      <c r="AD63" s="44">
        <f t="shared" si="24"/>
        <v>13.007082010790471</v>
      </c>
      <c r="AE63" s="45">
        <f t="shared" si="25"/>
        <v>2.6138734749299601</v>
      </c>
      <c r="AF63" s="45">
        <f t="shared" si="26"/>
        <v>-24.202755884610429</v>
      </c>
    </row>
    <row r="64" spans="1:32" ht="18" x14ac:dyDescent="0.25">
      <c r="A64" s="37">
        <v>43</v>
      </c>
      <c r="B64" s="37">
        <v>3</v>
      </c>
      <c r="C64" s="37" t="s">
        <v>42</v>
      </c>
      <c r="D64" s="37" t="s">
        <v>32</v>
      </c>
      <c r="E64" s="37"/>
      <c r="F64" s="37">
        <v>1</v>
      </c>
      <c r="G64" s="38" t="s">
        <v>81</v>
      </c>
      <c r="H64" s="37">
        <v>6.0419999999999998</v>
      </c>
      <c r="I64" s="37">
        <v>1</v>
      </c>
      <c r="J64" s="37"/>
      <c r="K64" s="39">
        <v>181</v>
      </c>
      <c r="L64" s="39" t="s">
        <v>192</v>
      </c>
      <c r="M64" s="39">
        <v>4.4026015000000003</v>
      </c>
      <c r="N64" s="39">
        <v>192.11154466051934</v>
      </c>
      <c r="O64" s="39">
        <v>3.8827289999999999</v>
      </c>
      <c r="P64" s="39">
        <v>-24.272117566775158</v>
      </c>
      <c r="Q64" s="37">
        <v>6.0419999999999998</v>
      </c>
      <c r="R64" s="40">
        <v>3.7583036388888882</v>
      </c>
      <c r="S64" s="40">
        <v>2.0716198484927761</v>
      </c>
      <c r="T64" s="40">
        <v>2.6898764166666664</v>
      </c>
      <c r="U64" s="40">
        <v>-25.568353824712908</v>
      </c>
      <c r="V64" s="40">
        <v>1.5536666666666668</v>
      </c>
      <c r="W64" s="40">
        <v>1.5536666666666668</v>
      </c>
      <c r="X64" s="41">
        <f t="shared" si="18"/>
        <v>1.1657759513266223E-2</v>
      </c>
      <c r="Y64" s="41">
        <f t="shared" si="19"/>
        <v>0.2657527419862567</v>
      </c>
      <c r="Z64" s="42">
        <f t="shared" si="20"/>
        <v>5.1324469519745147E-2</v>
      </c>
      <c r="AA64" s="42">
        <f t="shared" si="21"/>
        <v>1.0318458781395565</v>
      </c>
      <c r="AB64" s="43">
        <f t="shared" si="22"/>
        <v>0.84946159416989664</v>
      </c>
      <c r="AC64" s="43">
        <f t="shared" si="23"/>
        <v>17.077886099628543</v>
      </c>
      <c r="AD64" s="44">
        <f t="shared" si="24"/>
        <v>20.10436518477006</v>
      </c>
      <c r="AE64" s="45">
        <f t="shared" si="25"/>
        <v>192.01992481202657</v>
      </c>
      <c r="AF64" s="45">
        <f t="shared" si="26"/>
        <v>-24.733763742062251</v>
      </c>
    </row>
    <row r="65" spans="1:32" ht="18" x14ac:dyDescent="0.25">
      <c r="A65" s="37">
        <v>44</v>
      </c>
      <c r="B65" s="37">
        <v>3</v>
      </c>
      <c r="C65" s="37" t="s">
        <v>42</v>
      </c>
      <c r="D65" s="37" t="s">
        <v>34</v>
      </c>
      <c r="E65" s="37">
        <v>14.77045908</v>
      </c>
      <c r="F65" s="37">
        <v>1</v>
      </c>
      <c r="G65" s="38" t="s">
        <v>82</v>
      </c>
      <c r="H65" s="37">
        <v>6.8310000000000004</v>
      </c>
      <c r="I65" s="37">
        <v>1</v>
      </c>
      <c r="J65" s="37"/>
      <c r="K65" s="46">
        <v>182</v>
      </c>
      <c r="L65" s="46" t="s">
        <v>193</v>
      </c>
      <c r="M65" s="46">
        <v>2.2009210000000001</v>
      </c>
      <c r="N65" s="46">
        <v>27.302777874438561</v>
      </c>
      <c r="O65" s="46">
        <v>1.6060186249999999</v>
      </c>
      <c r="P65" s="46">
        <v>-25.046339007709598</v>
      </c>
      <c r="Q65" s="37">
        <v>6.8310000000000004</v>
      </c>
      <c r="R65" s="40">
        <v>3.7583036388888882</v>
      </c>
      <c r="S65" s="40">
        <v>2.0716198484927761</v>
      </c>
      <c r="T65" s="40">
        <v>2.6898764166666664</v>
      </c>
      <c r="U65" s="40">
        <v>-25.568353824712908</v>
      </c>
      <c r="V65" s="40">
        <v>1.5536666666666668</v>
      </c>
      <c r="W65" s="40">
        <v>1.5536666666666668</v>
      </c>
      <c r="X65" s="41">
        <f t="shared" si="18"/>
        <v>1.1657759513266223E-2</v>
      </c>
      <c r="Y65" s="41">
        <f t="shared" si="19"/>
        <v>0.2657527419862567</v>
      </c>
      <c r="Z65" s="42">
        <f t="shared" si="20"/>
        <v>2.565780772569741E-2</v>
      </c>
      <c r="AA65" s="42">
        <f t="shared" si="21"/>
        <v>0.42680385327474774</v>
      </c>
      <c r="AB65" s="43">
        <f t="shared" si="22"/>
        <v>0.37560836957542681</v>
      </c>
      <c r="AC65" s="43">
        <f t="shared" si="23"/>
        <v>6.2480435262003766</v>
      </c>
      <c r="AD65" s="44">
        <f t="shared" si="24"/>
        <v>16.634463000020268</v>
      </c>
      <c r="AE65" s="45">
        <f t="shared" si="25"/>
        <v>27.211158025945785</v>
      </c>
      <c r="AF65" s="45">
        <f t="shared" si="26"/>
        <v>-25.507985182996691</v>
      </c>
    </row>
    <row r="66" spans="1:32" ht="18" x14ac:dyDescent="0.25">
      <c r="A66" s="37">
        <v>45</v>
      </c>
      <c r="B66" s="37">
        <v>3</v>
      </c>
      <c r="C66" s="37" t="s">
        <v>42</v>
      </c>
      <c r="D66" s="37" t="s">
        <v>36</v>
      </c>
      <c r="E66" s="37"/>
      <c r="F66" s="37">
        <v>1</v>
      </c>
      <c r="G66" s="38" t="s">
        <v>83</v>
      </c>
      <c r="H66" s="37">
        <v>7.1369999999999996</v>
      </c>
      <c r="I66" s="37">
        <v>1</v>
      </c>
      <c r="J66" s="37"/>
      <c r="K66" s="39">
        <v>183</v>
      </c>
      <c r="L66" s="39" t="s">
        <v>194</v>
      </c>
      <c r="M66" s="39">
        <v>2.0938961250000001</v>
      </c>
      <c r="N66" s="39">
        <v>1.6263437824742515</v>
      </c>
      <c r="O66" s="39">
        <v>1.3394779999999999</v>
      </c>
      <c r="P66" s="39">
        <v>-25.329941469357195</v>
      </c>
      <c r="Q66" s="37">
        <v>7.1369999999999996</v>
      </c>
      <c r="R66" s="40">
        <v>3.7583036388888882</v>
      </c>
      <c r="S66" s="40">
        <v>2.0716198484927761</v>
      </c>
      <c r="T66" s="40">
        <v>2.6898764166666664</v>
      </c>
      <c r="U66" s="40">
        <v>-25.568353824712908</v>
      </c>
      <c r="V66" s="40">
        <v>1.5536666666666668</v>
      </c>
      <c r="W66" s="40">
        <v>1.5536666666666668</v>
      </c>
      <c r="X66" s="41">
        <f t="shared" si="18"/>
        <v>1.1657759513266223E-2</v>
      </c>
      <c r="Y66" s="41">
        <f t="shared" si="19"/>
        <v>0.2657527419862567</v>
      </c>
      <c r="Z66" s="42">
        <f t="shared" si="20"/>
        <v>2.4410137471010031E-2</v>
      </c>
      <c r="AA66" s="42">
        <f t="shared" si="21"/>
        <v>0.35596995133026715</v>
      </c>
      <c r="AB66" s="43">
        <f t="shared" si="22"/>
        <v>0.34202238294815795</v>
      </c>
      <c r="AC66" s="43">
        <f t="shared" si="23"/>
        <v>4.9876692073737869</v>
      </c>
      <c r="AD66" s="44">
        <f t="shared" si="24"/>
        <v>14.582873683240178</v>
      </c>
      <c r="AE66" s="45">
        <f t="shared" si="25"/>
        <v>1.5347239339814753</v>
      </c>
      <c r="AF66" s="45">
        <f t="shared" si="26"/>
        <v>-25.791587644644288</v>
      </c>
    </row>
    <row r="67" spans="1:32" ht="18" x14ac:dyDescent="0.25">
      <c r="A67" s="37">
        <v>46</v>
      </c>
      <c r="B67" s="37">
        <v>4</v>
      </c>
      <c r="C67" s="37" t="s">
        <v>42</v>
      </c>
      <c r="D67" s="37" t="s">
        <v>32</v>
      </c>
      <c r="E67" s="37"/>
      <c r="F67" s="37">
        <v>1</v>
      </c>
      <c r="G67" s="38" t="s">
        <v>84</v>
      </c>
      <c r="H67" s="37">
        <v>6.8449999999999998</v>
      </c>
      <c r="I67" s="37">
        <v>1</v>
      </c>
      <c r="J67" s="37"/>
      <c r="K67" s="46">
        <v>184</v>
      </c>
      <c r="L67" s="46" t="s">
        <v>195</v>
      </c>
      <c r="M67" s="46">
        <v>6.1656484999999996</v>
      </c>
      <c r="N67" s="46">
        <v>267.8106851425739</v>
      </c>
      <c r="O67" s="46">
        <v>5.3465125000000002</v>
      </c>
      <c r="P67" s="46">
        <v>-24.060926721066053</v>
      </c>
      <c r="Q67" s="37">
        <v>6.8449999999999998</v>
      </c>
      <c r="R67" s="40">
        <v>3.7583036388888882</v>
      </c>
      <c r="S67" s="40">
        <v>2.0716198484927761</v>
      </c>
      <c r="T67" s="40">
        <v>2.6898764166666664</v>
      </c>
      <c r="U67" s="40">
        <v>-25.568353824712908</v>
      </c>
      <c r="V67" s="40">
        <v>1.5536666666666668</v>
      </c>
      <c r="W67" s="40">
        <v>1.5536666666666668</v>
      </c>
      <c r="X67" s="41">
        <f t="shared" si="18"/>
        <v>1.1657759513266223E-2</v>
      </c>
      <c r="Y67" s="41">
        <f t="shared" si="19"/>
        <v>0.2657527419862567</v>
      </c>
      <c r="Z67" s="42">
        <f t="shared" si="20"/>
        <v>7.1877647456330615E-2</v>
      </c>
      <c r="AA67" s="42">
        <f t="shared" si="21"/>
        <v>1.4208503569387962</v>
      </c>
      <c r="AB67" s="43">
        <f t="shared" si="22"/>
        <v>1.0500752002385774</v>
      </c>
      <c r="AC67" s="43">
        <f t="shared" si="23"/>
        <v>20.757492431538296</v>
      </c>
      <c r="AD67" s="44">
        <f t="shared" si="24"/>
        <v>19.767624668044906</v>
      </c>
      <c r="AE67" s="45">
        <f t="shared" si="25"/>
        <v>267.71906529408113</v>
      </c>
      <c r="AF67" s="45">
        <f t="shared" si="26"/>
        <v>-24.522572896353147</v>
      </c>
    </row>
    <row r="68" spans="1:32" ht="18" x14ac:dyDescent="0.25">
      <c r="A68" s="37">
        <v>47</v>
      </c>
      <c r="B68" s="37">
        <v>4</v>
      </c>
      <c r="C68" s="37" t="s">
        <v>42</v>
      </c>
      <c r="D68" s="37" t="s">
        <v>34</v>
      </c>
      <c r="E68" s="37">
        <v>16.2</v>
      </c>
      <c r="F68" s="37">
        <v>1</v>
      </c>
      <c r="G68" s="38" t="s">
        <v>85</v>
      </c>
      <c r="H68" s="37">
        <v>6.2770000000000001</v>
      </c>
      <c r="I68" s="37">
        <v>1</v>
      </c>
      <c r="J68" s="37"/>
      <c r="K68" s="39">
        <v>185</v>
      </c>
      <c r="L68" s="39" t="s">
        <v>196</v>
      </c>
      <c r="M68" s="39">
        <v>2.8706770000000001</v>
      </c>
      <c r="N68" s="39">
        <v>44.936516672661504</v>
      </c>
      <c r="O68" s="39">
        <v>2.2338550000000001</v>
      </c>
      <c r="P68" s="39">
        <v>-24.801788137650096</v>
      </c>
      <c r="Q68" s="37">
        <v>6.2770000000000001</v>
      </c>
      <c r="R68" s="40">
        <v>3.7583036388888882</v>
      </c>
      <c r="S68" s="40">
        <v>2.0716198484927761</v>
      </c>
      <c r="T68" s="40">
        <v>2.6898764166666664</v>
      </c>
      <c r="U68" s="40">
        <v>-25.568353824712908</v>
      </c>
      <c r="V68" s="40">
        <v>1.5536666666666668</v>
      </c>
      <c r="W68" s="40">
        <v>1.5536666666666668</v>
      </c>
      <c r="X68" s="41">
        <f t="shared" si="18"/>
        <v>1.1657759513266223E-2</v>
      </c>
      <c r="Y68" s="41">
        <f t="shared" si="19"/>
        <v>0.2657527419862567</v>
      </c>
      <c r="Z68" s="42">
        <f t="shared" si="20"/>
        <v>3.3465662106264546E-2</v>
      </c>
      <c r="AA68" s="42">
        <f t="shared" si="21"/>
        <v>0.59365309144970946</v>
      </c>
      <c r="AB68" s="43">
        <f t="shared" si="22"/>
        <v>0.53314739694542845</v>
      </c>
      <c r="AC68" s="43">
        <f t="shared" si="23"/>
        <v>9.457592662891658</v>
      </c>
      <c r="AD68" s="44">
        <f t="shared" si="24"/>
        <v>17.739170662892146</v>
      </c>
      <c r="AE68" s="45">
        <f t="shared" si="25"/>
        <v>44.844896824168728</v>
      </c>
      <c r="AF68" s="45">
        <f t="shared" si="26"/>
        <v>-25.263434312937189</v>
      </c>
    </row>
    <row r="69" spans="1:32" ht="18" x14ac:dyDescent="0.25">
      <c r="A69" s="37">
        <v>48</v>
      </c>
      <c r="B69" s="37">
        <v>4</v>
      </c>
      <c r="C69" s="37" t="s">
        <v>42</v>
      </c>
      <c r="D69" s="37" t="s">
        <v>36</v>
      </c>
      <c r="E69" s="37"/>
      <c r="F69" s="37">
        <v>1</v>
      </c>
      <c r="G69" s="38" t="s">
        <v>86</v>
      </c>
      <c r="H69" s="37">
        <v>8.0389999999999997</v>
      </c>
      <c r="I69" s="37">
        <v>1</v>
      </c>
      <c r="J69" s="37"/>
      <c r="K69" s="46">
        <v>186</v>
      </c>
      <c r="L69" s="46" t="s">
        <v>197</v>
      </c>
      <c r="M69" s="46">
        <v>2.1548422500000002</v>
      </c>
      <c r="N69" s="46">
        <v>1.9710387790250805</v>
      </c>
      <c r="O69" s="46">
        <v>1.359150125</v>
      </c>
      <c r="P69" s="46">
        <v>-25.290023665576008</v>
      </c>
      <c r="Q69" s="37">
        <v>8.0389999999999997</v>
      </c>
      <c r="R69" s="40">
        <v>3.7583036388888882</v>
      </c>
      <c r="S69" s="40">
        <v>2.0716198484927761</v>
      </c>
      <c r="T69" s="40">
        <v>2.6898764166666664</v>
      </c>
      <c r="U69" s="40">
        <v>-25.568353824712908</v>
      </c>
      <c r="V69" s="40">
        <v>1.5536666666666668</v>
      </c>
      <c r="W69" s="40">
        <v>1.5536666666666668</v>
      </c>
      <c r="X69" s="41">
        <f t="shared" si="18"/>
        <v>1.1657759513266223E-2</v>
      </c>
      <c r="Y69" s="41">
        <f t="shared" si="19"/>
        <v>0.2657527419862567</v>
      </c>
      <c r="Z69" s="42">
        <f t="shared" si="20"/>
        <v>2.5120632739525497E-2</v>
      </c>
      <c r="AA69" s="42">
        <f t="shared" si="21"/>
        <v>0.36119787248971352</v>
      </c>
      <c r="AB69" s="43">
        <f t="shared" si="22"/>
        <v>0.31248454707706796</v>
      </c>
      <c r="AC69" s="43">
        <f t="shared" si="23"/>
        <v>4.4930696913759611</v>
      </c>
      <c r="AD69" s="44">
        <f t="shared" si="24"/>
        <v>14.378534021613032</v>
      </c>
      <c r="AE69" s="45">
        <f t="shared" si="25"/>
        <v>1.8794189305323044</v>
      </c>
      <c r="AF69" s="45">
        <f t="shared" si="26"/>
        <v>-25.751669840863102</v>
      </c>
    </row>
    <row r="70" spans="1:32" ht="18" x14ac:dyDescent="0.25">
      <c r="A70" s="37">
        <v>49</v>
      </c>
      <c r="B70" s="37">
        <v>5</v>
      </c>
      <c r="C70" s="37" t="s">
        <v>42</v>
      </c>
      <c r="D70" s="37" t="s">
        <v>32</v>
      </c>
      <c r="E70" s="37"/>
      <c r="F70" s="37">
        <v>1</v>
      </c>
      <c r="G70" s="38" t="s">
        <v>87</v>
      </c>
      <c r="H70" s="37">
        <v>6.1210000000000004</v>
      </c>
      <c r="I70" s="37">
        <v>1</v>
      </c>
      <c r="J70" s="37"/>
      <c r="K70" s="39">
        <v>187</v>
      </c>
      <c r="L70" s="39" t="s">
        <v>198</v>
      </c>
      <c r="M70" s="39">
        <v>4.2615414999999999</v>
      </c>
      <c r="N70" s="39">
        <v>215.97163528291696</v>
      </c>
      <c r="O70" s="39">
        <v>6.0761029999999998</v>
      </c>
      <c r="P70" s="39">
        <v>-25.762406249136266</v>
      </c>
      <c r="Q70" s="37">
        <v>6.1210000000000004</v>
      </c>
      <c r="R70" s="40">
        <v>3.7583036388888882</v>
      </c>
      <c r="S70" s="40">
        <v>2.0716198484927761</v>
      </c>
      <c r="T70" s="40">
        <v>2.6898764166666664</v>
      </c>
      <c r="U70" s="40">
        <v>-25.568353824712908</v>
      </c>
      <c r="V70" s="40">
        <v>1.5536666666666668</v>
      </c>
      <c r="W70" s="40">
        <v>1.5536666666666668</v>
      </c>
      <c r="X70" s="41">
        <f t="shared" si="18"/>
        <v>1.1657759513266223E-2</v>
      </c>
      <c r="Y70" s="41">
        <f t="shared" si="19"/>
        <v>0.2657527419862567</v>
      </c>
      <c r="Z70" s="42">
        <f t="shared" si="20"/>
        <v>4.9680025962803812E-2</v>
      </c>
      <c r="AA70" s="42">
        <f t="shared" si="21"/>
        <v>1.6147410328409202</v>
      </c>
      <c r="AB70" s="43">
        <f t="shared" si="22"/>
        <v>0.81163251041992823</v>
      </c>
      <c r="AC70" s="43">
        <f t="shared" si="23"/>
        <v>26.380346885164517</v>
      </c>
      <c r="AD70" s="44">
        <f t="shared" si="24"/>
        <v>32.5028218393022</v>
      </c>
      <c r="AE70" s="45">
        <f t="shared" si="25"/>
        <v>215.88001543442419</v>
      </c>
      <c r="AF70" s="45">
        <f t="shared" si="26"/>
        <v>-26.224052424423359</v>
      </c>
    </row>
    <row r="71" spans="1:32" ht="18" x14ac:dyDescent="0.25">
      <c r="A71" s="37">
        <v>50</v>
      </c>
      <c r="B71" s="37">
        <v>5</v>
      </c>
      <c r="C71" s="37" t="s">
        <v>42</v>
      </c>
      <c r="D71" s="37" t="s">
        <v>34</v>
      </c>
      <c r="E71" s="37">
        <v>14.74103586</v>
      </c>
      <c r="F71" s="37">
        <v>1</v>
      </c>
      <c r="G71" s="38" t="s">
        <v>88</v>
      </c>
      <c r="H71" s="37">
        <v>7.5259999999999998</v>
      </c>
      <c r="I71" s="37">
        <v>1</v>
      </c>
      <c r="J71" s="37"/>
      <c r="K71" s="46">
        <v>188</v>
      </c>
      <c r="L71" s="46" t="s">
        <v>199</v>
      </c>
      <c r="M71" s="46">
        <v>2.9613475</v>
      </c>
      <c r="N71" s="46">
        <v>77.909825384331981</v>
      </c>
      <c r="O71" s="46">
        <v>2.13725275</v>
      </c>
      <c r="P71" s="46">
        <v>-24.519161369052462</v>
      </c>
      <c r="Q71" s="37">
        <v>7.5259999999999998</v>
      </c>
      <c r="R71" s="40">
        <v>3.7583036388888882</v>
      </c>
      <c r="S71" s="40">
        <v>2.0716198484927761</v>
      </c>
      <c r="T71" s="40">
        <v>2.6898764166666664</v>
      </c>
      <c r="U71" s="40">
        <v>-25.568353824712908</v>
      </c>
      <c r="V71" s="40">
        <v>1.5536666666666668</v>
      </c>
      <c r="W71" s="40">
        <v>1.5536666666666668</v>
      </c>
      <c r="X71" s="41">
        <f t="shared" si="18"/>
        <v>1.1657759513266223E-2</v>
      </c>
      <c r="Y71" s="41">
        <f t="shared" si="19"/>
        <v>0.2657527419862567</v>
      </c>
      <c r="Z71" s="42">
        <f t="shared" si="20"/>
        <v>3.4522676990212144E-2</v>
      </c>
      <c r="AA71" s="42">
        <f t="shared" si="21"/>
        <v>0.5679807786301676</v>
      </c>
      <c r="AB71" s="43">
        <f t="shared" si="22"/>
        <v>0.45871215772272311</v>
      </c>
      <c r="AC71" s="43">
        <f t="shared" si="23"/>
        <v>7.5469144117747486</v>
      </c>
      <c r="AD71" s="44">
        <f t="shared" si="24"/>
        <v>16.452396747540792</v>
      </c>
      <c r="AE71" s="45">
        <f t="shared" si="25"/>
        <v>77.818205535839212</v>
      </c>
      <c r="AF71" s="45">
        <f t="shared" si="26"/>
        <v>-24.980807544339555</v>
      </c>
    </row>
    <row r="72" spans="1:32" ht="18" x14ac:dyDescent="0.25">
      <c r="A72" s="37">
        <v>51</v>
      </c>
      <c r="B72" s="37">
        <v>5</v>
      </c>
      <c r="C72" s="37" t="s">
        <v>42</v>
      </c>
      <c r="D72" s="37" t="s">
        <v>36</v>
      </c>
      <c r="E72" s="37"/>
      <c r="F72" s="37">
        <v>1</v>
      </c>
      <c r="G72" s="38" t="s">
        <v>89</v>
      </c>
      <c r="H72" s="37">
        <v>7.7759999999999998</v>
      </c>
      <c r="I72" s="37">
        <v>1</v>
      </c>
      <c r="J72" s="37"/>
      <c r="K72" s="39">
        <v>189</v>
      </c>
      <c r="L72" s="39" t="s">
        <v>200</v>
      </c>
      <c r="M72" s="39">
        <v>2.0872606249999999</v>
      </c>
      <c r="N72" s="39">
        <v>1.4332626683329963</v>
      </c>
      <c r="O72" s="39">
        <v>1.3201028749999999</v>
      </c>
      <c r="P72" s="39">
        <v>-25.319691108139835</v>
      </c>
      <c r="Q72" s="37">
        <v>7.7759999999999998</v>
      </c>
      <c r="R72" s="40">
        <v>3.7583036388888882</v>
      </c>
      <c r="S72" s="40">
        <v>2.0716198484927761</v>
      </c>
      <c r="T72" s="40">
        <v>2.6898764166666664</v>
      </c>
      <c r="U72" s="40">
        <v>-25.568353824712908</v>
      </c>
      <c r="V72" s="40">
        <v>1.5536666666666668</v>
      </c>
      <c r="W72" s="40">
        <v>1.5536666666666668</v>
      </c>
      <c r="X72" s="41">
        <f t="shared" si="18"/>
        <v>1.1657759513266223E-2</v>
      </c>
      <c r="Y72" s="41">
        <f t="shared" si="19"/>
        <v>0.2657527419862567</v>
      </c>
      <c r="Z72" s="42">
        <f t="shared" si="20"/>
        <v>2.433278240775975E-2</v>
      </c>
      <c r="AA72" s="42">
        <f t="shared" si="21"/>
        <v>0.35082095873519065</v>
      </c>
      <c r="AB72" s="43">
        <f t="shared" si="22"/>
        <v>0.31292158446193097</v>
      </c>
      <c r="AC72" s="43">
        <f t="shared" si="23"/>
        <v>4.5115864034875344</v>
      </c>
      <c r="AD72" s="44">
        <f t="shared" si="24"/>
        <v>14.417626100306288</v>
      </c>
      <c r="AE72" s="45">
        <f t="shared" si="25"/>
        <v>1.3416428198402202</v>
      </c>
      <c r="AF72" s="45">
        <f t="shared" si="26"/>
        <v>-25.781337283426929</v>
      </c>
    </row>
    <row r="73" spans="1:32" ht="18" x14ac:dyDescent="0.25">
      <c r="A73" s="37">
        <v>52</v>
      </c>
      <c r="B73" s="37">
        <v>6</v>
      </c>
      <c r="C73" s="37" t="s">
        <v>42</v>
      </c>
      <c r="D73" s="37" t="s">
        <v>32</v>
      </c>
      <c r="E73" s="37"/>
      <c r="F73" s="37">
        <v>1</v>
      </c>
      <c r="G73" s="38" t="s">
        <v>90</v>
      </c>
      <c r="H73" s="37">
        <v>6.4539999999999997</v>
      </c>
      <c r="I73" s="37">
        <v>1</v>
      </c>
      <c r="J73" s="37"/>
      <c r="K73" s="46">
        <v>190</v>
      </c>
      <c r="L73" s="46" t="s">
        <v>201</v>
      </c>
      <c r="M73" s="46">
        <v>5.0864799999999999</v>
      </c>
      <c r="N73" s="46">
        <v>172.94804820555521</v>
      </c>
      <c r="O73" s="46">
        <v>4.6075390000000001</v>
      </c>
      <c r="P73" s="46">
        <v>-25.663855469005931</v>
      </c>
      <c r="Q73" s="37">
        <v>6.4539999999999997</v>
      </c>
      <c r="R73" s="40">
        <v>3.7583036388888882</v>
      </c>
      <c r="S73" s="40">
        <v>2.0716198484927761</v>
      </c>
      <c r="T73" s="40">
        <v>2.6898764166666664</v>
      </c>
      <c r="U73" s="40">
        <v>-25.568353824712908</v>
      </c>
      <c r="V73" s="40">
        <v>1.5536666666666668</v>
      </c>
      <c r="W73" s="40">
        <v>1.5536666666666668</v>
      </c>
      <c r="X73" s="41">
        <f t="shared" si="18"/>
        <v>1.1657759513266223E-2</v>
      </c>
      <c r="Y73" s="41">
        <f t="shared" si="19"/>
        <v>0.2657527419862567</v>
      </c>
      <c r="Z73" s="42">
        <f t="shared" si="20"/>
        <v>5.9296960609038378E-2</v>
      </c>
      <c r="AA73" s="42">
        <f t="shared" si="21"/>
        <v>1.2244661230586151</v>
      </c>
      <c r="AB73" s="43">
        <f t="shared" si="22"/>
        <v>0.91876294714964946</v>
      </c>
      <c r="AC73" s="43">
        <f t="shared" si="23"/>
        <v>18.972205191487685</v>
      </c>
      <c r="AD73" s="44">
        <f t="shared" si="24"/>
        <v>20.649728257268805</v>
      </c>
      <c r="AE73" s="45">
        <f t="shared" si="25"/>
        <v>172.85642835706244</v>
      </c>
      <c r="AF73" s="45">
        <f t="shared" si="26"/>
        <v>-26.125501644293024</v>
      </c>
    </row>
    <row r="74" spans="1:32" ht="18" x14ac:dyDescent="0.25">
      <c r="A74" s="37">
        <v>53</v>
      </c>
      <c r="B74" s="37">
        <v>6</v>
      </c>
      <c r="C74" s="37" t="s">
        <v>42</v>
      </c>
      <c r="D74" s="37" t="s">
        <v>34</v>
      </c>
      <c r="E74" s="37">
        <v>19.72111554</v>
      </c>
      <c r="F74" s="37">
        <v>1</v>
      </c>
      <c r="G74" s="38" t="s">
        <v>91</v>
      </c>
      <c r="H74" s="37">
        <v>6.6289999999999996</v>
      </c>
      <c r="I74" s="37">
        <v>1</v>
      </c>
      <c r="J74" s="37"/>
      <c r="K74" s="39">
        <v>191</v>
      </c>
      <c r="L74" s="39" t="s">
        <v>202</v>
      </c>
      <c r="M74" s="39">
        <v>3.9404935000000001</v>
      </c>
      <c r="N74" s="39">
        <v>94.781021791010318</v>
      </c>
      <c r="O74" s="39">
        <v>3.5030127499999999</v>
      </c>
      <c r="P74" s="39">
        <v>-25.18562188669625</v>
      </c>
      <c r="Q74" s="37">
        <v>6.6289999999999996</v>
      </c>
      <c r="R74" s="40">
        <v>3.7583036388888882</v>
      </c>
      <c r="S74" s="40">
        <v>2.0716198484927761</v>
      </c>
      <c r="T74" s="40">
        <v>2.6898764166666664</v>
      </c>
      <c r="U74" s="40">
        <v>-25.568353824712908</v>
      </c>
      <c r="V74" s="40">
        <v>1.5536666666666668</v>
      </c>
      <c r="W74" s="40">
        <v>1.5536666666666668</v>
      </c>
      <c r="X74" s="41">
        <f t="shared" si="18"/>
        <v>1.1657759513266223E-2</v>
      </c>
      <c r="Y74" s="41">
        <f t="shared" si="19"/>
        <v>0.2657527419862567</v>
      </c>
      <c r="Z74" s="42">
        <f t="shared" si="20"/>
        <v>4.5937325586588716E-2</v>
      </c>
      <c r="AA74" s="42">
        <f t="shared" si="21"/>
        <v>0.93093524352531754</v>
      </c>
      <c r="AB74" s="43">
        <f t="shared" si="22"/>
        <v>0.69297519364291316</v>
      </c>
      <c r="AC74" s="43">
        <f t="shared" si="23"/>
        <v>14.043373714365933</v>
      </c>
      <c r="AD74" s="44">
        <f t="shared" si="24"/>
        <v>20.265333944410155</v>
      </c>
      <c r="AE74" s="45">
        <f t="shared" si="25"/>
        <v>94.689401942517549</v>
      </c>
      <c r="AF74" s="45">
        <f t="shared" si="26"/>
        <v>-25.647268061983343</v>
      </c>
    </row>
    <row r="75" spans="1:32" ht="18" x14ac:dyDescent="0.25">
      <c r="A75" s="37">
        <v>54</v>
      </c>
      <c r="B75" s="37">
        <v>6</v>
      </c>
      <c r="C75" s="37" t="s">
        <v>42</v>
      </c>
      <c r="D75" s="37" t="s">
        <v>36</v>
      </c>
      <c r="E75" s="37"/>
      <c r="F75" s="37">
        <v>1</v>
      </c>
      <c r="G75" s="38" t="s">
        <v>92</v>
      </c>
      <c r="H75" s="37">
        <v>7.984</v>
      </c>
      <c r="I75" s="37">
        <v>1</v>
      </c>
      <c r="J75" s="37"/>
      <c r="K75" s="46">
        <v>192</v>
      </c>
      <c r="L75" s="46" t="s">
        <v>203</v>
      </c>
      <c r="M75" s="46">
        <v>3.8431612500000001</v>
      </c>
      <c r="N75" s="46">
        <v>-0.31800462973217147</v>
      </c>
      <c r="O75" s="46">
        <v>2.8942852499999998</v>
      </c>
      <c r="P75" s="46">
        <v>-26.156734751173392</v>
      </c>
      <c r="Q75" s="37">
        <v>7.984</v>
      </c>
      <c r="R75" s="40">
        <v>3.7583036388888882</v>
      </c>
      <c r="S75" s="40">
        <v>2.0716198484927761</v>
      </c>
      <c r="T75" s="40">
        <v>2.6898764166666664</v>
      </c>
      <c r="U75" s="40">
        <v>-25.568353824712908</v>
      </c>
      <c r="V75" s="40">
        <v>1.5536666666666668</v>
      </c>
      <c r="W75" s="40">
        <v>1.5536666666666668</v>
      </c>
      <c r="X75" s="41">
        <f t="shared" si="18"/>
        <v>1.1657759513266223E-2</v>
      </c>
      <c r="Y75" s="41">
        <f t="shared" si="19"/>
        <v>0.2657527419862567</v>
      </c>
      <c r="Z75" s="42">
        <f t="shared" si="20"/>
        <v>4.4802649623203614E-2</v>
      </c>
      <c r="AA75" s="42">
        <f t="shared" si="21"/>
        <v>0.76916424127787841</v>
      </c>
      <c r="AB75" s="43">
        <f t="shared" si="22"/>
        <v>0.56115543115234989</v>
      </c>
      <c r="AC75" s="43">
        <f t="shared" si="23"/>
        <v>9.6338206572880551</v>
      </c>
      <c r="AD75" s="44">
        <f t="shared" si="24"/>
        <v>17.167829308013129</v>
      </c>
      <c r="AE75" s="45">
        <f t="shared" si="25"/>
        <v>-0.40962447822494763</v>
      </c>
      <c r="AF75" s="45">
        <f t="shared" si="26"/>
        <v>-26.618380926460485</v>
      </c>
    </row>
    <row r="76" spans="1:32" ht="18" x14ac:dyDescent="0.25">
      <c r="A76" s="37"/>
      <c r="B76" s="37"/>
      <c r="C76" s="37"/>
      <c r="D76" s="37"/>
      <c r="E76" s="37"/>
      <c r="F76" s="37"/>
      <c r="G76" s="37"/>
      <c r="H76" s="37">
        <v>1.391</v>
      </c>
      <c r="I76" s="37"/>
      <c r="J76" s="37" t="s">
        <v>289</v>
      </c>
      <c r="K76" s="39">
        <v>193</v>
      </c>
      <c r="L76" s="39" t="s">
        <v>204</v>
      </c>
      <c r="M76" s="39">
        <v>3.3687817500000001</v>
      </c>
      <c r="N76" s="39">
        <v>1.9329106799142182</v>
      </c>
      <c r="O76" s="39">
        <v>2.4099439999999999</v>
      </c>
      <c r="P76" s="39">
        <v>-25.753604600186868</v>
      </c>
      <c r="Q76" s="37">
        <v>1.391</v>
      </c>
      <c r="R76" s="40">
        <v>3.7583036388888882</v>
      </c>
      <c r="S76" s="40">
        <v>2.0716198484927761</v>
      </c>
      <c r="T76" s="40">
        <v>2.6898764166666664</v>
      </c>
      <c r="U76" s="40">
        <v>-25.568353824712908</v>
      </c>
      <c r="V76" s="40">
        <v>1.5536666666666668</v>
      </c>
      <c r="W76" s="40">
        <v>1.5536666666666668</v>
      </c>
      <c r="X76" s="41">
        <f t="shared" si="18"/>
        <v>1.1657759513266223E-2</v>
      </c>
      <c r="Y76" s="41">
        <f t="shared" si="19"/>
        <v>0.2657527419862567</v>
      </c>
      <c r="Z76" s="42">
        <f t="shared" si="20"/>
        <v>3.9272447494180136E-2</v>
      </c>
      <c r="AA76" s="42">
        <f t="shared" si="21"/>
        <v>0.64044922603332743</v>
      </c>
      <c r="AB76" s="43">
        <f t="shared" si="22"/>
        <v>2.823324765936746</v>
      </c>
      <c r="AC76" s="43">
        <f t="shared" si="23"/>
        <v>46.042359887370765</v>
      </c>
      <c r="AD76" s="44">
        <f t="shared" si="24"/>
        <v>16.307851099125841</v>
      </c>
      <c r="AE76" s="45">
        <f t="shared" si="25"/>
        <v>1.841290831421442</v>
      </c>
      <c r="AF76" s="45">
        <f t="shared" si="26"/>
        <v>-26.215250775473962</v>
      </c>
    </row>
    <row r="77" spans="1:32" ht="18" x14ac:dyDescent="0.25">
      <c r="A77" s="37">
        <v>58</v>
      </c>
      <c r="B77" s="37">
        <v>2</v>
      </c>
      <c r="C77" s="37" t="s">
        <v>46</v>
      </c>
      <c r="D77" s="37" t="s">
        <v>32</v>
      </c>
      <c r="E77" s="37"/>
      <c r="F77" s="37">
        <v>1</v>
      </c>
      <c r="G77" s="38" t="s">
        <v>93</v>
      </c>
      <c r="H77" s="37">
        <v>6.9420000000000002</v>
      </c>
      <c r="I77" s="37">
        <v>1</v>
      </c>
      <c r="J77" s="37"/>
      <c r="K77" s="46">
        <v>194</v>
      </c>
      <c r="L77" s="46" t="s">
        <v>205</v>
      </c>
      <c r="M77" s="46">
        <v>6.4940045</v>
      </c>
      <c r="N77" s="46">
        <v>130.3393788097128</v>
      </c>
      <c r="O77" s="46">
        <v>5.1297674999999998</v>
      </c>
      <c r="P77" s="46">
        <v>-26.80558415747015</v>
      </c>
      <c r="Q77" s="37">
        <v>6.9420000000000002</v>
      </c>
      <c r="R77" s="40">
        <v>3.7583036388888882</v>
      </c>
      <c r="S77" s="40">
        <v>2.0716198484927761</v>
      </c>
      <c r="T77" s="40">
        <v>2.6898764166666664</v>
      </c>
      <c r="U77" s="40">
        <v>-25.568353824712908</v>
      </c>
      <c r="V77" s="40">
        <v>1.5536666666666668</v>
      </c>
      <c r="W77" s="40">
        <v>1.5536666666666668</v>
      </c>
      <c r="X77" s="41">
        <f t="shared" si="18"/>
        <v>1.1657759513266223E-2</v>
      </c>
      <c r="Y77" s="41">
        <f t="shared" si="19"/>
        <v>0.2657527419862567</v>
      </c>
      <c r="Z77" s="42">
        <f t="shared" si="20"/>
        <v>7.5705542739068668E-2</v>
      </c>
      <c r="AA77" s="42">
        <f t="shared" si="21"/>
        <v>1.3632497788769851</v>
      </c>
      <c r="AB77" s="43">
        <f t="shared" si="22"/>
        <v>1.0905436868203495</v>
      </c>
      <c r="AC77" s="43">
        <f t="shared" si="23"/>
        <v>19.637709289498488</v>
      </c>
      <c r="AD77" s="44">
        <f t="shared" si="24"/>
        <v>18.007265116315786</v>
      </c>
      <c r="AE77" s="45">
        <f t="shared" si="25"/>
        <v>130.24775896122003</v>
      </c>
      <c r="AF77" s="45">
        <f t="shared" si="26"/>
        <v>-27.267230332757244</v>
      </c>
    </row>
    <row r="78" spans="1:32" ht="18" x14ac:dyDescent="0.25">
      <c r="A78" s="37">
        <v>59</v>
      </c>
      <c r="B78" s="37">
        <v>2</v>
      </c>
      <c r="C78" s="37" t="s">
        <v>46</v>
      </c>
      <c r="D78" s="37" t="s">
        <v>34</v>
      </c>
      <c r="E78" s="37">
        <v>11.02204409</v>
      </c>
      <c r="F78" s="37">
        <v>1</v>
      </c>
      <c r="G78" s="38" t="s">
        <v>94</v>
      </c>
      <c r="H78" s="37">
        <v>7.6449999999999996</v>
      </c>
      <c r="I78" s="37">
        <v>1</v>
      </c>
      <c r="J78" s="37"/>
      <c r="K78" s="39">
        <v>195</v>
      </c>
      <c r="L78" s="39" t="s">
        <v>206</v>
      </c>
      <c r="M78" s="39">
        <v>1.96198725</v>
      </c>
      <c r="N78" s="39">
        <v>23.979624536371976</v>
      </c>
      <c r="O78" s="39">
        <v>1.349812375</v>
      </c>
      <c r="P78" s="39">
        <v>-25.238198212881873</v>
      </c>
      <c r="Q78" s="37">
        <v>7.6449999999999996</v>
      </c>
      <c r="R78" s="40">
        <v>3.7583036388888882</v>
      </c>
      <c r="S78" s="40">
        <v>2.0716198484927761</v>
      </c>
      <c r="T78" s="40">
        <v>2.6898764166666664</v>
      </c>
      <c r="U78" s="40">
        <v>-25.568353824712908</v>
      </c>
      <c r="V78" s="40">
        <v>1.5536666666666668</v>
      </c>
      <c r="W78" s="40">
        <v>1.5536666666666668</v>
      </c>
      <c r="X78" s="41">
        <f t="shared" si="18"/>
        <v>1.1657759513266223E-2</v>
      </c>
      <c r="Y78" s="41">
        <f t="shared" si="19"/>
        <v>0.2657527419862567</v>
      </c>
      <c r="Z78" s="42">
        <f t="shared" si="20"/>
        <v>2.2872375528594537E-2</v>
      </c>
      <c r="AA78" s="42">
        <f t="shared" si="21"/>
        <v>0.35871633982323137</v>
      </c>
      <c r="AB78" s="43">
        <f t="shared" si="22"/>
        <v>0.29918084406271467</v>
      </c>
      <c r="AC78" s="43">
        <f t="shared" si="23"/>
        <v>4.6921692586426609</v>
      </c>
      <c r="AD78" s="44">
        <f t="shared" si="24"/>
        <v>15.683387996789934</v>
      </c>
      <c r="AE78" s="45">
        <f t="shared" si="25"/>
        <v>23.888004687879199</v>
      </c>
      <c r="AF78" s="45">
        <f t="shared" si="26"/>
        <v>-25.699844388168966</v>
      </c>
    </row>
    <row r="79" spans="1:32" ht="18" x14ac:dyDescent="0.25">
      <c r="A79" s="37">
        <v>60</v>
      </c>
      <c r="B79" s="37">
        <v>2</v>
      </c>
      <c r="C79" s="37" t="s">
        <v>46</v>
      </c>
      <c r="D79" s="37" t="s">
        <v>36</v>
      </c>
      <c r="E79" s="37"/>
      <c r="F79" s="37">
        <v>1</v>
      </c>
      <c r="G79" s="38" t="s">
        <v>95</v>
      </c>
      <c r="H79" s="37">
        <v>7.9429999999999996</v>
      </c>
      <c r="I79" s="37">
        <v>1</v>
      </c>
      <c r="J79" s="37"/>
      <c r="K79" s="46">
        <v>196</v>
      </c>
      <c r="L79" s="46" t="s">
        <v>207</v>
      </c>
      <c r="M79" s="46">
        <v>3.138865</v>
      </c>
      <c r="N79" s="46">
        <v>0.25466163213852533</v>
      </c>
      <c r="O79" s="46">
        <v>1.9045205000000001</v>
      </c>
      <c r="P79" s="46">
        <v>-26.553156558362762</v>
      </c>
      <c r="Q79" s="37">
        <v>7.9429999999999996</v>
      </c>
      <c r="R79" s="40">
        <v>3.7583036388888882</v>
      </c>
      <c r="S79" s="40">
        <v>2.0716198484927761</v>
      </c>
      <c r="T79" s="40">
        <v>2.6898764166666664</v>
      </c>
      <c r="U79" s="40">
        <v>-25.568353824712908</v>
      </c>
      <c r="V79" s="40">
        <v>1.5536666666666668</v>
      </c>
      <c r="W79" s="40">
        <v>1.5536666666666668</v>
      </c>
      <c r="X79" s="41">
        <f t="shared" si="18"/>
        <v>1.1657759513266223E-2</v>
      </c>
      <c r="Y79" s="41">
        <f t="shared" si="19"/>
        <v>0.2657527419862567</v>
      </c>
      <c r="Z79" s="42">
        <f t="shared" si="20"/>
        <v>3.6592133314608387E-2</v>
      </c>
      <c r="AA79" s="42">
        <f t="shared" si="21"/>
        <v>0.50613154504403657</v>
      </c>
      <c r="AB79" s="43">
        <f t="shared" si="22"/>
        <v>0.46068404021916642</v>
      </c>
      <c r="AC79" s="43">
        <f t="shared" si="23"/>
        <v>6.37204513463473</v>
      </c>
      <c r="AD79" s="44">
        <f t="shared" si="24"/>
        <v>13.831703680473248</v>
      </c>
      <c r="AE79" s="45">
        <f t="shared" si="25"/>
        <v>0.16304178364574917</v>
      </c>
      <c r="AF79" s="45">
        <f t="shared" si="26"/>
        <v>-27.014802733649855</v>
      </c>
    </row>
    <row r="80" spans="1:32" ht="18" x14ac:dyDescent="0.25">
      <c r="A80" s="37">
        <v>61</v>
      </c>
      <c r="B80" s="37">
        <v>3</v>
      </c>
      <c r="C80" s="37" t="s">
        <v>46</v>
      </c>
      <c r="D80" s="37" t="s">
        <v>32</v>
      </c>
      <c r="E80" s="37"/>
      <c r="F80" s="37">
        <v>1</v>
      </c>
      <c r="G80" s="38" t="s">
        <v>96</v>
      </c>
      <c r="H80" s="37">
        <v>7.0049999999999999</v>
      </c>
      <c r="I80" s="37">
        <v>1</v>
      </c>
      <c r="J80" s="37"/>
      <c r="K80" s="39">
        <v>197</v>
      </c>
      <c r="L80" s="39" t="s">
        <v>208</v>
      </c>
      <c r="M80" s="39">
        <v>6.1324649999999998</v>
      </c>
      <c r="N80" s="39">
        <v>151.89867722329748</v>
      </c>
      <c r="O80" s="39">
        <v>4.8543855000000002</v>
      </c>
      <c r="P80" s="39">
        <v>-25.672369682569027</v>
      </c>
      <c r="Q80" s="37">
        <v>7.0049999999999999</v>
      </c>
      <c r="R80" s="40">
        <v>3.7583036388888882</v>
      </c>
      <c r="S80" s="40">
        <v>2.0716198484927761</v>
      </c>
      <c r="T80" s="40">
        <v>2.6898764166666664</v>
      </c>
      <c r="U80" s="40">
        <v>-25.568353824712908</v>
      </c>
      <c r="V80" s="40">
        <v>1.5536666666666668</v>
      </c>
      <c r="W80" s="40">
        <v>1.5536666666666668</v>
      </c>
      <c r="X80" s="41">
        <f t="shared" si="18"/>
        <v>1.1657759513266223E-2</v>
      </c>
      <c r="Y80" s="41">
        <f t="shared" si="19"/>
        <v>0.2657527419862567</v>
      </c>
      <c r="Z80" s="42">
        <f t="shared" si="20"/>
        <v>7.1490802193522149E-2</v>
      </c>
      <c r="AA80" s="42">
        <f t="shared" si="21"/>
        <v>1.2900662572833257</v>
      </c>
      <c r="AB80" s="43">
        <f t="shared" si="22"/>
        <v>1.0205681969096667</v>
      </c>
      <c r="AC80" s="43">
        <f t="shared" si="23"/>
        <v>18.416363415893301</v>
      </c>
      <c r="AD80" s="44">
        <f t="shared" si="24"/>
        <v>18.045206064287523</v>
      </c>
      <c r="AE80" s="45">
        <f t="shared" si="25"/>
        <v>151.80705737480471</v>
      </c>
      <c r="AF80" s="45">
        <f t="shared" si="26"/>
        <v>-26.13401585785612</v>
      </c>
    </row>
    <row r="81" spans="1:32" ht="18" x14ac:dyDescent="0.25">
      <c r="A81" s="37">
        <v>62</v>
      </c>
      <c r="B81" s="37">
        <v>3</v>
      </c>
      <c r="C81" s="37" t="s">
        <v>46</v>
      </c>
      <c r="D81" s="37" t="s">
        <v>34</v>
      </c>
      <c r="E81" s="37">
        <v>16.53386454</v>
      </c>
      <c r="F81" s="37">
        <v>1</v>
      </c>
      <c r="G81" s="38" t="s">
        <v>97</v>
      </c>
      <c r="H81" s="37">
        <v>8.0289999999999999</v>
      </c>
      <c r="I81" s="37">
        <v>1</v>
      </c>
      <c r="J81" s="37"/>
      <c r="K81" s="46">
        <v>198</v>
      </c>
      <c r="L81" s="46" t="s">
        <v>209</v>
      </c>
      <c r="M81" s="46">
        <v>3.6769094999999998</v>
      </c>
      <c r="N81" s="46">
        <v>48.372761448940238</v>
      </c>
      <c r="O81" s="46">
        <v>2.7671044999999999</v>
      </c>
      <c r="P81" s="46">
        <v>-25.927195552961088</v>
      </c>
      <c r="Q81" s="37">
        <v>8.0289999999999999</v>
      </c>
      <c r="R81" s="40">
        <v>3.7583036388888882</v>
      </c>
      <c r="S81" s="40">
        <v>2.0716198484927761</v>
      </c>
      <c r="T81" s="40">
        <v>2.6898764166666664</v>
      </c>
      <c r="U81" s="40">
        <v>-25.568353824712908</v>
      </c>
      <c r="V81" s="40">
        <v>1.5536666666666668</v>
      </c>
      <c r="W81" s="40">
        <v>1.5536666666666668</v>
      </c>
      <c r="X81" s="41">
        <f t="shared" si="18"/>
        <v>1.1657759513266223E-2</v>
      </c>
      <c r="Y81" s="41">
        <f t="shared" si="19"/>
        <v>0.2657527419862567</v>
      </c>
      <c r="Z81" s="42">
        <f t="shared" si="20"/>
        <v>4.2864526703043949E-2</v>
      </c>
      <c r="AA81" s="42">
        <f t="shared" si="21"/>
        <v>0.73536560823750985</v>
      </c>
      <c r="AB81" s="43">
        <f t="shared" si="22"/>
        <v>0.53387130032437347</v>
      </c>
      <c r="AC81" s="43">
        <f t="shared" si="23"/>
        <v>9.1588692021112212</v>
      </c>
      <c r="AD81" s="44">
        <f t="shared" si="24"/>
        <v>17.155575129336238</v>
      </c>
      <c r="AE81" s="45">
        <f t="shared" si="25"/>
        <v>48.281141600447462</v>
      </c>
      <c r="AF81" s="45">
        <f t="shared" si="26"/>
        <v>-26.388841728248181</v>
      </c>
    </row>
    <row r="82" spans="1:32" ht="18" x14ac:dyDescent="0.25">
      <c r="A82" s="37">
        <v>63</v>
      </c>
      <c r="B82" s="37">
        <v>3</v>
      </c>
      <c r="C82" s="37" t="s">
        <v>46</v>
      </c>
      <c r="D82" s="37" t="s">
        <v>36</v>
      </c>
      <c r="E82" s="37"/>
      <c r="F82" s="37">
        <v>1</v>
      </c>
      <c r="G82" s="38" t="s">
        <v>98</v>
      </c>
      <c r="H82" s="37">
        <v>7.6929999999999996</v>
      </c>
      <c r="I82" s="37">
        <v>1</v>
      </c>
      <c r="J82" s="37"/>
      <c r="K82" s="39">
        <v>199</v>
      </c>
      <c r="L82" s="39" t="s">
        <v>210</v>
      </c>
      <c r="M82" s="39">
        <v>2.0942810000000001</v>
      </c>
      <c r="N82" s="39">
        <v>0.53292597943952191</v>
      </c>
      <c r="O82" s="39">
        <v>1.311839875</v>
      </c>
      <c r="P82" s="39">
        <v>-25.541455090157328</v>
      </c>
      <c r="Q82" s="37">
        <v>7.6929999999999996</v>
      </c>
      <c r="R82" s="40">
        <v>3.7583036388888882</v>
      </c>
      <c r="S82" s="40">
        <v>2.0716198484927761</v>
      </c>
      <c r="T82" s="40">
        <v>2.6898764166666664</v>
      </c>
      <c r="U82" s="40">
        <v>-25.568353824712908</v>
      </c>
      <c r="V82" s="40">
        <v>1.5536666666666668</v>
      </c>
      <c r="W82" s="40">
        <v>1.5536666666666668</v>
      </c>
      <c r="X82" s="41">
        <f t="shared" si="18"/>
        <v>1.1657759513266223E-2</v>
      </c>
      <c r="Y82" s="41">
        <f t="shared" si="19"/>
        <v>0.2657527419862567</v>
      </c>
      <c r="Z82" s="42">
        <f t="shared" si="20"/>
        <v>2.44146242512027E-2</v>
      </c>
      <c r="AA82" s="42">
        <f t="shared" si="21"/>
        <v>0.34862504382815823</v>
      </c>
      <c r="AB82" s="43">
        <f t="shared" si="22"/>
        <v>0.31736155272588978</v>
      </c>
      <c r="AC82" s="43">
        <f t="shared" si="23"/>
        <v>4.5317177151716912</v>
      </c>
      <c r="AD82" s="44">
        <f t="shared" si="24"/>
        <v>14.279353236861077</v>
      </c>
      <c r="AE82" s="45">
        <f t="shared" si="25"/>
        <v>0.44130613094674576</v>
      </c>
      <c r="AF82" s="45">
        <f t="shared" si="26"/>
        <v>-26.003101265444421</v>
      </c>
    </row>
    <row r="83" spans="1:32" ht="18" x14ac:dyDescent="0.25">
      <c r="A83" s="37">
        <v>64</v>
      </c>
      <c r="B83" s="37">
        <v>4</v>
      </c>
      <c r="C83" s="37" t="s">
        <v>46</v>
      </c>
      <c r="D83" s="37" t="s">
        <v>32</v>
      </c>
      <c r="E83" s="37"/>
      <c r="F83" s="37">
        <v>1</v>
      </c>
      <c r="G83" s="38" t="s">
        <v>99</v>
      </c>
      <c r="H83" s="37">
        <v>6.4130000000000003</v>
      </c>
      <c r="I83" s="37">
        <v>1</v>
      </c>
      <c r="J83" s="37"/>
      <c r="K83" s="46">
        <v>200</v>
      </c>
      <c r="L83" s="46" t="s">
        <v>211</v>
      </c>
      <c r="M83" s="46">
        <v>5.5628184999999997</v>
      </c>
      <c r="N83" s="46">
        <v>69.571406669368301</v>
      </c>
      <c r="O83" s="46">
        <v>5.0882440000000004</v>
      </c>
      <c r="P83" s="46">
        <v>-27.305442755446144</v>
      </c>
      <c r="Q83" s="37">
        <v>6.4130000000000003</v>
      </c>
      <c r="R83" s="40">
        <v>3.7583036388888882</v>
      </c>
      <c r="S83" s="40">
        <v>2.0716198484927761</v>
      </c>
      <c r="T83" s="40">
        <v>2.6898764166666664</v>
      </c>
      <c r="U83" s="40">
        <v>-25.568353824712908</v>
      </c>
      <c r="V83" s="40">
        <v>1.5536666666666668</v>
      </c>
      <c r="W83" s="40">
        <v>1.5536666666666668</v>
      </c>
      <c r="X83" s="41">
        <f t="shared" si="18"/>
        <v>1.1657759513266223E-2</v>
      </c>
      <c r="Y83" s="41">
        <f t="shared" si="19"/>
        <v>0.2657527419862567</v>
      </c>
      <c r="Z83" s="42">
        <f t="shared" si="20"/>
        <v>6.4850000288948342E-2</v>
      </c>
      <c r="AA83" s="42">
        <f t="shared" si="21"/>
        <v>1.3522147948951189</v>
      </c>
      <c r="AB83" s="43">
        <f t="shared" si="22"/>
        <v>1.0112271992663082</v>
      </c>
      <c r="AC83" s="43">
        <f t="shared" si="23"/>
        <v>21.08552619515233</v>
      </c>
      <c r="AD83" s="44">
        <f t="shared" si="24"/>
        <v>20.851423112877946</v>
      </c>
      <c r="AE83" s="45">
        <f t="shared" si="25"/>
        <v>69.479786820875518</v>
      </c>
      <c r="AF83" s="45">
        <f t="shared" si="26"/>
        <v>-27.767088930733237</v>
      </c>
    </row>
    <row r="84" spans="1:32" ht="18" x14ac:dyDescent="0.25">
      <c r="A84" s="37">
        <v>65</v>
      </c>
      <c r="B84" s="37">
        <v>4</v>
      </c>
      <c r="C84" s="37" t="s">
        <v>46</v>
      </c>
      <c r="D84" s="37" t="s">
        <v>34</v>
      </c>
      <c r="E84" s="37">
        <v>17.131474099999998</v>
      </c>
      <c r="F84" s="37">
        <v>1</v>
      </c>
      <c r="G84" s="38" t="s">
        <v>100</v>
      </c>
      <c r="H84" s="37">
        <v>7.2290000000000001</v>
      </c>
      <c r="I84" s="37">
        <v>1</v>
      </c>
      <c r="J84" s="37"/>
      <c r="K84" s="39">
        <v>201</v>
      </c>
      <c r="L84" s="39" t="s">
        <v>212</v>
      </c>
      <c r="M84" s="39">
        <v>2.8306957499999998</v>
      </c>
      <c r="N84" s="39">
        <v>31.337588347759116</v>
      </c>
      <c r="O84" s="39">
        <v>1.9735473750000001</v>
      </c>
      <c r="P84" s="39">
        <v>-25.371678122307436</v>
      </c>
      <c r="Q84" s="37">
        <v>7.2290000000000001</v>
      </c>
      <c r="R84" s="40">
        <v>3.7583036388888882</v>
      </c>
      <c r="S84" s="40">
        <v>2.0716198484927761</v>
      </c>
      <c r="T84" s="40">
        <v>2.6898764166666664</v>
      </c>
      <c r="U84" s="40">
        <v>-25.568353824712908</v>
      </c>
      <c r="V84" s="40">
        <v>1.5536666666666668</v>
      </c>
      <c r="W84" s="40">
        <v>1.5536666666666668</v>
      </c>
      <c r="X84" s="41">
        <f t="shared" si="18"/>
        <v>1.1657759513266223E-2</v>
      </c>
      <c r="Y84" s="41">
        <f t="shared" si="19"/>
        <v>0.2657527419862567</v>
      </c>
      <c r="Z84" s="42">
        <f t="shared" si="20"/>
        <v>3.2999570308724767E-2</v>
      </c>
      <c r="AA84" s="42">
        <f t="shared" si="21"/>
        <v>0.52447562634602918</v>
      </c>
      <c r="AB84" s="43">
        <f t="shared" si="22"/>
        <v>0.45648873023550651</v>
      </c>
      <c r="AC84" s="43">
        <f t="shared" si="23"/>
        <v>7.2551615209023259</v>
      </c>
      <c r="AD84" s="44">
        <f t="shared" si="24"/>
        <v>15.893407745596097</v>
      </c>
      <c r="AE84" s="45">
        <f>N84+(1.98-S84)</f>
        <v>31.24596849926634</v>
      </c>
      <c r="AF84" s="45">
        <f>P84+(-26.03-U84)</f>
        <v>-25.83332429759453</v>
      </c>
    </row>
    <row r="85" spans="1:32" ht="18" x14ac:dyDescent="0.25">
      <c r="A85" s="37">
        <v>66</v>
      </c>
      <c r="B85" s="37">
        <v>4</v>
      </c>
      <c r="C85" s="37" t="s">
        <v>46</v>
      </c>
      <c r="D85" s="37" t="s">
        <v>36</v>
      </c>
      <c r="E85" s="37"/>
      <c r="F85" s="37">
        <v>1</v>
      </c>
      <c r="G85" s="38" t="s">
        <v>101</v>
      </c>
      <c r="H85" s="37">
        <v>8.3520000000000003</v>
      </c>
      <c r="I85" s="37">
        <v>1</v>
      </c>
      <c r="J85" s="37"/>
      <c r="K85" s="46">
        <v>202</v>
      </c>
      <c r="L85" s="46" t="s">
        <v>213</v>
      </c>
      <c r="M85" s="46">
        <v>1.2507321250000001</v>
      </c>
      <c r="N85" s="46">
        <v>2.9541844941294415</v>
      </c>
      <c r="O85" s="46">
        <v>0.68280656250000005</v>
      </c>
      <c r="P85" s="46">
        <v>-23.656805896938252</v>
      </c>
      <c r="Q85" s="37">
        <v>8.3520000000000003</v>
      </c>
      <c r="R85" s="40">
        <v>3.7583036388888882</v>
      </c>
      <c r="S85" s="40">
        <v>2.0716198484927761</v>
      </c>
      <c r="T85" s="40">
        <v>2.6898764166666664</v>
      </c>
      <c r="U85" s="40">
        <v>-25.568353824712908</v>
      </c>
      <c r="V85" s="40">
        <v>1.5536666666666668</v>
      </c>
      <c r="W85" s="40">
        <v>1.5536666666666668</v>
      </c>
      <c r="X85" s="41">
        <f t="shared" si="18"/>
        <v>1.1657759513266223E-2</v>
      </c>
      <c r="Y85" s="41">
        <f t="shared" si="19"/>
        <v>0.2657527419862567</v>
      </c>
      <c r="Z85" s="42">
        <f t="shared" si="20"/>
        <v>1.458073432876643E-2</v>
      </c>
      <c r="AA85" s="42">
        <f t="shared" si="21"/>
        <v>0.18145771623058538</v>
      </c>
      <c r="AB85" s="43">
        <f t="shared" si="22"/>
        <v>0.1745777577677973</v>
      </c>
      <c r="AC85" s="43">
        <f t="shared" si="23"/>
        <v>2.1726259127225256</v>
      </c>
      <c r="AD85" s="44">
        <f t="shared" si="24"/>
        <v>12.445032749316761</v>
      </c>
      <c r="AE85" s="45">
        <f>N85+(1.98-S85)</f>
        <v>2.8625646456366654</v>
      </c>
      <c r="AF85" s="45">
        <f>P85+(-26.03-U85)</f>
        <v>-24.118452072225345</v>
      </c>
    </row>
    <row r="86" spans="1:32" ht="18" x14ac:dyDescent="0.25">
      <c r="A86" s="37">
        <v>67</v>
      </c>
      <c r="B86" s="37">
        <v>5</v>
      </c>
      <c r="C86" s="37" t="s">
        <v>46</v>
      </c>
      <c r="D86" s="37" t="s">
        <v>32</v>
      </c>
      <c r="E86" s="37"/>
      <c r="F86" s="37">
        <v>1</v>
      </c>
      <c r="G86" s="38" t="s">
        <v>102</v>
      </c>
      <c r="H86" s="37">
        <v>6.3890000000000002</v>
      </c>
      <c r="I86" s="37">
        <v>1</v>
      </c>
      <c r="J86" s="37"/>
      <c r="K86" s="39">
        <v>203</v>
      </c>
      <c r="L86" s="39" t="s">
        <v>214</v>
      </c>
      <c r="M86" s="39">
        <v>3.3663875000000001</v>
      </c>
      <c r="N86" s="39">
        <v>385.69354405409655</v>
      </c>
      <c r="O86" s="39">
        <v>4.3592230000000001</v>
      </c>
      <c r="P86" s="39">
        <v>-22.367575740634951</v>
      </c>
      <c r="Q86" s="37">
        <v>6.3890000000000002</v>
      </c>
      <c r="R86" s="40">
        <v>3.7583036388888882</v>
      </c>
      <c r="S86" s="40">
        <v>2.0716198484927761</v>
      </c>
      <c r="T86" s="40">
        <v>2.6898764166666664</v>
      </c>
      <c r="U86" s="40">
        <v>-25.568353824712908</v>
      </c>
      <c r="V86" s="40">
        <v>1.5536666666666668</v>
      </c>
      <c r="W86" s="40">
        <v>1.5536666666666668</v>
      </c>
      <c r="X86" s="41">
        <f t="shared" si="18"/>
        <v>1.1657759513266223E-2</v>
      </c>
      <c r="Y86" s="41">
        <f t="shared" si="19"/>
        <v>0.2657527419862567</v>
      </c>
      <c r="Z86" s="42">
        <f t="shared" si="20"/>
        <v>3.9244535903465501E-2</v>
      </c>
      <c r="AA86" s="42">
        <f t="shared" si="21"/>
        <v>1.1584754651795559</v>
      </c>
      <c r="AB86" s="43">
        <f t="shared" si="22"/>
        <v>0.61425161846087806</v>
      </c>
      <c r="AC86" s="43">
        <f t="shared" si="23"/>
        <v>18.132344109869397</v>
      </c>
      <c r="AD86" s="44">
        <f t="shared" si="24"/>
        <v>29.519407950936078</v>
      </c>
      <c r="AE86" s="45">
        <f t="shared" ref="AE86:AE107" si="27">N86+(1.98-S86)</f>
        <v>385.60192420560378</v>
      </c>
      <c r="AF86" s="45">
        <f t="shared" ref="AF86:AF107" si="28">P86+(-26.03-U86)</f>
        <v>-22.829221915922044</v>
      </c>
    </row>
    <row r="87" spans="1:32" ht="18" x14ac:dyDescent="0.25">
      <c r="A87" s="37">
        <v>68</v>
      </c>
      <c r="B87" s="37">
        <v>5</v>
      </c>
      <c r="C87" s="37" t="s">
        <v>46</v>
      </c>
      <c r="D87" s="37" t="s">
        <v>34</v>
      </c>
      <c r="E87" s="37">
        <v>22.355289419999998</v>
      </c>
      <c r="F87" s="37">
        <v>1</v>
      </c>
      <c r="G87" s="38" t="s">
        <v>103</v>
      </c>
      <c r="H87" s="37">
        <v>6.242</v>
      </c>
      <c r="I87" s="37">
        <v>1</v>
      </c>
      <c r="J87" s="37"/>
      <c r="K87" s="46">
        <v>204</v>
      </c>
      <c r="L87" s="46" t="s">
        <v>215</v>
      </c>
      <c r="M87" s="46">
        <v>4.5750409999999997</v>
      </c>
      <c r="N87" s="46">
        <v>93.311219539316141</v>
      </c>
      <c r="O87" s="46">
        <v>3.7766567499999999</v>
      </c>
      <c r="P87" s="46">
        <v>-24.741897405510521</v>
      </c>
      <c r="Q87" s="37">
        <v>6.242</v>
      </c>
      <c r="R87" s="40">
        <v>3.7583036388888882</v>
      </c>
      <c r="S87" s="40">
        <v>2.0716198484927761</v>
      </c>
      <c r="T87" s="40">
        <v>2.6898764166666664</v>
      </c>
      <c r="U87" s="40">
        <v>-25.568353824712908</v>
      </c>
      <c r="V87" s="40">
        <v>1.5536666666666668</v>
      </c>
      <c r="W87" s="40">
        <v>1.5536666666666668</v>
      </c>
      <c r="X87" s="41">
        <f t="shared" si="18"/>
        <v>1.1657759513266223E-2</v>
      </c>
      <c r="Y87" s="41">
        <f t="shared" si="19"/>
        <v>0.2657527419862567</v>
      </c>
      <c r="Z87" s="42">
        <f t="shared" si="20"/>
        <v>5.3334727741333014E-2</v>
      </c>
      <c r="AA87" s="42">
        <f t="shared" si="21"/>
        <v>1.0036568868534048</v>
      </c>
      <c r="AB87" s="43">
        <f t="shared" si="22"/>
        <v>0.85444933901526765</v>
      </c>
      <c r="AC87" s="43">
        <f t="shared" si="23"/>
        <v>16.07909142668063</v>
      </c>
      <c r="AD87" s="44">
        <f t="shared" si="24"/>
        <v>18.818074627117614</v>
      </c>
      <c r="AE87" s="45">
        <f t="shared" si="27"/>
        <v>93.219599690823372</v>
      </c>
      <c r="AF87" s="45">
        <f t="shared" si="28"/>
        <v>-25.203543580797614</v>
      </c>
    </row>
    <row r="88" spans="1:32" ht="18" x14ac:dyDescent="0.25">
      <c r="A88" s="37">
        <v>69</v>
      </c>
      <c r="B88" s="37">
        <v>5</v>
      </c>
      <c r="C88" s="37" t="s">
        <v>46</v>
      </c>
      <c r="D88" s="37" t="s">
        <v>36</v>
      </c>
      <c r="E88" s="37"/>
      <c r="F88" s="37">
        <v>1</v>
      </c>
      <c r="G88" s="38" t="s">
        <v>104</v>
      </c>
      <c r="H88" s="37">
        <v>6.4169999999999998</v>
      </c>
      <c r="I88" s="37">
        <v>1</v>
      </c>
      <c r="J88" s="37"/>
      <c r="K88" s="39">
        <v>205</v>
      </c>
      <c r="L88" s="39" t="s">
        <v>216</v>
      </c>
      <c r="M88" s="39">
        <v>1.7342078750000001</v>
      </c>
      <c r="N88" s="39">
        <v>0.6490511777995811</v>
      </c>
      <c r="O88" s="39">
        <v>1.13824525</v>
      </c>
      <c r="P88" s="39">
        <v>-24.470056455814404</v>
      </c>
      <c r="Q88" s="37">
        <v>6.4169999999999998</v>
      </c>
      <c r="R88" s="40">
        <v>3.7583036388888882</v>
      </c>
      <c r="S88" s="40">
        <v>2.0716198484927761</v>
      </c>
      <c r="T88" s="40">
        <v>2.6898764166666664</v>
      </c>
      <c r="U88" s="40">
        <v>-25.568353824712908</v>
      </c>
      <c r="V88" s="40">
        <v>1.5536666666666668</v>
      </c>
      <c r="W88" s="40">
        <v>1.5536666666666668</v>
      </c>
      <c r="X88" s="41">
        <f t="shared" si="18"/>
        <v>1.1657759513266223E-2</v>
      </c>
      <c r="Y88" s="41">
        <f t="shared" si="19"/>
        <v>0.2657527419862567</v>
      </c>
      <c r="Z88" s="42">
        <f t="shared" si="20"/>
        <v>2.0216978352762451E-2</v>
      </c>
      <c r="AA88" s="42">
        <f t="shared" si="21"/>
        <v>0.30249179624033223</v>
      </c>
      <c r="AB88" s="43">
        <f t="shared" si="22"/>
        <v>0.3150534260988383</v>
      </c>
      <c r="AC88" s="43">
        <f t="shared" si="23"/>
        <v>4.7139129848890802</v>
      </c>
      <c r="AD88" s="44">
        <f t="shared" si="24"/>
        <v>14.962265426722372</v>
      </c>
      <c r="AE88" s="45">
        <f t="shared" si="27"/>
        <v>0.55743132930680495</v>
      </c>
      <c r="AF88" s="45">
        <f t="shared" si="28"/>
        <v>-24.931702631101498</v>
      </c>
    </row>
    <row r="89" spans="1:32" ht="18" x14ac:dyDescent="0.25">
      <c r="A89" s="37">
        <v>70</v>
      </c>
      <c r="B89" s="37">
        <v>6</v>
      </c>
      <c r="C89" s="37" t="s">
        <v>46</v>
      </c>
      <c r="D89" s="37" t="s">
        <v>32</v>
      </c>
      <c r="E89" s="37"/>
      <c r="F89" s="37">
        <v>1</v>
      </c>
      <c r="G89" s="38" t="s">
        <v>105</v>
      </c>
      <c r="H89" s="37">
        <v>6.0140000000000002</v>
      </c>
      <c r="I89" s="37">
        <v>1</v>
      </c>
      <c r="J89" s="37"/>
      <c r="K89" s="46">
        <v>206</v>
      </c>
      <c r="L89" s="46" t="s">
        <v>217</v>
      </c>
      <c r="M89" s="46">
        <v>3.5940660000000002</v>
      </c>
      <c r="N89" s="46">
        <v>223.44398821312052</v>
      </c>
      <c r="O89" s="46">
        <v>5.0650085000000002</v>
      </c>
      <c r="P89" s="46">
        <v>-25.419484103951003</v>
      </c>
      <c r="Q89" s="37">
        <v>6.0140000000000002</v>
      </c>
      <c r="R89" s="40">
        <v>3.7583036388888882</v>
      </c>
      <c r="S89" s="40">
        <v>2.0716198484927761</v>
      </c>
      <c r="T89" s="40">
        <v>2.6898764166666664</v>
      </c>
      <c r="U89" s="40">
        <v>-25.568353824712908</v>
      </c>
      <c r="V89" s="40">
        <v>1.5536666666666668</v>
      </c>
      <c r="W89" s="40">
        <v>1.5536666666666668</v>
      </c>
      <c r="X89" s="41">
        <f t="shared" si="18"/>
        <v>1.1657759513266223E-2</v>
      </c>
      <c r="Y89" s="41">
        <f t="shared" si="19"/>
        <v>0.2657527419862567</v>
      </c>
      <c r="Z89" s="42">
        <f t="shared" si="20"/>
        <v>4.1898757102806682E-2</v>
      </c>
      <c r="AA89" s="42">
        <f t="shared" si="21"/>
        <v>1.3460398970586971</v>
      </c>
      <c r="AB89" s="43">
        <f t="shared" si="22"/>
        <v>0.69668701534430788</v>
      </c>
      <c r="AC89" s="43">
        <f t="shared" si="23"/>
        <v>22.38177414464079</v>
      </c>
      <c r="AD89" s="44">
        <f t="shared" si="24"/>
        <v>32.126010176290634</v>
      </c>
      <c r="AE89" s="45">
        <f t="shared" si="27"/>
        <v>223.35236836462775</v>
      </c>
      <c r="AF89" s="45">
        <f t="shared" si="28"/>
        <v>-25.881130279238096</v>
      </c>
    </row>
    <row r="90" spans="1:32" ht="18" x14ac:dyDescent="0.25">
      <c r="A90" s="37">
        <v>71</v>
      </c>
      <c r="B90" s="37">
        <v>6</v>
      </c>
      <c r="C90" s="37" t="s">
        <v>46</v>
      </c>
      <c r="D90" s="37" t="s">
        <v>34</v>
      </c>
      <c r="E90" s="37">
        <v>13.6</v>
      </c>
      <c r="F90" s="37">
        <v>1</v>
      </c>
      <c r="G90" s="38" t="s">
        <v>106</v>
      </c>
      <c r="H90" s="37">
        <v>6.5910000000000002</v>
      </c>
      <c r="I90" s="37">
        <v>1</v>
      </c>
      <c r="J90" s="37"/>
      <c r="K90" s="39">
        <v>207</v>
      </c>
      <c r="L90" s="39" t="s">
        <v>218</v>
      </c>
      <c r="M90" s="39">
        <v>1.882141125</v>
      </c>
      <c r="N90" s="39">
        <v>63.877245128068161</v>
      </c>
      <c r="O90" s="39">
        <v>1.4508002499999999</v>
      </c>
      <c r="P90" s="39">
        <v>-24.628931039993628</v>
      </c>
      <c r="Q90" s="37">
        <v>6.5910000000000002</v>
      </c>
      <c r="R90" s="40">
        <v>3.7583036388888882</v>
      </c>
      <c r="S90" s="40">
        <v>2.0716198484927761</v>
      </c>
      <c r="T90" s="40">
        <v>2.6898764166666664</v>
      </c>
      <c r="U90" s="40">
        <v>-25.568353824712908</v>
      </c>
      <c r="V90" s="40">
        <v>1.5536666666666668</v>
      </c>
      <c r="W90" s="40">
        <v>1.5536666666666668</v>
      </c>
      <c r="X90" s="41">
        <f t="shared" si="18"/>
        <v>1.1657759513266223E-2</v>
      </c>
      <c r="Y90" s="41">
        <f t="shared" si="19"/>
        <v>0.2657527419862567</v>
      </c>
      <c r="Z90" s="42">
        <f t="shared" si="20"/>
        <v>2.194154860527834E-2</v>
      </c>
      <c r="AA90" s="42">
        <f t="shared" si="21"/>
        <v>0.38555414451184672</v>
      </c>
      <c r="AB90" s="43">
        <f t="shared" si="22"/>
        <v>0.33290166295369961</v>
      </c>
      <c r="AC90" s="43">
        <f t="shared" si="23"/>
        <v>5.8497063345751288</v>
      </c>
      <c r="AD90" s="44">
        <f t="shared" si="24"/>
        <v>17.57187477729336</v>
      </c>
      <c r="AE90" s="45">
        <f t="shared" si="27"/>
        <v>63.785625279575385</v>
      </c>
      <c r="AF90" s="45">
        <f t="shared" si="28"/>
        <v>-25.090577215280721</v>
      </c>
    </row>
    <row r="91" spans="1:32" ht="18" x14ac:dyDescent="0.25">
      <c r="A91" s="37">
        <v>72</v>
      </c>
      <c r="B91" s="37">
        <v>6</v>
      </c>
      <c r="C91" s="37" t="s">
        <v>46</v>
      </c>
      <c r="D91" s="37" t="s">
        <v>36</v>
      </c>
      <c r="E91" s="37"/>
      <c r="F91" s="37">
        <v>1</v>
      </c>
      <c r="G91" s="38" t="s">
        <v>107</v>
      </c>
      <c r="H91" s="37">
        <v>6.2560000000000002</v>
      </c>
      <c r="I91" s="37">
        <v>1</v>
      </c>
      <c r="J91" s="37"/>
      <c r="K91" s="46">
        <v>208</v>
      </c>
      <c r="L91" s="46" t="s">
        <v>219</v>
      </c>
      <c r="M91" s="46">
        <v>1.5177298749999999</v>
      </c>
      <c r="N91" s="46">
        <v>1.0459976507171702</v>
      </c>
      <c r="O91" s="46">
        <v>1.0087103125000001</v>
      </c>
      <c r="P91" s="46">
        <v>-24.93922294577207</v>
      </c>
      <c r="Q91" s="37">
        <v>6.2560000000000002</v>
      </c>
      <c r="R91" s="40">
        <v>3.7583036388888882</v>
      </c>
      <c r="S91" s="40">
        <v>2.0716198484927761</v>
      </c>
      <c r="T91" s="40">
        <v>2.6898764166666664</v>
      </c>
      <c r="U91" s="40">
        <v>-25.568353824712908</v>
      </c>
      <c r="V91" s="40">
        <v>1.5536666666666668</v>
      </c>
      <c r="W91" s="40">
        <v>1.5536666666666668</v>
      </c>
      <c r="X91" s="41">
        <f t="shared" si="18"/>
        <v>1.1657759513266223E-2</v>
      </c>
      <c r="Y91" s="41">
        <f t="shared" si="19"/>
        <v>0.2657527419862567</v>
      </c>
      <c r="Z91" s="42">
        <f t="shared" si="20"/>
        <v>1.7693329888849606E-2</v>
      </c>
      <c r="AA91" s="42">
        <f t="shared" si="21"/>
        <v>0.26806753141668888</v>
      </c>
      <c r="AB91" s="43">
        <f t="shared" si="22"/>
        <v>0.28282176932304354</v>
      </c>
      <c r="AC91" s="43">
        <f t="shared" si="23"/>
        <v>4.2849669344099883</v>
      </c>
      <c r="AD91" s="44">
        <f t="shared" si="24"/>
        <v>15.150767724374251</v>
      </c>
      <c r="AE91" s="45">
        <f t="shared" si="27"/>
        <v>0.95437780222439406</v>
      </c>
      <c r="AF91" s="45">
        <f t="shared" si="28"/>
        <v>-25.400869121059163</v>
      </c>
    </row>
    <row r="92" spans="1:32" ht="18" x14ac:dyDescent="0.25">
      <c r="A92" s="37"/>
      <c r="B92" s="37"/>
      <c r="C92" s="37"/>
      <c r="D92" s="37"/>
      <c r="E92" s="37"/>
      <c r="F92" s="37"/>
      <c r="G92" s="37"/>
      <c r="H92" s="37">
        <v>1.4930000000000001</v>
      </c>
      <c r="I92" s="37"/>
      <c r="J92" s="37" t="s">
        <v>289</v>
      </c>
      <c r="K92" s="39">
        <v>209</v>
      </c>
      <c r="L92" s="39" t="s">
        <v>220</v>
      </c>
      <c r="M92" s="39">
        <v>3.5962542499999999</v>
      </c>
      <c r="N92" s="39">
        <v>2.0528201590124722</v>
      </c>
      <c r="O92" s="39">
        <v>2.5769475000000002</v>
      </c>
      <c r="P92" s="39">
        <v>-25.801398103169028</v>
      </c>
      <c r="Q92" s="37">
        <v>1.4930000000000001</v>
      </c>
      <c r="R92" s="40">
        <v>3.7583036388888882</v>
      </c>
      <c r="S92" s="40">
        <v>2.0716198484927761</v>
      </c>
      <c r="T92" s="40">
        <v>2.6898764166666664</v>
      </c>
      <c r="U92" s="40">
        <v>-25.568353824712908</v>
      </c>
      <c r="V92" s="40">
        <v>1.5536666666666668</v>
      </c>
      <c r="W92" s="40">
        <v>1.5536666666666668</v>
      </c>
      <c r="X92" s="41">
        <f t="shared" si="18"/>
        <v>1.1657759513266223E-2</v>
      </c>
      <c r="Y92" s="41">
        <f t="shared" si="19"/>
        <v>0.2657527419862567</v>
      </c>
      <c r="Z92" s="42">
        <f t="shared" si="20"/>
        <v>4.1924267195061586E-2</v>
      </c>
      <c r="AA92" s="42">
        <f t="shared" si="21"/>
        <v>0.68483086407962934</v>
      </c>
      <c r="AB92" s="43">
        <f t="shared" si="22"/>
        <v>2.8080554048936093</v>
      </c>
      <c r="AC92" s="43">
        <f t="shared" si="23"/>
        <v>45.869448364342212</v>
      </c>
      <c r="AD92" s="44">
        <f t="shared" si="24"/>
        <v>16.334951327671579</v>
      </c>
      <c r="AE92" s="45">
        <f t="shared" si="27"/>
        <v>1.961200310519696</v>
      </c>
      <c r="AF92" s="45">
        <f t="shared" si="28"/>
        <v>-26.263044278456121</v>
      </c>
    </row>
    <row r="93" spans="1:32" ht="18" x14ac:dyDescent="0.25">
      <c r="A93" s="37">
        <v>76</v>
      </c>
      <c r="B93" s="37">
        <v>2</v>
      </c>
      <c r="C93" s="37" t="s">
        <v>50</v>
      </c>
      <c r="D93" s="37" t="s">
        <v>32</v>
      </c>
      <c r="E93" s="37"/>
      <c r="F93" s="37">
        <v>1</v>
      </c>
      <c r="G93" s="38" t="s">
        <v>108</v>
      </c>
      <c r="H93" s="37">
        <v>6.9059999999999997</v>
      </c>
      <c r="I93" s="37">
        <v>1</v>
      </c>
      <c r="J93" s="37"/>
      <c r="K93" s="46">
        <v>210</v>
      </c>
      <c r="L93" s="46" t="s">
        <v>221</v>
      </c>
      <c r="M93" s="46">
        <v>6.6931599999999998</v>
      </c>
      <c r="N93" s="46">
        <v>219.00921698559324</v>
      </c>
      <c r="O93" s="46">
        <v>5.6936720000000003</v>
      </c>
      <c r="P93" s="46">
        <v>-25.388357435140371</v>
      </c>
      <c r="Q93" s="37">
        <v>6.9059999999999997</v>
      </c>
      <c r="R93" s="40">
        <v>3.7583036388888882</v>
      </c>
      <c r="S93" s="40">
        <v>2.0716198484927761</v>
      </c>
      <c r="T93" s="40">
        <v>2.6898764166666664</v>
      </c>
      <c r="U93" s="40">
        <v>-25.568353824712908</v>
      </c>
      <c r="V93" s="40">
        <v>1.5536666666666668</v>
      </c>
      <c r="W93" s="40">
        <v>1.5536666666666668</v>
      </c>
      <c r="X93" s="41">
        <f t="shared" si="18"/>
        <v>1.1657759513266223E-2</v>
      </c>
      <c r="Y93" s="41">
        <f t="shared" si="19"/>
        <v>0.2657527419862567</v>
      </c>
      <c r="Z93" s="42">
        <f t="shared" si="20"/>
        <v>7.8027249663812956E-2</v>
      </c>
      <c r="AA93" s="42">
        <f t="shared" si="21"/>
        <v>1.5131089459703742</v>
      </c>
      <c r="AB93" s="43">
        <f t="shared" si="22"/>
        <v>1.1298472294209811</v>
      </c>
      <c r="AC93" s="43">
        <f t="shared" si="23"/>
        <v>21.910062930355839</v>
      </c>
      <c r="AD93" s="44">
        <f t="shared" si="24"/>
        <v>19.392057934756547</v>
      </c>
      <c r="AE93" s="45">
        <f t="shared" si="27"/>
        <v>218.91759713710047</v>
      </c>
      <c r="AF93" s="45">
        <f t="shared" si="28"/>
        <v>-25.850003610427464</v>
      </c>
    </row>
    <row r="94" spans="1:32" ht="18" x14ac:dyDescent="0.25">
      <c r="A94" s="37">
        <v>77</v>
      </c>
      <c r="B94" s="37">
        <v>2</v>
      </c>
      <c r="C94" s="37" t="s">
        <v>50</v>
      </c>
      <c r="D94" s="37" t="s">
        <v>34</v>
      </c>
      <c r="E94" s="37">
        <v>17.131474099999998</v>
      </c>
      <c r="F94" s="37">
        <v>1</v>
      </c>
      <c r="G94" s="38" t="s">
        <v>109</v>
      </c>
      <c r="H94" s="37">
        <v>8.3439999999999994</v>
      </c>
      <c r="I94" s="37">
        <v>1</v>
      </c>
      <c r="J94" s="37"/>
      <c r="K94" s="39">
        <v>211</v>
      </c>
      <c r="L94" s="39" t="s">
        <v>222</v>
      </c>
      <c r="M94" s="39">
        <v>3.1391507500000002</v>
      </c>
      <c r="N94" s="39">
        <v>59.93609315060786</v>
      </c>
      <c r="O94" s="39">
        <v>2.3720850000000002</v>
      </c>
      <c r="P94" s="39">
        <v>-25.240058732567977</v>
      </c>
      <c r="Q94" s="37">
        <v>8.3439999999999994</v>
      </c>
      <c r="R94" s="40">
        <v>3.7583036388888882</v>
      </c>
      <c r="S94" s="40">
        <v>2.0716198484927761</v>
      </c>
      <c r="T94" s="40">
        <v>2.6898764166666664</v>
      </c>
      <c r="U94" s="40">
        <v>-25.568353824712908</v>
      </c>
      <c r="V94" s="40">
        <v>1.5536666666666668</v>
      </c>
      <c r="W94" s="40">
        <v>1.5536666666666668</v>
      </c>
      <c r="X94" s="41">
        <f t="shared" si="18"/>
        <v>1.1657759513266223E-2</v>
      </c>
      <c r="Y94" s="41">
        <f t="shared" si="19"/>
        <v>0.2657527419862567</v>
      </c>
      <c r="Z94" s="42">
        <f t="shared" si="20"/>
        <v>3.6595464519389304E-2</v>
      </c>
      <c r="AA94" s="42">
        <f t="shared" si="21"/>
        <v>0.63038809297446974</v>
      </c>
      <c r="AB94" s="43">
        <f t="shared" si="22"/>
        <v>0.438584186473985</v>
      </c>
      <c r="AC94" s="43">
        <f t="shared" si="23"/>
        <v>7.554986732675812</v>
      </c>
      <c r="AD94" s="44">
        <f t="shared" si="24"/>
        <v>17.225853019039352</v>
      </c>
      <c r="AE94" s="45">
        <f t="shared" si="27"/>
        <v>59.844473302115084</v>
      </c>
      <c r="AF94" s="45">
        <f t="shared" si="28"/>
        <v>-25.701704907855071</v>
      </c>
    </row>
    <row r="95" spans="1:32" ht="18" x14ac:dyDescent="0.25">
      <c r="A95" s="37">
        <v>78</v>
      </c>
      <c r="B95" s="37">
        <v>2</v>
      </c>
      <c r="C95" s="37" t="s">
        <v>50</v>
      </c>
      <c r="D95" s="37" t="s">
        <v>36</v>
      </c>
      <c r="E95" s="37"/>
      <c r="F95" s="37">
        <v>1</v>
      </c>
      <c r="G95" s="38" t="s">
        <v>110</v>
      </c>
      <c r="H95" s="37">
        <v>6.6740000000000004</v>
      </c>
      <c r="I95" s="37">
        <v>1</v>
      </c>
      <c r="J95" s="37"/>
      <c r="K95" s="46">
        <v>212</v>
      </c>
      <c r="L95" s="46" t="s">
        <v>223</v>
      </c>
      <c r="M95" s="46">
        <v>1.9565833749999999</v>
      </c>
      <c r="N95" s="46">
        <v>1.4652943195268442</v>
      </c>
      <c r="O95" s="46">
        <v>1.2619393750000001</v>
      </c>
      <c r="P95" s="46">
        <v>-24.990032177800419</v>
      </c>
      <c r="Q95" s="37">
        <v>6.6740000000000004</v>
      </c>
      <c r="R95" s="40">
        <v>3.7583036388888882</v>
      </c>
      <c r="S95" s="40">
        <v>2.0716198484927761</v>
      </c>
      <c r="T95" s="40">
        <v>2.6898764166666664</v>
      </c>
      <c r="U95" s="40">
        <v>-25.568353824712908</v>
      </c>
      <c r="V95" s="40">
        <v>1.5536666666666668</v>
      </c>
      <c r="W95" s="40">
        <v>1.5536666666666668</v>
      </c>
      <c r="X95" s="41">
        <f t="shared" si="18"/>
        <v>1.1657759513266223E-2</v>
      </c>
      <c r="Y95" s="41">
        <f t="shared" si="19"/>
        <v>0.2657527419862567</v>
      </c>
      <c r="Z95" s="42">
        <f t="shared" si="20"/>
        <v>2.2809378453404784E-2</v>
      </c>
      <c r="AA95" s="42">
        <f t="shared" si="21"/>
        <v>0.33536384912667305</v>
      </c>
      <c r="AB95" s="43">
        <f t="shared" si="22"/>
        <v>0.34176473559192061</v>
      </c>
      <c r="AC95" s="43">
        <f t="shared" si="23"/>
        <v>5.0249303135551839</v>
      </c>
      <c r="AD95" s="44">
        <f t="shared" si="24"/>
        <v>14.702892926773849</v>
      </c>
      <c r="AE95" s="45">
        <f t="shared" si="27"/>
        <v>1.373674471034068</v>
      </c>
      <c r="AF95" s="45">
        <f t="shared" si="28"/>
        <v>-25.451678353087512</v>
      </c>
    </row>
    <row r="96" spans="1:32" ht="18" x14ac:dyDescent="0.25">
      <c r="A96" s="37">
        <v>79</v>
      </c>
      <c r="B96" s="37">
        <v>3</v>
      </c>
      <c r="C96" s="37" t="s">
        <v>50</v>
      </c>
      <c r="D96" s="37" t="s">
        <v>32</v>
      </c>
      <c r="E96" s="37"/>
      <c r="F96" s="37">
        <v>1</v>
      </c>
      <c r="G96" s="38" t="s">
        <v>111</v>
      </c>
      <c r="H96" s="37">
        <v>6.5720000000000001</v>
      </c>
      <c r="I96" s="37">
        <v>1</v>
      </c>
      <c r="J96" s="37"/>
      <c r="K96" s="39">
        <v>213</v>
      </c>
      <c r="L96" s="39" t="s">
        <v>224</v>
      </c>
      <c r="M96" s="39">
        <v>6.3847290000000001</v>
      </c>
      <c r="N96" s="39">
        <v>183.1716474948573</v>
      </c>
      <c r="O96" s="39">
        <v>6.3489614999999997</v>
      </c>
      <c r="P96" s="39">
        <v>-27.146024242577756</v>
      </c>
      <c r="Q96" s="37">
        <v>6.5720000000000001</v>
      </c>
      <c r="R96" s="40">
        <v>3.7583036388888882</v>
      </c>
      <c r="S96" s="40">
        <v>2.0716198484927761</v>
      </c>
      <c r="T96" s="40">
        <v>2.6898764166666664</v>
      </c>
      <c r="U96" s="40">
        <v>-25.568353824712908</v>
      </c>
      <c r="V96" s="40">
        <v>1.5536666666666668</v>
      </c>
      <c r="W96" s="40">
        <v>1.5536666666666668</v>
      </c>
      <c r="X96" s="41">
        <f t="shared" si="18"/>
        <v>1.1657759513266223E-2</v>
      </c>
      <c r="Y96" s="41">
        <f t="shared" si="19"/>
        <v>0.2657527419862567</v>
      </c>
      <c r="Z96" s="42">
        <f t="shared" si="20"/>
        <v>7.4431635239376737E-2</v>
      </c>
      <c r="AA96" s="42">
        <f t="shared" si="21"/>
        <v>1.6872539273901772</v>
      </c>
      <c r="AB96" s="43">
        <f t="shared" si="22"/>
        <v>1.1325568356569802</v>
      </c>
      <c r="AC96" s="43">
        <f t="shared" si="23"/>
        <v>25.673370775870008</v>
      </c>
      <c r="AD96" s="44">
        <f t="shared" si="24"/>
        <v>22.668505427347718</v>
      </c>
      <c r="AE96" s="45">
        <f t="shared" si="27"/>
        <v>183.08002764636453</v>
      </c>
      <c r="AF96" s="45">
        <f t="shared" si="28"/>
        <v>-27.607670417864849</v>
      </c>
    </row>
    <row r="97" spans="1:32" ht="18" x14ac:dyDescent="0.25">
      <c r="A97" s="37">
        <v>80</v>
      </c>
      <c r="B97" s="37">
        <v>3</v>
      </c>
      <c r="C97" s="37" t="s">
        <v>50</v>
      </c>
      <c r="D97" s="37" t="s">
        <v>34</v>
      </c>
      <c r="E97" s="37">
        <v>13.57285429</v>
      </c>
      <c r="F97" s="37">
        <v>1</v>
      </c>
      <c r="G97" s="38" t="s">
        <v>112</v>
      </c>
      <c r="H97" s="37">
        <v>7.6449999999999996</v>
      </c>
      <c r="I97" s="37">
        <v>1</v>
      </c>
      <c r="J97" s="37"/>
      <c r="K97" s="46">
        <v>214</v>
      </c>
      <c r="L97" s="46" t="s">
        <v>225</v>
      </c>
      <c r="M97" s="46">
        <v>2.1898537500000002</v>
      </c>
      <c r="N97" s="46">
        <v>22.405173518302096</v>
      </c>
      <c r="O97" s="46">
        <v>1.51085325</v>
      </c>
      <c r="P97" s="46">
        <v>-25.412233822166005</v>
      </c>
      <c r="Q97" s="37">
        <v>7.6449999999999996</v>
      </c>
      <c r="R97" s="40">
        <v>3.7583036388888882</v>
      </c>
      <c r="S97" s="40">
        <v>2.0716198484927761</v>
      </c>
      <c r="T97" s="40">
        <v>2.6898764166666664</v>
      </c>
      <c r="U97" s="40">
        <v>-25.568353824712908</v>
      </c>
      <c r="V97" s="40">
        <v>1.5536666666666668</v>
      </c>
      <c r="W97" s="40">
        <v>1.5536666666666668</v>
      </c>
      <c r="X97" s="41">
        <f t="shared" si="18"/>
        <v>1.1657759513266223E-2</v>
      </c>
      <c r="Y97" s="41">
        <f t="shared" si="19"/>
        <v>0.2657527419862567</v>
      </c>
      <c r="Z97" s="42">
        <f t="shared" si="20"/>
        <v>2.5528788386724215E-2</v>
      </c>
      <c r="AA97" s="42">
        <f t="shared" si="21"/>
        <v>0.40151339392634738</v>
      </c>
      <c r="AB97" s="43">
        <f t="shared" si="22"/>
        <v>0.33392790564714475</v>
      </c>
      <c r="AC97" s="43">
        <f t="shared" si="23"/>
        <v>5.2519737596644527</v>
      </c>
      <c r="AD97" s="44">
        <f t="shared" si="24"/>
        <v>15.727867215787928</v>
      </c>
      <c r="AE97" s="45">
        <f t="shared" si="27"/>
        <v>22.31355366980932</v>
      </c>
      <c r="AF97" s="45">
        <f t="shared" si="28"/>
        <v>-25.873879997453098</v>
      </c>
    </row>
    <row r="98" spans="1:32" ht="18" x14ac:dyDescent="0.25">
      <c r="A98" s="37">
        <v>81</v>
      </c>
      <c r="B98" s="37">
        <v>3</v>
      </c>
      <c r="C98" s="37" t="s">
        <v>50</v>
      </c>
      <c r="D98" s="37" t="s">
        <v>36</v>
      </c>
      <c r="E98" s="37"/>
      <c r="F98" s="37">
        <v>1</v>
      </c>
      <c r="G98" s="38" t="s">
        <v>113</v>
      </c>
      <c r="H98" s="37">
        <v>7.9050000000000002</v>
      </c>
      <c r="I98" s="37">
        <v>1</v>
      </c>
      <c r="J98" s="37"/>
      <c r="K98" s="39">
        <v>215</v>
      </c>
      <c r="L98" s="39" t="s">
        <v>226</v>
      </c>
      <c r="M98" s="39">
        <v>2.1266647500000002</v>
      </c>
      <c r="N98" s="39">
        <v>1.3973934684319289</v>
      </c>
      <c r="O98" s="39">
        <v>1.3016475000000001</v>
      </c>
      <c r="P98" s="39">
        <v>-24.96577424058469</v>
      </c>
      <c r="Q98" s="37">
        <v>7.9050000000000002</v>
      </c>
      <c r="R98" s="40">
        <v>3.7583036388888882</v>
      </c>
      <c r="S98" s="40">
        <v>2.0716198484927761</v>
      </c>
      <c r="T98" s="40">
        <v>2.6898764166666664</v>
      </c>
      <c r="U98" s="40">
        <v>-25.568353824712908</v>
      </c>
      <c r="V98" s="40">
        <v>1.5536666666666668</v>
      </c>
      <c r="W98" s="40">
        <v>1.5536666666666668</v>
      </c>
      <c r="X98" s="41">
        <f t="shared" si="18"/>
        <v>1.1657759513266223E-2</v>
      </c>
      <c r="Y98" s="41">
        <f t="shared" si="19"/>
        <v>0.2657527419862567</v>
      </c>
      <c r="Z98" s="42">
        <f t="shared" si="20"/>
        <v>2.4792146220840437E-2</v>
      </c>
      <c r="AA98" s="42">
        <f t="shared" si="21"/>
        <v>0.34591639222455611</v>
      </c>
      <c r="AB98" s="43">
        <f t="shared" si="22"/>
        <v>0.31362613815104917</v>
      </c>
      <c r="AC98" s="43">
        <f t="shared" si="23"/>
        <v>4.375918940222089</v>
      </c>
      <c r="AD98" s="44">
        <f t="shared" si="24"/>
        <v>13.952660215184459</v>
      </c>
      <c r="AE98" s="45">
        <f t="shared" si="27"/>
        <v>1.3057736199391528</v>
      </c>
      <c r="AF98" s="45">
        <f t="shared" si="28"/>
        <v>-25.427420415871783</v>
      </c>
    </row>
    <row r="99" spans="1:32" ht="18" x14ac:dyDescent="0.25">
      <c r="A99" s="37">
        <v>82</v>
      </c>
      <c r="B99" s="37">
        <v>4</v>
      </c>
      <c r="C99" s="37" t="s">
        <v>50</v>
      </c>
      <c r="D99" s="37" t="s">
        <v>32</v>
      </c>
      <c r="E99" s="37"/>
      <c r="F99" s="37">
        <v>1</v>
      </c>
      <c r="G99" s="38" t="s">
        <v>114</v>
      </c>
      <c r="H99" s="37">
        <v>6.4279999999999999</v>
      </c>
      <c r="I99" s="37">
        <v>1</v>
      </c>
      <c r="J99" s="37"/>
      <c r="K99" s="46">
        <v>216</v>
      </c>
      <c r="L99" s="46" t="s">
        <v>227</v>
      </c>
      <c r="M99" s="46">
        <v>5.8338000000000001</v>
      </c>
      <c r="N99" s="46">
        <v>83.485079276828174</v>
      </c>
      <c r="O99" s="46">
        <v>5.5485540000000002</v>
      </c>
      <c r="P99" s="46">
        <v>-27.782084039886723</v>
      </c>
      <c r="Q99" s="37">
        <v>6.4279999999999999</v>
      </c>
      <c r="R99" s="40">
        <v>3.7583036388888882</v>
      </c>
      <c r="S99" s="40">
        <v>2.0716198484927761</v>
      </c>
      <c r="T99" s="40">
        <v>2.6898764166666664</v>
      </c>
      <c r="U99" s="40">
        <v>-25.568353824712908</v>
      </c>
      <c r="V99" s="40">
        <v>1.5536666666666668</v>
      </c>
      <c r="W99" s="40">
        <v>1.5536666666666668</v>
      </c>
      <c r="X99" s="41">
        <f t="shared" si="18"/>
        <v>1.1657759513266223E-2</v>
      </c>
      <c r="Y99" s="41">
        <f t="shared" si="19"/>
        <v>0.2657527419862567</v>
      </c>
      <c r="Z99" s="42">
        <f t="shared" si="20"/>
        <v>6.8009037448492488E-2</v>
      </c>
      <c r="AA99" s="42">
        <f t="shared" si="21"/>
        <v>1.4745434395588126</v>
      </c>
      <c r="AB99" s="43">
        <f t="shared" si="22"/>
        <v>1.0580124058570706</v>
      </c>
      <c r="AC99" s="43">
        <f t="shared" si="23"/>
        <v>22.939381449265909</v>
      </c>
      <c r="AD99" s="44">
        <f t="shared" si="24"/>
        <v>21.681580785135754</v>
      </c>
      <c r="AE99" s="45">
        <f t="shared" si="27"/>
        <v>83.393459428335404</v>
      </c>
      <c r="AF99" s="45">
        <f t="shared" si="28"/>
        <v>-28.243730215173816</v>
      </c>
    </row>
    <row r="100" spans="1:32" ht="18" x14ac:dyDescent="0.25">
      <c r="A100" s="37">
        <v>83</v>
      </c>
      <c r="B100" s="37">
        <v>4</v>
      </c>
      <c r="C100" s="37" t="s">
        <v>50</v>
      </c>
      <c r="D100" s="37" t="s">
        <v>34</v>
      </c>
      <c r="E100" s="37">
        <v>26.946107779999998</v>
      </c>
      <c r="F100" s="37">
        <v>1</v>
      </c>
      <c r="G100" s="38" t="s">
        <v>115</v>
      </c>
      <c r="H100" s="37">
        <v>7.7290000000000001</v>
      </c>
      <c r="I100" s="37">
        <v>1</v>
      </c>
      <c r="J100" s="37"/>
      <c r="K100" s="39">
        <v>217</v>
      </c>
      <c r="L100" s="39" t="s">
        <v>228</v>
      </c>
      <c r="M100" s="39">
        <v>3.54545325</v>
      </c>
      <c r="N100" s="39">
        <v>65.65497526689596</v>
      </c>
      <c r="O100" s="39">
        <v>2.8535875000000002</v>
      </c>
      <c r="P100" s="39">
        <v>-24.83115888401678</v>
      </c>
      <c r="Q100" s="37">
        <v>7.7290000000000001</v>
      </c>
      <c r="R100" s="40">
        <v>3.7583036388888882</v>
      </c>
      <c r="S100" s="40">
        <v>2.0716198484927761</v>
      </c>
      <c r="T100" s="40">
        <v>2.6898764166666664</v>
      </c>
      <c r="U100" s="40">
        <v>-25.568353824712908</v>
      </c>
      <c r="V100" s="40">
        <v>1.5536666666666668</v>
      </c>
      <c r="W100" s="40">
        <v>1.5536666666666668</v>
      </c>
      <c r="X100" s="41">
        <f t="shared" si="18"/>
        <v>1.1657759513266223E-2</v>
      </c>
      <c r="Y100" s="41">
        <f t="shared" si="19"/>
        <v>0.2657527419862567</v>
      </c>
      <c r="Z100" s="42">
        <f t="shared" si="20"/>
        <v>4.1332041354028147E-2</v>
      </c>
      <c r="AA100" s="42">
        <f t="shared" si="21"/>
        <v>0.75834870262270737</v>
      </c>
      <c r="AB100" s="43">
        <f t="shared" si="22"/>
        <v>0.53476570518861621</v>
      </c>
      <c r="AC100" s="43">
        <f t="shared" si="23"/>
        <v>9.8117311763838444</v>
      </c>
      <c r="AD100" s="44">
        <f t="shared" si="24"/>
        <v>18.347719536209166</v>
      </c>
      <c r="AE100" s="45">
        <f t="shared" si="27"/>
        <v>65.563355418403177</v>
      </c>
      <c r="AF100" s="45">
        <f t="shared" si="28"/>
        <v>-25.292805059303873</v>
      </c>
    </row>
    <row r="101" spans="1:32" ht="18" x14ac:dyDescent="0.25">
      <c r="A101" s="37">
        <v>84</v>
      </c>
      <c r="B101" s="37">
        <v>4</v>
      </c>
      <c r="C101" s="37" t="s">
        <v>50</v>
      </c>
      <c r="D101" s="37" t="s">
        <v>36</v>
      </c>
      <c r="E101" s="37"/>
      <c r="F101" s="37">
        <v>1</v>
      </c>
      <c r="G101" s="38" t="s">
        <v>116</v>
      </c>
      <c r="H101" s="37">
        <v>6.6020000000000003</v>
      </c>
      <c r="I101" s="37">
        <v>1</v>
      </c>
      <c r="J101" s="37"/>
      <c r="K101" s="46">
        <v>218</v>
      </c>
      <c r="L101" s="46" t="s">
        <v>229</v>
      </c>
      <c r="M101" s="46">
        <v>2.016906375</v>
      </c>
      <c r="N101" s="46">
        <v>-1.6148015347089428E-2</v>
      </c>
      <c r="O101" s="46">
        <v>1.3710612499999999</v>
      </c>
      <c r="P101" s="46">
        <v>-25.475353625860695</v>
      </c>
      <c r="Q101" s="37">
        <v>6.6020000000000003</v>
      </c>
      <c r="R101" s="40">
        <v>3.7583036388888882</v>
      </c>
      <c r="S101" s="40">
        <v>2.0716198484927761</v>
      </c>
      <c r="T101" s="40">
        <v>2.6898764166666664</v>
      </c>
      <c r="U101" s="40">
        <v>-25.568353824712908</v>
      </c>
      <c r="V101" s="40">
        <v>1.5536666666666668</v>
      </c>
      <c r="W101" s="40">
        <v>1.5536666666666668</v>
      </c>
      <c r="X101" s="41">
        <f t="shared" si="18"/>
        <v>1.1657759513266223E-2</v>
      </c>
      <c r="Y101" s="41">
        <f t="shared" si="19"/>
        <v>0.2657527419862567</v>
      </c>
      <c r="Z101" s="42">
        <f t="shared" si="20"/>
        <v>2.3512609480523541E-2</v>
      </c>
      <c r="AA101" s="42">
        <f t="shared" si="21"/>
        <v>0.36436328661860456</v>
      </c>
      <c r="AB101" s="43">
        <f t="shared" si="22"/>
        <v>0.35614373645143205</v>
      </c>
      <c r="AC101" s="43">
        <f t="shared" si="23"/>
        <v>5.5189834386338168</v>
      </c>
      <c r="AD101" s="44">
        <f t="shared" si="24"/>
        <v>15.496505690719765</v>
      </c>
      <c r="AE101" s="45">
        <f t="shared" si="27"/>
        <v>-0.10776786383986559</v>
      </c>
      <c r="AF101" s="45">
        <f t="shared" si="28"/>
        <v>-25.936999801147788</v>
      </c>
    </row>
    <row r="102" spans="1:32" ht="18" x14ac:dyDescent="0.25">
      <c r="A102" s="37">
        <v>85</v>
      </c>
      <c r="B102" s="37">
        <v>5</v>
      </c>
      <c r="C102" s="37" t="s">
        <v>50</v>
      </c>
      <c r="D102" s="37" t="s">
        <v>32</v>
      </c>
      <c r="E102" s="37"/>
      <c r="F102" s="37">
        <v>1</v>
      </c>
      <c r="G102" s="38" t="s">
        <v>117</v>
      </c>
      <c r="H102" s="37">
        <v>6.4080000000000004</v>
      </c>
      <c r="I102" s="37">
        <v>1</v>
      </c>
      <c r="J102" s="37"/>
      <c r="K102" s="39">
        <v>219</v>
      </c>
      <c r="L102" s="39" t="s">
        <v>230</v>
      </c>
      <c r="M102" s="39">
        <v>5.1329079999999996</v>
      </c>
      <c r="N102" s="39">
        <v>286.33012186636751</v>
      </c>
      <c r="O102" s="39">
        <v>5.1948575000000003</v>
      </c>
      <c r="P102" s="39">
        <v>-24.031864005227884</v>
      </c>
      <c r="Q102" s="37">
        <v>6.4080000000000004</v>
      </c>
      <c r="R102" s="40">
        <v>3.7583036388888882</v>
      </c>
      <c r="S102" s="40">
        <v>2.0716198484927761</v>
      </c>
      <c r="T102" s="40">
        <v>2.6898764166666664</v>
      </c>
      <c r="U102" s="40">
        <v>-25.568353824712908</v>
      </c>
      <c r="V102" s="40">
        <v>1.5536666666666668</v>
      </c>
      <c r="W102" s="40">
        <v>1.5536666666666668</v>
      </c>
      <c r="X102" s="41">
        <f t="shared" si="18"/>
        <v>1.1657759513266223E-2</v>
      </c>
      <c r="Y102" s="41">
        <f t="shared" si="19"/>
        <v>0.2657527419862567</v>
      </c>
      <c r="Z102" s="42">
        <f t="shared" si="20"/>
        <v>5.9838207067720299E-2</v>
      </c>
      <c r="AA102" s="42">
        <f t="shared" si="21"/>
        <v>1.3805476248528705</v>
      </c>
      <c r="AB102" s="43">
        <f t="shared" si="22"/>
        <v>0.93380472952122806</v>
      </c>
      <c r="AC102" s="43">
        <f t="shared" si="23"/>
        <v>21.54412648022582</v>
      </c>
      <c r="AD102" s="44">
        <f t="shared" si="24"/>
        <v>23.07134007692564</v>
      </c>
      <c r="AE102" s="45">
        <f t="shared" si="27"/>
        <v>286.23850201787474</v>
      </c>
      <c r="AF102" s="45">
        <f t="shared" si="28"/>
        <v>-24.493510180514978</v>
      </c>
    </row>
    <row r="103" spans="1:32" ht="18" x14ac:dyDescent="0.25">
      <c r="A103" s="37">
        <v>86</v>
      </c>
      <c r="B103" s="37">
        <v>5</v>
      </c>
      <c r="C103" s="37" t="s">
        <v>50</v>
      </c>
      <c r="D103" s="37" t="s">
        <v>34</v>
      </c>
      <c r="E103" s="37">
        <v>30.33932136</v>
      </c>
      <c r="F103" s="37">
        <v>1</v>
      </c>
      <c r="G103" s="38" t="s">
        <v>118</v>
      </c>
      <c r="H103" s="37">
        <v>6.9740000000000002</v>
      </c>
      <c r="I103" s="37">
        <v>1</v>
      </c>
      <c r="J103" s="37"/>
      <c r="K103" s="46">
        <v>220</v>
      </c>
      <c r="L103" s="46" t="s">
        <v>231</v>
      </c>
      <c r="M103" s="46">
        <v>4.4807815</v>
      </c>
      <c r="N103" s="46">
        <v>114.97849959015025</v>
      </c>
      <c r="O103" s="46">
        <v>4.4845484999999998</v>
      </c>
      <c r="P103" s="46">
        <v>-24.88410698362722</v>
      </c>
      <c r="Q103" s="37">
        <v>6.9740000000000002</v>
      </c>
      <c r="R103" s="40">
        <v>3.7583036388888882</v>
      </c>
      <c r="S103" s="40">
        <v>2.0716198484927761</v>
      </c>
      <c r="T103" s="40">
        <v>2.6898764166666664</v>
      </c>
      <c r="U103" s="40">
        <v>-25.568353824712908</v>
      </c>
      <c r="V103" s="40">
        <v>1.5536666666666668</v>
      </c>
      <c r="W103" s="40">
        <v>1.5536666666666668</v>
      </c>
      <c r="X103" s="41">
        <f t="shared" si="18"/>
        <v>1.1657759513266223E-2</v>
      </c>
      <c r="Y103" s="41">
        <f t="shared" si="19"/>
        <v>0.2657527419862567</v>
      </c>
      <c r="Z103" s="42">
        <f t="shared" si="20"/>
        <v>5.2235873158492298E-2</v>
      </c>
      <c r="AA103" s="42">
        <f t="shared" si="21"/>
        <v>1.1917810604453545</v>
      </c>
      <c r="AB103" s="43">
        <f t="shared" si="22"/>
        <v>0.74900879206326776</v>
      </c>
      <c r="AC103" s="43">
        <f t="shared" si="23"/>
        <v>17.088916840340616</v>
      </c>
      <c r="AD103" s="44">
        <f t="shared" si="24"/>
        <v>22.815375495481682</v>
      </c>
      <c r="AE103" s="45">
        <f t="shared" si="27"/>
        <v>114.88687974165748</v>
      </c>
      <c r="AF103" s="45">
        <f t="shared" si="28"/>
        <v>-25.345753158914313</v>
      </c>
    </row>
    <row r="104" spans="1:32" ht="18" x14ac:dyDescent="0.25">
      <c r="A104" s="37">
        <v>87</v>
      </c>
      <c r="B104" s="37">
        <v>5</v>
      </c>
      <c r="C104" s="37" t="s">
        <v>50</v>
      </c>
      <c r="D104" s="37" t="s">
        <v>36</v>
      </c>
      <c r="E104" s="37"/>
      <c r="F104" s="37">
        <v>1</v>
      </c>
      <c r="G104" s="38" t="s">
        <v>119</v>
      </c>
      <c r="H104" s="37">
        <v>8.1539999999999999</v>
      </c>
      <c r="I104" s="37">
        <v>1</v>
      </c>
      <c r="J104" s="37"/>
      <c r="K104" s="39">
        <v>221</v>
      </c>
      <c r="L104" s="39" t="s">
        <v>232</v>
      </c>
      <c r="M104" s="39">
        <v>3.1538502500000001</v>
      </c>
      <c r="N104" s="39">
        <v>0.28937706963736154</v>
      </c>
      <c r="O104" s="39">
        <v>2.2368657500000002</v>
      </c>
      <c r="P104" s="39">
        <v>-26.114295578776737</v>
      </c>
      <c r="Q104" s="37">
        <v>8.1539999999999999</v>
      </c>
      <c r="R104" s="40">
        <v>3.7583036388888882</v>
      </c>
      <c r="S104" s="40">
        <v>2.0716198484927761</v>
      </c>
      <c r="T104" s="40">
        <v>2.6898764166666664</v>
      </c>
      <c r="U104" s="40">
        <v>-25.568353824712908</v>
      </c>
      <c r="V104" s="40">
        <v>1.5536666666666668</v>
      </c>
      <c r="W104" s="40">
        <v>1.5536666666666668</v>
      </c>
      <c r="X104" s="41">
        <f t="shared" si="18"/>
        <v>1.1657759513266223E-2</v>
      </c>
      <c r="Y104" s="41">
        <f t="shared" si="19"/>
        <v>0.2657527419862567</v>
      </c>
      <c r="Z104" s="42">
        <f t="shared" si="20"/>
        <v>3.6766827755354559E-2</v>
      </c>
      <c r="AA104" s="42">
        <f t="shared" si="21"/>
        <v>0.59445320651764466</v>
      </c>
      <c r="AB104" s="43">
        <f t="shared" si="22"/>
        <v>0.45090541765212849</v>
      </c>
      <c r="AC104" s="43">
        <f t="shared" si="23"/>
        <v>7.2903263001918654</v>
      </c>
      <c r="AD104" s="44">
        <f t="shared" si="24"/>
        <v>16.168194070837973</v>
      </c>
      <c r="AE104" s="45">
        <f t="shared" si="27"/>
        <v>0.19775722114458538</v>
      </c>
      <c r="AF104" s="45">
        <f t="shared" si="28"/>
        <v>-26.57594175406383</v>
      </c>
    </row>
    <row r="105" spans="1:32" ht="18" x14ac:dyDescent="0.25">
      <c r="A105" s="37">
        <v>88</v>
      </c>
      <c r="B105" s="37">
        <v>6</v>
      </c>
      <c r="C105" s="37" t="s">
        <v>50</v>
      </c>
      <c r="D105" s="37" t="s">
        <v>32</v>
      </c>
      <c r="E105" s="37"/>
      <c r="F105" s="37">
        <v>1</v>
      </c>
      <c r="G105" s="38" t="s">
        <v>120</v>
      </c>
      <c r="H105" s="37">
        <v>6.2830000000000004</v>
      </c>
      <c r="I105" s="37">
        <v>1</v>
      </c>
      <c r="J105" s="37"/>
      <c r="K105" s="46">
        <v>222</v>
      </c>
      <c r="L105" s="46" t="s">
        <v>233</v>
      </c>
      <c r="M105" s="46">
        <v>6.4569010000000002</v>
      </c>
      <c r="N105" s="46">
        <v>167.34268631832765</v>
      </c>
      <c r="O105" s="46">
        <v>6.4422560000000004</v>
      </c>
      <c r="P105" s="46">
        <v>-27.220441713849766</v>
      </c>
      <c r="Q105" s="37">
        <v>6.2830000000000004</v>
      </c>
      <c r="R105" s="40">
        <v>3.7583036388888882</v>
      </c>
      <c r="S105" s="40">
        <v>2.0716198484927761</v>
      </c>
      <c r="T105" s="40">
        <v>2.6898764166666664</v>
      </c>
      <c r="U105" s="40">
        <v>-25.568353824712908</v>
      </c>
      <c r="V105" s="40">
        <v>1.5536666666666668</v>
      </c>
      <c r="W105" s="40">
        <v>1.5536666666666668</v>
      </c>
      <c r="X105" s="41">
        <f t="shared" si="18"/>
        <v>1.1657759513266223E-2</v>
      </c>
      <c r="Y105" s="41">
        <f t="shared" si="19"/>
        <v>0.2657527419862567</v>
      </c>
      <c r="Z105" s="42">
        <f t="shared" si="20"/>
        <v>7.5272999058968199E-2</v>
      </c>
      <c r="AA105" s="42">
        <f t="shared" si="21"/>
        <v>1.7120471965774142</v>
      </c>
      <c r="AB105" s="43">
        <f t="shared" si="22"/>
        <v>1.1980423214860447</v>
      </c>
      <c r="AC105" s="43">
        <f t="shared" si="23"/>
        <v>27.248881053277323</v>
      </c>
      <c r="AD105" s="44">
        <f t="shared" si="24"/>
        <v>22.744506237040078</v>
      </c>
      <c r="AE105" s="45">
        <f t="shared" si="27"/>
        <v>167.25106646983488</v>
      </c>
      <c r="AF105" s="45">
        <f t="shared" si="28"/>
        <v>-27.682087889136859</v>
      </c>
    </row>
    <row r="106" spans="1:32" ht="18" x14ac:dyDescent="0.25">
      <c r="A106" s="37">
        <v>89</v>
      </c>
      <c r="B106" s="37">
        <v>6</v>
      </c>
      <c r="C106" s="37" t="s">
        <v>50</v>
      </c>
      <c r="D106" s="37" t="s">
        <v>34</v>
      </c>
      <c r="E106" s="37">
        <v>17</v>
      </c>
      <c r="F106" s="37">
        <v>1</v>
      </c>
      <c r="G106" s="38" t="s">
        <v>121</v>
      </c>
      <c r="H106" s="37">
        <v>8.5399999999999991</v>
      </c>
      <c r="I106" s="37">
        <v>1</v>
      </c>
      <c r="J106" s="37"/>
      <c r="K106" s="39">
        <v>223</v>
      </c>
      <c r="L106" s="39" t="s">
        <v>234</v>
      </c>
      <c r="M106" s="39">
        <v>3.9576495</v>
      </c>
      <c r="N106" s="39">
        <v>77.982625046675281</v>
      </c>
      <c r="O106" s="39">
        <v>3.2319485000000001</v>
      </c>
      <c r="P106" s="39">
        <v>-25.202789441214492</v>
      </c>
      <c r="Q106" s="37">
        <v>8.5399999999999991</v>
      </c>
      <c r="R106" s="40">
        <v>3.7583036388888882</v>
      </c>
      <c r="S106" s="40">
        <v>2.0716198484927761</v>
      </c>
      <c r="T106" s="40">
        <v>2.6898764166666664</v>
      </c>
      <c r="U106" s="40">
        <v>-25.568353824712908</v>
      </c>
      <c r="V106" s="40">
        <v>1.5536666666666668</v>
      </c>
      <c r="W106" s="40">
        <v>1.5536666666666668</v>
      </c>
      <c r="X106" s="41">
        <f t="shared" si="18"/>
        <v>1.1657759513266223E-2</v>
      </c>
      <c r="Y106" s="41">
        <f t="shared" si="19"/>
        <v>0.2657527419862567</v>
      </c>
      <c r="Z106" s="42">
        <f t="shared" si="20"/>
        <v>4.613732610879831E-2</v>
      </c>
      <c r="AA106" s="42">
        <f t="shared" si="21"/>
        <v>0.85889917583336939</v>
      </c>
      <c r="AB106" s="43">
        <f t="shared" si="22"/>
        <v>0.54024972024354001</v>
      </c>
      <c r="AC106" s="43">
        <f t="shared" si="23"/>
        <v>10.057367398517206</v>
      </c>
      <c r="AD106" s="44">
        <f t="shared" si="24"/>
        <v>18.616145500239096</v>
      </c>
      <c r="AE106" s="45">
        <f t="shared" si="27"/>
        <v>77.891005198182512</v>
      </c>
      <c r="AF106" s="45">
        <f t="shared" si="28"/>
        <v>-25.664435616501585</v>
      </c>
    </row>
    <row r="107" spans="1:32" ht="18" x14ac:dyDescent="0.25">
      <c r="A107" s="37">
        <v>90</v>
      </c>
      <c r="B107" s="37">
        <v>6</v>
      </c>
      <c r="C107" s="37" t="s">
        <v>50</v>
      </c>
      <c r="D107" s="37" t="s">
        <v>36</v>
      </c>
      <c r="E107" s="37"/>
      <c r="F107" s="37">
        <v>1</v>
      </c>
      <c r="G107" s="38" t="s">
        <v>122</v>
      </c>
      <c r="H107" s="37">
        <v>7.1829999999999998</v>
      </c>
      <c r="I107" s="37">
        <v>1</v>
      </c>
      <c r="J107" s="37"/>
      <c r="K107" s="46">
        <v>224</v>
      </c>
      <c r="L107" s="46" t="s">
        <v>235</v>
      </c>
      <c r="M107" s="46">
        <v>1.8011984999999999</v>
      </c>
      <c r="N107" s="46">
        <v>1.5469943977984095</v>
      </c>
      <c r="O107" s="46">
        <v>1.15503125</v>
      </c>
      <c r="P107" s="46">
        <v>-24.61723017727358</v>
      </c>
      <c r="Q107" s="37">
        <v>7.1829999999999998</v>
      </c>
      <c r="R107" s="40">
        <v>3.7583036388888882</v>
      </c>
      <c r="S107" s="40">
        <v>2.0716198484927761</v>
      </c>
      <c r="T107" s="40">
        <v>2.6898764166666664</v>
      </c>
      <c r="U107" s="40">
        <v>-25.568353824712908</v>
      </c>
      <c r="V107" s="40">
        <v>1.5536666666666668</v>
      </c>
      <c r="W107" s="40">
        <v>1.5536666666666668</v>
      </c>
      <c r="X107" s="41">
        <f t="shared" si="18"/>
        <v>1.1657759513266223E-2</v>
      </c>
      <c r="Y107" s="41">
        <f t="shared" si="19"/>
        <v>0.2657527419862567</v>
      </c>
      <c r="Z107" s="42">
        <f t="shared" si="20"/>
        <v>2.0997938948655849E-2</v>
      </c>
      <c r="AA107" s="42">
        <f t="shared" si="21"/>
        <v>0.30695272176731353</v>
      </c>
      <c r="AB107" s="43">
        <f t="shared" si="22"/>
        <v>0.29232826045741123</v>
      </c>
      <c r="AC107" s="43">
        <f t="shared" si="23"/>
        <v>4.2733220349062169</v>
      </c>
      <c r="AD107" s="44">
        <f t="shared" si="24"/>
        <v>14.618230985330236</v>
      </c>
      <c r="AE107" s="45">
        <f t="shared" si="27"/>
        <v>1.4553745493056334</v>
      </c>
      <c r="AF107" s="45">
        <f t="shared" si="28"/>
        <v>-25.078876352560673</v>
      </c>
    </row>
    <row r="108" spans="1:32" ht="18" x14ac:dyDescent="0.25">
      <c r="A108" s="37"/>
      <c r="B108" s="37"/>
      <c r="C108" s="37"/>
      <c r="D108" s="37"/>
      <c r="E108" s="37"/>
      <c r="F108" s="37"/>
      <c r="G108" s="37"/>
      <c r="H108" s="37">
        <v>1.4470000000000001</v>
      </c>
      <c r="I108" s="37"/>
      <c r="J108" s="37" t="s">
        <v>289</v>
      </c>
      <c r="K108" s="39">
        <v>225</v>
      </c>
      <c r="L108" s="39" t="s">
        <v>236</v>
      </c>
      <c r="M108" s="39">
        <v>3.4615534999999999</v>
      </c>
      <c r="N108" s="39">
        <v>2.0485413950689924</v>
      </c>
      <c r="O108" s="39">
        <v>2.47853425</v>
      </c>
      <c r="P108" s="39">
        <v>-25.815740857232218</v>
      </c>
      <c r="Q108" s="37">
        <v>1.4470000000000001</v>
      </c>
      <c r="R108" s="40">
        <v>3.7583036388888882</v>
      </c>
      <c r="S108" s="40">
        <v>2.0716198484927761</v>
      </c>
      <c r="T108" s="40">
        <v>2.6898764166666664</v>
      </c>
      <c r="U108" s="40">
        <v>-25.568353824712908</v>
      </c>
      <c r="V108" s="40">
        <v>1.5536666666666668</v>
      </c>
      <c r="W108" s="40">
        <v>1.5536666666666668</v>
      </c>
      <c r="X108" s="41">
        <f t="shared" si="9"/>
        <v>1.1657759513266223E-2</v>
      </c>
      <c r="Y108" s="41">
        <f t="shared" si="10"/>
        <v>0.2657527419862567</v>
      </c>
      <c r="Z108" s="42">
        <f t="shared" si="11"/>
        <v>4.0353958245304994E-2</v>
      </c>
      <c r="AA108" s="42">
        <f t="shared" si="12"/>
        <v>0.65867727304435031</v>
      </c>
      <c r="AB108" s="43">
        <f t="shared" si="13"/>
        <v>2.7888015373396677</v>
      </c>
      <c r="AC108" s="43">
        <f t="shared" si="14"/>
        <v>45.520198551786478</v>
      </c>
      <c r="AD108" s="44">
        <f t="shared" si="15"/>
        <v>16.322494785774442</v>
      </c>
      <c r="AE108" s="45">
        <f t="shared" si="16"/>
        <v>1.9569215465762162</v>
      </c>
      <c r="AF108" s="45">
        <f t="shared" si="17"/>
        <v>-26.277387032519311</v>
      </c>
    </row>
    <row r="109" spans="1:32" ht="18" x14ac:dyDescent="0.25">
      <c r="A109" s="37">
        <v>94</v>
      </c>
      <c r="B109" s="37">
        <v>2</v>
      </c>
      <c r="C109" s="37" t="s">
        <v>54</v>
      </c>
      <c r="D109" s="37" t="s">
        <v>32</v>
      </c>
      <c r="E109" s="37"/>
      <c r="F109" s="37">
        <v>1</v>
      </c>
      <c r="G109" s="38" t="s">
        <v>123</v>
      </c>
      <c r="H109" s="37">
        <v>6.181</v>
      </c>
      <c r="I109" s="37">
        <v>1</v>
      </c>
      <c r="J109" s="37"/>
      <c r="K109" s="46">
        <v>226</v>
      </c>
      <c r="L109" s="46" t="s">
        <v>237</v>
      </c>
      <c r="M109" s="46">
        <v>6.6735389999999999</v>
      </c>
      <c r="N109" s="46">
        <v>101.23331281509276</v>
      </c>
      <c r="O109" s="46">
        <v>5.9930005</v>
      </c>
      <c r="P109" s="46">
        <v>-27.415210904629394</v>
      </c>
      <c r="Q109" s="37">
        <v>6.181</v>
      </c>
      <c r="R109" s="40">
        <v>3.7583036388888882</v>
      </c>
      <c r="S109" s="40">
        <v>2.0716198484927761</v>
      </c>
      <c r="T109" s="40">
        <v>2.6898764166666664</v>
      </c>
      <c r="U109" s="40">
        <v>-25.568353824712908</v>
      </c>
      <c r="V109" s="40">
        <v>1.5536666666666668</v>
      </c>
      <c r="W109" s="40">
        <v>1.5536666666666668</v>
      </c>
      <c r="X109" s="41">
        <f t="shared" si="9"/>
        <v>1.1657759513266223E-2</v>
      </c>
      <c r="Y109" s="41">
        <f t="shared" si="10"/>
        <v>0.2657527419862567</v>
      </c>
      <c r="Z109" s="42">
        <f t="shared" si="11"/>
        <v>7.7798512764403152E-2</v>
      </c>
      <c r="AA109" s="42">
        <f t="shared" si="12"/>
        <v>1.5926563156000073</v>
      </c>
      <c r="AB109" s="43">
        <f t="shared" si="13"/>
        <v>1.2586719424753785</v>
      </c>
      <c r="AC109" s="43">
        <f t="shared" si="14"/>
        <v>25.766968380521071</v>
      </c>
      <c r="AD109" s="44">
        <f t="shared" si="15"/>
        <v>20.471552205927644</v>
      </c>
      <c r="AE109" s="45">
        <f t="shared" si="16"/>
        <v>101.14169296659998</v>
      </c>
      <c r="AF109" s="45">
        <f t="shared" si="17"/>
        <v>-27.876857079916487</v>
      </c>
    </row>
    <row r="110" spans="1:32" ht="18" x14ac:dyDescent="0.25">
      <c r="A110" s="37">
        <v>95</v>
      </c>
      <c r="B110" s="37">
        <v>2</v>
      </c>
      <c r="C110" s="37" t="s">
        <v>54</v>
      </c>
      <c r="D110" s="37" t="s">
        <v>34</v>
      </c>
      <c r="E110" s="37">
        <v>18.29025845</v>
      </c>
      <c r="F110" s="37">
        <v>1</v>
      </c>
      <c r="G110" s="38" t="s">
        <v>124</v>
      </c>
      <c r="H110" s="37">
        <v>6.1680000000000001</v>
      </c>
      <c r="I110" s="37">
        <v>1</v>
      </c>
      <c r="J110" s="37"/>
      <c r="K110" s="39">
        <v>227</v>
      </c>
      <c r="L110" s="39" t="s">
        <v>238</v>
      </c>
      <c r="M110" s="39">
        <v>2.7635887499999998</v>
      </c>
      <c r="N110" s="39">
        <v>74.311675779481945</v>
      </c>
      <c r="O110" s="39">
        <v>2.13282975</v>
      </c>
      <c r="P110" s="39">
        <v>-24.651912828064521</v>
      </c>
      <c r="Q110" s="37">
        <v>6.1680000000000001</v>
      </c>
      <c r="R110" s="40">
        <v>3.7583036388888882</v>
      </c>
      <c r="S110" s="40">
        <v>2.0716198484927761</v>
      </c>
      <c r="T110" s="40">
        <v>2.6898764166666664</v>
      </c>
      <c r="U110" s="40">
        <v>-25.568353824712908</v>
      </c>
      <c r="V110" s="40">
        <v>1.5536666666666668</v>
      </c>
      <c r="W110" s="40">
        <v>1.5536666666666668</v>
      </c>
      <c r="X110" s="41">
        <f t="shared" si="9"/>
        <v>1.1657759513266223E-2</v>
      </c>
      <c r="Y110" s="41">
        <f t="shared" si="10"/>
        <v>0.2657527419862567</v>
      </c>
      <c r="Z110" s="42">
        <f t="shared" si="11"/>
        <v>3.2217253041068004E-2</v>
      </c>
      <c r="AA110" s="42">
        <f t="shared" si="12"/>
        <v>0.56680535425236234</v>
      </c>
      <c r="AB110" s="43">
        <f t="shared" si="13"/>
        <v>0.52232900520538261</v>
      </c>
      <c r="AC110" s="43">
        <f t="shared" si="14"/>
        <v>9.1894512686829177</v>
      </c>
      <c r="AD110" s="44">
        <f t="shared" si="15"/>
        <v>17.593224150111237</v>
      </c>
      <c r="AE110" s="45">
        <f t="shared" si="16"/>
        <v>74.220055930989162</v>
      </c>
      <c r="AF110" s="45">
        <f t="shared" si="17"/>
        <v>-25.113559003351615</v>
      </c>
    </row>
    <row r="111" spans="1:32" ht="18" x14ac:dyDescent="0.25">
      <c r="A111" s="37">
        <v>96</v>
      </c>
      <c r="B111" s="37">
        <v>2</v>
      </c>
      <c r="C111" s="37" t="s">
        <v>54</v>
      </c>
      <c r="D111" s="37" t="s">
        <v>36</v>
      </c>
      <c r="E111" s="37"/>
      <c r="F111" s="37">
        <v>1</v>
      </c>
      <c r="G111" s="38" t="s">
        <v>125</v>
      </c>
      <c r="H111" s="37">
        <v>6.5519999999999996</v>
      </c>
      <c r="I111" s="37">
        <v>1</v>
      </c>
      <c r="J111" s="37"/>
      <c r="K111" s="48">
        <v>228</v>
      </c>
      <c r="L111" s="48" t="s">
        <v>239</v>
      </c>
      <c r="M111" s="48">
        <v>2.8945384999999999</v>
      </c>
      <c r="N111" s="48">
        <v>0.62474473457521384</v>
      </c>
      <c r="O111" s="48">
        <v>1.8147819999999999</v>
      </c>
      <c r="P111" s="48">
        <v>-25.339832324750134</v>
      </c>
      <c r="Q111" s="37">
        <v>6.5519999999999996</v>
      </c>
      <c r="R111" s="40">
        <v>3.7583036388888882</v>
      </c>
      <c r="S111" s="40">
        <v>2.0716198484927761</v>
      </c>
      <c r="T111" s="40">
        <v>2.6898764166666664</v>
      </c>
      <c r="U111" s="40">
        <v>-25.568353824712908</v>
      </c>
      <c r="V111" s="40">
        <v>1.5536666666666668</v>
      </c>
      <c r="W111" s="40">
        <v>1.5536666666666668</v>
      </c>
      <c r="X111" s="41">
        <f t="shared" si="9"/>
        <v>1.1657759513266223E-2</v>
      </c>
      <c r="Y111" s="41">
        <f t="shared" si="10"/>
        <v>0.2657527419862567</v>
      </c>
      <c r="Z111" s="42">
        <f t="shared" si="11"/>
        <v>3.3743833734890344E-2</v>
      </c>
      <c r="AA111" s="42">
        <f t="shared" si="12"/>
        <v>0.4822832926073029</v>
      </c>
      <c r="AB111" s="43">
        <f t="shared" si="13"/>
        <v>0.5150157773945413</v>
      </c>
      <c r="AC111" s="43">
        <f t="shared" si="14"/>
        <v>7.3608561142750757</v>
      </c>
      <c r="AD111" s="44">
        <f t="shared" si="15"/>
        <v>14.292486633154345</v>
      </c>
      <c r="AE111" s="45">
        <f t="shared" si="16"/>
        <v>0.53312488608243769</v>
      </c>
      <c r="AF111" s="45">
        <f t="shared" si="17"/>
        <v>-25.801478500037227</v>
      </c>
    </row>
    <row r="112" spans="1:32" ht="18" x14ac:dyDescent="0.25">
      <c r="A112" s="37">
        <v>97</v>
      </c>
      <c r="B112" s="37">
        <v>3</v>
      </c>
      <c r="C112" s="37" t="s">
        <v>54</v>
      </c>
      <c r="D112" s="37" t="s">
        <v>32</v>
      </c>
      <c r="E112" s="37"/>
      <c r="F112" s="37">
        <v>2</v>
      </c>
      <c r="G112" s="38" t="s">
        <v>33</v>
      </c>
      <c r="H112" s="37">
        <v>7.0720000000000001</v>
      </c>
      <c r="I112" s="37">
        <v>1</v>
      </c>
      <c r="J112" s="37"/>
      <c r="K112" s="49">
        <v>232</v>
      </c>
      <c r="L112" s="39" t="s">
        <v>240</v>
      </c>
      <c r="M112" s="39">
        <v>6.8166760000000002</v>
      </c>
      <c r="N112" s="39">
        <v>233.26156021239973</v>
      </c>
      <c r="O112" s="39">
        <v>5.5334764999999999</v>
      </c>
      <c r="P112" s="39">
        <v>-24.834220420400765</v>
      </c>
      <c r="Q112" s="37">
        <v>7.0720000000000001</v>
      </c>
      <c r="R112" s="40">
        <v>3.7583036388888882</v>
      </c>
      <c r="S112" s="40">
        <v>2.0716198484927761</v>
      </c>
      <c r="T112" s="40">
        <v>2.6898764166666664</v>
      </c>
      <c r="U112" s="40">
        <v>-25.568353824712908</v>
      </c>
      <c r="V112" s="40">
        <v>1.5536666666666668</v>
      </c>
      <c r="W112" s="40">
        <v>1.5536666666666668</v>
      </c>
      <c r="X112" s="41">
        <f t="shared" si="9"/>
        <v>1.1657759513266223E-2</v>
      </c>
      <c r="Y112" s="41">
        <f t="shared" si="10"/>
        <v>0.2657527419862567</v>
      </c>
      <c r="Z112" s="42">
        <f t="shared" si="11"/>
        <v>7.9467169487853553E-2</v>
      </c>
      <c r="AA112" s="42">
        <f t="shared" si="12"/>
        <v>1.4705365525915148</v>
      </c>
      <c r="AB112" s="43">
        <f t="shared" si="13"/>
        <v>1.1236873513553953</v>
      </c>
      <c r="AC112" s="43">
        <f t="shared" si="14"/>
        <v>20.79378609433703</v>
      </c>
      <c r="AD112" s="44">
        <f t="shared" si="15"/>
        <v>18.504956978696519</v>
      </c>
      <c r="AE112" s="45">
        <f t="shared" si="16"/>
        <v>233.16994036390696</v>
      </c>
      <c r="AF112" s="45">
        <f t="shared" si="17"/>
        <v>-25.295866595687858</v>
      </c>
    </row>
    <row r="113" spans="1:32" ht="18" x14ac:dyDescent="0.25">
      <c r="A113" s="37">
        <v>98</v>
      </c>
      <c r="B113" s="37">
        <v>3</v>
      </c>
      <c r="C113" s="37" t="s">
        <v>54</v>
      </c>
      <c r="D113" s="37" t="s">
        <v>34</v>
      </c>
      <c r="E113" s="37">
        <v>17.169811320000001</v>
      </c>
      <c r="F113" s="37">
        <v>2</v>
      </c>
      <c r="G113" s="38" t="s">
        <v>35</v>
      </c>
      <c r="H113" s="37">
        <v>8.1440000000000001</v>
      </c>
      <c r="I113" s="37">
        <v>1</v>
      </c>
      <c r="J113" s="37"/>
      <c r="K113" s="46">
        <v>233</v>
      </c>
      <c r="L113" s="46" t="s">
        <v>241</v>
      </c>
      <c r="M113" s="46">
        <v>2.1597257500000002</v>
      </c>
      <c r="N113" s="46">
        <v>40.009545046231864</v>
      </c>
      <c r="O113" s="46">
        <v>1.558115125</v>
      </c>
      <c r="P113" s="46">
        <v>-24.950478739189624</v>
      </c>
      <c r="Q113" s="37">
        <v>8.1440000000000001</v>
      </c>
      <c r="R113" s="40">
        <v>3.7583036388888882</v>
      </c>
      <c r="S113" s="40">
        <v>2.0716198484927761</v>
      </c>
      <c r="T113" s="40">
        <v>2.6898764166666664</v>
      </c>
      <c r="U113" s="40">
        <v>-25.568353824712908</v>
      </c>
      <c r="V113" s="40">
        <v>1.5536666666666668</v>
      </c>
      <c r="W113" s="40">
        <v>1.5536666666666668</v>
      </c>
      <c r="X113" s="41">
        <f t="shared" si="9"/>
        <v>1.1657759513266223E-2</v>
      </c>
      <c r="Y113" s="41">
        <f t="shared" si="10"/>
        <v>0.2657527419862567</v>
      </c>
      <c r="Z113" s="42">
        <f t="shared" si="11"/>
        <v>2.517756340810853E-2</v>
      </c>
      <c r="AA113" s="42">
        <f t="shared" si="12"/>
        <v>0.41407336679900913</v>
      </c>
      <c r="AB113" s="43">
        <f t="shared" si="13"/>
        <v>0.30915475697579231</v>
      </c>
      <c r="AC113" s="43">
        <f t="shared" si="14"/>
        <v>5.0843979223846896</v>
      </c>
      <c r="AD113" s="44">
        <f t="shared" si="15"/>
        <v>16.446125468426196</v>
      </c>
      <c r="AE113" s="45">
        <f t="shared" si="16"/>
        <v>39.917925197739088</v>
      </c>
      <c r="AF113" s="45">
        <f t="shared" si="17"/>
        <v>-25.412124914476717</v>
      </c>
    </row>
    <row r="114" spans="1:32" ht="18" x14ac:dyDescent="0.25">
      <c r="A114" s="37">
        <v>99</v>
      </c>
      <c r="B114" s="37">
        <v>3</v>
      </c>
      <c r="C114" s="37" t="s">
        <v>54</v>
      </c>
      <c r="D114" s="37" t="s">
        <v>36</v>
      </c>
      <c r="E114" s="37"/>
      <c r="F114" s="37">
        <v>2</v>
      </c>
      <c r="G114" s="38" t="s">
        <v>37</v>
      </c>
      <c r="H114" s="37">
        <v>8.4979999999999993</v>
      </c>
      <c r="I114" s="37">
        <v>1</v>
      </c>
      <c r="J114" s="37"/>
      <c r="K114" s="39">
        <v>234</v>
      </c>
      <c r="L114" s="39" t="s">
        <v>242</v>
      </c>
      <c r="M114" s="39">
        <v>1.2179982499999999</v>
      </c>
      <c r="N114" s="39">
        <v>2.881039340369357</v>
      </c>
      <c r="O114" s="39">
        <v>0.67086831250000001</v>
      </c>
      <c r="P114" s="39">
        <v>-23.829580463509902</v>
      </c>
      <c r="Q114" s="37">
        <v>8.4979999999999993</v>
      </c>
      <c r="R114" s="40">
        <v>3.7583036388888882</v>
      </c>
      <c r="S114" s="40">
        <v>2.0716198484927761</v>
      </c>
      <c r="T114" s="40">
        <v>2.6898764166666664</v>
      </c>
      <c r="U114" s="40">
        <v>-25.568353824712908</v>
      </c>
      <c r="V114" s="40">
        <v>1.5536666666666668</v>
      </c>
      <c r="W114" s="40">
        <v>1.5536666666666668</v>
      </c>
      <c r="X114" s="41">
        <f t="shared" si="9"/>
        <v>1.1657759513266223E-2</v>
      </c>
      <c r="Y114" s="41">
        <f t="shared" si="10"/>
        <v>0.2657527419862567</v>
      </c>
      <c r="Z114" s="42">
        <f t="shared" si="11"/>
        <v>1.4199130686079111E-2</v>
      </c>
      <c r="AA114" s="42">
        <f t="shared" si="12"/>
        <v>0.17828509355856795</v>
      </c>
      <c r="AB114" s="43">
        <f t="shared" si="13"/>
        <v>0.16708791110942706</v>
      </c>
      <c r="AC114" s="43">
        <f t="shared" si="14"/>
        <v>2.0979653278249937</v>
      </c>
      <c r="AD114" s="44">
        <f t="shared" si="15"/>
        <v>12.556056951666726</v>
      </c>
      <c r="AE114" s="45">
        <f t="shared" si="16"/>
        <v>2.7894194918765809</v>
      </c>
      <c r="AF114" s="45">
        <f t="shared" si="17"/>
        <v>-24.291226638796996</v>
      </c>
    </row>
    <row r="115" spans="1:32" ht="18" x14ac:dyDescent="0.25">
      <c r="A115" s="37">
        <v>100</v>
      </c>
      <c r="B115" s="37">
        <v>4</v>
      </c>
      <c r="C115" s="37" t="s">
        <v>54</v>
      </c>
      <c r="D115" s="37" t="s">
        <v>32</v>
      </c>
      <c r="E115" s="37"/>
      <c r="F115" s="37">
        <v>2</v>
      </c>
      <c r="G115" s="38" t="s">
        <v>39</v>
      </c>
      <c r="H115" s="37">
        <v>6.1180000000000003</v>
      </c>
      <c r="I115" s="37">
        <v>1</v>
      </c>
      <c r="J115" s="37"/>
      <c r="K115" s="46">
        <v>235</v>
      </c>
      <c r="L115" s="46" t="s">
        <v>243</v>
      </c>
      <c r="M115" s="46">
        <v>5.3152565000000003</v>
      </c>
      <c r="N115" s="46">
        <v>160.65253045535647</v>
      </c>
      <c r="O115" s="46">
        <v>6.3092005000000002</v>
      </c>
      <c r="P115" s="46">
        <v>-26.93514142040258</v>
      </c>
      <c r="Q115" s="37">
        <v>6.1180000000000003</v>
      </c>
      <c r="R115" s="40">
        <v>3.7583036388888882</v>
      </c>
      <c r="S115" s="40">
        <v>2.0716198484927761</v>
      </c>
      <c r="T115" s="40">
        <v>2.6898764166666664</v>
      </c>
      <c r="U115" s="40">
        <v>-25.568353824712908</v>
      </c>
      <c r="V115" s="40">
        <v>1.5536666666666668</v>
      </c>
      <c r="W115" s="40">
        <v>1.5536666666666668</v>
      </c>
      <c r="X115" s="41">
        <f t="shared" si="9"/>
        <v>1.1657759513266223E-2</v>
      </c>
      <c r="Y115" s="41">
        <f t="shared" si="10"/>
        <v>0.2657527419862567</v>
      </c>
      <c r="Z115" s="42">
        <f t="shared" si="11"/>
        <v>6.1963982028325135E-2</v>
      </c>
      <c r="AA115" s="42">
        <f t="shared" si="12"/>
        <v>1.6766873326160618</v>
      </c>
      <c r="AB115" s="43">
        <f t="shared" si="13"/>
        <v>1.0128143515581094</v>
      </c>
      <c r="AC115" s="43">
        <f t="shared" si="14"/>
        <v>27.405807986532555</v>
      </c>
      <c r="AD115" s="44">
        <f t="shared" si="15"/>
        <v>27.059063632314821</v>
      </c>
      <c r="AE115" s="45">
        <f t="shared" si="16"/>
        <v>160.5609106068637</v>
      </c>
      <c r="AF115" s="45">
        <f t="shared" si="17"/>
        <v>-27.396787595689673</v>
      </c>
    </row>
    <row r="116" spans="1:32" ht="18" x14ac:dyDescent="0.25">
      <c r="A116" s="37">
        <v>101</v>
      </c>
      <c r="B116" s="37">
        <v>4</v>
      </c>
      <c r="C116" s="37" t="s">
        <v>54</v>
      </c>
      <c r="D116" s="37" t="s">
        <v>34</v>
      </c>
      <c r="E116" s="37">
        <v>20.95808383</v>
      </c>
      <c r="F116" s="37">
        <v>2</v>
      </c>
      <c r="G116" s="38" t="s">
        <v>40</v>
      </c>
      <c r="H116" s="37">
        <v>7.7629999999999999</v>
      </c>
      <c r="I116" s="37">
        <v>1</v>
      </c>
      <c r="J116" s="37"/>
      <c r="K116" s="39">
        <v>236</v>
      </c>
      <c r="L116" s="39" t="s">
        <v>244</v>
      </c>
      <c r="M116" s="39">
        <v>3.6728727499999998</v>
      </c>
      <c r="N116" s="39">
        <v>88.657008177082915</v>
      </c>
      <c r="O116" s="39">
        <v>2.98193325</v>
      </c>
      <c r="P116" s="39">
        <v>-25.599416537754244</v>
      </c>
      <c r="Q116" s="37">
        <v>7.7629999999999999</v>
      </c>
      <c r="R116" s="40">
        <v>3.7583036388888882</v>
      </c>
      <c r="S116" s="40">
        <v>2.0716198484927761</v>
      </c>
      <c r="T116" s="40">
        <v>2.6898764166666664</v>
      </c>
      <c r="U116" s="40">
        <v>-25.568353824712908</v>
      </c>
      <c r="V116" s="40">
        <v>1.5536666666666668</v>
      </c>
      <c r="W116" s="40">
        <v>1.5536666666666668</v>
      </c>
      <c r="X116" s="41">
        <f t="shared" si="9"/>
        <v>1.1657759513266223E-2</v>
      </c>
      <c r="Y116" s="41">
        <f t="shared" si="10"/>
        <v>0.2657527419862567</v>
      </c>
      <c r="Z116" s="42">
        <f t="shared" si="11"/>
        <v>4.2817467242328773E-2</v>
      </c>
      <c r="AA116" s="42">
        <f t="shared" si="12"/>
        <v>0.79245693760748992</v>
      </c>
      <c r="AB116" s="43">
        <f t="shared" si="13"/>
        <v>0.5515582537978716</v>
      </c>
      <c r="AC116" s="43">
        <f t="shared" si="14"/>
        <v>10.208127497198118</v>
      </c>
      <c r="AD116" s="44">
        <f t="shared" si="15"/>
        <v>18.507795734916279</v>
      </c>
      <c r="AE116" s="45">
        <f t="shared" si="16"/>
        <v>88.565388328590132</v>
      </c>
      <c r="AF116" s="45">
        <f t="shared" si="17"/>
        <v>-26.061062713041338</v>
      </c>
    </row>
    <row r="117" spans="1:32" ht="18" x14ac:dyDescent="0.25">
      <c r="A117" s="37">
        <v>102</v>
      </c>
      <c r="B117" s="37">
        <v>4</v>
      </c>
      <c r="C117" s="37" t="s">
        <v>54</v>
      </c>
      <c r="D117" s="37" t="s">
        <v>36</v>
      </c>
      <c r="E117" s="37"/>
      <c r="F117" s="37">
        <v>2</v>
      </c>
      <c r="G117" s="38" t="s">
        <v>41</v>
      </c>
      <c r="H117" s="37">
        <v>6.6479999999999997</v>
      </c>
      <c r="I117" s="37">
        <v>1</v>
      </c>
      <c r="J117" s="37"/>
      <c r="K117" s="46">
        <v>237</v>
      </c>
      <c r="L117" s="46" t="s">
        <v>245</v>
      </c>
      <c r="M117" s="46">
        <v>0.94077931250000002</v>
      </c>
      <c r="N117" s="46">
        <v>2.6404579276660041</v>
      </c>
      <c r="O117" s="46">
        <v>0.51549515624999998</v>
      </c>
      <c r="P117" s="46">
        <v>-22.371149219332434</v>
      </c>
      <c r="Q117" s="37">
        <v>6.6479999999999997</v>
      </c>
      <c r="R117" s="40">
        <v>3.7583036388888882</v>
      </c>
      <c r="S117" s="40">
        <v>2.0716198484927761</v>
      </c>
      <c r="T117" s="40">
        <v>2.6898764166666664</v>
      </c>
      <c r="U117" s="40">
        <v>-25.568353824712908</v>
      </c>
      <c r="V117" s="40">
        <v>1.5536666666666668</v>
      </c>
      <c r="W117" s="40">
        <v>1.5536666666666668</v>
      </c>
      <c r="X117" s="41">
        <f t="shared" si="9"/>
        <v>1.1657759513266223E-2</v>
      </c>
      <c r="Y117" s="41">
        <f t="shared" si="10"/>
        <v>0.2657527419862567</v>
      </c>
      <c r="Z117" s="42">
        <f t="shared" si="11"/>
        <v>1.0967378980180933E-2</v>
      </c>
      <c r="AA117" s="42">
        <f t="shared" si="12"/>
        <v>0.13699425125407133</v>
      </c>
      <c r="AB117" s="43">
        <f t="shared" si="13"/>
        <v>0.16497260800512836</v>
      </c>
      <c r="AC117" s="43">
        <f t="shared" si="14"/>
        <v>2.0606836831238167</v>
      </c>
      <c r="AD117" s="44">
        <f t="shared" si="15"/>
        <v>12.491065686854864</v>
      </c>
      <c r="AE117" s="45">
        <f t="shared" si="16"/>
        <v>2.5488380791732279</v>
      </c>
      <c r="AF117" s="45">
        <f t="shared" si="17"/>
        <v>-22.832795394619527</v>
      </c>
    </row>
    <row r="118" spans="1:32" ht="18" x14ac:dyDescent="0.25">
      <c r="A118" s="37">
        <v>103</v>
      </c>
      <c r="B118" s="37">
        <v>5</v>
      </c>
      <c r="C118" s="37" t="s">
        <v>54</v>
      </c>
      <c r="D118" s="37" t="s">
        <v>32</v>
      </c>
      <c r="E118" s="37"/>
      <c r="F118" s="37">
        <v>2</v>
      </c>
      <c r="G118" s="38" t="s">
        <v>43</v>
      </c>
      <c r="H118" s="37">
        <v>7.6859999999999999</v>
      </c>
      <c r="I118" s="37">
        <v>1</v>
      </c>
      <c r="J118" s="37"/>
      <c r="K118" s="39">
        <v>238</v>
      </c>
      <c r="L118" s="39" t="s">
        <v>246</v>
      </c>
      <c r="M118" s="39">
        <v>6.4346975000000004</v>
      </c>
      <c r="N118" s="39">
        <v>237.01427545351706</v>
      </c>
      <c r="O118" s="39">
        <v>5.9463844999999997</v>
      </c>
      <c r="P118" s="39">
        <v>-25.65108077786056</v>
      </c>
      <c r="Q118" s="37">
        <v>7.6859999999999999</v>
      </c>
      <c r="R118" s="40">
        <v>3.7583036388888882</v>
      </c>
      <c r="S118" s="40">
        <v>2.0716198484927761</v>
      </c>
      <c r="T118" s="40">
        <v>2.6898764166666664</v>
      </c>
      <c r="U118" s="40">
        <v>-25.568353824712908</v>
      </c>
      <c r="V118" s="40">
        <v>1.5536666666666668</v>
      </c>
      <c r="W118" s="40">
        <v>1.5536666666666668</v>
      </c>
      <c r="X118" s="41">
        <f t="shared" si="9"/>
        <v>1.1657759513266223E-2</v>
      </c>
      <c r="Y118" s="41">
        <f t="shared" si="10"/>
        <v>0.2657527419862567</v>
      </c>
      <c r="Z118" s="42">
        <f t="shared" si="11"/>
        <v>7.5014155995615381E-2</v>
      </c>
      <c r="AA118" s="42">
        <f t="shared" si="12"/>
        <v>1.5802679857795761</v>
      </c>
      <c r="AB118" s="43">
        <f t="shared" si="13"/>
        <v>0.97598433509778015</v>
      </c>
      <c r="AC118" s="43">
        <f t="shared" si="14"/>
        <v>20.560343296637733</v>
      </c>
      <c r="AD118" s="44">
        <f t="shared" si="15"/>
        <v>21.066263624587652</v>
      </c>
      <c r="AE118" s="45">
        <f t="shared" si="16"/>
        <v>236.92265560502429</v>
      </c>
      <c r="AF118" s="45">
        <f t="shared" si="17"/>
        <v>-26.112726953147654</v>
      </c>
    </row>
    <row r="119" spans="1:32" ht="18" x14ac:dyDescent="0.25">
      <c r="A119" s="37">
        <v>104</v>
      </c>
      <c r="B119" s="37">
        <v>5</v>
      </c>
      <c r="C119" s="37" t="s">
        <v>54</v>
      </c>
      <c r="D119" s="37" t="s">
        <v>34</v>
      </c>
      <c r="E119" s="37">
        <v>14.970059880000001</v>
      </c>
      <c r="F119" s="37">
        <v>2</v>
      </c>
      <c r="G119" s="38" t="s">
        <v>44</v>
      </c>
      <c r="H119" s="37">
        <v>8.0739999999999998</v>
      </c>
      <c r="I119" s="37">
        <v>1</v>
      </c>
      <c r="J119" s="37"/>
      <c r="K119" s="46">
        <v>239</v>
      </c>
      <c r="L119" s="46" t="s">
        <v>247</v>
      </c>
      <c r="M119" s="46">
        <v>3.3226285</v>
      </c>
      <c r="N119" s="46">
        <v>96.074538940536272</v>
      </c>
      <c r="O119" s="46">
        <v>2.5773437499999998</v>
      </c>
      <c r="P119" s="46">
        <v>-24.4111553854943</v>
      </c>
      <c r="Q119" s="37">
        <v>8.0739999999999998</v>
      </c>
      <c r="R119" s="40">
        <v>3.7583036388888882</v>
      </c>
      <c r="S119" s="40">
        <v>2.0716198484927761</v>
      </c>
      <c r="T119" s="40">
        <v>2.6898764166666664</v>
      </c>
      <c r="U119" s="40">
        <v>-25.568353824712908</v>
      </c>
      <c r="V119" s="40">
        <v>1.5536666666666668</v>
      </c>
      <c r="W119" s="40">
        <v>1.5536666666666668</v>
      </c>
      <c r="X119" s="41">
        <f t="shared" si="9"/>
        <v>1.1657759513266223E-2</v>
      </c>
      <c r="Y119" s="41">
        <f t="shared" si="10"/>
        <v>0.2657527419862567</v>
      </c>
      <c r="Z119" s="42">
        <f t="shared" si="11"/>
        <v>3.8734404004924478E-2</v>
      </c>
      <c r="AA119" s="42">
        <f t="shared" si="12"/>
        <v>0.68493616860364126</v>
      </c>
      <c r="AB119" s="43">
        <f t="shared" si="13"/>
        <v>0.47974243256037252</v>
      </c>
      <c r="AC119" s="43">
        <f t="shared" si="14"/>
        <v>8.4832322096066548</v>
      </c>
      <c r="AD119" s="44">
        <f t="shared" si="15"/>
        <v>17.68288905430331</v>
      </c>
      <c r="AE119" s="45">
        <f t="shared" si="16"/>
        <v>95.982919092043488</v>
      </c>
      <c r="AF119" s="45">
        <f t="shared" si="17"/>
        <v>-24.872801560781394</v>
      </c>
    </row>
    <row r="120" spans="1:32" ht="18" x14ac:dyDescent="0.25">
      <c r="A120" s="37">
        <v>105</v>
      </c>
      <c r="B120" s="37">
        <v>5</v>
      </c>
      <c r="C120" s="37" t="s">
        <v>54</v>
      </c>
      <c r="D120" s="37" t="s">
        <v>36</v>
      </c>
      <c r="E120" s="37"/>
      <c r="F120" s="37">
        <v>2</v>
      </c>
      <c r="G120" s="38" t="s">
        <v>45</v>
      </c>
      <c r="H120" s="37">
        <v>6.0650000000000004</v>
      </c>
      <c r="I120" s="37">
        <v>1</v>
      </c>
      <c r="J120" s="37"/>
      <c r="K120" s="39">
        <v>240</v>
      </c>
      <c r="L120" s="39" t="s">
        <v>248</v>
      </c>
      <c r="M120" s="39">
        <v>2.2570312499999998</v>
      </c>
      <c r="N120" s="39">
        <v>0.50096676682659935</v>
      </c>
      <c r="O120" s="39">
        <v>1.3825341250000001</v>
      </c>
      <c r="P120" s="39">
        <v>-25.67010072332571</v>
      </c>
      <c r="Q120" s="37">
        <v>6.0650000000000004</v>
      </c>
      <c r="R120" s="40">
        <v>3.7583036388888882</v>
      </c>
      <c r="S120" s="40">
        <v>2.0716198484927761</v>
      </c>
      <c r="T120" s="40">
        <v>2.6898764166666664</v>
      </c>
      <c r="U120" s="40">
        <v>-25.568353824712908</v>
      </c>
      <c r="V120" s="40">
        <v>1.5536666666666668</v>
      </c>
      <c r="W120" s="40">
        <v>1.5536666666666668</v>
      </c>
      <c r="X120" s="41">
        <f t="shared" si="9"/>
        <v>1.1657759513266223E-2</v>
      </c>
      <c r="Y120" s="41">
        <f t="shared" si="10"/>
        <v>0.2657527419862567</v>
      </c>
      <c r="Z120" s="42">
        <f t="shared" si="11"/>
        <v>2.6311927526426655E-2</v>
      </c>
      <c r="AA120" s="42">
        <f t="shared" si="12"/>
        <v>0.36741223460832018</v>
      </c>
      <c r="AB120" s="43">
        <f t="shared" si="13"/>
        <v>0.43383227578609485</v>
      </c>
      <c r="AC120" s="43">
        <f t="shared" si="14"/>
        <v>6.0579098863696643</v>
      </c>
      <c r="AD120" s="44">
        <f t="shared" si="15"/>
        <v>13.963714145963117</v>
      </c>
      <c r="AE120" s="45">
        <f t="shared" si="16"/>
        <v>0.4093469183338232</v>
      </c>
      <c r="AF120" s="45">
        <f t="shared" si="17"/>
        <v>-26.131746898612803</v>
      </c>
    </row>
    <row r="121" spans="1:32" ht="18" x14ac:dyDescent="0.25">
      <c r="A121" s="37">
        <v>106</v>
      </c>
      <c r="B121" s="37">
        <v>6</v>
      </c>
      <c r="C121" s="37" t="s">
        <v>54</v>
      </c>
      <c r="D121" s="37" t="s">
        <v>32</v>
      </c>
      <c r="E121" s="37"/>
      <c r="F121" s="37">
        <v>2</v>
      </c>
      <c r="G121" s="38" t="s">
        <v>47</v>
      </c>
      <c r="H121" s="37">
        <v>6.1189999999999998</v>
      </c>
      <c r="I121" s="37">
        <v>1</v>
      </c>
      <c r="J121" s="37"/>
      <c r="K121" s="46">
        <v>241</v>
      </c>
      <c r="L121" s="46" t="s">
        <v>249</v>
      </c>
      <c r="M121" s="46">
        <v>5.8764380000000003</v>
      </c>
      <c r="N121" s="46">
        <v>339.18862745381358</v>
      </c>
      <c r="O121" s="46">
        <v>6.5307605000000004</v>
      </c>
      <c r="P121" s="46">
        <v>-24.075226288604632</v>
      </c>
      <c r="Q121" s="37">
        <v>6.1189999999999998</v>
      </c>
      <c r="R121" s="40">
        <v>3.7583036388888882</v>
      </c>
      <c r="S121" s="40">
        <v>2.0716198484927761</v>
      </c>
      <c r="T121" s="40">
        <v>2.6898764166666664</v>
      </c>
      <c r="U121" s="40">
        <v>-25.568353824712908</v>
      </c>
      <c r="V121" s="40">
        <v>1.5536666666666668</v>
      </c>
      <c r="W121" s="40">
        <v>1.5536666666666668</v>
      </c>
      <c r="X121" s="41">
        <f t="shared" si="9"/>
        <v>1.1657759513266223E-2</v>
      </c>
      <c r="Y121" s="41">
        <f t="shared" si="10"/>
        <v>0.2657527419862567</v>
      </c>
      <c r="Z121" s="42">
        <f t="shared" si="11"/>
        <v>6.8506100998619146E-2</v>
      </c>
      <c r="AA121" s="42">
        <f t="shared" si="12"/>
        <v>1.735567510130537</v>
      </c>
      <c r="AB121" s="43">
        <f t="shared" si="13"/>
        <v>1.1195636705118344</v>
      </c>
      <c r="AC121" s="43">
        <f t="shared" si="14"/>
        <v>28.363580815991781</v>
      </c>
      <c r="AD121" s="44">
        <f t="shared" si="15"/>
        <v>25.334495538806394</v>
      </c>
      <c r="AE121" s="45">
        <f t="shared" si="16"/>
        <v>339.09700760532081</v>
      </c>
      <c r="AF121" s="45">
        <f t="shared" si="17"/>
        <v>-24.536872463891726</v>
      </c>
    </row>
    <row r="122" spans="1:32" ht="18" x14ac:dyDescent="0.25">
      <c r="A122" s="37">
        <v>107</v>
      </c>
      <c r="B122" s="37">
        <v>6</v>
      </c>
      <c r="C122" s="37" t="s">
        <v>54</v>
      </c>
      <c r="D122" s="37" t="s">
        <v>34</v>
      </c>
      <c r="E122" s="37">
        <v>18.399999999999999</v>
      </c>
      <c r="F122" s="37">
        <v>2</v>
      </c>
      <c r="G122" s="38" t="s">
        <v>48</v>
      </c>
      <c r="H122" s="37">
        <v>7.1680000000000001</v>
      </c>
      <c r="I122" s="37">
        <v>1</v>
      </c>
      <c r="J122" s="37"/>
      <c r="K122" s="39">
        <v>242</v>
      </c>
      <c r="L122" s="39" t="s">
        <v>250</v>
      </c>
      <c r="M122" s="39">
        <v>3.1036172500000001</v>
      </c>
      <c r="N122" s="39">
        <v>80.85367500317146</v>
      </c>
      <c r="O122" s="39">
        <v>2.50172975</v>
      </c>
      <c r="P122" s="39">
        <v>-24.992122836339629</v>
      </c>
      <c r="Q122" s="37">
        <v>7.1680000000000001</v>
      </c>
      <c r="R122" s="40">
        <v>3.7583036388888882</v>
      </c>
      <c r="S122" s="40">
        <v>2.0716198484927761</v>
      </c>
      <c r="T122" s="40">
        <v>2.6898764166666664</v>
      </c>
      <c r="U122" s="40">
        <v>-25.568353824712908</v>
      </c>
      <c r="V122" s="40">
        <v>1.5536666666666668</v>
      </c>
      <c r="W122" s="40">
        <v>1.5536666666666668</v>
      </c>
      <c r="X122" s="41">
        <f t="shared" si="9"/>
        <v>1.1657759513266223E-2</v>
      </c>
      <c r="Y122" s="41">
        <f t="shared" si="10"/>
        <v>0.2657527419862567</v>
      </c>
      <c r="Z122" s="42">
        <f t="shared" si="11"/>
        <v>3.6181223521724655E-2</v>
      </c>
      <c r="AA122" s="42">
        <f t="shared" si="12"/>
        <v>0.66484154077109248</v>
      </c>
      <c r="AB122" s="43">
        <f t="shared" si="13"/>
        <v>0.50476037279191766</v>
      </c>
      <c r="AC122" s="43">
        <f t="shared" si="14"/>
        <v>9.2751331022752854</v>
      </c>
      <c r="AD122" s="44">
        <f t="shared" si="15"/>
        <v>18.375319462922391</v>
      </c>
      <c r="AE122" s="45">
        <f t="shared" si="16"/>
        <v>80.762055154678677</v>
      </c>
      <c r="AF122" s="45">
        <f t="shared" si="17"/>
        <v>-25.453769011626722</v>
      </c>
    </row>
    <row r="123" spans="1:32" ht="18" x14ac:dyDescent="0.25">
      <c r="A123" s="37">
        <v>108</v>
      </c>
      <c r="B123" s="37">
        <v>6</v>
      </c>
      <c r="C123" s="37" t="s">
        <v>54</v>
      </c>
      <c r="D123" s="37" t="s">
        <v>36</v>
      </c>
      <c r="E123" s="37"/>
      <c r="F123" s="37">
        <v>2</v>
      </c>
      <c r="G123" s="38" t="s">
        <v>49</v>
      </c>
      <c r="H123" s="37">
        <v>7.8310000000000004</v>
      </c>
      <c r="I123" s="37">
        <v>1</v>
      </c>
      <c r="J123" s="37"/>
      <c r="K123" s="46">
        <v>243</v>
      </c>
      <c r="L123" s="46" t="s">
        <v>251</v>
      </c>
      <c r="M123" s="46">
        <v>2.0274848749999999</v>
      </c>
      <c r="N123" s="46">
        <v>9.4045166430385247</v>
      </c>
      <c r="O123" s="46">
        <v>1.340008125</v>
      </c>
      <c r="P123" s="46">
        <v>-25.178975341811043</v>
      </c>
      <c r="Q123" s="37">
        <v>7.8310000000000004</v>
      </c>
      <c r="R123" s="40">
        <v>3.7583036388888882</v>
      </c>
      <c r="S123" s="40">
        <v>2.0716198484927761</v>
      </c>
      <c r="T123" s="40">
        <v>2.6898764166666664</v>
      </c>
      <c r="U123" s="40">
        <v>-25.568353824712908</v>
      </c>
      <c r="V123" s="40">
        <v>1.5536666666666668</v>
      </c>
      <c r="W123" s="40">
        <v>1.5536666666666668</v>
      </c>
      <c r="X123" s="41">
        <f t="shared" si="9"/>
        <v>1.1657759513266223E-2</v>
      </c>
      <c r="Y123" s="41">
        <f t="shared" si="10"/>
        <v>0.2657527419862567</v>
      </c>
      <c r="Z123" s="42">
        <f t="shared" si="11"/>
        <v>2.3635931089534629E-2</v>
      </c>
      <c r="AA123" s="42">
        <f t="shared" si="12"/>
        <v>0.35611083350261263</v>
      </c>
      <c r="AB123" s="43">
        <f t="shared" si="13"/>
        <v>0.3018251958821942</v>
      </c>
      <c r="AC123" s="43">
        <f t="shared" si="14"/>
        <v>4.5474503065076313</v>
      </c>
      <c r="AD123" s="44">
        <f t="shared" si="15"/>
        <v>15.066503289150694</v>
      </c>
      <c r="AE123" s="45">
        <f t="shared" si="16"/>
        <v>9.3128967945457486</v>
      </c>
      <c r="AF123" s="45">
        <f t="shared" si="17"/>
        <v>-25.640621517098136</v>
      </c>
    </row>
    <row r="124" spans="1:32" ht="18" x14ac:dyDescent="0.25">
      <c r="A124" s="37"/>
      <c r="B124" s="37"/>
      <c r="C124" s="37"/>
      <c r="D124" s="37"/>
      <c r="E124" s="37"/>
      <c r="F124" s="37"/>
      <c r="G124" s="37"/>
      <c r="H124" s="37">
        <v>2.0409999999999999</v>
      </c>
      <c r="I124" s="37"/>
      <c r="J124" s="37" t="s">
        <v>289</v>
      </c>
      <c r="K124" s="39">
        <v>244</v>
      </c>
      <c r="L124" s="39" t="s">
        <v>252</v>
      </c>
      <c r="M124" s="39">
        <v>4.9954159999999996</v>
      </c>
      <c r="N124" s="39">
        <v>2.4443094931152984</v>
      </c>
      <c r="O124" s="39">
        <v>3.5949857500000002</v>
      </c>
      <c r="P124" s="39">
        <v>-24.962332615654187</v>
      </c>
      <c r="Q124" s="37">
        <v>2.0409999999999999</v>
      </c>
      <c r="R124" s="40">
        <v>3.7583036388888882</v>
      </c>
      <c r="S124" s="40">
        <v>2.0716198484927761</v>
      </c>
      <c r="T124" s="40">
        <v>2.6898764166666664</v>
      </c>
      <c r="U124" s="40">
        <v>-25.568353824712908</v>
      </c>
      <c r="V124" s="40">
        <v>1.5536666666666668</v>
      </c>
      <c r="W124" s="40">
        <v>1.5536666666666668</v>
      </c>
      <c r="X124" s="41">
        <f t="shared" si="9"/>
        <v>1.1657759513266223E-2</v>
      </c>
      <c r="Y124" s="41">
        <f t="shared" si="10"/>
        <v>0.2657527419862567</v>
      </c>
      <c r="Z124" s="42">
        <f t="shared" si="11"/>
        <v>5.8235358396722302E-2</v>
      </c>
      <c r="AA124" s="42">
        <f t="shared" si="12"/>
        <v>0.95537732046401957</v>
      </c>
      <c r="AB124" s="43">
        <f t="shared" si="13"/>
        <v>2.8532757666203969</v>
      </c>
      <c r="AC124" s="43">
        <f t="shared" si="14"/>
        <v>46.809275867908852</v>
      </c>
      <c r="AD124" s="44">
        <f t="shared" si="15"/>
        <v>16.405451031237952</v>
      </c>
      <c r="AE124" s="45">
        <f t="shared" si="16"/>
        <v>2.3526896446225223</v>
      </c>
      <c r="AF124" s="45">
        <f t="shared" si="17"/>
        <v>-25.42397879094128</v>
      </c>
    </row>
    <row r="125" spans="1:32" ht="18" x14ac:dyDescent="0.25">
      <c r="A125" s="37">
        <v>112</v>
      </c>
      <c r="B125" s="37">
        <v>2</v>
      </c>
      <c r="C125" s="37" t="s">
        <v>58</v>
      </c>
      <c r="D125" s="37" t="s">
        <v>32</v>
      </c>
      <c r="E125" s="37"/>
      <c r="F125" s="37">
        <v>2</v>
      </c>
      <c r="G125" s="38" t="s">
        <v>55</v>
      </c>
      <c r="H125" s="37">
        <v>6.8719999999999999</v>
      </c>
      <c r="I125" s="37">
        <v>1</v>
      </c>
      <c r="J125" s="37"/>
      <c r="K125" s="46">
        <v>245</v>
      </c>
      <c r="L125" s="46" t="s">
        <v>253</v>
      </c>
      <c r="M125" s="46">
        <v>5.4973850000000004</v>
      </c>
      <c r="N125" s="46">
        <v>240.20697145153511</v>
      </c>
      <c r="O125" s="46">
        <v>5.5854590000000002</v>
      </c>
      <c r="P125" s="46">
        <v>-24.206579873488973</v>
      </c>
      <c r="Q125" s="37">
        <v>6.8719999999999999</v>
      </c>
      <c r="R125" s="40">
        <v>3.7583036388888882</v>
      </c>
      <c r="S125" s="40">
        <v>2.0716198484927761</v>
      </c>
      <c r="T125" s="40">
        <v>2.6898764166666664</v>
      </c>
      <c r="U125" s="40">
        <v>-25.568353824712908</v>
      </c>
      <c r="V125" s="40">
        <v>1.5536666666666668</v>
      </c>
      <c r="W125" s="40">
        <v>1.5536666666666668</v>
      </c>
      <c r="X125" s="41">
        <f t="shared" si="9"/>
        <v>1.1657759513266223E-2</v>
      </c>
      <c r="Y125" s="41">
        <f t="shared" si="10"/>
        <v>0.2657527419862567</v>
      </c>
      <c r="Z125" s="42">
        <f t="shared" si="11"/>
        <v>6.4087192281837041E-2</v>
      </c>
      <c r="AA125" s="42">
        <f t="shared" si="12"/>
        <v>1.4843510445018153</v>
      </c>
      <c r="AB125" s="43">
        <f t="shared" si="13"/>
        <v>0.93258428815245986</v>
      </c>
      <c r="AC125" s="43">
        <f t="shared" si="14"/>
        <v>21.59998609577729</v>
      </c>
      <c r="AD125" s="44">
        <f t="shared" si="15"/>
        <v>23.161430414583716</v>
      </c>
      <c r="AE125" s="45">
        <f t="shared" si="16"/>
        <v>240.11535160304234</v>
      </c>
      <c r="AF125" s="45">
        <f t="shared" si="17"/>
        <v>-24.668226048776067</v>
      </c>
    </row>
    <row r="126" spans="1:32" ht="18" x14ac:dyDescent="0.25">
      <c r="A126" s="37">
        <v>113</v>
      </c>
      <c r="B126" s="37">
        <v>2</v>
      </c>
      <c r="C126" s="37" t="s">
        <v>58</v>
      </c>
      <c r="D126" s="37" t="s">
        <v>34</v>
      </c>
      <c r="E126" s="37">
        <v>15.537848609999999</v>
      </c>
      <c r="F126" s="37">
        <v>2</v>
      </c>
      <c r="G126" s="38" t="s">
        <v>56</v>
      </c>
      <c r="H126" s="37">
        <v>6.6719999999999997</v>
      </c>
      <c r="I126" s="37">
        <v>1</v>
      </c>
      <c r="J126" s="37"/>
      <c r="K126" s="39">
        <v>246</v>
      </c>
      <c r="L126" s="39" t="s">
        <v>254</v>
      </c>
      <c r="M126" s="39">
        <v>2.1353144999999998</v>
      </c>
      <c r="N126" s="39">
        <v>26.629004717666568</v>
      </c>
      <c r="O126" s="39">
        <v>1.566653625</v>
      </c>
      <c r="P126" s="39">
        <v>-24.413214771118408</v>
      </c>
      <c r="Q126" s="37">
        <v>6.6719999999999997</v>
      </c>
      <c r="R126" s="40">
        <v>3.7583036388888882</v>
      </c>
      <c r="S126" s="40">
        <v>2.0716198484927761</v>
      </c>
      <c r="T126" s="40">
        <v>2.6898764166666664</v>
      </c>
      <c r="U126" s="40">
        <v>-25.568353824712908</v>
      </c>
      <c r="V126" s="40">
        <v>1.5536666666666668</v>
      </c>
      <c r="W126" s="40">
        <v>1.5536666666666668</v>
      </c>
      <c r="X126" s="41">
        <f t="shared" si="9"/>
        <v>1.1657759513266223E-2</v>
      </c>
      <c r="Y126" s="41">
        <f t="shared" si="10"/>
        <v>0.2657527419862567</v>
      </c>
      <c r="Z126" s="42">
        <f t="shared" si="11"/>
        <v>2.4892982926190306E-2</v>
      </c>
      <c r="AA126" s="42">
        <f t="shared" si="12"/>
        <v>0.41634249658645878</v>
      </c>
      <c r="AB126" s="43">
        <f t="shared" si="13"/>
        <v>0.3730962668793511</v>
      </c>
      <c r="AC126" s="43">
        <f t="shared" si="14"/>
        <v>6.2401453325308571</v>
      </c>
      <c r="AD126" s="44">
        <f t="shared" si="15"/>
        <v>16.725295550997153</v>
      </c>
      <c r="AE126" s="45">
        <f t="shared" si="16"/>
        <v>26.537384869173792</v>
      </c>
      <c r="AF126" s="45">
        <f t="shared" si="17"/>
        <v>-24.874860946405501</v>
      </c>
    </row>
    <row r="127" spans="1:32" ht="18" x14ac:dyDescent="0.25">
      <c r="A127" s="37">
        <v>114</v>
      </c>
      <c r="B127" s="37">
        <v>2</v>
      </c>
      <c r="C127" s="37" t="s">
        <v>58</v>
      </c>
      <c r="D127" s="37" t="s">
        <v>36</v>
      </c>
      <c r="E127" s="37"/>
      <c r="F127" s="37">
        <v>2</v>
      </c>
      <c r="G127" s="38" t="s">
        <v>57</v>
      </c>
      <c r="H127" s="37">
        <v>6.1130000000000004</v>
      </c>
      <c r="I127" s="37">
        <v>1</v>
      </c>
      <c r="J127" s="37"/>
      <c r="K127" s="46">
        <v>247</v>
      </c>
      <c r="L127" s="46" t="s">
        <v>255</v>
      </c>
      <c r="M127" s="46">
        <v>2.0490210000000002</v>
      </c>
      <c r="N127" s="46">
        <v>10.039104606446852</v>
      </c>
      <c r="O127" s="46">
        <v>1.3269975000000001</v>
      </c>
      <c r="P127" s="46">
        <v>-24.969885479841974</v>
      </c>
      <c r="Q127" s="37">
        <v>6.1130000000000004</v>
      </c>
      <c r="R127" s="40">
        <v>3.7583036388888882</v>
      </c>
      <c r="S127" s="40">
        <v>2.0716198484927761</v>
      </c>
      <c r="T127" s="40">
        <v>2.6898764166666664</v>
      </c>
      <c r="U127" s="40">
        <v>-25.568353824712908</v>
      </c>
      <c r="V127" s="40">
        <v>1.5536666666666668</v>
      </c>
      <c r="W127" s="40">
        <v>1.5536666666666668</v>
      </c>
      <c r="X127" s="41">
        <f t="shared" si="9"/>
        <v>1.1657759513266223E-2</v>
      </c>
      <c r="Y127" s="41">
        <f t="shared" si="10"/>
        <v>0.2657527419862567</v>
      </c>
      <c r="Z127" s="42">
        <f t="shared" si="11"/>
        <v>2.3886994055632271E-2</v>
      </c>
      <c r="AA127" s="42">
        <f t="shared" si="12"/>
        <v>0.35265322423390771</v>
      </c>
      <c r="AB127" s="43">
        <f t="shared" si="13"/>
        <v>0.39075730501606859</v>
      </c>
      <c r="AC127" s="43">
        <f t="shared" si="14"/>
        <v>5.7689060074252856</v>
      </c>
      <c r="AD127" s="44">
        <f t="shared" si="15"/>
        <v>14.763399003348278</v>
      </c>
      <c r="AE127" s="45">
        <f t="shared" si="16"/>
        <v>9.9474847579540757</v>
      </c>
      <c r="AF127" s="45">
        <f t="shared" si="17"/>
        <v>-25.431531655129067</v>
      </c>
    </row>
    <row r="128" spans="1:32" ht="18" x14ac:dyDescent="0.25">
      <c r="A128" s="37">
        <v>115</v>
      </c>
      <c r="B128" s="37">
        <v>3</v>
      </c>
      <c r="C128" s="37" t="s">
        <v>58</v>
      </c>
      <c r="D128" s="37" t="s">
        <v>32</v>
      </c>
      <c r="E128" s="37"/>
      <c r="F128" s="37">
        <v>2</v>
      </c>
      <c r="G128" s="38" t="s">
        <v>59</v>
      </c>
      <c r="H128" s="37">
        <v>6.7919999999999998</v>
      </c>
      <c r="I128" s="37">
        <v>1</v>
      </c>
      <c r="J128" s="37"/>
      <c r="K128" s="39">
        <v>248</v>
      </c>
      <c r="L128" s="39" t="s">
        <v>256</v>
      </c>
      <c r="M128" s="39">
        <v>6.9114430000000002</v>
      </c>
      <c r="N128" s="39">
        <v>190.50354922666028</v>
      </c>
      <c r="O128" s="39">
        <v>5.9582490000000004</v>
      </c>
      <c r="P128" s="39">
        <v>-24.236727065740876</v>
      </c>
      <c r="Q128" s="37">
        <v>6.7919999999999998</v>
      </c>
      <c r="R128" s="40">
        <v>3.7583036388888882</v>
      </c>
      <c r="S128" s="40">
        <v>2.0716198484927761</v>
      </c>
      <c r="T128" s="40">
        <v>2.6898764166666664</v>
      </c>
      <c r="U128" s="40">
        <v>-25.568353824712908</v>
      </c>
      <c r="V128" s="40">
        <v>1.5536666666666668</v>
      </c>
      <c r="W128" s="40">
        <v>1.5536666666666668</v>
      </c>
      <c r="X128" s="41">
        <f t="shared" si="9"/>
        <v>1.1657759513266223E-2</v>
      </c>
      <c r="Y128" s="41">
        <f t="shared" si="10"/>
        <v>0.2657527419862567</v>
      </c>
      <c r="Z128" s="42">
        <f t="shared" si="11"/>
        <v>8.0571940383647248E-2</v>
      </c>
      <c r="AA128" s="42">
        <f t="shared" si="12"/>
        <v>1.5834210091868721</v>
      </c>
      <c r="AB128" s="43">
        <f t="shared" si="13"/>
        <v>1.1862770963434519</v>
      </c>
      <c r="AC128" s="43">
        <f t="shared" si="14"/>
        <v>23.31303017059588</v>
      </c>
      <c r="AD128" s="44">
        <f t="shared" si="15"/>
        <v>19.652263575226502</v>
      </c>
      <c r="AE128" s="45">
        <f t="shared" si="16"/>
        <v>190.41192937816751</v>
      </c>
      <c r="AF128" s="45">
        <f t="shared" si="17"/>
        <v>-24.698373241027969</v>
      </c>
    </row>
    <row r="129" spans="1:33" ht="18" x14ac:dyDescent="0.25">
      <c r="A129" s="37">
        <v>116</v>
      </c>
      <c r="B129" s="37">
        <v>3</v>
      </c>
      <c r="C129" s="37" t="s">
        <v>58</v>
      </c>
      <c r="D129" s="37" t="s">
        <v>34</v>
      </c>
      <c r="E129" s="37">
        <v>14.31411531</v>
      </c>
      <c r="F129" s="37">
        <v>2</v>
      </c>
      <c r="G129" s="38" t="s">
        <v>60</v>
      </c>
      <c r="H129" s="37">
        <v>7.3289999999999997</v>
      </c>
      <c r="I129" s="37">
        <v>1</v>
      </c>
      <c r="J129" s="37"/>
      <c r="K129" s="46">
        <v>249</v>
      </c>
      <c r="L129" s="46" t="s">
        <v>257</v>
      </c>
      <c r="M129" s="46">
        <v>2.5341502500000002</v>
      </c>
      <c r="N129" s="46">
        <v>68.862958283703762</v>
      </c>
      <c r="O129" s="46">
        <v>1.7861100000000001</v>
      </c>
      <c r="P129" s="46">
        <v>-24.243389245077701</v>
      </c>
      <c r="Q129" s="37">
        <v>7.3289999999999997</v>
      </c>
      <c r="R129" s="40">
        <v>3.7583036388888882</v>
      </c>
      <c r="S129" s="40">
        <v>2.0716198484927761</v>
      </c>
      <c r="T129" s="40">
        <v>2.6898764166666664</v>
      </c>
      <c r="U129" s="40">
        <v>-25.568353824712908</v>
      </c>
      <c r="V129" s="40">
        <v>1.5536666666666668</v>
      </c>
      <c r="W129" s="40">
        <v>1.5536666666666668</v>
      </c>
      <c r="X129" s="41">
        <f t="shared" si="9"/>
        <v>1.1657759513266223E-2</v>
      </c>
      <c r="Y129" s="41">
        <f t="shared" si="10"/>
        <v>0.2657527419862567</v>
      </c>
      <c r="Z129" s="42">
        <f t="shared" si="11"/>
        <v>2.9542514184983479E-2</v>
      </c>
      <c r="AA129" s="42">
        <f t="shared" si="12"/>
        <v>0.47466362998907297</v>
      </c>
      <c r="AB129" s="43">
        <f t="shared" si="13"/>
        <v>0.40309065609201089</v>
      </c>
      <c r="AC129" s="43">
        <f t="shared" si="14"/>
        <v>6.476512893833716</v>
      </c>
      <c r="AD129" s="44">
        <f t="shared" si="15"/>
        <v>16.067137245561362</v>
      </c>
      <c r="AE129" s="45">
        <f t="shared" si="16"/>
        <v>68.771338435210993</v>
      </c>
      <c r="AF129" s="45">
        <f t="shared" si="17"/>
        <v>-24.705035420364794</v>
      </c>
    </row>
    <row r="130" spans="1:33" ht="18" x14ac:dyDescent="0.25">
      <c r="A130" s="37">
        <v>117</v>
      </c>
      <c r="B130" s="37">
        <v>3</v>
      </c>
      <c r="C130" s="37" t="s">
        <v>58</v>
      </c>
      <c r="D130" s="37" t="s">
        <v>36</v>
      </c>
      <c r="E130" s="37"/>
      <c r="F130" s="37">
        <v>2</v>
      </c>
      <c r="G130" s="38" t="s">
        <v>61</v>
      </c>
      <c r="H130" s="37">
        <v>7.2140000000000004</v>
      </c>
      <c r="I130" s="37">
        <v>1</v>
      </c>
      <c r="J130" s="37"/>
      <c r="K130" s="39">
        <v>250</v>
      </c>
      <c r="L130" s="39" t="s">
        <v>258</v>
      </c>
      <c r="M130" s="39">
        <v>1.1029662499999999</v>
      </c>
      <c r="N130" s="39">
        <v>24.033718750983674</v>
      </c>
      <c r="O130" s="39">
        <v>0.64013618750000001</v>
      </c>
      <c r="P130" s="39">
        <v>-25.035828171280858</v>
      </c>
      <c r="Q130" s="37">
        <v>7.2140000000000004</v>
      </c>
      <c r="R130" s="40">
        <v>3.7583036388888882</v>
      </c>
      <c r="S130" s="40">
        <v>2.0716198484927761</v>
      </c>
      <c r="T130" s="40">
        <v>2.6898764166666664</v>
      </c>
      <c r="U130" s="40">
        <v>-25.568353824712908</v>
      </c>
      <c r="V130" s="40">
        <v>1.5536666666666668</v>
      </c>
      <c r="W130" s="40">
        <v>1.5536666666666668</v>
      </c>
      <c r="X130" s="41">
        <f t="shared" si="9"/>
        <v>1.1657759513266223E-2</v>
      </c>
      <c r="Y130" s="41">
        <f t="shared" si="10"/>
        <v>0.2657527419862567</v>
      </c>
      <c r="Z130" s="42">
        <f t="shared" si="11"/>
        <v>1.285811529374907E-2</v>
      </c>
      <c r="AA130" s="42">
        <f t="shared" si="12"/>
        <v>0.17011794707275354</v>
      </c>
      <c r="AB130" s="43">
        <f t="shared" si="13"/>
        <v>0.1782383600464246</v>
      </c>
      <c r="AC130" s="43">
        <f t="shared" si="14"/>
        <v>2.3581639461152415</v>
      </c>
      <c r="AD130" s="44">
        <f t="shared" si="15"/>
        <v>13.230395216276822</v>
      </c>
      <c r="AE130" s="45">
        <f t="shared" si="16"/>
        <v>23.942098902490898</v>
      </c>
      <c r="AF130" s="45">
        <f t="shared" si="17"/>
        <v>-25.497474346567952</v>
      </c>
    </row>
    <row r="131" spans="1:33" ht="18" x14ac:dyDescent="0.25">
      <c r="A131" s="37">
        <v>118</v>
      </c>
      <c r="B131" s="37">
        <v>4</v>
      </c>
      <c r="C131" s="37" t="s">
        <v>58</v>
      </c>
      <c r="D131" s="37" t="s">
        <v>32</v>
      </c>
      <c r="E131" s="37"/>
      <c r="F131" s="37">
        <v>2</v>
      </c>
      <c r="G131" s="38" t="s">
        <v>63</v>
      </c>
      <c r="H131" s="37">
        <v>7.133</v>
      </c>
      <c r="I131" s="37">
        <v>1</v>
      </c>
      <c r="J131" s="37"/>
      <c r="K131" s="46">
        <v>251</v>
      </c>
      <c r="L131" s="46" t="s">
        <v>259</v>
      </c>
      <c r="M131" s="46">
        <v>6.2851359999999996</v>
      </c>
      <c r="N131" s="46">
        <v>235.03612448909581</v>
      </c>
      <c r="O131" s="46">
        <v>5.6499470000000001</v>
      </c>
      <c r="P131" s="46">
        <v>-23.178872496895114</v>
      </c>
      <c r="Q131" s="37">
        <v>7.133</v>
      </c>
      <c r="R131" s="40">
        <v>3.7583036388888882</v>
      </c>
      <c r="S131" s="40">
        <v>2.0716198484927761</v>
      </c>
      <c r="T131" s="40">
        <v>2.6898764166666664</v>
      </c>
      <c r="U131" s="40">
        <v>-25.568353824712908</v>
      </c>
      <c r="V131" s="40">
        <v>1.5536666666666668</v>
      </c>
      <c r="W131" s="40">
        <v>1.5536666666666668</v>
      </c>
      <c r="X131" s="41">
        <f t="shared" si="9"/>
        <v>1.1657759513266223E-2</v>
      </c>
      <c r="Y131" s="41">
        <f t="shared" si="10"/>
        <v>0.2657527419862567</v>
      </c>
      <c r="Z131" s="42">
        <f t="shared" si="11"/>
        <v>7.327060399617201E-2</v>
      </c>
      <c r="AA131" s="42">
        <f t="shared" si="12"/>
        <v>1.501488907327025</v>
      </c>
      <c r="AB131" s="43">
        <f t="shared" si="13"/>
        <v>1.0272060002267209</v>
      </c>
      <c r="AC131" s="43">
        <f t="shared" si="14"/>
        <v>21.049893555685198</v>
      </c>
      <c r="AD131" s="44">
        <f t="shared" si="15"/>
        <v>20.492377917417873</v>
      </c>
      <c r="AE131" s="45">
        <f t="shared" si="16"/>
        <v>234.94450464060304</v>
      </c>
      <c r="AF131" s="45">
        <f t="shared" si="17"/>
        <v>-23.640518672182207</v>
      </c>
    </row>
    <row r="132" spans="1:33" ht="18" x14ac:dyDescent="0.25">
      <c r="A132" s="37">
        <v>119</v>
      </c>
      <c r="B132" s="37">
        <v>4</v>
      </c>
      <c r="C132" s="37" t="s">
        <v>58</v>
      </c>
      <c r="D132" s="37" t="s">
        <v>34</v>
      </c>
      <c r="E132" s="37">
        <v>13</v>
      </c>
      <c r="F132" s="37">
        <v>2</v>
      </c>
      <c r="G132" s="38" t="s">
        <v>64</v>
      </c>
      <c r="H132" s="37">
        <v>6.0529999999999999</v>
      </c>
      <c r="I132" s="37">
        <v>1</v>
      </c>
      <c r="J132" s="37"/>
      <c r="K132" s="39">
        <v>252</v>
      </c>
      <c r="L132" s="39" t="s">
        <v>260</v>
      </c>
      <c r="M132" s="39">
        <v>2.5196322499999999</v>
      </c>
      <c r="N132" s="39">
        <v>25.878461086570759</v>
      </c>
      <c r="O132" s="39">
        <v>1.8110866249999999</v>
      </c>
      <c r="P132" s="39">
        <v>-25.088790262990333</v>
      </c>
      <c r="Q132" s="37">
        <v>6.0529999999999999</v>
      </c>
      <c r="R132" s="40">
        <v>3.7583036388888882</v>
      </c>
      <c r="S132" s="40">
        <v>2.0716198484927761</v>
      </c>
      <c r="T132" s="40">
        <v>2.6898764166666664</v>
      </c>
      <c r="U132" s="40">
        <v>-25.568353824712908</v>
      </c>
      <c r="V132" s="40">
        <v>1.5536666666666668</v>
      </c>
      <c r="W132" s="40">
        <v>1.5536666666666668</v>
      </c>
      <c r="X132" s="41">
        <f t="shared" si="9"/>
        <v>1.1657759513266223E-2</v>
      </c>
      <c r="Y132" s="41">
        <f t="shared" si="10"/>
        <v>0.2657527419862567</v>
      </c>
      <c r="Z132" s="42">
        <f t="shared" si="11"/>
        <v>2.9373266832369876E-2</v>
      </c>
      <c r="AA132" s="42">
        <f t="shared" si="12"/>
        <v>0.48130123656838542</v>
      </c>
      <c r="AB132" s="43">
        <f t="shared" si="13"/>
        <v>0.48526791396613045</v>
      </c>
      <c r="AC132" s="43">
        <f t="shared" si="14"/>
        <v>7.9514494724663045</v>
      </c>
      <c r="AD132" s="44">
        <f t="shared" si="15"/>
        <v>16.385689726482266</v>
      </c>
      <c r="AE132" s="45">
        <f t="shared" si="16"/>
        <v>25.786841238077983</v>
      </c>
      <c r="AF132" s="45">
        <f t="shared" si="17"/>
        <v>-25.550436438277426</v>
      </c>
      <c r="AG132" s="14"/>
    </row>
    <row r="133" spans="1:33" ht="18" x14ac:dyDescent="0.25">
      <c r="A133" s="37">
        <v>120</v>
      </c>
      <c r="B133" s="37">
        <v>4</v>
      </c>
      <c r="C133" s="37" t="s">
        <v>58</v>
      </c>
      <c r="D133" s="37" t="s">
        <v>36</v>
      </c>
      <c r="E133" s="37"/>
      <c r="F133" s="37">
        <v>2</v>
      </c>
      <c r="G133" s="38" t="s">
        <v>65</v>
      </c>
      <c r="H133" s="37">
        <v>6.6429999999999998</v>
      </c>
      <c r="I133" s="37">
        <v>1</v>
      </c>
      <c r="J133" s="37"/>
      <c r="K133" s="46">
        <v>253</v>
      </c>
      <c r="L133" s="46" t="s">
        <v>261</v>
      </c>
      <c r="M133" s="46">
        <v>1.9507004999999999</v>
      </c>
      <c r="N133" s="46">
        <v>14.61776887176608</v>
      </c>
      <c r="O133" s="46">
        <v>1.3999163750000001</v>
      </c>
      <c r="P133" s="46">
        <v>-25.474572616156287</v>
      </c>
      <c r="Q133" s="37">
        <v>6.6429999999999998</v>
      </c>
      <c r="R133" s="40">
        <v>3.7583036388888882</v>
      </c>
      <c r="S133" s="40">
        <v>2.0716198484927761</v>
      </c>
      <c r="T133" s="40">
        <v>2.6898764166666664</v>
      </c>
      <c r="U133" s="40">
        <v>-25.568353824712908</v>
      </c>
      <c r="V133" s="40">
        <v>1.5536666666666668</v>
      </c>
      <c r="W133" s="40">
        <v>1.5536666666666668</v>
      </c>
      <c r="X133" s="41">
        <f t="shared" si="9"/>
        <v>1.1657759513266223E-2</v>
      </c>
      <c r="Y133" s="41">
        <f t="shared" si="10"/>
        <v>0.2657527419862567</v>
      </c>
      <c r="Z133" s="42">
        <f t="shared" si="11"/>
        <v>2.2740797311408177E-2</v>
      </c>
      <c r="AA133" s="42">
        <f t="shared" si="12"/>
        <v>0.37203161520771083</v>
      </c>
      <c r="AB133" s="43">
        <f t="shared" si="13"/>
        <v>0.34232722130676163</v>
      </c>
      <c r="AC133" s="43">
        <f t="shared" si="14"/>
        <v>5.600355490105537</v>
      </c>
      <c r="AD133" s="44">
        <f t="shared" si="15"/>
        <v>16.359655737359613</v>
      </c>
      <c r="AE133" s="45">
        <f t="shared" si="16"/>
        <v>14.526149023273303</v>
      </c>
      <c r="AF133" s="45">
        <f t="shared" si="17"/>
        <v>-25.93621879144338</v>
      </c>
    </row>
    <row r="134" spans="1:33" ht="18" x14ac:dyDescent="0.25">
      <c r="A134" s="37">
        <v>121</v>
      </c>
      <c r="B134" s="37">
        <v>5</v>
      </c>
      <c r="C134" s="37" t="s">
        <v>58</v>
      </c>
      <c r="D134" s="37" t="s">
        <v>32</v>
      </c>
      <c r="E134" s="37"/>
      <c r="F134" s="37">
        <v>2</v>
      </c>
      <c r="G134" s="38" t="s">
        <v>66</v>
      </c>
      <c r="H134" s="37">
        <v>6.3819999999999997</v>
      </c>
      <c r="I134" s="37">
        <v>1</v>
      </c>
      <c r="J134" s="37"/>
      <c r="K134" s="39">
        <v>254</v>
      </c>
      <c r="L134" s="39" t="s">
        <v>262</v>
      </c>
      <c r="M134" s="39">
        <v>5.5679759999999998</v>
      </c>
      <c r="N134" s="39">
        <v>238.4307360348528</v>
      </c>
      <c r="O134" s="39">
        <v>5.4415009999999997</v>
      </c>
      <c r="P134" s="39">
        <v>-23.900278023665692</v>
      </c>
      <c r="Q134" s="37">
        <v>6.3819999999999997</v>
      </c>
      <c r="R134" s="40">
        <v>3.7583036388888882</v>
      </c>
      <c r="S134" s="40">
        <v>2.0716198484927761</v>
      </c>
      <c r="T134" s="40">
        <v>2.6898764166666664</v>
      </c>
      <c r="U134" s="40">
        <v>-25.568353824712908</v>
      </c>
      <c r="V134" s="40">
        <v>1.5536666666666668</v>
      </c>
      <c r="W134" s="40">
        <v>1.5536666666666668</v>
      </c>
      <c r="X134" s="41">
        <f t="shared" si="9"/>
        <v>1.1657759513266223E-2</v>
      </c>
      <c r="Y134" s="41">
        <f t="shared" si="10"/>
        <v>0.2657527419862567</v>
      </c>
      <c r="Z134" s="42">
        <f t="shared" si="11"/>
        <v>6.4910125183638007E-2</v>
      </c>
      <c r="AA134" s="42">
        <f t="shared" si="12"/>
        <v>1.4460938112709578</v>
      </c>
      <c r="AB134" s="43">
        <f t="shared" si="13"/>
        <v>1.0170812470015356</v>
      </c>
      <c r="AC134" s="43">
        <f t="shared" si="14"/>
        <v>22.658944081337481</v>
      </c>
      <c r="AD134" s="44">
        <f t="shared" si="15"/>
        <v>22.278401207512644</v>
      </c>
      <c r="AE134" s="45">
        <f t="shared" si="16"/>
        <v>238.33911618636003</v>
      </c>
      <c r="AF134" s="45">
        <f t="shared" si="17"/>
        <v>-24.361924198952785</v>
      </c>
    </row>
    <row r="135" spans="1:33" ht="18" x14ac:dyDescent="0.25">
      <c r="A135" s="37">
        <v>122</v>
      </c>
      <c r="B135" s="37">
        <v>5</v>
      </c>
      <c r="C135" s="37" t="s">
        <v>58</v>
      </c>
      <c r="D135" s="37" t="s">
        <v>34</v>
      </c>
      <c r="E135" s="37">
        <v>19.920318730000002</v>
      </c>
      <c r="F135" s="37">
        <v>2</v>
      </c>
      <c r="G135" s="38" t="s">
        <v>67</v>
      </c>
      <c r="H135" s="37">
        <v>6.3929999999999998</v>
      </c>
      <c r="I135" s="37">
        <v>1</v>
      </c>
      <c r="J135" s="37"/>
      <c r="K135" s="46">
        <v>255</v>
      </c>
      <c r="L135" s="46" t="s">
        <v>263</v>
      </c>
      <c r="M135" s="46">
        <v>3.0079745</v>
      </c>
      <c r="N135" s="46">
        <v>58.659446713846926</v>
      </c>
      <c r="O135" s="46">
        <v>2.70137925</v>
      </c>
      <c r="P135" s="46">
        <v>-24.45247836136798</v>
      </c>
      <c r="Q135" s="37">
        <v>6.3929999999999998</v>
      </c>
      <c r="R135" s="40">
        <v>3.7583036388888882</v>
      </c>
      <c r="S135" s="40">
        <v>2.0716198484927761</v>
      </c>
      <c r="T135" s="40">
        <v>2.6898764166666664</v>
      </c>
      <c r="U135" s="40">
        <v>-25.568353824712908</v>
      </c>
      <c r="V135" s="40">
        <v>1.5536666666666668</v>
      </c>
      <c r="W135" s="40">
        <v>1.5536666666666668</v>
      </c>
      <c r="X135" s="41">
        <f t="shared" si="9"/>
        <v>1.1657759513266223E-2</v>
      </c>
      <c r="Y135" s="41">
        <f t="shared" si="10"/>
        <v>0.2657527419862567</v>
      </c>
      <c r="Z135" s="42">
        <f t="shared" si="11"/>
        <v>3.5066243343037214E-2</v>
      </c>
      <c r="AA135" s="42">
        <f t="shared" si="12"/>
        <v>0.71789894283227762</v>
      </c>
      <c r="AB135" s="43">
        <f t="shared" si="13"/>
        <v>0.54850998503108428</v>
      </c>
      <c r="AC135" s="43">
        <f t="shared" si="14"/>
        <v>11.22945319618767</v>
      </c>
      <c r="AD135" s="44">
        <f t="shared" si="15"/>
        <v>20.472650457860475</v>
      </c>
      <c r="AE135" s="45">
        <f t="shared" si="16"/>
        <v>58.567826865354149</v>
      </c>
      <c r="AF135" s="45">
        <f t="shared" si="17"/>
        <v>-24.914124536655073</v>
      </c>
    </row>
    <row r="136" spans="1:33" ht="18" x14ac:dyDescent="0.25">
      <c r="A136" s="37">
        <v>123</v>
      </c>
      <c r="B136" s="37">
        <v>5</v>
      </c>
      <c r="C136" s="37" t="s">
        <v>58</v>
      </c>
      <c r="D136" s="37" t="s">
        <v>36</v>
      </c>
      <c r="E136" s="37"/>
      <c r="F136" s="37">
        <v>2</v>
      </c>
      <c r="G136" s="38" t="s">
        <v>68</v>
      </c>
      <c r="H136" s="37">
        <v>6.2709999999999999</v>
      </c>
      <c r="I136" s="37">
        <v>1</v>
      </c>
      <c r="J136" s="37"/>
      <c r="K136" s="39">
        <v>256</v>
      </c>
      <c r="L136" s="39" t="s">
        <v>264</v>
      </c>
      <c r="M136" s="39">
        <v>2.2197337500000001</v>
      </c>
      <c r="N136" s="39">
        <v>12.560680770699834</v>
      </c>
      <c r="O136" s="39">
        <v>1.572625875</v>
      </c>
      <c r="P136" s="39">
        <v>-24.818011044634378</v>
      </c>
      <c r="Q136" s="37">
        <v>6.2709999999999999</v>
      </c>
      <c r="R136" s="40">
        <v>3.7583036388888882</v>
      </c>
      <c r="S136" s="40">
        <v>2.0716198484927761</v>
      </c>
      <c r="T136" s="40">
        <v>2.6898764166666664</v>
      </c>
      <c r="U136" s="40">
        <v>-25.568353824712908</v>
      </c>
      <c r="V136" s="40">
        <v>1.5536666666666668</v>
      </c>
      <c r="W136" s="40">
        <v>1.5536666666666668</v>
      </c>
      <c r="X136" s="41">
        <f t="shared" si="9"/>
        <v>1.1657759513266223E-2</v>
      </c>
      <c r="Y136" s="41">
        <f t="shared" si="10"/>
        <v>0.2657527419862567</v>
      </c>
      <c r="Z136" s="42">
        <f t="shared" si="11"/>
        <v>2.5877122240980609E-2</v>
      </c>
      <c r="AA136" s="42">
        <f t="shared" si="12"/>
        <v>0.4179296383997862</v>
      </c>
      <c r="AB136" s="43">
        <f t="shared" si="13"/>
        <v>0.41264746038878342</v>
      </c>
      <c r="AC136" s="43">
        <f t="shared" si="14"/>
        <v>6.6644815563671855</v>
      </c>
      <c r="AD136" s="44">
        <f t="shared" si="15"/>
        <v>16.150545431899957</v>
      </c>
      <c r="AE136" s="45">
        <f t="shared" si="16"/>
        <v>12.469060922207058</v>
      </c>
      <c r="AF136" s="45">
        <f t="shared" si="17"/>
        <v>-25.279657219921472</v>
      </c>
    </row>
    <row r="137" spans="1:33" ht="18" x14ac:dyDescent="0.25">
      <c r="A137" s="37">
        <v>124</v>
      </c>
      <c r="B137" s="37">
        <v>6</v>
      </c>
      <c r="C137" s="37" t="s">
        <v>58</v>
      </c>
      <c r="D137" s="37" t="s">
        <v>32</v>
      </c>
      <c r="E137" s="37"/>
      <c r="F137" s="37">
        <v>2</v>
      </c>
      <c r="G137" s="38" t="s">
        <v>69</v>
      </c>
      <c r="H137" s="37">
        <v>6.4180000000000001</v>
      </c>
      <c r="I137" s="37">
        <v>1</v>
      </c>
      <c r="J137" s="37"/>
      <c r="K137" s="46">
        <v>257</v>
      </c>
      <c r="L137" s="46" t="s">
        <v>265</v>
      </c>
      <c r="M137" s="46">
        <v>5.810816</v>
      </c>
      <c r="N137" s="46">
        <v>391.84332118634268</v>
      </c>
      <c r="O137" s="46">
        <v>6.6870149999999997</v>
      </c>
      <c r="P137" s="46">
        <v>-22.597668869448551</v>
      </c>
      <c r="Q137" s="37">
        <v>6.4180000000000001</v>
      </c>
      <c r="R137" s="40">
        <v>3.7583036388888882</v>
      </c>
      <c r="S137" s="40">
        <v>2.0716198484927761</v>
      </c>
      <c r="T137" s="40">
        <v>2.6898764166666664</v>
      </c>
      <c r="U137" s="40">
        <v>-25.568353824712908</v>
      </c>
      <c r="V137" s="40">
        <v>1.5536666666666668</v>
      </c>
      <c r="W137" s="40">
        <v>1.5536666666666668</v>
      </c>
      <c r="X137" s="41">
        <f t="shared" si="9"/>
        <v>1.1657759513266223E-2</v>
      </c>
      <c r="Y137" s="41">
        <f t="shared" si="10"/>
        <v>0.2657527419862567</v>
      </c>
      <c r="Z137" s="42">
        <f t="shared" si="11"/>
        <v>6.7741095503839582E-2</v>
      </c>
      <c r="AA137" s="42">
        <f t="shared" si="12"/>
        <v>1.7770925719532282</v>
      </c>
      <c r="AB137" s="43">
        <f t="shared" si="13"/>
        <v>1.0554860626961604</v>
      </c>
      <c r="AC137" s="43">
        <f t="shared" si="14"/>
        <v>27.689195574216708</v>
      </c>
      <c r="AD137" s="44">
        <f t="shared" si="15"/>
        <v>26.233596589126641</v>
      </c>
      <c r="AE137" s="45">
        <f t="shared" si="16"/>
        <v>391.75170133784991</v>
      </c>
      <c r="AF137" s="45">
        <f t="shared" si="17"/>
        <v>-23.059315044735644</v>
      </c>
    </row>
    <row r="138" spans="1:33" ht="18" x14ac:dyDescent="0.25">
      <c r="A138" s="37">
        <v>125</v>
      </c>
      <c r="B138" s="37">
        <v>6</v>
      </c>
      <c r="C138" s="37" t="s">
        <v>58</v>
      </c>
      <c r="D138" s="37" t="s">
        <v>34</v>
      </c>
      <c r="E138" s="37">
        <v>17.131474099999998</v>
      </c>
      <c r="F138" s="37">
        <v>2</v>
      </c>
      <c r="G138" s="38" t="s">
        <v>70</v>
      </c>
      <c r="H138" s="37">
        <v>7.4770000000000003</v>
      </c>
      <c r="I138" s="37">
        <v>1</v>
      </c>
      <c r="J138" s="37"/>
      <c r="K138" s="39">
        <v>258</v>
      </c>
      <c r="L138" s="39" t="s">
        <v>266</v>
      </c>
      <c r="M138" s="39">
        <v>3.2525105000000001</v>
      </c>
      <c r="N138" s="39">
        <v>30.871954158344753</v>
      </c>
      <c r="O138" s="39">
        <v>2.5418504999999998</v>
      </c>
      <c r="P138" s="39">
        <v>-25.716197807267246</v>
      </c>
      <c r="Q138" s="37">
        <v>7.4770000000000003</v>
      </c>
      <c r="R138" s="40">
        <v>3.7583036388888882</v>
      </c>
      <c r="S138" s="40">
        <v>2.0716198484927761</v>
      </c>
      <c r="T138" s="40">
        <v>2.6898764166666664</v>
      </c>
      <c r="U138" s="40">
        <v>-25.568353824712908</v>
      </c>
      <c r="V138" s="40">
        <v>1.5536666666666668</v>
      </c>
      <c r="W138" s="40">
        <v>1.5536666666666668</v>
      </c>
      <c r="X138" s="41">
        <f t="shared" si="9"/>
        <v>1.1657759513266223E-2</v>
      </c>
      <c r="Y138" s="41">
        <f t="shared" si="10"/>
        <v>0.2657527419862567</v>
      </c>
      <c r="Z138" s="42">
        <f t="shared" si="11"/>
        <v>3.7916985223373278E-2</v>
      </c>
      <c r="AA138" s="42">
        <f t="shared" si="12"/>
        <v>0.67550374009413749</v>
      </c>
      <c r="AB138" s="43">
        <f t="shared" si="13"/>
        <v>0.50711495550853658</v>
      </c>
      <c r="AC138" s="43">
        <f t="shared" si="14"/>
        <v>9.0344220956819239</v>
      </c>
      <c r="AD138" s="44">
        <f t="shared" si="15"/>
        <v>17.815333579784049</v>
      </c>
      <c r="AE138" s="45">
        <f t="shared" si="16"/>
        <v>30.780334309851977</v>
      </c>
      <c r="AF138" s="45">
        <f t="shared" si="17"/>
        <v>-26.177843982554339</v>
      </c>
    </row>
    <row r="139" spans="1:33" ht="18" x14ac:dyDescent="0.25">
      <c r="A139" s="37">
        <v>126</v>
      </c>
      <c r="B139" s="37">
        <v>6</v>
      </c>
      <c r="C139" s="37" t="s">
        <v>58</v>
      </c>
      <c r="D139" s="37" t="s">
        <v>36</v>
      </c>
      <c r="E139" s="37"/>
      <c r="F139" s="37">
        <v>2</v>
      </c>
      <c r="G139" s="38" t="s">
        <v>71</v>
      </c>
      <c r="H139" s="37">
        <v>8.3480000000000008</v>
      </c>
      <c r="I139" s="37">
        <v>1</v>
      </c>
      <c r="J139" s="37"/>
      <c r="K139" s="46">
        <v>259</v>
      </c>
      <c r="L139" s="46" t="s">
        <v>267</v>
      </c>
      <c r="M139" s="46">
        <v>2.0207721250000001</v>
      </c>
      <c r="N139" s="46">
        <v>15.771305817936504</v>
      </c>
      <c r="O139" s="46">
        <v>1.36195625</v>
      </c>
      <c r="P139" s="46">
        <v>-24.600316993432461</v>
      </c>
      <c r="Q139" s="37">
        <v>8.3480000000000008</v>
      </c>
      <c r="R139" s="40">
        <v>3.7583036388888882</v>
      </c>
      <c r="S139" s="40">
        <v>2.0716198484927761</v>
      </c>
      <c r="T139" s="40">
        <v>2.6898764166666664</v>
      </c>
      <c r="U139" s="40">
        <v>-25.568353824712908</v>
      </c>
      <c r="V139" s="40">
        <v>1.5536666666666668</v>
      </c>
      <c r="W139" s="40">
        <v>1.5536666666666668</v>
      </c>
      <c r="X139" s="41">
        <f t="shared" si="9"/>
        <v>1.1657759513266223E-2</v>
      </c>
      <c r="Y139" s="41">
        <f t="shared" si="10"/>
        <v>0.2657527419862567</v>
      </c>
      <c r="Z139" s="42">
        <f t="shared" si="11"/>
        <v>2.3557675464361952E-2</v>
      </c>
      <c r="AA139" s="42">
        <f t="shared" si="12"/>
        <v>0.36194360790281971</v>
      </c>
      <c r="AB139" s="43">
        <f t="shared" si="13"/>
        <v>0.28219544159513593</v>
      </c>
      <c r="AC139" s="43">
        <f t="shared" si="14"/>
        <v>4.3356924760759421</v>
      </c>
      <c r="AD139" s="44">
        <f t="shared" si="15"/>
        <v>15.364147810354547</v>
      </c>
      <c r="AE139" s="45">
        <f t="shared" si="16"/>
        <v>15.679685969443728</v>
      </c>
      <c r="AF139" s="45">
        <f t="shared" si="17"/>
        <v>-25.061963168719554</v>
      </c>
    </row>
    <row r="140" spans="1:33" ht="18" x14ac:dyDescent="0.25">
      <c r="A140" s="37"/>
      <c r="B140" s="37"/>
      <c r="C140" s="37"/>
      <c r="D140" s="37"/>
      <c r="E140" s="37"/>
      <c r="F140" s="37"/>
      <c r="G140" s="37"/>
      <c r="H140" s="37">
        <v>2.3610000000000002</v>
      </c>
      <c r="I140" s="37"/>
      <c r="J140" s="37" t="s">
        <v>289</v>
      </c>
      <c r="K140" s="39">
        <v>260</v>
      </c>
      <c r="L140" s="39" t="s">
        <v>268</v>
      </c>
      <c r="M140" s="39">
        <v>5.8403470000000004</v>
      </c>
      <c r="N140" s="39">
        <v>3.2336055431824882</v>
      </c>
      <c r="O140" s="39">
        <v>4.1104200000000004</v>
      </c>
      <c r="P140" s="39">
        <v>-24.731328182465571</v>
      </c>
      <c r="Q140" s="37">
        <v>2.3610000000000002</v>
      </c>
      <c r="R140" s="40">
        <v>3.7583036388888882</v>
      </c>
      <c r="S140" s="40">
        <v>2.0716198484927761</v>
      </c>
      <c r="T140" s="40">
        <v>2.6898764166666664</v>
      </c>
      <c r="U140" s="40">
        <v>-25.568353824712908</v>
      </c>
      <c r="V140" s="40">
        <v>1.5536666666666668</v>
      </c>
      <c r="W140" s="40">
        <v>1.5536666666666668</v>
      </c>
      <c r="X140" s="41">
        <f t="shared" si="9"/>
        <v>1.1657759513266223E-2</v>
      </c>
      <c r="Y140" s="41">
        <f t="shared" si="10"/>
        <v>0.2657527419862567</v>
      </c>
      <c r="Z140" s="42">
        <f t="shared" si="11"/>
        <v>6.8085360800025849E-2</v>
      </c>
      <c r="AA140" s="42">
        <f t="shared" si="12"/>
        <v>1.0923553857151493</v>
      </c>
      <c r="AB140" s="43">
        <f t="shared" si="13"/>
        <v>2.8837509868710649</v>
      </c>
      <c r="AC140" s="43">
        <f t="shared" si="14"/>
        <v>46.266640648672144</v>
      </c>
      <c r="AD140" s="44">
        <f t="shared" si="15"/>
        <v>16.043909775605311</v>
      </c>
      <c r="AE140" s="45">
        <f t="shared" si="16"/>
        <v>3.141985694689712</v>
      </c>
      <c r="AF140" s="45">
        <f t="shared" si="17"/>
        <v>-25.192974357752664</v>
      </c>
    </row>
    <row r="141" spans="1:33" ht="18" x14ac:dyDescent="0.25">
      <c r="A141" s="37">
        <v>130</v>
      </c>
      <c r="B141" s="37">
        <v>2</v>
      </c>
      <c r="C141" s="37" t="s">
        <v>62</v>
      </c>
      <c r="D141" s="37" t="s">
        <v>32</v>
      </c>
      <c r="E141" s="37"/>
      <c r="F141" s="37">
        <v>2</v>
      </c>
      <c r="G141" s="38" t="s">
        <v>75</v>
      </c>
      <c r="H141" s="37">
        <v>6.1390000000000002</v>
      </c>
      <c r="I141" s="37">
        <v>1</v>
      </c>
      <c r="J141" s="37"/>
      <c r="K141" s="46">
        <v>261</v>
      </c>
      <c r="L141" s="46" t="s">
        <v>269</v>
      </c>
      <c r="M141" s="46">
        <v>5.0938840000000001</v>
      </c>
      <c r="N141" s="46">
        <v>318.02067957516186</v>
      </c>
      <c r="O141" s="46">
        <v>5.1462035000000004</v>
      </c>
      <c r="P141" s="46">
        <v>-23.126110207264698</v>
      </c>
      <c r="Q141" s="37">
        <v>6.1390000000000002</v>
      </c>
      <c r="R141" s="40">
        <v>3.7583036388888882</v>
      </c>
      <c r="S141" s="40">
        <v>2.0716198484927761</v>
      </c>
      <c r="T141" s="40">
        <v>2.6898764166666664</v>
      </c>
      <c r="U141" s="40">
        <v>-25.568353824712908</v>
      </c>
      <c r="V141" s="40">
        <v>1.5536666666666668</v>
      </c>
      <c r="W141" s="40">
        <v>1.5536666666666668</v>
      </c>
      <c r="X141" s="41">
        <f t="shared" si="9"/>
        <v>1.1657759513266223E-2</v>
      </c>
      <c r="Y141" s="41">
        <f t="shared" si="10"/>
        <v>0.2657527419862567</v>
      </c>
      <c r="Z141" s="42">
        <f t="shared" si="11"/>
        <v>5.9383274660474605E-2</v>
      </c>
      <c r="AA141" s="42">
        <f t="shared" si="12"/>
        <v>1.3676176909442712</v>
      </c>
      <c r="AB141" s="43">
        <f t="shared" si="13"/>
        <v>0.96731185307826362</v>
      </c>
      <c r="AC141" s="43">
        <f t="shared" si="14"/>
        <v>22.277532023851947</v>
      </c>
      <c r="AD141" s="44">
        <f t="shared" si="15"/>
        <v>23.03035153860511</v>
      </c>
      <c r="AE141" s="45">
        <f t="shared" si="16"/>
        <v>317.9290597266691</v>
      </c>
      <c r="AF141" s="45">
        <f t="shared" si="17"/>
        <v>-23.587756382551792</v>
      </c>
    </row>
    <row r="142" spans="1:33" ht="18" x14ac:dyDescent="0.25">
      <c r="A142" s="37">
        <v>131</v>
      </c>
      <c r="B142" s="37">
        <v>2</v>
      </c>
      <c r="C142" s="37" t="s">
        <v>62</v>
      </c>
      <c r="D142" s="37" t="s">
        <v>34</v>
      </c>
      <c r="E142" s="37">
        <v>16.465863450000001</v>
      </c>
      <c r="F142" s="37">
        <v>2</v>
      </c>
      <c r="G142" s="38" t="s">
        <v>76</v>
      </c>
      <c r="H142" s="37">
        <v>7.2880000000000003</v>
      </c>
      <c r="I142" s="37">
        <v>1</v>
      </c>
      <c r="J142" s="37"/>
      <c r="K142" s="39">
        <v>262</v>
      </c>
      <c r="L142" s="39" t="s">
        <v>270</v>
      </c>
      <c r="M142" s="39">
        <v>2.4689410000000001</v>
      </c>
      <c r="N142" s="39">
        <v>36.63564117787049</v>
      </c>
      <c r="O142" s="39">
        <v>2.1752977499999999</v>
      </c>
      <c r="P142" s="39">
        <v>-25.259071669415043</v>
      </c>
      <c r="Q142" s="37">
        <v>7.2880000000000003</v>
      </c>
      <c r="R142" s="40">
        <v>3.7583036388888882</v>
      </c>
      <c r="S142" s="40">
        <v>2.0716198484927761</v>
      </c>
      <c r="T142" s="40">
        <v>2.6898764166666664</v>
      </c>
      <c r="U142" s="40">
        <v>-25.568353824712908</v>
      </c>
      <c r="V142" s="40">
        <v>1.5536666666666668</v>
      </c>
      <c r="W142" s="40">
        <v>1.5536666666666668</v>
      </c>
      <c r="X142" s="41">
        <f t="shared" si="9"/>
        <v>1.1657759513266223E-2</v>
      </c>
      <c r="Y142" s="41">
        <f t="shared" si="10"/>
        <v>0.2657527419862567</v>
      </c>
      <c r="Z142" s="42">
        <f t="shared" si="11"/>
        <v>2.8782320430443022E-2</v>
      </c>
      <c r="AA142" s="42">
        <f t="shared" si="12"/>
        <v>0.57809134169903476</v>
      </c>
      <c r="AB142" s="43">
        <f t="shared" si="13"/>
        <v>0.39492755804669344</v>
      </c>
      <c r="AC142" s="43">
        <f t="shared" si="14"/>
        <v>7.9320985414247351</v>
      </c>
      <c r="AD142" s="44">
        <f t="shared" si="15"/>
        <v>20.084945656000283</v>
      </c>
      <c r="AE142" s="45">
        <f t="shared" si="16"/>
        <v>36.544021329377713</v>
      </c>
      <c r="AF142" s="45">
        <f t="shared" si="17"/>
        <v>-25.720717844702136</v>
      </c>
    </row>
    <row r="143" spans="1:33" ht="18" x14ac:dyDescent="0.25">
      <c r="A143" s="37">
        <v>132</v>
      </c>
      <c r="B143" s="37">
        <v>2</v>
      </c>
      <c r="C143" s="37" t="s">
        <v>62</v>
      </c>
      <c r="D143" s="37" t="s">
        <v>36</v>
      </c>
      <c r="E143" s="37"/>
      <c r="F143" s="37">
        <v>2</v>
      </c>
      <c r="G143" s="38" t="s">
        <v>77</v>
      </c>
      <c r="H143" s="37">
        <v>6.319</v>
      </c>
      <c r="I143" s="37">
        <v>1</v>
      </c>
      <c r="J143" s="37"/>
      <c r="K143" s="46">
        <v>263</v>
      </c>
      <c r="L143" s="46" t="s">
        <v>271</v>
      </c>
      <c r="M143" s="46">
        <v>1.6201874999999999</v>
      </c>
      <c r="N143" s="46">
        <v>4.6093997624338794</v>
      </c>
      <c r="O143" s="46">
        <v>1.0367829374999999</v>
      </c>
      <c r="P143" s="46">
        <v>-25.272787232877008</v>
      </c>
      <c r="Q143" s="37">
        <v>6.319</v>
      </c>
      <c r="R143" s="40">
        <v>3.7583036388888882</v>
      </c>
      <c r="S143" s="40">
        <v>2.0716198484927761</v>
      </c>
      <c r="T143" s="40">
        <v>2.6898764166666664</v>
      </c>
      <c r="U143" s="40">
        <v>-25.568353824712908</v>
      </c>
      <c r="V143" s="40">
        <v>1.5536666666666668</v>
      </c>
      <c r="W143" s="40">
        <v>1.5536666666666668</v>
      </c>
      <c r="X143" s="41">
        <f t="shared" si="9"/>
        <v>1.1657759513266223E-2</v>
      </c>
      <c r="Y143" s="41">
        <f t="shared" si="10"/>
        <v>0.2657527419862567</v>
      </c>
      <c r="Z143" s="42">
        <f t="shared" si="11"/>
        <v>1.8887756241400017E-2</v>
      </c>
      <c r="AA143" s="42">
        <f t="shared" si="12"/>
        <v>0.27552790848519082</v>
      </c>
      <c r="AB143" s="43">
        <f t="shared" si="13"/>
        <v>0.29890419752176006</v>
      </c>
      <c r="AC143" s="43">
        <f t="shared" si="14"/>
        <v>4.3603087274124199</v>
      </c>
      <c r="AD143" s="44">
        <f t="shared" si="15"/>
        <v>14.58764635479899</v>
      </c>
      <c r="AE143" s="45">
        <f t="shared" si="16"/>
        <v>4.5177799139411032</v>
      </c>
      <c r="AF143" s="45">
        <f t="shared" si="17"/>
        <v>-25.734433408164101</v>
      </c>
    </row>
    <row r="144" spans="1:33" ht="18" x14ac:dyDescent="0.25">
      <c r="A144" s="37">
        <v>133</v>
      </c>
      <c r="B144" s="37">
        <v>3</v>
      </c>
      <c r="C144" s="37" t="s">
        <v>62</v>
      </c>
      <c r="D144" s="37" t="s">
        <v>32</v>
      </c>
      <c r="E144" s="37"/>
      <c r="F144" s="37">
        <v>2</v>
      </c>
      <c r="G144" s="38" t="s">
        <v>126</v>
      </c>
      <c r="H144" s="37">
        <v>6.2530000000000001</v>
      </c>
      <c r="I144" s="37">
        <v>1</v>
      </c>
      <c r="J144" s="37"/>
      <c r="K144" s="39">
        <v>264</v>
      </c>
      <c r="L144" s="39" t="s">
        <v>272</v>
      </c>
      <c r="M144" s="39">
        <v>6.1826689999999997</v>
      </c>
      <c r="N144" s="39">
        <v>468.10087928131037</v>
      </c>
      <c r="O144" s="39">
        <v>6.0099214999999999</v>
      </c>
      <c r="P144" s="39">
        <v>-21.122143186797871</v>
      </c>
      <c r="Q144" s="37">
        <v>6.2530000000000001</v>
      </c>
      <c r="R144" s="40">
        <v>3.7583036388888882</v>
      </c>
      <c r="S144" s="40">
        <v>2.0716198484927761</v>
      </c>
      <c r="T144" s="40">
        <v>2.6898764166666664</v>
      </c>
      <c r="U144" s="40">
        <v>-25.568353824712908</v>
      </c>
      <c r="V144" s="40">
        <v>1.5536666666666668</v>
      </c>
      <c r="W144" s="40">
        <v>1.5536666666666668</v>
      </c>
      <c r="X144" s="41">
        <f t="shared" si="9"/>
        <v>1.1657759513266223E-2</v>
      </c>
      <c r="Y144" s="41">
        <f t="shared" si="10"/>
        <v>0.2657527419862567</v>
      </c>
      <c r="Z144" s="42">
        <f t="shared" si="11"/>
        <v>7.2076068352126169E-2</v>
      </c>
      <c r="AA144" s="42">
        <f t="shared" si="12"/>
        <v>1.5971531177471567</v>
      </c>
      <c r="AB144" s="43">
        <f t="shared" si="13"/>
        <v>1.1526638150028172</v>
      </c>
      <c r="AC144" s="43">
        <f t="shared" si="14"/>
        <v>25.5421896329307</v>
      </c>
      <c r="AD144" s="44">
        <f t="shared" si="15"/>
        <v>22.159270812945813</v>
      </c>
      <c r="AE144" s="45">
        <f t="shared" si="16"/>
        <v>468.0092594328176</v>
      </c>
      <c r="AF144" s="45">
        <f t="shared" si="17"/>
        <v>-21.583789362084964</v>
      </c>
    </row>
    <row r="145" spans="1:32" ht="18" x14ac:dyDescent="0.25">
      <c r="A145" s="37">
        <v>134</v>
      </c>
      <c r="B145" s="37">
        <v>3</v>
      </c>
      <c r="C145" s="37" t="s">
        <v>62</v>
      </c>
      <c r="D145" s="37" t="s">
        <v>34</v>
      </c>
      <c r="E145" s="37">
        <v>27.655310620000002</v>
      </c>
      <c r="F145" s="37">
        <v>2</v>
      </c>
      <c r="G145" s="38" t="s">
        <v>127</v>
      </c>
      <c r="H145" s="37">
        <v>6.9249999999999998</v>
      </c>
      <c r="I145" s="37">
        <v>1</v>
      </c>
      <c r="J145" s="37"/>
      <c r="K145" s="46">
        <v>265</v>
      </c>
      <c r="L145" s="46" t="s">
        <v>273</v>
      </c>
      <c r="M145" s="46">
        <v>5.2917094999999996</v>
      </c>
      <c r="N145" s="46">
        <v>23.516273561367051</v>
      </c>
      <c r="O145" s="46">
        <v>4.0310940000000004</v>
      </c>
      <c r="P145" s="46">
        <v>-26.065699208540543</v>
      </c>
      <c r="Q145" s="37">
        <v>6.9249999999999998</v>
      </c>
      <c r="R145" s="40">
        <v>3.7583036388888882</v>
      </c>
      <c r="S145" s="40">
        <v>2.0716198484927761</v>
      </c>
      <c r="T145" s="40">
        <v>2.6898764166666664</v>
      </c>
      <c r="U145" s="40">
        <v>-25.568353824712908</v>
      </c>
      <c r="V145" s="40">
        <v>1.5536666666666668</v>
      </c>
      <c r="W145" s="40">
        <v>1.5536666666666668</v>
      </c>
      <c r="X145" s="41">
        <f t="shared" si="9"/>
        <v>1.1657759513266223E-2</v>
      </c>
      <c r="Y145" s="41">
        <f t="shared" si="10"/>
        <v>0.2657527419862567</v>
      </c>
      <c r="Z145" s="42">
        <f t="shared" si="11"/>
        <v>6.1689476765066246E-2</v>
      </c>
      <c r="AA145" s="42">
        <f t="shared" si="12"/>
        <v>1.0712742837043476</v>
      </c>
      <c r="AB145" s="43">
        <f t="shared" si="13"/>
        <v>0.89082276917063163</v>
      </c>
      <c r="AC145" s="43">
        <f t="shared" si="14"/>
        <v>15.469664746633178</v>
      </c>
      <c r="AD145" s="44">
        <f t="shared" si="15"/>
        <v>17.365591992036361</v>
      </c>
      <c r="AE145" s="45">
        <f t="shared" si="16"/>
        <v>23.424653712874274</v>
      </c>
      <c r="AF145" s="45">
        <f t="shared" si="17"/>
        <v>-26.527345383827637</v>
      </c>
    </row>
    <row r="146" spans="1:32" ht="18" x14ac:dyDescent="0.25">
      <c r="A146" s="37">
        <v>135</v>
      </c>
      <c r="B146" s="37">
        <v>3</v>
      </c>
      <c r="C146" s="37" t="s">
        <v>62</v>
      </c>
      <c r="D146" s="37" t="s">
        <v>36</v>
      </c>
      <c r="E146" s="37"/>
      <c r="F146" s="37">
        <v>2</v>
      </c>
      <c r="G146" s="38" t="s">
        <v>128</v>
      </c>
      <c r="H146" s="37">
        <v>6.944</v>
      </c>
      <c r="I146" s="37">
        <v>1</v>
      </c>
      <c r="J146" s="37"/>
      <c r="K146" s="39">
        <v>266</v>
      </c>
      <c r="L146" s="39" t="s">
        <v>274</v>
      </c>
      <c r="M146" s="39">
        <v>2.3332392500000001</v>
      </c>
      <c r="N146" s="39">
        <v>15.952031461598814</v>
      </c>
      <c r="O146" s="39">
        <v>1.5533878750000001</v>
      </c>
      <c r="P146" s="39">
        <v>-25.68477554872694</v>
      </c>
      <c r="Q146" s="37">
        <v>6.944</v>
      </c>
      <c r="R146" s="40">
        <v>3.7583036388888882</v>
      </c>
      <c r="S146" s="40">
        <v>2.0716198484927761</v>
      </c>
      <c r="T146" s="40">
        <v>2.6898764166666664</v>
      </c>
      <c r="U146" s="40">
        <v>-25.568353824712908</v>
      </c>
      <c r="V146" s="40">
        <v>1.5536666666666668</v>
      </c>
      <c r="W146" s="40">
        <v>1.5536666666666668</v>
      </c>
      <c r="X146" s="41">
        <f t="shared" si="9"/>
        <v>1.1657759513266223E-2</v>
      </c>
      <c r="Y146" s="41">
        <f t="shared" si="10"/>
        <v>0.2657527419862567</v>
      </c>
      <c r="Z146" s="42">
        <f t="shared" si="11"/>
        <v>2.7200342063413648E-2</v>
      </c>
      <c r="AA146" s="42">
        <f t="shared" si="12"/>
        <v>0.41281708714945459</v>
      </c>
      <c r="AB146" s="43">
        <f t="shared" si="13"/>
        <v>0.39170999515284632</v>
      </c>
      <c r="AC146" s="43">
        <f t="shared" si="14"/>
        <v>5.9449465315301637</v>
      </c>
      <c r="AD146" s="44">
        <f t="shared" si="15"/>
        <v>15.176907929577926</v>
      </c>
      <c r="AE146" s="45">
        <f t="shared" si="16"/>
        <v>15.860411613106038</v>
      </c>
      <c r="AF146" s="45">
        <f t="shared" si="17"/>
        <v>-26.146421724014033</v>
      </c>
    </row>
    <row r="147" spans="1:32" ht="18" x14ac:dyDescent="0.25">
      <c r="A147" s="37">
        <v>136</v>
      </c>
      <c r="B147" s="37">
        <v>4</v>
      </c>
      <c r="C147" s="37" t="s">
        <v>62</v>
      </c>
      <c r="D147" s="37" t="s">
        <v>32</v>
      </c>
      <c r="E147" s="37"/>
      <c r="F147" s="37">
        <v>2</v>
      </c>
      <c r="G147" s="38" t="s">
        <v>78</v>
      </c>
      <c r="H147" s="37">
        <v>6.4409999999999998</v>
      </c>
      <c r="I147" s="37">
        <v>1</v>
      </c>
      <c r="J147" s="37"/>
      <c r="K147" s="46">
        <v>267</v>
      </c>
      <c r="L147" s="46" t="s">
        <v>275</v>
      </c>
      <c r="M147" s="46">
        <v>6.6265340000000004</v>
      </c>
      <c r="N147" s="46">
        <v>214.0764908089711</v>
      </c>
      <c r="O147" s="46">
        <v>5.5872650000000004</v>
      </c>
      <c r="P147" s="46">
        <v>-23.726542528198678</v>
      </c>
      <c r="Q147" s="37">
        <v>6.4409999999999998</v>
      </c>
      <c r="R147" s="40">
        <v>3.7583036388888882</v>
      </c>
      <c r="S147" s="40">
        <v>2.0716198484927761</v>
      </c>
      <c r="T147" s="40">
        <v>2.6898764166666664</v>
      </c>
      <c r="U147" s="40">
        <v>-25.568353824712908</v>
      </c>
      <c r="V147" s="40">
        <v>1.5536666666666668</v>
      </c>
      <c r="W147" s="40">
        <v>1.5536666666666668</v>
      </c>
      <c r="X147" s="41">
        <f t="shared" si="9"/>
        <v>1.1657759513266223E-2</v>
      </c>
      <c r="Y147" s="41">
        <f t="shared" si="10"/>
        <v>0.2657527419862567</v>
      </c>
      <c r="Z147" s="42">
        <f t="shared" si="11"/>
        <v>7.7250539778482077E-2</v>
      </c>
      <c r="AA147" s="42">
        <f t="shared" si="12"/>
        <v>1.4848309939538427</v>
      </c>
      <c r="AB147" s="43">
        <f t="shared" si="13"/>
        <v>1.1993563076926266</v>
      </c>
      <c r="AC147" s="43">
        <f t="shared" si="14"/>
        <v>23.052802266012154</v>
      </c>
      <c r="AD147" s="44">
        <f t="shared" si="15"/>
        <v>19.220978885217296</v>
      </c>
      <c r="AE147" s="45">
        <f t="shared" si="16"/>
        <v>213.98487096047833</v>
      </c>
      <c r="AF147" s="45">
        <f t="shared" si="17"/>
        <v>-24.188188703485771</v>
      </c>
    </row>
    <row r="148" spans="1:32" ht="18" x14ac:dyDescent="0.25">
      <c r="A148" s="37">
        <v>137</v>
      </c>
      <c r="B148" s="37">
        <v>4</v>
      </c>
      <c r="C148" s="37" t="s">
        <v>62</v>
      </c>
      <c r="D148" s="37" t="s">
        <v>34</v>
      </c>
      <c r="E148" s="37">
        <v>15.308151090000001</v>
      </c>
      <c r="F148" s="37">
        <v>2</v>
      </c>
      <c r="G148" s="38" t="s">
        <v>79</v>
      </c>
      <c r="H148" s="37">
        <v>7.4450000000000003</v>
      </c>
      <c r="I148" s="37">
        <v>1</v>
      </c>
      <c r="J148" s="37"/>
      <c r="K148" s="39">
        <v>268</v>
      </c>
      <c r="L148" s="39" t="s">
        <v>276</v>
      </c>
      <c r="M148" s="39">
        <v>2.5263732499999998</v>
      </c>
      <c r="N148" s="39">
        <v>67.663245845549554</v>
      </c>
      <c r="O148" s="39">
        <v>2.0367083749999999</v>
      </c>
      <c r="P148" s="39">
        <v>-24.647487266778889</v>
      </c>
      <c r="Q148" s="37">
        <v>7.4450000000000003</v>
      </c>
      <c r="R148" s="40">
        <v>3.7583036388888882</v>
      </c>
      <c r="S148" s="40">
        <v>2.0716198484927761</v>
      </c>
      <c r="T148" s="40">
        <v>2.6898764166666664</v>
      </c>
      <c r="U148" s="40">
        <v>-25.568353824712908</v>
      </c>
      <c r="V148" s="40">
        <v>1.5536666666666668</v>
      </c>
      <c r="W148" s="40">
        <v>1.5536666666666668</v>
      </c>
      <c r="X148" s="41">
        <f t="shared" si="9"/>
        <v>1.1657759513266223E-2</v>
      </c>
      <c r="Y148" s="41">
        <f t="shared" si="10"/>
        <v>0.2657527419862567</v>
      </c>
      <c r="Z148" s="42">
        <f t="shared" si="11"/>
        <v>2.9451851789248803E-2</v>
      </c>
      <c r="AA148" s="42">
        <f t="shared" si="12"/>
        <v>0.54126083528262314</v>
      </c>
      <c r="AB148" s="43">
        <f t="shared" si="13"/>
        <v>0.39559236788782809</v>
      </c>
      <c r="AC148" s="43">
        <f t="shared" si="14"/>
        <v>7.2701253899613585</v>
      </c>
      <c r="AD148" s="44">
        <f t="shared" si="15"/>
        <v>18.377820150521291</v>
      </c>
      <c r="AE148" s="45">
        <f t="shared" si="16"/>
        <v>67.571625997056771</v>
      </c>
      <c r="AF148" s="45">
        <f t="shared" si="17"/>
        <v>-25.109133442065982</v>
      </c>
    </row>
    <row r="149" spans="1:32" ht="18" x14ac:dyDescent="0.25">
      <c r="A149" s="37">
        <v>138</v>
      </c>
      <c r="B149" s="37">
        <v>4</v>
      </c>
      <c r="C149" s="37" t="s">
        <v>62</v>
      </c>
      <c r="D149" s="37" t="s">
        <v>36</v>
      </c>
      <c r="E149" s="37"/>
      <c r="F149" s="37">
        <v>2</v>
      </c>
      <c r="G149" s="38" t="s">
        <v>80</v>
      </c>
      <c r="H149" s="37">
        <v>7.0839999999999996</v>
      </c>
      <c r="I149" s="37">
        <v>1</v>
      </c>
      <c r="J149" s="37"/>
      <c r="K149" s="46">
        <v>269</v>
      </c>
      <c r="L149" s="46" t="s">
        <v>277</v>
      </c>
      <c r="M149" s="46">
        <v>1.105903375</v>
      </c>
      <c r="N149" s="46">
        <v>14.921291814261089</v>
      </c>
      <c r="O149" s="46">
        <v>0.65976962500000003</v>
      </c>
      <c r="P149" s="46">
        <v>-25.463901973762439</v>
      </c>
      <c r="Q149" s="37">
        <v>7.0839999999999996</v>
      </c>
      <c r="R149" s="40">
        <v>3.7583036388888882</v>
      </c>
      <c r="S149" s="40">
        <v>2.0716198484927761</v>
      </c>
      <c r="T149" s="40">
        <v>2.6898764166666664</v>
      </c>
      <c r="U149" s="40">
        <v>-25.568353824712908</v>
      </c>
      <c r="V149" s="40">
        <v>1.5536666666666668</v>
      </c>
      <c r="W149" s="40">
        <v>1.5536666666666668</v>
      </c>
      <c r="X149" s="41">
        <f t="shared" si="9"/>
        <v>1.1657759513266223E-2</v>
      </c>
      <c r="Y149" s="41">
        <f t="shared" si="10"/>
        <v>0.2657527419862567</v>
      </c>
      <c r="Z149" s="42">
        <f t="shared" si="11"/>
        <v>1.2892355590659474E-2</v>
      </c>
      <c r="AA149" s="42">
        <f t="shared" si="12"/>
        <v>0.17533558692299434</v>
      </c>
      <c r="AB149" s="43">
        <f t="shared" si="13"/>
        <v>0.18199259727074357</v>
      </c>
      <c r="AC149" s="43">
        <f t="shared" si="14"/>
        <v>2.4750929831026869</v>
      </c>
      <c r="AD149" s="44">
        <f t="shared" si="15"/>
        <v>13.599965164630207</v>
      </c>
      <c r="AE149" s="45">
        <f t="shared" si="16"/>
        <v>14.829671965768313</v>
      </c>
      <c r="AF149" s="45">
        <f t="shared" si="17"/>
        <v>-25.925548149049533</v>
      </c>
    </row>
    <row r="150" spans="1:32" ht="18" x14ac:dyDescent="0.25">
      <c r="A150" s="37">
        <v>139</v>
      </c>
      <c r="B150" s="37">
        <v>5</v>
      </c>
      <c r="C150" s="37" t="s">
        <v>62</v>
      </c>
      <c r="D150" s="37" t="s">
        <v>32</v>
      </c>
      <c r="E150" s="37"/>
      <c r="F150" s="37">
        <v>2</v>
      </c>
      <c r="G150" s="38" t="s">
        <v>81</v>
      </c>
      <c r="H150" s="37">
        <v>6.1920000000000002</v>
      </c>
      <c r="I150" s="37">
        <v>1</v>
      </c>
      <c r="J150" s="37"/>
      <c r="K150" s="39">
        <v>270</v>
      </c>
      <c r="L150" s="39" t="s">
        <v>278</v>
      </c>
      <c r="M150" s="39">
        <v>5.6823125000000001</v>
      </c>
      <c r="N150" s="39">
        <v>127.55318579801497</v>
      </c>
      <c r="O150" s="39">
        <v>4.8768975000000001</v>
      </c>
      <c r="P150" s="39">
        <v>-25.154714822863255</v>
      </c>
      <c r="Q150" s="37">
        <v>6.1920000000000002</v>
      </c>
      <c r="R150" s="40">
        <v>3.7583036388888882</v>
      </c>
      <c r="S150" s="40">
        <v>2.0716198484927761</v>
      </c>
      <c r="T150" s="40">
        <v>2.6898764166666664</v>
      </c>
      <c r="U150" s="40">
        <v>-25.568353824712908</v>
      </c>
      <c r="V150" s="40">
        <v>1.5536666666666668</v>
      </c>
      <c r="W150" s="40">
        <v>1.5536666666666668</v>
      </c>
      <c r="X150" s="41">
        <f t="shared" si="9"/>
        <v>1.1657759513266223E-2</v>
      </c>
      <c r="Y150" s="41">
        <f t="shared" si="10"/>
        <v>0.2657527419862567</v>
      </c>
      <c r="Z150" s="42">
        <f t="shared" si="11"/>
        <v>6.6243032604226579E-2</v>
      </c>
      <c r="AA150" s="42">
        <f t="shared" si="12"/>
        <v>1.2960488830109205</v>
      </c>
      <c r="AB150" s="43">
        <f t="shared" si="13"/>
        <v>1.069816418026915</v>
      </c>
      <c r="AC150" s="43">
        <f t="shared" si="14"/>
        <v>20.931022012450267</v>
      </c>
      <c r="AD150" s="44">
        <f t="shared" si="15"/>
        <v>19.565059630561468</v>
      </c>
      <c r="AE150" s="47">
        <f t="shared" si="16"/>
        <v>127.4615659495222</v>
      </c>
      <c r="AF150" s="45">
        <f t="shared" si="17"/>
        <v>-25.616360998150348</v>
      </c>
    </row>
    <row r="151" spans="1:32" ht="18" x14ac:dyDescent="0.25">
      <c r="A151" s="37">
        <v>140</v>
      </c>
      <c r="B151" s="37">
        <v>5</v>
      </c>
      <c r="C151" s="37" t="s">
        <v>62</v>
      </c>
      <c r="D151" s="37" t="s">
        <v>34</v>
      </c>
      <c r="E151" s="37">
        <v>22.8</v>
      </c>
      <c r="F151" s="37">
        <v>2</v>
      </c>
      <c r="G151" s="38" t="s">
        <v>82</v>
      </c>
      <c r="H151" s="37">
        <v>6.4279999999999999</v>
      </c>
      <c r="I151" s="37">
        <v>1</v>
      </c>
      <c r="J151" s="37"/>
      <c r="K151" s="46">
        <v>271</v>
      </c>
      <c r="L151" s="46" t="s">
        <v>279</v>
      </c>
      <c r="M151" s="46">
        <v>3.7812250000000001</v>
      </c>
      <c r="N151" s="46">
        <v>64.747304808269362</v>
      </c>
      <c r="O151" s="46">
        <v>3.5641020000000001</v>
      </c>
      <c r="P151" s="46">
        <v>-24.259230850328578</v>
      </c>
      <c r="Q151" s="37">
        <v>6.4279999999999999</v>
      </c>
      <c r="R151" s="40">
        <v>3.7583036388888882</v>
      </c>
      <c r="S151" s="40">
        <v>2.0716198484927761</v>
      </c>
      <c r="T151" s="40">
        <v>2.6898764166666664</v>
      </c>
      <c r="U151" s="40">
        <v>-25.568353824712908</v>
      </c>
      <c r="V151" s="40">
        <v>1.5536666666666668</v>
      </c>
      <c r="W151" s="40">
        <v>1.5536666666666668</v>
      </c>
      <c r="X151" s="41">
        <f t="shared" ref="X151:X159" si="29">((2.82/100)*V151)/R151</f>
        <v>1.1657759513266223E-2</v>
      </c>
      <c r="Y151" s="41">
        <f t="shared" ref="Y151:Y159" si="30">((46.01/100)*W151)/T151</f>
        <v>0.2657527419862567</v>
      </c>
      <c r="Z151" s="42">
        <f t="shared" ref="Z151:Z159" si="31">M151*X151</f>
        <v>4.4080611715550076E-2</v>
      </c>
      <c r="AA151" s="42">
        <f t="shared" ref="AA151:AA159" si="32">O151*Y151</f>
        <v>0.94716987921870155</v>
      </c>
      <c r="AB151" s="43">
        <f t="shared" ref="AB151:AB159" si="33">100*Z151/Q151</f>
        <v>0.6857593608517436</v>
      </c>
      <c r="AC151" s="43">
        <f t="shared" ref="AC151:AC159" si="34">100*AA151/Q151</f>
        <v>14.735063460154038</v>
      </c>
      <c r="AD151" s="44">
        <f t="shared" ref="AD151:AD159" si="35">AA151/Z151</f>
        <v>21.487221759324488</v>
      </c>
      <c r="AE151" s="45">
        <f t="shared" ref="AE151:AE159" si="36">N151+(1.98-S151)</f>
        <v>64.655684959776579</v>
      </c>
      <c r="AF151" s="45">
        <f t="shared" ref="AF151:AF159" si="37">P151+(-26.03-U151)</f>
        <v>-24.720877025615671</v>
      </c>
    </row>
    <row r="152" spans="1:32" ht="18" x14ac:dyDescent="0.25">
      <c r="A152" s="37">
        <v>141</v>
      </c>
      <c r="B152" s="37">
        <v>5</v>
      </c>
      <c r="C152" s="37" t="s">
        <v>62</v>
      </c>
      <c r="D152" s="37" t="s">
        <v>36</v>
      </c>
      <c r="E152" s="37"/>
      <c r="F152" s="37">
        <v>2</v>
      </c>
      <c r="G152" s="38" t="s">
        <v>83</v>
      </c>
      <c r="H152" s="37">
        <v>6.4189999999999996</v>
      </c>
      <c r="I152" s="37">
        <v>1</v>
      </c>
      <c r="J152" s="37"/>
      <c r="K152" s="39">
        <v>272</v>
      </c>
      <c r="L152" s="39" t="s">
        <v>280</v>
      </c>
      <c r="M152" s="39">
        <v>4.0764275000000003</v>
      </c>
      <c r="N152" s="39">
        <v>-1.5101323842261398</v>
      </c>
      <c r="O152" s="39">
        <v>2.7343255000000002</v>
      </c>
      <c r="P152" s="39">
        <v>-25.720324630409223</v>
      </c>
      <c r="Q152" s="37">
        <v>6.4189999999999996</v>
      </c>
      <c r="R152" s="40">
        <v>3.7583036388888882</v>
      </c>
      <c r="S152" s="40">
        <v>2.0716198484927761</v>
      </c>
      <c r="T152" s="40">
        <v>2.6898764166666664</v>
      </c>
      <c r="U152" s="40">
        <v>-25.568353824712908</v>
      </c>
      <c r="V152" s="40">
        <v>1.5536666666666668</v>
      </c>
      <c r="W152" s="40">
        <v>1.5536666666666668</v>
      </c>
      <c r="X152" s="41">
        <f t="shared" si="29"/>
        <v>1.1657759513266223E-2</v>
      </c>
      <c r="Y152" s="41">
        <f t="shared" si="30"/>
        <v>0.2657527419862567</v>
      </c>
      <c r="Z152" s="42">
        <f t="shared" si="31"/>
        <v>4.7522011468265048E-2</v>
      </c>
      <c r="AA152" s="42">
        <f t="shared" si="32"/>
        <v>0.72665449910794244</v>
      </c>
      <c r="AB152" s="43">
        <f t="shared" si="33"/>
        <v>0.74033356392374283</v>
      </c>
      <c r="AC152" s="43">
        <f t="shared" si="34"/>
        <v>11.320369202491705</v>
      </c>
      <c r="AD152" s="44">
        <f t="shared" si="35"/>
        <v>15.290903660363757</v>
      </c>
      <c r="AE152" s="45">
        <f t="shared" si="36"/>
        <v>-1.601752232718916</v>
      </c>
      <c r="AF152" s="45">
        <f t="shared" si="37"/>
        <v>-26.181970805696317</v>
      </c>
    </row>
    <row r="153" spans="1:32" ht="18" x14ac:dyDescent="0.25">
      <c r="A153" s="37">
        <v>142</v>
      </c>
      <c r="B153" s="37">
        <v>6</v>
      </c>
      <c r="C153" s="37" t="s">
        <v>62</v>
      </c>
      <c r="D153" s="37" t="s">
        <v>32</v>
      </c>
      <c r="E153" s="37"/>
      <c r="F153" s="37">
        <v>2</v>
      </c>
      <c r="G153" s="38" t="s">
        <v>84</v>
      </c>
      <c r="H153" s="37">
        <v>8.4090000000000007</v>
      </c>
      <c r="I153" s="37">
        <v>1</v>
      </c>
      <c r="J153" s="37"/>
      <c r="K153" s="46">
        <v>273</v>
      </c>
      <c r="L153" s="46" t="s">
        <v>281</v>
      </c>
      <c r="M153" s="46">
        <v>7.6491544999999999</v>
      </c>
      <c r="N153" s="46">
        <v>79.050400065738415</v>
      </c>
      <c r="O153" s="46">
        <v>6.5095609999999997</v>
      </c>
      <c r="P153" s="46">
        <v>-27.161236319217338</v>
      </c>
      <c r="Q153" s="37">
        <v>8.4090000000000007</v>
      </c>
      <c r="R153" s="40">
        <v>3.7583036388888882</v>
      </c>
      <c r="S153" s="40">
        <v>2.0716198484927761</v>
      </c>
      <c r="T153" s="40">
        <v>2.6898764166666664</v>
      </c>
      <c r="U153" s="40">
        <v>-25.568353824712908</v>
      </c>
      <c r="V153" s="40">
        <v>1.5536666666666668</v>
      </c>
      <c r="W153" s="40">
        <v>1.5536666666666668</v>
      </c>
      <c r="X153" s="41">
        <f t="shared" si="29"/>
        <v>1.1657759513266223E-2</v>
      </c>
      <c r="Y153" s="41">
        <f t="shared" si="30"/>
        <v>0.2657527419862567</v>
      </c>
      <c r="Z153" s="42">
        <f t="shared" si="31"/>
        <v>8.9172003640818134E-2</v>
      </c>
      <c r="AA153" s="42">
        <f t="shared" si="32"/>
        <v>1.729933684876799</v>
      </c>
      <c r="AB153" s="43">
        <f t="shared" si="33"/>
        <v>1.0604352912453101</v>
      </c>
      <c r="AC153" s="43">
        <f t="shared" si="34"/>
        <v>20.572406765094527</v>
      </c>
      <c r="AD153" s="44">
        <f t="shared" si="35"/>
        <v>19.399964274044063</v>
      </c>
      <c r="AE153" s="45">
        <f t="shared" si="36"/>
        <v>78.958780217245646</v>
      </c>
      <c r="AF153" s="45">
        <f t="shared" si="37"/>
        <v>-27.622882494504431</v>
      </c>
    </row>
    <row r="154" spans="1:32" ht="18" x14ac:dyDescent="0.25">
      <c r="A154" s="37">
        <v>143</v>
      </c>
      <c r="B154" s="37">
        <v>6</v>
      </c>
      <c r="C154" s="37" t="s">
        <v>62</v>
      </c>
      <c r="D154" s="37" t="s">
        <v>34</v>
      </c>
      <c r="E154" s="37">
        <v>20.35928144</v>
      </c>
      <c r="F154" s="37">
        <v>2</v>
      </c>
      <c r="G154" s="38" t="s">
        <v>85</v>
      </c>
      <c r="H154" s="37">
        <v>6.3029999999999999</v>
      </c>
      <c r="I154" s="37">
        <v>1</v>
      </c>
      <c r="J154" s="37"/>
      <c r="K154" s="39">
        <v>274</v>
      </c>
      <c r="L154" s="39" t="s">
        <v>282</v>
      </c>
      <c r="M154" s="39">
        <v>3.0498612500000002</v>
      </c>
      <c r="N154" s="39">
        <v>72.782482106993797</v>
      </c>
      <c r="O154" s="39">
        <v>2.4375477499999998</v>
      </c>
      <c r="P154" s="39">
        <v>-24.652222026534385</v>
      </c>
      <c r="Q154" s="37">
        <v>6.3029999999999999</v>
      </c>
      <c r="R154" s="40">
        <v>3.7583036388888882</v>
      </c>
      <c r="S154" s="40">
        <v>2.0716198484927761</v>
      </c>
      <c r="T154" s="40">
        <v>2.6898764166666664</v>
      </c>
      <c r="U154" s="40">
        <v>-25.568353824712908</v>
      </c>
      <c r="V154" s="40">
        <v>1.5536666666666668</v>
      </c>
      <c r="W154" s="40">
        <v>1.5536666666666668</v>
      </c>
      <c r="X154" s="41">
        <f t="shared" si="29"/>
        <v>1.1657759513266223E-2</v>
      </c>
      <c r="Y154" s="41">
        <f t="shared" si="30"/>
        <v>0.2657527419862567</v>
      </c>
      <c r="Z154" s="42">
        <f t="shared" si="31"/>
        <v>3.5554549001329518E-2</v>
      </c>
      <c r="AA154" s="42">
        <f t="shared" si="32"/>
        <v>0.64778499828493052</v>
      </c>
      <c r="AB154" s="43">
        <f t="shared" si="33"/>
        <v>0.56408930670045243</v>
      </c>
      <c r="AC154" s="43">
        <f t="shared" si="34"/>
        <v>10.27740755647994</v>
      </c>
      <c r="AD154" s="44">
        <f t="shared" si="35"/>
        <v>18.219468857858594</v>
      </c>
      <c r="AE154" s="45">
        <f t="shared" si="36"/>
        <v>72.690862258501028</v>
      </c>
      <c r="AF154" s="45">
        <f t="shared" si="37"/>
        <v>-25.113868201821479</v>
      </c>
    </row>
    <row r="155" spans="1:32" ht="18" x14ac:dyDescent="0.25">
      <c r="A155" s="37">
        <v>144</v>
      </c>
      <c r="B155" s="37">
        <v>6</v>
      </c>
      <c r="C155" s="37" t="s">
        <v>62</v>
      </c>
      <c r="D155" s="37" t="s">
        <v>36</v>
      </c>
      <c r="E155" s="37"/>
      <c r="F155" s="37">
        <v>2</v>
      </c>
      <c r="G155" s="38" t="s">
        <v>86</v>
      </c>
      <c r="H155" s="37">
        <v>7.0110000000000001</v>
      </c>
      <c r="I155" s="37">
        <v>1</v>
      </c>
      <c r="J155" s="37"/>
      <c r="K155" s="46">
        <v>275</v>
      </c>
      <c r="L155" s="46" t="s">
        <v>283</v>
      </c>
      <c r="M155" s="46">
        <v>2.8821590000000001</v>
      </c>
      <c r="N155" s="46">
        <v>0.37328441436922932</v>
      </c>
      <c r="O155" s="46">
        <v>1.8875173750000001</v>
      </c>
      <c r="P155" s="46">
        <v>-25.785229147756883</v>
      </c>
      <c r="Q155" s="37">
        <v>7.0110000000000001</v>
      </c>
      <c r="R155" s="40">
        <v>3.7583036388888882</v>
      </c>
      <c r="S155" s="40">
        <v>2.0716198484927761</v>
      </c>
      <c r="T155" s="40">
        <v>2.6898764166666664</v>
      </c>
      <c r="U155" s="40">
        <v>-25.568353824712908</v>
      </c>
      <c r="V155" s="40">
        <v>1.5536666666666668</v>
      </c>
      <c r="W155" s="40">
        <v>1.5536666666666668</v>
      </c>
      <c r="X155" s="41">
        <f t="shared" si="29"/>
        <v>1.1657759513266223E-2</v>
      </c>
      <c r="Y155" s="41">
        <f t="shared" si="30"/>
        <v>0.2657527419862567</v>
      </c>
      <c r="Z155" s="42">
        <f t="shared" si="31"/>
        <v>3.3599516500995866E-2</v>
      </c>
      <c r="AA155" s="42">
        <f t="shared" si="32"/>
        <v>0.5016129179529516</v>
      </c>
      <c r="AB155" s="43">
        <f t="shared" si="33"/>
        <v>0.47924000144053441</v>
      </c>
      <c r="AC155" s="43">
        <f t="shared" si="34"/>
        <v>7.154655797360598</v>
      </c>
      <c r="AD155" s="44">
        <f t="shared" si="35"/>
        <v>14.929170720003787</v>
      </c>
      <c r="AE155" s="45">
        <f t="shared" si="36"/>
        <v>0.28166456587645317</v>
      </c>
      <c r="AF155" s="45">
        <f t="shared" si="37"/>
        <v>-26.246875323043977</v>
      </c>
    </row>
    <row r="156" spans="1:32" ht="18" x14ac:dyDescent="0.25">
      <c r="A156" s="37">
        <v>145</v>
      </c>
      <c r="B156" s="37">
        <v>2</v>
      </c>
      <c r="C156" s="37" t="s">
        <v>31</v>
      </c>
      <c r="D156" s="37" t="s">
        <v>129</v>
      </c>
      <c r="E156" s="37"/>
      <c r="F156" s="37">
        <v>2</v>
      </c>
      <c r="G156" s="38" t="s">
        <v>87</v>
      </c>
      <c r="H156" s="37">
        <v>6.3410000000000002</v>
      </c>
      <c r="I156" s="37">
        <v>1</v>
      </c>
      <c r="J156" s="37"/>
      <c r="K156" s="39">
        <v>276</v>
      </c>
      <c r="L156" s="39" t="s">
        <v>284</v>
      </c>
      <c r="M156" s="39">
        <v>8.5741390000000006</v>
      </c>
      <c r="N156" s="39">
        <v>6.6849556169539071</v>
      </c>
      <c r="O156" s="39">
        <v>7.2305124999999997</v>
      </c>
      <c r="P156" s="39">
        <v>-29.790875415561317</v>
      </c>
      <c r="Q156" s="37">
        <v>6.3410000000000002</v>
      </c>
      <c r="R156" s="40">
        <v>3.7583036388888882</v>
      </c>
      <c r="S156" s="40">
        <v>2.0716198484927761</v>
      </c>
      <c r="T156" s="40">
        <v>2.6898764166666664</v>
      </c>
      <c r="U156" s="40">
        <v>-25.568353824712908</v>
      </c>
      <c r="V156" s="40">
        <v>1.5536666666666668</v>
      </c>
      <c r="W156" s="40">
        <v>1.5536666666666668</v>
      </c>
      <c r="X156" s="41">
        <f t="shared" si="29"/>
        <v>1.1657759513266223E-2</v>
      </c>
      <c r="Y156" s="41">
        <f t="shared" si="30"/>
        <v>0.2657527419862567</v>
      </c>
      <c r="Z156" s="42">
        <f t="shared" si="31"/>
        <v>9.995525049531695E-2</v>
      </c>
      <c r="AA156" s="42">
        <f t="shared" si="32"/>
        <v>1.9215285228409038</v>
      </c>
      <c r="AB156" s="43">
        <f t="shared" si="33"/>
        <v>1.5763326051934545</v>
      </c>
      <c r="AC156" s="43">
        <f t="shared" si="34"/>
        <v>30.303241173961581</v>
      </c>
      <c r="AD156" s="44">
        <f t="shared" si="35"/>
        <v>19.223887822990651</v>
      </c>
      <c r="AE156" s="45">
        <f t="shared" si="36"/>
        <v>6.5933357684611309</v>
      </c>
      <c r="AF156" s="45">
        <f t="shared" si="37"/>
        <v>-30.25252159084841</v>
      </c>
    </row>
    <row r="157" spans="1:32" ht="18" x14ac:dyDescent="0.25">
      <c r="A157" s="37">
        <v>146</v>
      </c>
      <c r="B157" s="37">
        <v>2</v>
      </c>
      <c r="C157" s="37" t="s">
        <v>38</v>
      </c>
      <c r="D157" s="37" t="s">
        <v>129</v>
      </c>
      <c r="E157" s="37"/>
      <c r="F157" s="37">
        <v>2</v>
      </c>
      <c r="G157" s="38" t="s">
        <v>88</v>
      </c>
      <c r="H157" s="37">
        <v>7.4790000000000001</v>
      </c>
      <c r="I157" s="37">
        <v>1</v>
      </c>
      <c r="J157" s="37"/>
      <c r="K157" s="46">
        <v>277</v>
      </c>
      <c r="L157" s="46" t="s">
        <v>285</v>
      </c>
      <c r="M157" s="46">
        <v>19.587157999999999</v>
      </c>
      <c r="N157" s="46">
        <v>131.91518617471937</v>
      </c>
      <c r="O157" s="46">
        <v>8.9545910000000006</v>
      </c>
      <c r="P157" s="46">
        <v>-28.939158927606858</v>
      </c>
      <c r="Q157" s="37">
        <v>7.4790000000000001</v>
      </c>
      <c r="R157" s="40">
        <v>3.7583036388888882</v>
      </c>
      <c r="S157" s="40">
        <v>2.0716198484927761</v>
      </c>
      <c r="T157" s="40">
        <v>2.6898764166666664</v>
      </c>
      <c r="U157" s="40">
        <v>-25.568353824712908</v>
      </c>
      <c r="V157" s="40">
        <v>1.5536666666666668</v>
      </c>
      <c r="W157" s="40">
        <v>1.5536666666666668</v>
      </c>
      <c r="X157" s="41">
        <f t="shared" si="29"/>
        <v>1.1657759513266223E-2</v>
      </c>
      <c r="Y157" s="41">
        <f t="shared" si="30"/>
        <v>0.2657527419862567</v>
      </c>
      <c r="Z157" s="42">
        <f t="shared" si="31"/>
        <v>0.22834237751234859</v>
      </c>
      <c r="AA157" s="42">
        <f t="shared" si="32"/>
        <v>2.3797071116154567</v>
      </c>
      <c r="AB157" s="43">
        <f t="shared" si="33"/>
        <v>3.0531137520035911</v>
      </c>
      <c r="AC157" s="43">
        <f t="shared" si="34"/>
        <v>31.818520010903285</v>
      </c>
      <c r="AD157" s="44">
        <f t="shared" si="35"/>
        <v>10.421662144105353</v>
      </c>
      <c r="AE157" s="45">
        <f t="shared" si="36"/>
        <v>131.8235663262266</v>
      </c>
      <c r="AF157" s="45">
        <f t="shared" si="37"/>
        <v>-29.400805102893951</v>
      </c>
    </row>
    <row r="158" spans="1:32" ht="18" x14ac:dyDescent="0.25">
      <c r="A158" s="37">
        <v>147</v>
      </c>
      <c r="B158" s="37">
        <v>3</v>
      </c>
      <c r="C158" s="37" t="s">
        <v>42</v>
      </c>
      <c r="D158" s="37" t="s">
        <v>129</v>
      </c>
      <c r="E158" s="37"/>
      <c r="F158" s="37">
        <v>2</v>
      </c>
      <c r="G158" s="38" t="s">
        <v>89</v>
      </c>
      <c r="H158" s="37">
        <v>6.6079999999999997</v>
      </c>
      <c r="I158" s="37">
        <v>1</v>
      </c>
      <c r="J158" s="37"/>
      <c r="K158" s="39">
        <v>278</v>
      </c>
      <c r="L158" s="39" t="s">
        <v>286</v>
      </c>
      <c r="M158" s="39">
        <v>9.4296509999999998</v>
      </c>
      <c r="N158" s="39">
        <v>18.479195106280216</v>
      </c>
      <c r="O158" s="39">
        <v>7.2368730000000001</v>
      </c>
      <c r="P158" s="39">
        <v>-28.341310701572255</v>
      </c>
      <c r="Q158" s="37">
        <v>6.6079999999999997</v>
      </c>
      <c r="R158" s="40">
        <v>3.7583036388888882</v>
      </c>
      <c r="S158" s="40">
        <v>2.0716198484927761</v>
      </c>
      <c r="T158" s="40">
        <v>2.6898764166666664</v>
      </c>
      <c r="U158" s="40">
        <v>-25.568353824712908</v>
      </c>
      <c r="V158" s="40">
        <v>1.5536666666666668</v>
      </c>
      <c r="W158" s="40">
        <v>1.5536666666666668</v>
      </c>
      <c r="X158" s="41">
        <f t="shared" si="29"/>
        <v>1.1657759513266223E-2</v>
      </c>
      <c r="Y158" s="41">
        <f t="shared" si="30"/>
        <v>0.2657527419862567</v>
      </c>
      <c r="Z158" s="42">
        <f t="shared" si="31"/>
        <v>0.10992860365203035</v>
      </c>
      <c r="AA158" s="42">
        <f t="shared" si="32"/>
        <v>1.9232188431563075</v>
      </c>
      <c r="AB158" s="43">
        <f t="shared" si="33"/>
        <v>1.6635684572038492</v>
      </c>
      <c r="AC158" s="43">
        <f t="shared" si="34"/>
        <v>29.104401379484074</v>
      </c>
      <c r="AD158" s="44">
        <f t="shared" si="35"/>
        <v>17.495163035492503</v>
      </c>
      <c r="AE158" s="45">
        <f t="shared" si="36"/>
        <v>18.387575257787439</v>
      </c>
      <c r="AF158" s="45">
        <f t="shared" si="37"/>
        <v>-28.802956876859348</v>
      </c>
    </row>
    <row r="159" spans="1:32" ht="18" x14ac:dyDescent="0.25">
      <c r="A159" s="37">
        <v>148</v>
      </c>
      <c r="B159" s="37">
        <v>4</v>
      </c>
      <c r="C159" s="37" t="s">
        <v>54</v>
      </c>
      <c r="D159" s="37" t="s">
        <v>129</v>
      </c>
      <c r="E159" s="37"/>
      <c r="F159" s="37">
        <v>2</v>
      </c>
      <c r="G159" s="38" t="s">
        <v>90</v>
      </c>
      <c r="H159" s="37">
        <v>6.1520000000000001</v>
      </c>
      <c r="I159" s="37">
        <v>1</v>
      </c>
      <c r="J159" s="37"/>
      <c r="K159" s="48">
        <v>279</v>
      </c>
      <c r="L159" s="48" t="s">
        <v>287</v>
      </c>
      <c r="M159" s="48">
        <v>8.8306660000000008</v>
      </c>
      <c r="N159" s="48">
        <v>325.66110467528557</v>
      </c>
      <c r="O159" s="48">
        <v>7.3778724999999996</v>
      </c>
      <c r="P159" s="48">
        <v>-23.223889438777277</v>
      </c>
      <c r="Q159" s="37">
        <v>6.1520000000000001</v>
      </c>
      <c r="R159" s="40">
        <v>3.7583036388888882</v>
      </c>
      <c r="S159" s="40">
        <v>2.0716198484927761</v>
      </c>
      <c r="T159" s="40">
        <v>2.6898764166666664</v>
      </c>
      <c r="U159" s="40">
        <v>-25.568353824712908</v>
      </c>
      <c r="V159" s="40">
        <v>1.5536666666666668</v>
      </c>
      <c r="W159" s="40">
        <v>1.5536666666666668</v>
      </c>
      <c r="X159" s="41">
        <f t="shared" si="29"/>
        <v>1.1657759513266223E-2</v>
      </c>
      <c r="Y159" s="41">
        <f t="shared" si="30"/>
        <v>0.2657527419862567</v>
      </c>
      <c r="Z159" s="42">
        <f t="shared" si="31"/>
        <v>0.10294578056997659</v>
      </c>
      <c r="AA159" s="42">
        <f t="shared" si="32"/>
        <v>1.9606898468999987</v>
      </c>
      <c r="AB159" s="43">
        <f t="shared" si="33"/>
        <v>1.6733709455457835</v>
      </c>
      <c r="AC159" s="43">
        <f t="shared" si="34"/>
        <v>31.870771243498027</v>
      </c>
      <c r="AD159" s="44">
        <f t="shared" si="35"/>
        <v>19.045849534039281</v>
      </c>
      <c r="AE159" s="45">
        <f t="shared" si="36"/>
        <v>325.5694848267928</v>
      </c>
      <c r="AF159" s="45">
        <f t="shared" si="37"/>
        <v>-23.685535614064371</v>
      </c>
    </row>
    <row r="160" spans="1:32" ht="18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 t="s">
        <v>289</v>
      </c>
      <c r="K160" s="21"/>
      <c r="L160" s="21"/>
      <c r="M160" s="21"/>
      <c r="N160" s="21"/>
      <c r="O160" s="21"/>
      <c r="P160" s="21"/>
      <c r="R160" s="11"/>
      <c r="S160" s="11"/>
      <c r="T160" s="11"/>
      <c r="U160" s="11"/>
      <c r="V160" s="11"/>
      <c r="W160" s="11"/>
      <c r="X160" s="2"/>
      <c r="Y160" s="2"/>
      <c r="Z160" s="6"/>
      <c r="AA160" s="6"/>
      <c r="AB160" s="3"/>
      <c r="AC160" s="4"/>
      <c r="AD160" s="5"/>
      <c r="AE160" s="1"/>
      <c r="AF160" s="1"/>
    </row>
    <row r="161" spans="1:32" ht="18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 t="s">
        <v>289</v>
      </c>
      <c r="K161" s="7">
        <v>131</v>
      </c>
      <c r="L161" s="7" t="s">
        <v>142</v>
      </c>
      <c r="M161" s="8">
        <v>3.1161867499999998</v>
      </c>
      <c r="N161" s="8">
        <v>2.1137631608796337</v>
      </c>
      <c r="O161" s="8">
        <v>2.2606744999999999</v>
      </c>
      <c r="P161" s="8">
        <v>-25.702732468738763</v>
      </c>
      <c r="Q161">
        <v>1.3240000000000001</v>
      </c>
      <c r="R161" s="19">
        <v>3.7583036388888882</v>
      </c>
      <c r="S161" s="19">
        <v>2.0716198484927761</v>
      </c>
      <c r="T161" s="19">
        <v>2.6898764166666664</v>
      </c>
      <c r="U161" s="19">
        <v>-25.568353824712908</v>
      </c>
      <c r="V161" s="19">
        <v>1.5536666666666668</v>
      </c>
      <c r="W161" s="19">
        <v>1.5536666666666668</v>
      </c>
      <c r="X161" s="2">
        <f t="shared" ref="X161:X171" si="38">((2.82/100)*V161)/R161</f>
        <v>1.1657759513266223E-2</v>
      </c>
      <c r="Y161" s="2">
        <f t="shared" ref="Y161:Y171" si="39">((46.01/100)*W161)/T161</f>
        <v>0.2657527419862567</v>
      </c>
      <c r="Z161" s="6">
        <f t="shared" ref="Z161:Z171" si="40">M161*X161</f>
        <v>3.632775572992665E-2</v>
      </c>
      <c r="AA161" s="6">
        <f t="shared" ref="AA161:AA171" si="41">O161*Y161</f>
        <v>0.60078044711340983</v>
      </c>
      <c r="AB161" s="17">
        <f t="shared" ref="AB161:AB171" si="42">100*Z161/Q161</f>
        <v>2.7437881971243692</v>
      </c>
      <c r="AC161" s="18">
        <f t="shared" ref="AC161:AC171" si="43">100*AA161/Q161</f>
        <v>45.376166700408596</v>
      </c>
      <c r="AD161" s="12">
        <f t="shared" ref="AD161:AD171" si="44">AA161/Z161</f>
        <v>16.537780411755232</v>
      </c>
      <c r="AE161" s="13">
        <f t="shared" ref="AE161:AE171" si="45">N161+(1.98-S161)</f>
        <v>2.0221433123868575</v>
      </c>
      <c r="AF161" s="13">
        <f t="shared" ref="AF161:AF171" si="46">P161+(-26.03-U161)</f>
        <v>-26.164378644025856</v>
      </c>
    </row>
    <row r="162" spans="1:32" ht="18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 t="s">
        <v>289</v>
      </c>
      <c r="K162" s="9">
        <v>144</v>
      </c>
      <c r="L162" s="9" t="s">
        <v>155</v>
      </c>
      <c r="M162" s="10">
        <v>3.3912847500000001</v>
      </c>
      <c r="N162" s="10">
        <v>2.5465444455059911</v>
      </c>
      <c r="O162" s="10">
        <v>2.4673745</v>
      </c>
      <c r="P162" s="10">
        <v>-25.86208440221241</v>
      </c>
      <c r="Q162">
        <v>1.4410000000000001</v>
      </c>
      <c r="R162" s="19">
        <v>3.7583036388888882</v>
      </c>
      <c r="S162" s="19">
        <v>2.0716198484927761</v>
      </c>
      <c r="T162" s="19">
        <v>2.6898764166666664</v>
      </c>
      <c r="U162" s="19">
        <v>-25.568353824712908</v>
      </c>
      <c r="V162" s="19">
        <v>1.5536666666666668</v>
      </c>
      <c r="W162" s="19">
        <v>1.5536666666666668</v>
      </c>
      <c r="X162" s="2">
        <f t="shared" si="38"/>
        <v>1.1657759513266223E-2</v>
      </c>
      <c r="Y162" s="2">
        <f t="shared" si="39"/>
        <v>0.2657527419862567</v>
      </c>
      <c r="Z162" s="6">
        <f t="shared" si="40"/>
        <v>3.9534782056507164E-2</v>
      </c>
      <c r="AA162" s="6">
        <f t="shared" si="41"/>
        <v>0.65571153888196909</v>
      </c>
      <c r="AB162" s="17">
        <f t="shared" si="42"/>
        <v>2.7435657221725998</v>
      </c>
      <c r="AC162" s="18">
        <f t="shared" si="43"/>
        <v>45.503923586534974</v>
      </c>
      <c r="AD162" s="12">
        <f t="shared" si="44"/>
        <v>16.585687457306808</v>
      </c>
      <c r="AE162" s="13">
        <f t="shared" si="45"/>
        <v>2.454924597013215</v>
      </c>
      <c r="AF162" s="13">
        <f t="shared" si="46"/>
        <v>-26.323730577499504</v>
      </c>
    </row>
    <row r="163" spans="1:32" ht="18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 t="s">
        <v>289</v>
      </c>
      <c r="K163" s="7">
        <v>145</v>
      </c>
      <c r="L163" s="7" t="s">
        <v>156</v>
      </c>
      <c r="M163" s="8">
        <v>3.1629505</v>
      </c>
      <c r="N163" s="8">
        <v>0.32142674709965957</v>
      </c>
      <c r="O163" s="8">
        <v>2.2600972499999998</v>
      </c>
      <c r="P163" s="8">
        <v>-25.746110883034063</v>
      </c>
      <c r="Q163">
        <v>1.31</v>
      </c>
      <c r="R163" s="19">
        <v>3.7583036388888882</v>
      </c>
      <c r="S163" s="19">
        <v>2.0716198484927761</v>
      </c>
      <c r="T163" s="19">
        <v>2.6898764166666664</v>
      </c>
      <c r="U163" s="19">
        <v>-25.568353824712908</v>
      </c>
      <c r="V163" s="19">
        <v>1.5536666666666668</v>
      </c>
      <c r="W163" s="19">
        <v>1.5536666666666668</v>
      </c>
      <c r="X163" s="2">
        <f t="shared" si="38"/>
        <v>1.1657759513266223E-2</v>
      </c>
      <c r="Y163" s="2">
        <f t="shared" si="39"/>
        <v>0.2657527419862567</v>
      </c>
      <c r="Z163" s="6">
        <f t="shared" si="40"/>
        <v>3.6872916281365159E-2</v>
      </c>
      <c r="AA163" s="6">
        <f t="shared" si="41"/>
        <v>0.6006270413430983</v>
      </c>
      <c r="AB163" s="17">
        <f t="shared" si="42"/>
        <v>2.8147264336919968</v>
      </c>
      <c r="AC163" s="18">
        <f t="shared" si="43"/>
        <v>45.849392468938802</v>
      </c>
      <c r="AD163" s="12">
        <f t="shared" si="44"/>
        <v>16.289111410660059</v>
      </c>
      <c r="AE163" s="13">
        <f t="shared" si="45"/>
        <v>0.22980689860688341</v>
      </c>
      <c r="AF163" s="13">
        <f t="shared" si="46"/>
        <v>-26.207757058321157</v>
      </c>
    </row>
    <row r="164" spans="1:32" ht="18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 t="s">
        <v>289</v>
      </c>
      <c r="K164" s="7">
        <v>161</v>
      </c>
      <c r="L164" s="7" t="s">
        <v>172</v>
      </c>
      <c r="M164" s="8">
        <v>2.9862912499999998</v>
      </c>
      <c r="N164" s="8">
        <v>1.9133736386890199</v>
      </c>
      <c r="O164" s="8">
        <v>2.1322549999999998</v>
      </c>
      <c r="P164" s="8">
        <v>-25.640634451045045</v>
      </c>
      <c r="Q164">
        <v>1.224</v>
      </c>
      <c r="R164" s="19">
        <v>3.7583036388888882</v>
      </c>
      <c r="S164" s="19">
        <v>2.0716198484927761</v>
      </c>
      <c r="T164" s="19">
        <v>2.6898764166666664</v>
      </c>
      <c r="U164" s="19">
        <v>-25.568353824712908</v>
      </c>
      <c r="V164" s="19">
        <v>1.5536666666666668</v>
      </c>
      <c r="W164" s="19">
        <v>1.5536666666666668</v>
      </c>
      <c r="X164" s="2">
        <f t="shared" si="38"/>
        <v>1.1657759513266223E-2</v>
      </c>
      <c r="Y164" s="2">
        <f t="shared" si="39"/>
        <v>0.2657527419862567</v>
      </c>
      <c r="Z164" s="6">
        <f t="shared" si="40"/>
        <v>3.481346522907118E-2</v>
      </c>
      <c r="AA164" s="6">
        <f t="shared" si="41"/>
        <v>0.56665261286390578</v>
      </c>
      <c r="AB164" s="17">
        <f t="shared" si="42"/>
        <v>2.844237355316273</v>
      </c>
      <c r="AC164" s="18">
        <f t="shared" si="43"/>
        <v>46.295148109796223</v>
      </c>
      <c r="AD164" s="12">
        <f t="shared" si="44"/>
        <v>16.276823037734243</v>
      </c>
      <c r="AE164" s="13">
        <f t="shared" si="45"/>
        <v>1.8217537901962437</v>
      </c>
      <c r="AF164" s="13">
        <f t="shared" si="46"/>
        <v>-26.102280626332139</v>
      </c>
    </row>
    <row r="165" spans="1:32" ht="18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 t="s">
        <v>289</v>
      </c>
      <c r="K165" s="7">
        <v>177</v>
      </c>
      <c r="L165" s="7" t="s">
        <v>188</v>
      </c>
      <c r="M165" s="8">
        <v>3.2744487499999999</v>
      </c>
      <c r="N165" s="8">
        <v>1.9701940538814329</v>
      </c>
      <c r="O165" s="8">
        <v>2.3275990000000002</v>
      </c>
      <c r="P165" s="8">
        <v>-25.852822458864878</v>
      </c>
      <c r="Q165">
        <v>1.3420000000000001</v>
      </c>
      <c r="R165" s="19">
        <v>3.7583036388888882</v>
      </c>
      <c r="S165" s="19">
        <v>2.0716198484927761</v>
      </c>
      <c r="T165" s="19">
        <v>2.6898764166666664</v>
      </c>
      <c r="U165" s="19">
        <v>-25.568353824712908</v>
      </c>
      <c r="V165" s="19">
        <v>1.5536666666666668</v>
      </c>
      <c r="W165" s="19">
        <v>1.5536666666666668</v>
      </c>
      <c r="X165" s="2">
        <f t="shared" si="38"/>
        <v>1.1657759513266223E-2</v>
      </c>
      <c r="Y165" s="2">
        <f t="shared" si="39"/>
        <v>0.2657527419862567</v>
      </c>
      <c r="Z165" s="6">
        <f t="shared" si="40"/>
        <v>3.8172736066015192E-2</v>
      </c>
      <c r="AA165" s="6">
        <f t="shared" si="41"/>
        <v>0.61856581649446918</v>
      </c>
      <c r="AB165" s="17">
        <f t="shared" si="42"/>
        <v>2.8444661748148428</v>
      </c>
      <c r="AC165" s="18">
        <f t="shared" si="43"/>
        <v>46.09283282373093</v>
      </c>
      <c r="AD165" s="12">
        <f t="shared" si="44"/>
        <v>16.204387744822206</v>
      </c>
      <c r="AE165" s="13">
        <f t="shared" si="45"/>
        <v>1.8785742053886567</v>
      </c>
      <c r="AF165" s="13">
        <f t="shared" si="46"/>
        <v>-26.314468634151972</v>
      </c>
    </row>
    <row r="166" spans="1:32" ht="18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 t="s">
        <v>289</v>
      </c>
      <c r="K166" s="7">
        <v>209</v>
      </c>
      <c r="L166" s="7" t="s">
        <v>220</v>
      </c>
      <c r="M166" s="8">
        <v>3.5962542499999999</v>
      </c>
      <c r="N166" s="8">
        <v>2.0528201590124722</v>
      </c>
      <c r="O166" s="8">
        <v>2.5769475000000002</v>
      </c>
      <c r="P166" s="8">
        <v>-25.801398103169028</v>
      </c>
      <c r="Q166">
        <v>1.4930000000000001</v>
      </c>
      <c r="R166" s="19">
        <v>3.7583036388888882</v>
      </c>
      <c r="S166" s="19">
        <v>2.0716198484927761</v>
      </c>
      <c r="T166" s="19">
        <v>2.6898764166666664</v>
      </c>
      <c r="U166" s="19">
        <v>-25.568353824712908</v>
      </c>
      <c r="V166" s="19">
        <v>1.5536666666666668</v>
      </c>
      <c r="W166" s="19">
        <v>1.5536666666666668</v>
      </c>
      <c r="X166" s="2">
        <f t="shared" si="38"/>
        <v>1.1657759513266223E-2</v>
      </c>
      <c r="Y166" s="2">
        <f t="shared" si="39"/>
        <v>0.2657527419862567</v>
      </c>
      <c r="Z166" s="6">
        <f t="shared" si="40"/>
        <v>4.1924267195061586E-2</v>
      </c>
      <c r="AA166" s="6">
        <f t="shared" si="41"/>
        <v>0.68483086407962934</v>
      </c>
      <c r="AB166" s="17">
        <f t="shared" si="42"/>
        <v>2.8080554048936093</v>
      </c>
      <c r="AC166" s="18">
        <f t="shared" si="43"/>
        <v>45.869448364342212</v>
      </c>
      <c r="AD166" s="12">
        <f t="shared" si="44"/>
        <v>16.334951327671579</v>
      </c>
      <c r="AE166" s="13">
        <f t="shared" si="45"/>
        <v>1.961200310519696</v>
      </c>
      <c r="AF166" s="13">
        <f t="shared" si="46"/>
        <v>-26.263044278456121</v>
      </c>
    </row>
    <row r="167" spans="1:32" ht="18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 t="s">
        <v>289</v>
      </c>
      <c r="K167" s="7">
        <v>225</v>
      </c>
      <c r="L167" s="7" t="s">
        <v>236</v>
      </c>
      <c r="M167" s="8">
        <v>3.4615534999999999</v>
      </c>
      <c r="N167" s="8">
        <v>2.0485413950689924</v>
      </c>
      <c r="O167" s="8">
        <v>2.47853425</v>
      </c>
      <c r="P167" s="8">
        <v>-25.815740857232218</v>
      </c>
      <c r="Q167">
        <v>1.4470000000000001</v>
      </c>
      <c r="R167" s="19">
        <v>3.7583036388888882</v>
      </c>
      <c r="S167" s="19">
        <v>2.0716198484927761</v>
      </c>
      <c r="T167" s="19">
        <v>2.6898764166666664</v>
      </c>
      <c r="U167" s="19">
        <v>-25.568353824712908</v>
      </c>
      <c r="V167" s="19">
        <v>1.5536666666666668</v>
      </c>
      <c r="W167" s="19">
        <v>1.5536666666666668</v>
      </c>
      <c r="X167" s="2">
        <f t="shared" ref="X167" si="47">((2.82/100)*V167)/R167</f>
        <v>1.1657759513266223E-2</v>
      </c>
      <c r="Y167" s="2">
        <f t="shared" ref="Y167" si="48">((46.01/100)*W167)/T167</f>
        <v>0.2657527419862567</v>
      </c>
      <c r="Z167" s="6">
        <f t="shared" ref="Z167" si="49">M167*X167</f>
        <v>4.0353958245304994E-2</v>
      </c>
      <c r="AA167" s="6">
        <f t="shared" ref="AA167" si="50">O167*Y167</f>
        <v>0.65867727304435031</v>
      </c>
      <c r="AB167" s="17">
        <f t="shared" ref="AB167" si="51">100*Z167/Q167</f>
        <v>2.7888015373396677</v>
      </c>
      <c r="AC167" s="18">
        <f t="shared" ref="AC167" si="52">100*AA167/Q167</f>
        <v>45.520198551786478</v>
      </c>
      <c r="AD167" s="12">
        <f t="shared" ref="AD167" si="53">AA167/Z167</f>
        <v>16.322494785774442</v>
      </c>
      <c r="AE167" s="13">
        <f t="shared" ref="AE167" si="54">N167+(1.98-S167)</f>
        <v>1.9569215465762162</v>
      </c>
      <c r="AF167" s="13">
        <f t="shared" ref="AF167" si="55">P167+(-26.03-U167)</f>
        <v>-26.277387032519311</v>
      </c>
    </row>
    <row r="168" spans="1:32" ht="18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 t="s">
        <v>289</v>
      </c>
      <c r="K168" s="7">
        <v>244</v>
      </c>
      <c r="L168" s="7" t="s">
        <v>252</v>
      </c>
      <c r="M168" s="8">
        <v>4.9954159999999996</v>
      </c>
      <c r="N168" s="8">
        <v>2.4443094931152984</v>
      </c>
      <c r="O168" s="8">
        <v>3.5949857500000002</v>
      </c>
      <c r="P168" s="8">
        <v>-24.962332615654187</v>
      </c>
      <c r="Q168">
        <v>2.0409999999999999</v>
      </c>
      <c r="R168" s="19">
        <v>3.7583036388888882</v>
      </c>
      <c r="S168" s="19">
        <v>2.0716198484927761</v>
      </c>
      <c r="T168" s="19">
        <v>2.6898764166666664</v>
      </c>
      <c r="U168" s="19">
        <v>-25.568353824712908</v>
      </c>
      <c r="V168" s="19">
        <v>1.5536666666666668</v>
      </c>
      <c r="W168" s="19">
        <v>1.5536666666666668</v>
      </c>
      <c r="X168" s="2">
        <f t="shared" ref="X168:X169" si="56">((2.82/100)*V168)/R168</f>
        <v>1.1657759513266223E-2</v>
      </c>
      <c r="Y168" s="2">
        <f t="shared" ref="Y168:Y169" si="57">((46.01/100)*W168)/T168</f>
        <v>0.2657527419862567</v>
      </c>
      <c r="Z168" s="6">
        <f t="shared" ref="Z168:Z169" si="58">M168*X168</f>
        <v>5.8235358396722302E-2</v>
      </c>
      <c r="AA168" s="6">
        <f t="shared" ref="AA168:AA169" si="59">O168*Y168</f>
        <v>0.95537732046401957</v>
      </c>
      <c r="AB168" s="17">
        <f t="shared" ref="AB168:AB169" si="60">100*Z168/Q168</f>
        <v>2.8532757666203969</v>
      </c>
      <c r="AC168" s="18">
        <f t="shared" ref="AC168:AC169" si="61">100*AA168/Q168</f>
        <v>46.809275867908852</v>
      </c>
      <c r="AD168" s="12">
        <f t="shared" ref="AD168:AD169" si="62">AA168/Z168</f>
        <v>16.405451031237952</v>
      </c>
      <c r="AE168" s="13">
        <f t="shared" ref="AE168:AE169" si="63">N168+(1.98-S168)</f>
        <v>2.3526896446225223</v>
      </c>
      <c r="AF168" s="13">
        <f t="shared" ref="AF168:AF169" si="64">P168+(-26.03-U168)</f>
        <v>-25.42397879094128</v>
      </c>
    </row>
    <row r="169" spans="1:32" ht="18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 t="s">
        <v>289</v>
      </c>
      <c r="K169" s="7">
        <v>260</v>
      </c>
      <c r="L169" s="7" t="s">
        <v>268</v>
      </c>
      <c r="M169" s="8">
        <v>5.8403470000000004</v>
      </c>
      <c r="N169" s="8">
        <v>3.2336055431824882</v>
      </c>
      <c r="O169" s="8">
        <v>4.1104200000000004</v>
      </c>
      <c r="P169" s="8">
        <v>-24.731328182465571</v>
      </c>
      <c r="Q169">
        <v>2.3610000000000002</v>
      </c>
      <c r="R169" s="19">
        <v>3.7583036388888882</v>
      </c>
      <c r="S169" s="19">
        <v>2.0716198484927761</v>
      </c>
      <c r="T169" s="19">
        <v>2.6898764166666664</v>
      </c>
      <c r="U169" s="19">
        <v>-25.568353824712908</v>
      </c>
      <c r="V169" s="19">
        <v>1.5536666666666668</v>
      </c>
      <c r="W169" s="19">
        <v>1.5536666666666668</v>
      </c>
      <c r="X169" s="2">
        <f t="shared" si="56"/>
        <v>1.1657759513266223E-2</v>
      </c>
      <c r="Y169" s="2">
        <f t="shared" si="57"/>
        <v>0.2657527419862567</v>
      </c>
      <c r="Z169" s="6">
        <f t="shared" si="58"/>
        <v>6.8085360800025849E-2</v>
      </c>
      <c r="AA169" s="6">
        <f t="shared" si="59"/>
        <v>1.0923553857151493</v>
      </c>
      <c r="AB169" s="17">
        <f t="shared" si="60"/>
        <v>2.8837509868710649</v>
      </c>
      <c r="AC169" s="18">
        <f t="shared" si="61"/>
        <v>46.266640648672144</v>
      </c>
      <c r="AD169" s="12">
        <f t="shared" si="62"/>
        <v>16.043909775605311</v>
      </c>
      <c r="AE169" s="13">
        <f t="shared" si="63"/>
        <v>3.141985694689712</v>
      </c>
      <c r="AF169" s="13">
        <f t="shared" si="64"/>
        <v>-25.192974357752664</v>
      </c>
    </row>
    <row r="170" spans="1:32" ht="18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 t="s">
        <v>289</v>
      </c>
      <c r="K170" s="15"/>
      <c r="L170" s="15"/>
      <c r="M170" s="16"/>
      <c r="N170" s="16"/>
      <c r="O170" s="16"/>
      <c r="P170" s="16"/>
      <c r="Q170" s="21"/>
      <c r="R170" s="19"/>
      <c r="S170" s="19"/>
      <c r="T170" s="19"/>
      <c r="U170" s="19"/>
      <c r="V170" s="19"/>
      <c r="W170" s="19"/>
      <c r="X170" s="2"/>
      <c r="Y170" s="2"/>
      <c r="Z170" s="6"/>
      <c r="AA170" s="6"/>
      <c r="AB170" s="17"/>
      <c r="AC170" s="18"/>
      <c r="AD170" s="12"/>
      <c r="AE170" s="13"/>
      <c r="AF170" s="13"/>
    </row>
    <row r="171" spans="1:32" ht="18" x14ac:dyDescent="0.25">
      <c r="J171" s="21" t="s">
        <v>289</v>
      </c>
      <c r="K171" s="20"/>
      <c r="L171" s="20"/>
      <c r="M171" s="19">
        <f>AVERAGE(M161:M169)</f>
        <v>3.7583036388888882</v>
      </c>
      <c r="N171" s="19">
        <f t="shared" ref="N171:Q171" si="65">AVERAGE(N161:N169)</f>
        <v>2.0716198484927761</v>
      </c>
      <c r="O171" s="19">
        <f t="shared" si="65"/>
        <v>2.6898764166666664</v>
      </c>
      <c r="P171" s="19">
        <f t="shared" si="65"/>
        <v>-25.568353824712908</v>
      </c>
      <c r="Q171" s="19">
        <f t="shared" si="65"/>
        <v>1.5536666666666668</v>
      </c>
      <c r="R171" s="19">
        <v>3.7583036388888882</v>
      </c>
      <c r="S171" s="19">
        <v>2.0716198484927761</v>
      </c>
      <c r="T171" s="19">
        <v>2.6898764166666664</v>
      </c>
      <c r="U171" s="19">
        <v>-25.568353824712908</v>
      </c>
      <c r="V171" s="19">
        <v>1.5536666666666668</v>
      </c>
      <c r="W171" s="19">
        <v>1.5536666666666668</v>
      </c>
      <c r="X171" s="2">
        <f t="shared" si="38"/>
        <v>1.1657759513266223E-2</v>
      </c>
      <c r="Y171" s="2">
        <f t="shared" si="39"/>
        <v>0.2657527419862567</v>
      </c>
      <c r="Z171" s="6">
        <f t="shared" si="40"/>
        <v>4.3813400000000002E-2</v>
      </c>
      <c r="AA171" s="6">
        <f t="shared" si="41"/>
        <v>0.71484203333333329</v>
      </c>
      <c r="AB171" s="17">
        <f t="shared" si="42"/>
        <v>2.82</v>
      </c>
      <c r="AC171" s="18">
        <f t="shared" si="43"/>
        <v>46.009999999999991</v>
      </c>
      <c r="AD171" s="12">
        <f t="shared" si="44"/>
        <v>16.315602836879432</v>
      </c>
      <c r="AE171" s="13">
        <f t="shared" si="45"/>
        <v>1.98</v>
      </c>
      <c r="AF171" s="13">
        <f t="shared" si="46"/>
        <v>-26.03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0FDA-759B-417B-8E3F-803533BD973D}">
  <dimension ref="A1:I159"/>
  <sheetViews>
    <sheetView workbookViewId="0">
      <selection activeCell="G177" sqref="G177"/>
    </sheetView>
  </sheetViews>
  <sheetFormatPr defaultRowHeight="15" x14ac:dyDescent="0.25"/>
  <sheetData>
    <row r="1" spans="1:9" x14ac:dyDescent="0.25">
      <c r="A1" s="23" t="s">
        <v>22</v>
      </c>
      <c r="B1" s="23" t="s">
        <v>23</v>
      </c>
      <c r="C1" s="23" t="s">
        <v>24</v>
      </c>
      <c r="D1" s="23" t="s">
        <v>25</v>
      </c>
      <c r="E1" s="23" t="s">
        <v>26</v>
      </c>
      <c r="F1" s="23" t="s">
        <v>27</v>
      </c>
      <c r="G1" s="24" t="s">
        <v>28</v>
      </c>
      <c r="H1" s="23" t="s">
        <v>29</v>
      </c>
      <c r="I1" s="23" t="s">
        <v>30</v>
      </c>
    </row>
    <row r="2" spans="1:9" x14ac:dyDescent="0.25">
      <c r="A2">
        <v>1</v>
      </c>
      <c r="B2">
        <v>1</v>
      </c>
      <c r="C2" t="s">
        <v>31</v>
      </c>
      <c r="D2" t="s">
        <v>32</v>
      </c>
      <c r="F2">
        <v>0</v>
      </c>
      <c r="G2" s="22" t="s">
        <v>33</v>
      </c>
      <c r="H2">
        <v>7.835</v>
      </c>
      <c r="I2">
        <v>0</v>
      </c>
    </row>
    <row r="3" spans="1:9" x14ac:dyDescent="0.25">
      <c r="A3">
        <v>2</v>
      </c>
      <c r="B3">
        <v>1</v>
      </c>
      <c r="C3" t="s">
        <v>31</v>
      </c>
      <c r="D3" t="s">
        <v>34</v>
      </c>
      <c r="E3">
        <v>19.920318730000002</v>
      </c>
      <c r="F3">
        <v>0</v>
      </c>
      <c r="G3" s="22" t="s">
        <v>35</v>
      </c>
      <c r="H3">
        <v>7.6319999999999997</v>
      </c>
      <c r="I3">
        <v>0</v>
      </c>
    </row>
    <row r="4" spans="1:9" x14ac:dyDescent="0.25">
      <c r="A4">
        <v>3</v>
      </c>
      <c r="B4">
        <v>1</v>
      </c>
      <c r="C4" t="s">
        <v>31</v>
      </c>
      <c r="D4" t="s">
        <v>36</v>
      </c>
      <c r="F4">
        <v>0</v>
      </c>
      <c r="G4" s="22" t="s">
        <v>37</v>
      </c>
      <c r="H4">
        <v>7.5579999999999998</v>
      </c>
      <c r="I4">
        <v>0</v>
      </c>
    </row>
    <row r="5" spans="1:9" x14ac:dyDescent="0.25">
      <c r="A5">
        <v>19</v>
      </c>
      <c r="B5">
        <v>1</v>
      </c>
      <c r="C5" t="s">
        <v>38</v>
      </c>
      <c r="D5" t="s">
        <v>32</v>
      </c>
      <c r="F5">
        <v>0</v>
      </c>
      <c r="G5" s="22" t="s">
        <v>39</v>
      </c>
      <c r="H5">
        <v>6.3479999999999999</v>
      </c>
      <c r="I5">
        <v>0</v>
      </c>
    </row>
    <row r="6" spans="1:9" x14ac:dyDescent="0.25">
      <c r="A6">
        <v>20</v>
      </c>
      <c r="B6">
        <v>1</v>
      </c>
      <c r="C6" t="s">
        <v>38</v>
      </c>
      <c r="D6" t="s">
        <v>34</v>
      </c>
      <c r="E6">
        <v>11.952191239999999</v>
      </c>
      <c r="F6">
        <v>0</v>
      </c>
      <c r="G6" s="22" t="s">
        <v>40</v>
      </c>
      <c r="H6">
        <v>7.4210000000000003</v>
      </c>
      <c r="I6">
        <v>0</v>
      </c>
    </row>
    <row r="7" spans="1:9" x14ac:dyDescent="0.25">
      <c r="A7">
        <v>21</v>
      </c>
      <c r="B7">
        <v>1</v>
      </c>
      <c r="C7" t="s">
        <v>38</v>
      </c>
      <c r="D7" t="s">
        <v>36</v>
      </c>
      <c r="F7">
        <v>0</v>
      </c>
      <c r="G7" s="22" t="s">
        <v>41</v>
      </c>
      <c r="H7">
        <v>7.907</v>
      </c>
      <c r="I7">
        <v>0</v>
      </c>
    </row>
    <row r="8" spans="1:9" x14ac:dyDescent="0.25">
      <c r="A8">
        <v>37</v>
      </c>
      <c r="B8">
        <v>1</v>
      </c>
      <c r="C8" t="s">
        <v>42</v>
      </c>
      <c r="D8" t="s">
        <v>32</v>
      </c>
      <c r="F8">
        <v>0</v>
      </c>
      <c r="G8" s="22" t="s">
        <v>43</v>
      </c>
      <c r="H8">
        <v>6.4169999999999998</v>
      </c>
      <c r="I8">
        <v>0</v>
      </c>
    </row>
    <row r="9" spans="1:9" x14ac:dyDescent="0.25">
      <c r="A9">
        <v>38</v>
      </c>
      <c r="B9">
        <v>1</v>
      </c>
      <c r="C9" t="s">
        <v>42</v>
      </c>
      <c r="D9" t="s">
        <v>34</v>
      </c>
      <c r="E9">
        <v>16.071428569999998</v>
      </c>
      <c r="F9">
        <v>0</v>
      </c>
      <c r="G9" s="22" t="s">
        <v>44</v>
      </c>
      <c r="H9">
        <v>6.9909999999999997</v>
      </c>
      <c r="I9">
        <v>0</v>
      </c>
    </row>
    <row r="10" spans="1:9" x14ac:dyDescent="0.25">
      <c r="A10">
        <v>39</v>
      </c>
      <c r="B10">
        <v>1</v>
      </c>
      <c r="C10" t="s">
        <v>42</v>
      </c>
      <c r="D10" t="s">
        <v>36</v>
      </c>
      <c r="F10">
        <v>0</v>
      </c>
      <c r="G10" s="22" t="s">
        <v>45</v>
      </c>
      <c r="H10">
        <v>8.1969999999999992</v>
      </c>
      <c r="I10">
        <v>0</v>
      </c>
    </row>
    <row r="11" spans="1:9" x14ac:dyDescent="0.25">
      <c r="A11">
        <v>55</v>
      </c>
      <c r="B11">
        <v>1</v>
      </c>
      <c r="C11" t="s">
        <v>46</v>
      </c>
      <c r="D11" t="s">
        <v>32</v>
      </c>
      <c r="F11">
        <v>0</v>
      </c>
      <c r="G11" s="22" t="s">
        <v>47</v>
      </c>
      <c r="H11">
        <v>6.3070000000000004</v>
      </c>
      <c r="I11">
        <v>0</v>
      </c>
    </row>
    <row r="12" spans="1:9" x14ac:dyDescent="0.25">
      <c r="A12">
        <v>56</v>
      </c>
      <c r="B12">
        <v>1</v>
      </c>
      <c r="C12" t="s">
        <v>46</v>
      </c>
      <c r="D12" t="s">
        <v>34</v>
      </c>
      <c r="E12">
        <v>18.091451289999998</v>
      </c>
      <c r="F12">
        <v>0</v>
      </c>
      <c r="G12" s="22" t="s">
        <v>48</v>
      </c>
      <c r="H12">
        <v>8.1370000000000005</v>
      </c>
      <c r="I12">
        <v>0</v>
      </c>
    </row>
    <row r="13" spans="1:9" x14ac:dyDescent="0.25">
      <c r="A13">
        <v>57</v>
      </c>
      <c r="B13">
        <v>1</v>
      </c>
      <c r="C13" t="s">
        <v>46</v>
      </c>
      <c r="D13" t="s">
        <v>36</v>
      </c>
      <c r="F13">
        <v>0</v>
      </c>
      <c r="G13" s="22" t="s">
        <v>49</v>
      </c>
      <c r="H13">
        <v>8.5280000000000005</v>
      </c>
      <c r="I13">
        <v>0</v>
      </c>
    </row>
    <row r="15" spans="1:9" x14ac:dyDescent="0.25">
      <c r="A15">
        <v>73</v>
      </c>
      <c r="B15">
        <v>1</v>
      </c>
      <c r="C15" t="s">
        <v>50</v>
      </c>
      <c r="D15" t="s">
        <v>32</v>
      </c>
      <c r="F15">
        <v>0</v>
      </c>
      <c r="G15" s="22" t="s">
        <v>51</v>
      </c>
      <c r="H15">
        <v>6.665</v>
      </c>
      <c r="I15">
        <v>0</v>
      </c>
    </row>
    <row r="16" spans="1:9" x14ac:dyDescent="0.25">
      <c r="A16">
        <v>74</v>
      </c>
      <c r="B16">
        <v>1</v>
      </c>
      <c r="C16" t="s">
        <v>50</v>
      </c>
      <c r="D16" t="s">
        <v>34</v>
      </c>
      <c r="E16">
        <v>20.039682540000001</v>
      </c>
      <c r="F16">
        <v>0</v>
      </c>
      <c r="G16" s="22" t="s">
        <v>52</v>
      </c>
      <c r="H16">
        <v>8.0779999999999994</v>
      </c>
      <c r="I16">
        <v>0</v>
      </c>
    </row>
    <row r="17" spans="1:9" x14ac:dyDescent="0.25">
      <c r="A17">
        <v>75</v>
      </c>
      <c r="B17">
        <v>1</v>
      </c>
      <c r="C17" t="s">
        <v>50</v>
      </c>
      <c r="D17" t="s">
        <v>36</v>
      </c>
      <c r="F17">
        <v>0</v>
      </c>
      <c r="G17" s="22" t="s">
        <v>53</v>
      </c>
      <c r="H17">
        <v>8.2249999999999996</v>
      </c>
      <c r="I17">
        <v>0</v>
      </c>
    </row>
    <row r="18" spans="1:9" x14ac:dyDescent="0.25">
      <c r="A18">
        <v>91</v>
      </c>
      <c r="B18">
        <v>1</v>
      </c>
      <c r="C18" t="s">
        <v>54</v>
      </c>
      <c r="D18" t="s">
        <v>32</v>
      </c>
      <c r="F18">
        <v>0</v>
      </c>
      <c r="G18" s="22" t="s">
        <v>55</v>
      </c>
      <c r="H18">
        <v>6.2039999999999997</v>
      </c>
      <c r="I18">
        <v>0</v>
      </c>
    </row>
    <row r="19" spans="1:9" x14ac:dyDescent="0.25">
      <c r="A19">
        <v>92</v>
      </c>
      <c r="B19">
        <v>1</v>
      </c>
      <c r="C19" t="s">
        <v>54</v>
      </c>
      <c r="D19" t="s">
        <v>34</v>
      </c>
      <c r="E19">
        <v>20.792079210000001</v>
      </c>
      <c r="F19">
        <v>0</v>
      </c>
      <c r="G19" s="22" t="s">
        <v>56</v>
      </c>
      <c r="H19">
        <v>8.3719999999999999</v>
      </c>
      <c r="I19">
        <v>0</v>
      </c>
    </row>
    <row r="20" spans="1:9" x14ac:dyDescent="0.25">
      <c r="A20">
        <v>93</v>
      </c>
      <c r="B20">
        <v>1</v>
      </c>
      <c r="C20" t="s">
        <v>54</v>
      </c>
      <c r="D20" t="s">
        <v>36</v>
      </c>
      <c r="F20">
        <v>0</v>
      </c>
      <c r="G20" s="22" t="s">
        <v>57</v>
      </c>
      <c r="H20">
        <v>6.2869999999999999</v>
      </c>
      <c r="I20">
        <v>0</v>
      </c>
    </row>
    <row r="21" spans="1:9" x14ac:dyDescent="0.25">
      <c r="A21">
        <v>109</v>
      </c>
      <c r="B21">
        <v>1</v>
      </c>
      <c r="C21" t="s">
        <v>58</v>
      </c>
      <c r="D21" t="s">
        <v>32</v>
      </c>
      <c r="F21">
        <v>0</v>
      </c>
      <c r="G21" s="22" t="s">
        <v>59</v>
      </c>
      <c r="H21">
        <v>6.1509999999999998</v>
      </c>
      <c r="I21">
        <v>0</v>
      </c>
    </row>
    <row r="22" spans="1:9" x14ac:dyDescent="0.25">
      <c r="A22">
        <v>110</v>
      </c>
      <c r="B22">
        <v>1</v>
      </c>
      <c r="C22" t="s">
        <v>58</v>
      </c>
      <c r="D22" t="s">
        <v>34</v>
      </c>
      <c r="E22">
        <v>20.318725100000002</v>
      </c>
      <c r="F22">
        <v>0</v>
      </c>
      <c r="G22" s="22" t="s">
        <v>60</v>
      </c>
      <c r="H22">
        <v>7.875</v>
      </c>
      <c r="I22">
        <v>0</v>
      </c>
    </row>
    <row r="23" spans="1:9" x14ac:dyDescent="0.25">
      <c r="A23">
        <v>111</v>
      </c>
      <c r="B23">
        <v>1</v>
      </c>
      <c r="C23" t="s">
        <v>58</v>
      </c>
      <c r="D23" t="s">
        <v>36</v>
      </c>
      <c r="F23">
        <v>0</v>
      </c>
      <c r="G23" s="22" t="s">
        <v>61</v>
      </c>
      <c r="H23">
        <v>6.7329999999999997</v>
      </c>
      <c r="I23">
        <v>0</v>
      </c>
    </row>
    <row r="24" spans="1:9" x14ac:dyDescent="0.25">
      <c r="A24">
        <v>127</v>
      </c>
      <c r="B24">
        <v>1</v>
      </c>
      <c r="C24" t="s">
        <v>62</v>
      </c>
      <c r="D24" t="s">
        <v>32</v>
      </c>
      <c r="F24">
        <v>0</v>
      </c>
      <c r="G24" s="22" t="s">
        <v>63</v>
      </c>
      <c r="H24">
        <v>6.492</v>
      </c>
      <c r="I24">
        <v>0</v>
      </c>
    </row>
    <row r="25" spans="1:9" x14ac:dyDescent="0.25">
      <c r="A25">
        <v>128</v>
      </c>
      <c r="B25">
        <v>1</v>
      </c>
      <c r="C25" t="s">
        <v>62</v>
      </c>
      <c r="D25" t="s">
        <v>34</v>
      </c>
      <c r="E25">
        <v>19.207920789999999</v>
      </c>
      <c r="F25">
        <v>0</v>
      </c>
      <c r="G25" s="22" t="s">
        <v>64</v>
      </c>
      <c r="H25">
        <v>6.891</v>
      </c>
      <c r="I25">
        <v>0</v>
      </c>
    </row>
    <row r="26" spans="1:9" x14ac:dyDescent="0.25">
      <c r="A26">
        <v>129</v>
      </c>
      <c r="B26">
        <v>1</v>
      </c>
      <c r="C26" t="s">
        <v>62</v>
      </c>
      <c r="D26" t="s">
        <v>36</v>
      </c>
      <c r="F26">
        <v>0</v>
      </c>
      <c r="G26" s="22" t="s">
        <v>65</v>
      </c>
      <c r="H26">
        <v>6.5289999999999999</v>
      </c>
      <c r="I26">
        <v>0</v>
      </c>
    </row>
    <row r="29" spans="1:9" x14ac:dyDescent="0.25">
      <c r="A29">
        <v>4</v>
      </c>
      <c r="B29">
        <v>2</v>
      </c>
      <c r="C29" t="s">
        <v>31</v>
      </c>
      <c r="D29" t="s">
        <v>32</v>
      </c>
      <c r="F29">
        <v>1</v>
      </c>
      <c r="G29" s="22" t="s">
        <v>39</v>
      </c>
      <c r="H29">
        <v>7.1289999999999996</v>
      </c>
      <c r="I29">
        <v>1</v>
      </c>
    </row>
    <row r="30" spans="1:9" x14ac:dyDescent="0.25">
      <c r="A30">
        <v>5</v>
      </c>
      <c r="B30">
        <v>2</v>
      </c>
      <c r="C30" t="s">
        <v>31</v>
      </c>
      <c r="D30" t="s">
        <v>34</v>
      </c>
      <c r="E30">
        <v>14.54183267</v>
      </c>
      <c r="F30">
        <v>1</v>
      </c>
      <c r="G30" s="22" t="s">
        <v>40</v>
      </c>
      <c r="H30">
        <v>7.4829999999999997</v>
      </c>
      <c r="I30">
        <v>1</v>
      </c>
    </row>
    <row r="31" spans="1:9" x14ac:dyDescent="0.25">
      <c r="A31">
        <v>6</v>
      </c>
      <c r="B31">
        <v>2</v>
      </c>
      <c r="C31" t="s">
        <v>31</v>
      </c>
      <c r="D31" t="s">
        <v>36</v>
      </c>
      <c r="F31">
        <v>1</v>
      </c>
      <c r="G31" s="22" t="s">
        <v>41</v>
      </c>
      <c r="H31">
        <v>7.6159999999999997</v>
      </c>
      <c r="I31">
        <v>1</v>
      </c>
    </row>
    <row r="32" spans="1:9" x14ac:dyDescent="0.25">
      <c r="A32">
        <v>7</v>
      </c>
      <c r="B32">
        <v>3</v>
      </c>
      <c r="C32" t="s">
        <v>31</v>
      </c>
      <c r="D32" t="s">
        <v>32</v>
      </c>
      <c r="F32">
        <v>1</v>
      </c>
      <c r="G32" s="22" t="s">
        <v>43</v>
      </c>
      <c r="H32">
        <v>6.1319999999999997</v>
      </c>
      <c r="I32">
        <v>1</v>
      </c>
    </row>
    <row r="33" spans="1:9" x14ac:dyDescent="0.25">
      <c r="A33">
        <v>8</v>
      </c>
      <c r="B33">
        <v>3</v>
      </c>
      <c r="C33" t="s">
        <v>31</v>
      </c>
      <c r="D33" t="s">
        <v>34</v>
      </c>
      <c r="E33">
        <v>21.513944219999999</v>
      </c>
      <c r="F33">
        <v>1</v>
      </c>
      <c r="G33" s="22" t="s">
        <v>44</v>
      </c>
      <c r="H33">
        <v>7.2140000000000004</v>
      </c>
      <c r="I33">
        <v>1</v>
      </c>
    </row>
    <row r="34" spans="1:9" x14ac:dyDescent="0.25">
      <c r="A34">
        <v>9</v>
      </c>
      <c r="B34">
        <v>3</v>
      </c>
      <c r="C34" t="s">
        <v>31</v>
      </c>
      <c r="D34" t="s">
        <v>36</v>
      </c>
      <c r="F34">
        <v>1</v>
      </c>
      <c r="G34" s="22" t="s">
        <v>45</v>
      </c>
      <c r="H34">
        <v>7.7889999999999997</v>
      </c>
      <c r="I34">
        <v>1</v>
      </c>
    </row>
    <row r="35" spans="1:9" x14ac:dyDescent="0.25">
      <c r="A35">
        <v>10</v>
      </c>
      <c r="B35">
        <v>4</v>
      </c>
      <c r="C35" t="s">
        <v>31</v>
      </c>
      <c r="D35" t="s">
        <v>32</v>
      </c>
      <c r="F35">
        <v>1</v>
      </c>
      <c r="G35" s="22" t="s">
        <v>47</v>
      </c>
      <c r="H35">
        <v>6.5940000000000003</v>
      </c>
      <c r="I35">
        <v>1</v>
      </c>
    </row>
    <row r="36" spans="1:9" x14ac:dyDescent="0.25">
      <c r="A36">
        <v>11</v>
      </c>
      <c r="B36">
        <v>4</v>
      </c>
      <c r="C36" t="s">
        <v>31</v>
      </c>
      <c r="D36" t="s">
        <v>34</v>
      </c>
      <c r="E36">
        <v>22.31075697</v>
      </c>
      <c r="F36">
        <v>1</v>
      </c>
      <c r="G36" s="22" t="s">
        <v>48</v>
      </c>
      <c r="H36">
        <v>6.859</v>
      </c>
      <c r="I36">
        <v>1</v>
      </c>
    </row>
    <row r="37" spans="1:9" x14ac:dyDescent="0.25">
      <c r="A37">
        <v>12</v>
      </c>
      <c r="B37">
        <v>4</v>
      </c>
      <c r="C37" t="s">
        <v>31</v>
      </c>
      <c r="D37" t="s">
        <v>36</v>
      </c>
      <c r="F37">
        <v>1</v>
      </c>
      <c r="G37" s="22" t="s">
        <v>49</v>
      </c>
      <c r="H37">
        <v>7.0650000000000004</v>
      </c>
      <c r="I37">
        <v>1</v>
      </c>
    </row>
    <row r="38" spans="1:9" x14ac:dyDescent="0.25">
      <c r="A38">
        <v>13</v>
      </c>
      <c r="B38">
        <v>5</v>
      </c>
      <c r="C38" t="s">
        <v>31</v>
      </c>
      <c r="D38" t="s">
        <v>32</v>
      </c>
      <c r="F38">
        <v>1</v>
      </c>
      <c r="G38" s="22" t="s">
        <v>51</v>
      </c>
      <c r="H38">
        <v>6.2039999999999997</v>
      </c>
      <c r="I38">
        <v>1</v>
      </c>
    </row>
    <row r="39" spans="1:9" x14ac:dyDescent="0.25">
      <c r="A39">
        <v>14</v>
      </c>
      <c r="B39">
        <v>5</v>
      </c>
      <c r="C39" t="s">
        <v>31</v>
      </c>
      <c r="D39" t="s">
        <v>34</v>
      </c>
      <c r="E39">
        <v>16.468253969999999</v>
      </c>
      <c r="F39">
        <v>1</v>
      </c>
      <c r="G39" s="22" t="s">
        <v>52</v>
      </c>
      <c r="H39">
        <v>7.1859999999999999</v>
      </c>
      <c r="I39">
        <v>1</v>
      </c>
    </row>
    <row r="40" spans="1:9" x14ac:dyDescent="0.25">
      <c r="A40">
        <v>15</v>
      </c>
      <c r="B40">
        <v>5</v>
      </c>
      <c r="C40" t="s">
        <v>31</v>
      </c>
      <c r="D40" t="s">
        <v>36</v>
      </c>
      <c r="F40">
        <v>1</v>
      </c>
      <c r="G40" s="22" t="s">
        <v>53</v>
      </c>
      <c r="H40">
        <v>6.5659999999999998</v>
      </c>
      <c r="I40">
        <v>1</v>
      </c>
    </row>
    <row r="41" spans="1:9" x14ac:dyDescent="0.25">
      <c r="A41">
        <v>16</v>
      </c>
      <c r="B41">
        <v>6</v>
      </c>
      <c r="C41" t="s">
        <v>31</v>
      </c>
      <c r="D41" t="s">
        <v>32</v>
      </c>
      <c r="F41">
        <v>1</v>
      </c>
      <c r="G41" s="22" t="s">
        <v>55</v>
      </c>
      <c r="H41">
        <v>6.1769999999999996</v>
      </c>
      <c r="I41">
        <v>1</v>
      </c>
    </row>
    <row r="42" spans="1:9" x14ac:dyDescent="0.25">
      <c r="A42">
        <v>17</v>
      </c>
      <c r="B42">
        <v>6</v>
      </c>
      <c r="C42" t="s">
        <v>31</v>
      </c>
      <c r="D42" t="s">
        <v>34</v>
      </c>
      <c r="E42">
        <v>13.2</v>
      </c>
      <c r="F42">
        <v>1</v>
      </c>
      <c r="G42" s="22" t="s">
        <v>56</v>
      </c>
      <c r="H42">
        <v>6.6360000000000001</v>
      </c>
      <c r="I42">
        <v>1</v>
      </c>
    </row>
    <row r="43" spans="1:9" x14ac:dyDescent="0.25">
      <c r="A43">
        <v>18</v>
      </c>
      <c r="B43">
        <v>6</v>
      </c>
      <c r="C43" t="s">
        <v>31</v>
      </c>
      <c r="D43" t="s">
        <v>36</v>
      </c>
      <c r="F43">
        <v>1</v>
      </c>
      <c r="G43" s="22" t="s">
        <v>57</v>
      </c>
      <c r="H43">
        <v>7.2919999999999998</v>
      </c>
      <c r="I43">
        <v>1</v>
      </c>
    </row>
    <row r="45" spans="1:9" x14ac:dyDescent="0.25">
      <c r="A45">
        <v>22</v>
      </c>
      <c r="B45">
        <v>2</v>
      </c>
      <c r="C45" t="s">
        <v>38</v>
      </c>
      <c r="D45" t="s">
        <v>32</v>
      </c>
      <c r="F45">
        <v>1</v>
      </c>
      <c r="G45" s="22" t="s">
        <v>63</v>
      </c>
      <c r="H45">
        <v>6.9630000000000001</v>
      </c>
      <c r="I45">
        <v>1</v>
      </c>
    </row>
    <row r="46" spans="1:9" x14ac:dyDescent="0.25">
      <c r="A46">
        <v>23</v>
      </c>
      <c r="B46">
        <v>2</v>
      </c>
      <c r="C46" t="s">
        <v>38</v>
      </c>
      <c r="D46" t="s">
        <v>34</v>
      </c>
      <c r="E46">
        <v>19.681908549999999</v>
      </c>
      <c r="F46">
        <v>1</v>
      </c>
      <c r="G46" s="22" t="s">
        <v>64</v>
      </c>
      <c r="H46">
        <v>7.8650000000000002</v>
      </c>
      <c r="I46">
        <v>1</v>
      </c>
    </row>
    <row r="47" spans="1:9" x14ac:dyDescent="0.25">
      <c r="A47">
        <v>24</v>
      </c>
      <c r="B47">
        <v>2</v>
      </c>
      <c r="C47" t="s">
        <v>38</v>
      </c>
      <c r="D47" t="s">
        <v>36</v>
      </c>
      <c r="F47">
        <v>1</v>
      </c>
      <c r="G47" s="22" t="s">
        <v>65</v>
      </c>
      <c r="H47">
        <v>6.3070000000000004</v>
      </c>
      <c r="I47">
        <v>1</v>
      </c>
    </row>
    <row r="48" spans="1:9" x14ac:dyDescent="0.25">
      <c r="A48">
        <v>25</v>
      </c>
      <c r="B48">
        <v>3</v>
      </c>
      <c r="C48" t="s">
        <v>38</v>
      </c>
      <c r="D48" t="s">
        <v>32</v>
      </c>
      <c r="F48">
        <v>1</v>
      </c>
      <c r="G48" s="22" t="s">
        <v>66</v>
      </c>
      <c r="H48">
        <v>7.7460000000000004</v>
      </c>
      <c r="I48">
        <v>1</v>
      </c>
    </row>
    <row r="49" spans="1:9" x14ac:dyDescent="0.25">
      <c r="A49">
        <v>26</v>
      </c>
      <c r="B49">
        <v>3</v>
      </c>
      <c r="C49" t="s">
        <v>38</v>
      </c>
      <c r="D49" t="s">
        <v>34</v>
      </c>
      <c r="E49">
        <v>12.350597609999999</v>
      </c>
      <c r="F49">
        <v>1</v>
      </c>
      <c r="G49" s="22" t="s">
        <v>67</v>
      </c>
      <c r="H49">
        <v>8.0489999999999995</v>
      </c>
      <c r="I49">
        <v>1</v>
      </c>
    </row>
    <row r="50" spans="1:9" x14ac:dyDescent="0.25">
      <c r="A50">
        <v>27</v>
      </c>
      <c r="B50">
        <v>3</v>
      </c>
      <c r="C50" t="s">
        <v>38</v>
      </c>
      <c r="D50" t="s">
        <v>36</v>
      </c>
      <c r="F50">
        <v>1</v>
      </c>
      <c r="G50" s="22" t="s">
        <v>68</v>
      </c>
      <c r="H50">
        <v>7.891</v>
      </c>
      <c r="I50">
        <v>1</v>
      </c>
    </row>
    <row r="51" spans="1:9" x14ac:dyDescent="0.25">
      <c r="A51">
        <v>28</v>
      </c>
      <c r="B51">
        <v>4</v>
      </c>
      <c r="C51" t="s">
        <v>38</v>
      </c>
      <c r="D51" t="s">
        <v>32</v>
      </c>
      <c r="F51">
        <v>1</v>
      </c>
      <c r="G51" s="22" t="s">
        <v>69</v>
      </c>
      <c r="H51">
        <v>6.3209999999999997</v>
      </c>
      <c r="I51">
        <v>1</v>
      </c>
    </row>
    <row r="52" spans="1:9" x14ac:dyDescent="0.25">
      <c r="A52">
        <v>29</v>
      </c>
      <c r="B52">
        <v>4</v>
      </c>
      <c r="C52" t="s">
        <v>38</v>
      </c>
      <c r="D52" t="s">
        <v>34</v>
      </c>
      <c r="E52">
        <v>21.825396829999999</v>
      </c>
      <c r="F52">
        <v>1</v>
      </c>
      <c r="G52" s="22" t="s">
        <v>70</v>
      </c>
      <c r="H52">
        <v>6.8289999999999997</v>
      </c>
      <c r="I52">
        <v>1</v>
      </c>
    </row>
    <row r="53" spans="1:9" x14ac:dyDescent="0.25">
      <c r="A53">
        <v>30</v>
      </c>
      <c r="B53">
        <v>4</v>
      </c>
      <c r="C53" t="s">
        <v>38</v>
      </c>
      <c r="D53" t="s">
        <v>36</v>
      </c>
      <c r="F53">
        <v>1</v>
      </c>
      <c r="G53" s="22" t="s">
        <v>71</v>
      </c>
      <c r="H53">
        <v>6.4039999999999999</v>
      </c>
      <c r="I53">
        <v>1</v>
      </c>
    </row>
    <row r="54" spans="1:9" x14ac:dyDescent="0.25">
      <c r="A54">
        <v>31</v>
      </c>
      <c r="B54">
        <v>5</v>
      </c>
      <c r="C54" t="s">
        <v>38</v>
      </c>
      <c r="D54" t="s">
        <v>32</v>
      </c>
      <c r="F54">
        <v>1</v>
      </c>
      <c r="G54" s="22" t="s">
        <v>72</v>
      </c>
      <c r="H54">
        <v>6.3789999999999996</v>
      </c>
      <c r="I54">
        <v>1</v>
      </c>
    </row>
    <row r="55" spans="1:9" x14ac:dyDescent="0.25">
      <c r="A55">
        <v>32</v>
      </c>
      <c r="B55">
        <v>5</v>
      </c>
      <c r="C55" t="s">
        <v>38</v>
      </c>
      <c r="D55" t="s">
        <v>34</v>
      </c>
      <c r="E55">
        <v>14.71172962</v>
      </c>
      <c r="F55">
        <v>1</v>
      </c>
      <c r="G55" s="22" t="s">
        <v>73</v>
      </c>
      <c r="H55">
        <v>7.4409999999999998</v>
      </c>
      <c r="I55">
        <v>1</v>
      </c>
    </row>
    <row r="56" spans="1:9" x14ac:dyDescent="0.25">
      <c r="A56">
        <v>33</v>
      </c>
      <c r="B56">
        <v>5</v>
      </c>
      <c r="C56" t="s">
        <v>38</v>
      </c>
      <c r="D56" t="s">
        <v>36</v>
      </c>
      <c r="F56">
        <v>1</v>
      </c>
      <c r="G56" s="22" t="s">
        <v>74</v>
      </c>
      <c r="H56">
        <v>7.2779999999999996</v>
      </c>
      <c r="I56">
        <v>1</v>
      </c>
    </row>
    <row r="57" spans="1:9" x14ac:dyDescent="0.25">
      <c r="A57">
        <v>34</v>
      </c>
      <c r="B57">
        <v>6</v>
      </c>
      <c r="C57" t="s">
        <v>38</v>
      </c>
      <c r="D57" t="s">
        <v>32</v>
      </c>
      <c r="F57">
        <v>1</v>
      </c>
      <c r="G57" s="22" t="s">
        <v>75</v>
      </c>
      <c r="H57">
        <v>6.3369999999999997</v>
      </c>
      <c r="I57">
        <v>1</v>
      </c>
    </row>
    <row r="58" spans="1:9" x14ac:dyDescent="0.25">
      <c r="A58">
        <v>35</v>
      </c>
      <c r="B58">
        <v>6</v>
      </c>
      <c r="C58" t="s">
        <v>38</v>
      </c>
      <c r="D58" t="s">
        <v>34</v>
      </c>
      <c r="E58">
        <v>13.8</v>
      </c>
      <c r="F58">
        <v>1</v>
      </c>
      <c r="G58" s="22" t="s">
        <v>76</v>
      </c>
      <c r="H58">
        <v>6.9740000000000002</v>
      </c>
      <c r="I58">
        <v>1</v>
      </c>
    </row>
    <row r="59" spans="1:9" x14ac:dyDescent="0.25">
      <c r="A59">
        <v>36</v>
      </c>
      <c r="B59">
        <v>6</v>
      </c>
      <c r="C59" t="s">
        <v>38</v>
      </c>
      <c r="D59" t="s">
        <v>36</v>
      </c>
      <c r="F59">
        <v>1</v>
      </c>
      <c r="G59" s="22" t="s">
        <v>77</v>
      </c>
      <c r="H59">
        <v>6.1159999999999997</v>
      </c>
      <c r="I59">
        <v>1</v>
      </c>
    </row>
    <row r="61" spans="1:9" x14ac:dyDescent="0.25">
      <c r="A61">
        <v>40</v>
      </c>
      <c r="B61">
        <v>2</v>
      </c>
      <c r="C61" t="s">
        <v>42</v>
      </c>
      <c r="D61" t="s">
        <v>32</v>
      </c>
      <c r="F61">
        <v>1</v>
      </c>
      <c r="G61" s="22" t="s">
        <v>78</v>
      </c>
      <c r="H61">
        <v>6.452</v>
      </c>
      <c r="I61">
        <v>1</v>
      </c>
    </row>
    <row r="62" spans="1:9" x14ac:dyDescent="0.25">
      <c r="A62">
        <v>41</v>
      </c>
      <c r="B62">
        <v>2</v>
      </c>
      <c r="C62" t="s">
        <v>42</v>
      </c>
      <c r="D62" t="s">
        <v>34</v>
      </c>
      <c r="E62">
        <v>13.88888889</v>
      </c>
      <c r="F62">
        <v>1</v>
      </c>
      <c r="G62" s="22" t="s">
        <v>79</v>
      </c>
      <c r="H62">
        <v>7.0179999999999998</v>
      </c>
      <c r="I62">
        <v>1</v>
      </c>
    </row>
    <row r="63" spans="1:9" x14ac:dyDescent="0.25">
      <c r="A63">
        <v>42</v>
      </c>
      <c r="B63">
        <v>2</v>
      </c>
      <c r="C63" t="s">
        <v>42</v>
      </c>
      <c r="D63" t="s">
        <v>36</v>
      </c>
      <c r="F63">
        <v>1</v>
      </c>
      <c r="G63" s="22" t="s">
        <v>80</v>
      </c>
      <c r="H63">
        <v>6.9539999999999997</v>
      </c>
      <c r="I63">
        <v>1</v>
      </c>
    </row>
    <row r="64" spans="1:9" x14ac:dyDescent="0.25">
      <c r="A64">
        <v>43</v>
      </c>
      <c r="B64">
        <v>3</v>
      </c>
      <c r="C64" t="s">
        <v>42</v>
      </c>
      <c r="D64" t="s">
        <v>32</v>
      </c>
      <c r="F64">
        <v>1</v>
      </c>
      <c r="G64" s="22" t="s">
        <v>81</v>
      </c>
      <c r="H64">
        <v>6.0419999999999998</v>
      </c>
      <c r="I64">
        <v>1</v>
      </c>
    </row>
    <row r="65" spans="1:9" x14ac:dyDescent="0.25">
      <c r="A65">
        <v>44</v>
      </c>
      <c r="B65">
        <v>3</v>
      </c>
      <c r="C65" t="s">
        <v>42</v>
      </c>
      <c r="D65" t="s">
        <v>34</v>
      </c>
      <c r="E65">
        <v>14.77045908</v>
      </c>
      <c r="F65">
        <v>1</v>
      </c>
      <c r="G65" s="22" t="s">
        <v>82</v>
      </c>
      <c r="H65">
        <v>6.8310000000000004</v>
      </c>
      <c r="I65">
        <v>1</v>
      </c>
    </row>
    <row r="66" spans="1:9" x14ac:dyDescent="0.25">
      <c r="A66">
        <v>45</v>
      </c>
      <c r="B66">
        <v>3</v>
      </c>
      <c r="C66" t="s">
        <v>42</v>
      </c>
      <c r="D66" t="s">
        <v>36</v>
      </c>
      <c r="F66">
        <v>1</v>
      </c>
      <c r="G66" s="22" t="s">
        <v>83</v>
      </c>
      <c r="H66">
        <v>7.1369999999999996</v>
      </c>
      <c r="I66">
        <v>1</v>
      </c>
    </row>
    <row r="67" spans="1:9" x14ac:dyDescent="0.25">
      <c r="A67">
        <v>46</v>
      </c>
      <c r="B67">
        <v>4</v>
      </c>
      <c r="C67" t="s">
        <v>42</v>
      </c>
      <c r="D67" t="s">
        <v>32</v>
      </c>
      <c r="F67">
        <v>1</v>
      </c>
      <c r="G67" s="22" t="s">
        <v>84</v>
      </c>
      <c r="H67">
        <v>6.8449999999999998</v>
      </c>
      <c r="I67">
        <v>1</v>
      </c>
    </row>
    <row r="68" spans="1:9" x14ac:dyDescent="0.25">
      <c r="A68">
        <v>47</v>
      </c>
      <c r="B68">
        <v>4</v>
      </c>
      <c r="C68" t="s">
        <v>42</v>
      </c>
      <c r="D68" t="s">
        <v>34</v>
      </c>
      <c r="E68">
        <v>16.2</v>
      </c>
      <c r="F68">
        <v>1</v>
      </c>
      <c r="G68" s="22" t="s">
        <v>85</v>
      </c>
      <c r="H68">
        <v>6.2770000000000001</v>
      </c>
      <c r="I68">
        <v>1</v>
      </c>
    </row>
    <row r="69" spans="1:9" x14ac:dyDescent="0.25">
      <c r="A69">
        <v>48</v>
      </c>
      <c r="B69">
        <v>4</v>
      </c>
      <c r="C69" t="s">
        <v>42</v>
      </c>
      <c r="D69" t="s">
        <v>36</v>
      </c>
      <c r="F69">
        <v>1</v>
      </c>
      <c r="G69" s="22" t="s">
        <v>86</v>
      </c>
      <c r="H69">
        <v>8.0389999999999997</v>
      </c>
      <c r="I69">
        <v>1</v>
      </c>
    </row>
    <row r="70" spans="1:9" x14ac:dyDescent="0.25">
      <c r="A70">
        <v>49</v>
      </c>
      <c r="B70">
        <v>5</v>
      </c>
      <c r="C70" t="s">
        <v>42</v>
      </c>
      <c r="D70" t="s">
        <v>32</v>
      </c>
      <c r="F70">
        <v>1</v>
      </c>
      <c r="G70" s="22" t="s">
        <v>87</v>
      </c>
      <c r="H70">
        <v>6.1210000000000004</v>
      </c>
      <c r="I70">
        <v>1</v>
      </c>
    </row>
    <row r="71" spans="1:9" x14ac:dyDescent="0.25">
      <c r="A71">
        <v>50</v>
      </c>
      <c r="B71">
        <v>5</v>
      </c>
      <c r="C71" t="s">
        <v>42</v>
      </c>
      <c r="D71" t="s">
        <v>34</v>
      </c>
      <c r="E71">
        <v>14.74103586</v>
      </c>
      <c r="F71">
        <v>1</v>
      </c>
      <c r="G71" s="22" t="s">
        <v>88</v>
      </c>
      <c r="H71">
        <v>7.5259999999999998</v>
      </c>
      <c r="I71">
        <v>1</v>
      </c>
    </row>
    <row r="72" spans="1:9" x14ac:dyDescent="0.25">
      <c r="A72">
        <v>51</v>
      </c>
      <c r="B72">
        <v>5</v>
      </c>
      <c r="C72" t="s">
        <v>42</v>
      </c>
      <c r="D72" t="s">
        <v>36</v>
      </c>
      <c r="F72">
        <v>1</v>
      </c>
      <c r="G72" s="22" t="s">
        <v>89</v>
      </c>
      <c r="H72">
        <v>7.7759999999999998</v>
      </c>
      <c r="I72">
        <v>1</v>
      </c>
    </row>
    <row r="73" spans="1:9" x14ac:dyDescent="0.25">
      <c r="A73">
        <v>52</v>
      </c>
      <c r="B73">
        <v>6</v>
      </c>
      <c r="C73" t="s">
        <v>42</v>
      </c>
      <c r="D73" t="s">
        <v>32</v>
      </c>
      <c r="F73">
        <v>1</v>
      </c>
      <c r="G73" s="22" t="s">
        <v>90</v>
      </c>
      <c r="H73">
        <v>6.4539999999999997</v>
      </c>
      <c r="I73">
        <v>1</v>
      </c>
    </row>
    <row r="74" spans="1:9" x14ac:dyDescent="0.25">
      <c r="A74">
        <v>53</v>
      </c>
      <c r="B74">
        <v>6</v>
      </c>
      <c r="C74" t="s">
        <v>42</v>
      </c>
      <c r="D74" t="s">
        <v>34</v>
      </c>
      <c r="E74">
        <v>19.72111554</v>
      </c>
      <c r="F74">
        <v>1</v>
      </c>
      <c r="G74" s="22" t="s">
        <v>91</v>
      </c>
      <c r="H74">
        <v>6.6289999999999996</v>
      </c>
      <c r="I74">
        <v>1</v>
      </c>
    </row>
    <row r="75" spans="1:9" x14ac:dyDescent="0.25">
      <c r="A75">
        <v>54</v>
      </c>
      <c r="B75">
        <v>6</v>
      </c>
      <c r="C75" t="s">
        <v>42</v>
      </c>
      <c r="D75" t="s">
        <v>36</v>
      </c>
      <c r="F75">
        <v>1</v>
      </c>
      <c r="G75" s="22" t="s">
        <v>92</v>
      </c>
      <c r="H75">
        <v>7.984</v>
      </c>
      <c r="I75">
        <v>1</v>
      </c>
    </row>
    <row r="77" spans="1:9" x14ac:dyDescent="0.25">
      <c r="A77">
        <v>58</v>
      </c>
      <c r="B77">
        <v>2</v>
      </c>
      <c r="C77" t="s">
        <v>46</v>
      </c>
      <c r="D77" t="s">
        <v>32</v>
      </c>
      <c r="F77">
        <v>1</v>
      </c>
      <c r="G77" s="22" t="s">
        <v>93</v>
      </c>
      <c r="H77">
        <v>6.9420000000000002</v>
      </c>
      <c r="I77">
        <v>1</v>
      </c>
    </row>
    <row r="78" spans="1:9" x14ac:dyDescent="0.25">
      <c r="A78">
        <v>59</v>
      </c>
      <c r="B78">
        <v>2</v>
      </c>
      <c r="C78" t="s">
        <v>46</v>
      </c>
      <c r="D78" t="s">
        <v>34</v>
      </c>
      <c r="E78">
        <v>11.02204409</v>
      </c>
      <c r="F78">
        <v>1</v>
      </c>
      <c r="G78" s="22" t="s">
        <v>94</v>
      </c>
      <c r="H78">
        <v>7.6449999999999996</v>
      </c>
      <c r="I78">
        <v>1</v>
      </c>
    </row>
    <row r="79" spans="1:9" x14ac:dyDescent="0.25">
      <c r="A79">
        <v>60</v>
      </c>
      <c r="B79">
        <v>2</v>
      </c>
      <c r="C79" t="s">
        <v>46</v>
      </c>
      <c r="D79" t="s">
        <v>36</v>
      </c>
      <c r="F79">
        <v>1</v>
      </c>
      <c r="G79" s="22" t="s">
        <v>95</v>
      </c>
      <c r="H79">
        <v>7.9429999999999996</v>
      </c>
      <c r="I79">
        <v>1</v>
      </c>
    </row>
    <row r="80" spans="1:9" x14ac:dyDescent="0.25">
      <c r="A80">
        <v>61</v>
      </c>
      <c r="B80">
        <v>3</v>
      </c>
      <c r="C80" t="s">
        <v>46</v>
      </c>
      <c r="D80" t="s">
        <v>32</v>
      </c>
      <c r="F80">
        <v>1</v>
      </c>
      <c r="G80" s="22" t="s">
        <v>96</v>
      </c>
      <c r="H80">
        <v>7.0049999999999999</v>
      </c>
      <c r="I80">
        <v>1</v>
      </c>
    </row>
    <row r="81" spans="1:9" x14ac:dyDescent="0.25">
      <c r="A81">
        <v>62</v>
      </c>
      <c r="B81">
        <v>3</v>
      </c>
      <c r="C81" t="s">
        <v>46</v>
      </c>
      <c r="D81" t="s">
        <v>34</v>
      </c>
      <c r="E81">
        <v>16.53386454</v>
      </c>
      <c r="F81">
        <v>1</v>
      </c>
      <c r="G81" s="22" t="s">
        <v>97</v>
      </c>
      <c r="H81">
        <v>8.0289999999999999</v>
      </c>
      <c r="I81">
        <v>1</v>
      </c>
    </row>
    <row r="82" spans="1:9" x14ac:dyDescent="0.25">
      <c r="A82">
        <v>63</v>
      </c>
      <c r="B82">
        <v>3</v>
      </c>
      <c r="C82" t="s">
        <v>46</v>
      </c>
      <c r="D82" t="s">
        <v>36</v>
      </c>
      <c r="F82">
        <v>1</v>
      </c>
      <c r="G82" s="22" t="s">
        <v>98</v>
      </c>
      <c r="H82">
        <v>7.6929999999999996</v>
      </c>
      <c r="I82">
        <v>1</v>
      </c>
    </row>
    <row r="83" spans="1:9" x14ac:dyDescent="0.25">
      <c r="A83">
        <v>64</v>
      </c>
      <c r="B83">
        <v>4</v>
      </c>
      <c r="C83" t="s">
        <v>46</v>
      </c>
      <c r="D83" t="s">
        <v>32</v>
      </c>
      <c r="F83">
        <v>1</v>
      </c>
      <c r="G83" s="22" t="s">
        <v>99</v>
      </c>
      <c r="H83">
        <v>6.4130000000000003</v>
      </c>
      <c r="I83">
        <v>1</v>
      </c>
    </row>
    <row r="84" spans="1:9" x14ac:dyDescent="0.25">
      <c r="A84">
        <v>65</v>
      </c>
      <c r="B84">
        <v>4</v>
      </c>
      <c r="C84" t="s">
        <v>46</v>
      </c>
      <c r="D84" t="s">
        <v>34</v>
      </c>
      <c r="E84">
        <v>17.131474099999998</v>
      </c>
      <c r="F84">
        <v>1</v>
      </c>
      <c r="G84" s="22" t="s">
        <v>100</v>
      </c>
      <c r="H84">
        <v>7.2290000000000001</v>
      </c>
      <c r="I84">
        <v>1</v>
      </c>
    </row>
    <row r="85" spans="1:9" x14ac:dyDescent="0.25">
      <c r="A85">
        <v>66</v>
      </c>
      <c r="B85">
        <v>4</v>
      </c>
      <c r="C85" t="s">
        <v>46</v>
      </c>
      <c r="D85" t="s">
        <v>36</v>
      </c>
      <c r="F85">
        <v>1</v>
      </c>
      <c r="G85" s="22" t="s">
        <v>101</v>
      </c>
      <c r="H85">
        <v>8.3520000000000003</v>
      </c>
      <c r="I85">
        <v>1</v>
      </c>
    </row>
    <row r="86" spans="1:9" x14ac:dyDescent="0.25">
      <c r="A86">
        <v>67</v>
      </c>
      <c r="B86">
        <v>5</v>
      </c>
      <c r="C86" t="s">
        <v>46</v>
      </c>
      <c r="D86" t="s">
        <v>32</v>
      </c>
      <c r="F86">
        <v>1</v>
      </c>
      <c r="G86" s="22" t="s">
        <v>102</v>
      </c>
      <c r="H86">
        <v>6.3890000000000002</v>
      </c>
      <c r="I86">
        <v>1</v>
      </c>
    </row>
    <row r="87" spans="1:9" x14ac:dyDescent="0.25">
      <c r="A87">
        <v>68</v>
      </c>
      <c r="B87">
        <v>5</v>
      </c>
      <c r="C87" t="s">
        <v>46</v>
      </c>
      <c r="D87" t="s">
        <v>34</v>
      </c>
      <c r="E87">
        <v>22.355289419999998</v>
      </c>
      <c r="F87">
        <v>1</v>
      </c>
      <c r="G87" s="22" t="s">
        <v>103</v>
      </c>
      <c r="H87">
        <v>6.242</v>
      </c>
      <c r="I87">
        <v>1</v>
      </c>
    </row>
    <row r="88" spans="1:9" x14ac:dyDescent="0.25">
      <c r="A88">
        <v>69</v>
      </c>
      <c r="B88">
        <v>5</v>
      </c>
      <c r="C88" t="s">
        <v>46</v>
      </c>
      <c r="D88" t="s">
        <v>36</v>
      </c>
      <c r="F88">
        <v>1</v>
      </c>
      <c r="G88" s="22" t="s">
        <v>104</v>
      </c>
      <c r="H88">
        <v>6.4169999999999998</v>
      </c>
      <c r="I88">
        <v>1</v>
      </c>
    </row>
    <row r="89" spans="1:9" x14ac:dyDescent="0.25">
      <c r="A89">
        <v>70</v>
      </c>
      <c r="B89">
        <v>6</v>
      </c>
      <c r="C89" t="s">
        <v>46</v>
      </c>
      <c r="D89" t="s">
        <v>32</v>
      </c>
      <c r="F89">
        <v>1</v>
      </c>
      <c r="G89" s="22" t="s">
        <v>105</v>
      </c>
      <c r="H89">
        <v>6.0140000000000002</v>
      </c>
      <c r="I89">
        <v>1</v>
      </c>
    </row>
    <row r="90" spans="1:9" x14ac:dyDescent="0.25">
      <c r="A90">
        <v>71</v>
      </c>
      <c r="B90">
        <v>6</v>
      </c>
      <c r="C90" t="s">
        <v>46</v>
      </c>
      <c r="D90" t="s">
        <v>34</v>
      </c>
      <c r="E90">
        <v>13.6</v>
      </c>
      <c r="F90">
        <v>1</v>
      </c>
      <c r="G90" s="22" t="s">
        <v>106</v>
      </c>
      <c r="H90">
        <v>6.5910000000000002</v>
      </c>
      <c r="I90">
        <v>1</v>
      </c>
    </row>
    <row r="91" spans="1:9" x14ac:dyDescent="0.25">
      <c r="A91">
        <v>72</v>
      </c>
      <c r="B91">
        <v>6</v>
      </c>
      <c r="C91" t="s">
        <v>46</v>
      </c>
      <c r="D91" t="s">
        <v>36</v>
      </c>
      <c r="F91">
        <v>1</v>
      </c>
      <c r="G91" s="22" t="s">
        <v>107</v>
      </c>
      <c r="H91">
        <v>6.2560000000000002</v>
      </c>
      <c r="I91">
        <v>1</v>
      </c>
    </row>
    <row r="93" spans="1:9" x14ac:dyDescent="0.25">
      <c r="A93">
        <v>76</v>
      </c>
      <c r="B93">
        <v>2</v>
      </c>
      <c r="C93" t="s">
        <v>50</v>
      </c>
      <c r="D93" t="s">
        <v>32</v>
      </c>
      <c r="F93">
        <v>1</v>
      </c>
      <c r="G93" s="22" t="s">
        <v>108</v>
      </c>
      <c r="H93">
        <v>6.9059999999999997</v>
      </c>
      <c r="I93">
        <v>1</v>
      </c>
    </row>
    <row r="94" spans="1:9" x14ac:dyDescent="0.25">
      <c r="A94">
        <v>77</v>
      </c>
      <c r="B94">
        <v>2</v>
      </c>
      <c r="C94" t="s">
        <v>50</v>
      </c>
      <c r="D94" t="s">
        <v>34</v>
      </c>
      <c r="E94">
        <v>17.131474099999998</v>
      </c>
      <c r="F94">
        <v>1</v>
      </c>
      <c r="G94" s="22" t="s">
        <v>109</v>
      </c>
      <c r="H94">
        <v>8.3439999999999994</v>
      </c>
      <c r="I94">
        <v>1</v>
      </c>
    </row>
    <row r="95" spans="1:9" x14ac:dyDescent="0.25">
      <c r="A95">
        <v>78</v>
      </c>
      <c r="B95">
        <v>2</v>
      </c>
      <c r="C95" t="s">
        <v>50</v>
      </c>
      <c r="D95" t="s">
        <v>36</v>
      </c>
      <c r="F95">
        <v>1</v>
      </c>
      <c r="G95" s="22" t="s">
        <v>110</v>
      </c>
      <c r="H95">
        <v>6.6740000000000004</v>
      </c>
      <c r="I95">
        <v>1</v>
      </c>
    </row>
    <row r="96" spans="1:9" x14ac:dyDescent="0.25">
      <c r="A96">
        <v>79</v>
      </c>
      <c r="B96">
        <v>3</v>
      </c>
      <c r="C96" t="s">
        <v>50</v>
      </c>
      <c r="D96" t="s">
        <v>32</v>
      </c>
      <c r="F96">
        <v>1</v>
      </c>
      <c r="G96" s="22" t="s">
        <v>111</v>
      </c>
      <c r="H96">
        <v>6.5720000000000001</v>
      </c>
      <c r="I96">
        <v>1</v>
      </c>
    </row>
    <row r="97" spans="1:9" x14ac:dyDescent="0.25">
      <c r="A97">
        <v>80</v>
      </c>
      <c r="B97">
        <v>3</v>
      </c>
      <c r="C97" t="s">
        <v>50</v>
      </c>
      <c r="D97" t="s">
        <v>34</v>
      </c>
      <c r="E97">
        <v>13.57285429</v>
      </c>
      <c r="F97">
        <v>1</v>
      </c>
      <c r="G97" s="22" t="s">
        <v>112</v>
      </c>
      <c r="H97">
        <v>7.6449999999999996</v>
      </c>
      <c r="I97">
        <v>1</v>
      </c>
    </row>
    <row r="98" spans="1:9" x14ac:dyDescent="0.25">
      <c r="A98">
        <v>81</v>
      </c>
      <c r="B98">
        <v>3</v>
      </c>
      <c r="C98" t="s">
        <v>50</v>
      </c>
      <c r="D98" t="s">
        <v>36</v>
      </c>
      <c r="F98">
        <v>1</v>
      </c>
      <c r="G98" s="22" t="s">
        <v>113</v>
      </c>
      <c r="H98">
        <v>7.9050000000000002</v>
      </c>
      <c r="I98">
        <v>1</v>
      </c>
    </row>
    <row r="99" spans="1:9" x14ac:dyDescent="0.25">
      <c r="A99">
        <v>82</v>
      </c>
      <c r="B99">
        <v>4</v>
      </c>
      <c r="C99" t="s">
        <v>50</v>
      </c>
      <c r="D99" t="s">
        <v>32</v>
      </c>
      <c r="F99">
        <v>1</v>
      </c>
      <c r="G99" s="22" t="s">
        <v>114</v>
      </c>
      <c r="H99">
        <v>6.4279999999999999</v>
      </c>
      <c r="I99">
        <v>1</v>
      </c>
    </row>
    <row r="100" spans="1:9" x14ac:dyDescent="0.25">
      <c r="A100">
        <v>83</v>
      </c>
      <c r="B100">
        <v>4</v>
      </c>
      <c r="C100" t="s">
        <v>50</v>
      </c>
      <c r="D100" t="s">
        <v>34</v>
      </c>
      <c r="E100">
        <v>26.946107779999998</v>
      </c>
      <c r="F100">
        <v>1</v>
      </c>
      <c r="G100" s="22" t="s">
        <v>115</v>
      </c>
      <c r="H100">
        <v>7.7290000000000001</v>
      </c>
      <c r="I100">
        <v>1</v>
      </c>
    </row>
    <row r="101" spans="1:9" x14ac:dyDescent="0.25">
      <c r="A101">
        <v>84</v>
      </c>
      <c r="B101">
        <v>4</v>
      </c>
      <c r="C101" t="s">
        <v>50</v>
      </c>
      <c r="D101" t="s">
        <v>36</v>
      </c>
      <c r="F101">
        <v>1</v>
      </c>
      <c r="G101" s="22" t="s">
        <v>116</v>
      </c>
      <c r="H101">
        <v>6.6020000000000003</v>
      </c>
      <c r="I101">
        <v>1</v>
      </c>
    </row>
    <row r="102" spans="1:9" x14ac:dyDescent="0.25">
      <c r="A102">
        <v>85</v>
      </c>
      <c r="B102">
        <v>5</v>
      </c>
      <c r="C102" t="s">
        <v>50</v>
      </c>
      <c r="D102" t="s">
        <v>32</v>
      </c>
      <c r="F102">
        <v>1</v>
      </c>
      <c r="G102" s="22" t="s">
        <v>117</v>
      </c>
      <c r="H102">
        <v>6.4080000000000004</v>
      </c>
      <c r="I102">
        <v>1</v>
      </c>
    </row>
    <row r="103" spans="1:9" x14ac:dyDescent="0.25">
      <c r="A103">
        <v>86</v>
      </c>
      <c r="B103">
        <v>5</v>
      </c>
      <c r="C103" t="s">
        <v>50</v>
      </c>
      <c r="D103" t="s">
        <v>34</v>
      </c>
      <c r="E103">
        <v>30.33932136</v>
      </c>
      <c r="F103">
        <v>1</v>
      </c>
      <c r="G103" s="22" t="s">
        <v>118</v>
      </c>
      <c r="H103">
        <v>6.9740000000000002</v>
      </c>
      <c r="I103">
        <v>1</v>
      </c>
    </row>
    <row r="104" spans="1:9" x14ac:dyDescent="0.25">
      <c r="A104">
        <v>87</v>
      </c>
      <c r="B104">
        <v>5</v>
      </c>
      <c r="C104" t="s">
        <v>50</v>
      </c>
      <c r="D104" t="s">
        <v>36</v>
      </c>
      <c r="F104">
        <v>1</v>
      </c>
      <c r="G104" s="22" t="s">
        <v>119</v>
      </c>
      <c r="H104">
        <v>8.1539999999999999</v>
      </c>
      <c r="I104">
        <v>1</v>
      </c>
    </row>
    <row r="105" spans="1:9" x14ac:dyDescent="0.25">
      <c r="A105">
        <v>88</v>
      </c>
      <c r="B105">
        <v>6</v>
      </c>
      <c r="C105" t="s">
        <v>50</v>
      </c>
      <c r="D105" t="s">
        <v>32</v>
      </c>
      <c r="F105">
        <v>1</v>
      </c>
      <c r="G105" s="22" t="s">
        <v>120</v>
      </c>
      <c r="H105">
        <v>6.2830000000000004</v>
      </c>
      <c r="I105">
        <v>1</v>
      </c>
    </row>
    <row r="106" spans="1:9" x14ac:dyDescent="0.25">
      <c r="A106">
        <v>89</v>
      </c>
      <c r="B106">
        <v>6</v>
      </c>
      <c r="C106" t="s">
        <v>50</v>
      </c>
      <c r="D106" t="s">
        <v>34</v>
      </c>
      <c r="E106">
        <v>17</v>
      </c>
      <c r="F106">
        <v>1</v>
      </c>
      <c r="G106" s="22" t="s">
        <v>121</v>
      </c>
      <c r="H106">
        <v>8.5399999999999991</v>
      </c>
      <c r="I106">
        <v>1</v>
      </c>
    </row>
    <row r="107" spans="1:9" x14ac:dyDescent="0.25">
      <c r="A107">
        <v>90</v>
      </c>
      <c r="B107">
        <v>6</v>
      </c>
      <c r="C107" t="s">
        <v>50</v>
      </c>
      <c r="D107" t="s">
        <v>36</v>
      </c>
      <c r="F107">
        <v>1</v>
      </c>
      <c r="G107" s="22" t="s">
        <v>122</v>
      </c>
      <c r="H107">
        <v>7.1829999999999998</v>
      </c>
      <c r="I107">
        <v>1</v>
      </c>
    </row>
    <row r="109" spans="1:9" x14ac:dyDescent="0.25">
      <c r="A109">
        <v>94</v>
      </c>
      <c r="B109">
        <v>2</v>
      </c>
      <c r="C109" t="s">
        <v>54</v>
      </c>
      <c r="D109" t="s">
        <v>32</v>
      </c>
      <c r="F109">
        <v>1</v>
      </c>
      <c r="G109" s="22" t="s">
        <v>123</v>
      </c>
      <c r="H109">
        <v>6.181</v>
      </c>
      <c r="I109">
        <v>1</v>
      </c>
    </row>
    <row r="110" spans="1:9" x14ac:dyDescent="0.25">
      <c r="A110">
        <v>95</v>
      </c>
      <c r="B110">
        <v>2</v>
      </c>
      <c r="C110" t="s">
        <v>54</v>
      </c>
      <c r="D110" t="s">
        <v>34</v>
      </c>
      <c r="E110">
        <v>18.29025845</v>
      </c>
      <c r="F110">
        <v>1</v>
      </c>
      <c r="G110" s="22" t="s">
        <v>124</v>
      </c>
      <c r="H110">
        <v>6.1680000000000001</v>
      </c>
      <c r="I110">
        <v>1</v>
      </c>
    </row>
    <row r="111" spans="1:9" x14ac:dyDescent="0.25">
      <c r="A111">
        <v>96</v>
      </c>
      <c r="B111">
        <v>2</v>
      </c>
      <c r="C111" t="s">
        <v>54</v>
      </c>
      <c r="D111" t="s">
        <v>36</v>
      </c>
      <c r="F111">
        <v>1</v>
      </c>
      <c r="G111" s="22" t="s">
        <v>125</v>
      </c>
      <c r="H111">
        <v>6.5519999999999996</v>
      </c>
      <c r="I111">
        <v>1</v>
      </c>
    </row>
    <row r="112" spans="1:9" x14ac:dyDescent="0.25">
      <c r="A112">
        <v>97</v>
      </c>
      <c r="B112">
        <v>3</v>
      </c>
      <c r="C112" t="s">
        <v>54</v>
      </c>
      <c r="D112" t="s">
        <v>32</v>
      </c>
      <c r="F112">
        <v>2</v>
      </c>
      <c r="G112" s="22" t="s">
        <v>33</v>
      </c>
      <c r="H112">
        <v>7.0720000000000001</v>
      </c>
      <c r="I112">
        <v>1</v>
      </c>
    </row>
    <row r="113" spans="1:9" x14ac:dyDescent="0.25">
      <c r="A113">
        <v>98</v>
      </c>
      <c r="B113">
        <v>3</v>
      </c>
      <c r="C113" t="s">
        <v>54</v>
      </c>
      <c r="D113" t="s">
        <v>34</v>
      </c>
      <c r="E113">
        <v>17.169811320000001</v>
      </c>
      <c r="F113">
        <v>2</v>
      </c>
      <c r="G113" s="22" t="s">
        <v>35</v>
      </c>
      <c r="H113">
        <v>8.1440000000000001</v>
      </c>
      <c r="I113">
        <v>1</v>
      </c>
    </row>
    <row r="114" spans="1:9" x14ac:dyDescent="0.25">
      <c r="A114">
        <v>99</v>
      </c>
      <c r="B114">
        <v>3</v>
      </c>
      <c r="C114" t="s">
        <v>54</v>
      </c>
      <c r="D114" t="s">
        <v>36</v>
      </c>
      <c r="F114">
        <v>2</v>
      </c>
      <c r="G114" s="22" t="s">
        <v>37</v>
      </c>
      <c r="H114">
        <v>8.4979999999999993</v>
      </c>
      <c r="I114">
        <v>1</v>
      </c>
    </row>
    <row r="115" spans="1:9" x14ac:dyDescent="0.25">
      <c r="A115">
        <v>100</v>
      </c>
      <c r="B115">
        <v>4</v>
      </c>
      <c r="C115" t="s">
        <v>54</v>
      </c>
      <c r="D115" t="s">
        <v>32</v>
      </c>
      <c r="F115">
        <v>2</v>
      </c>
      <c r="G115" s="22" t="s">
        <v>39</v>
      </c>
      <c r="H115">
        <v>6.1180000000000003</v>
      </c>
      <c r="I115">
        <v>1</v>
      </c>
    </row>
    <row r="116" spans="1:9" x14ac:dyDescent="0.25">
      <c r="A116">
        <v>101</v>
      </c>
      <c r="B116">
        <v>4</v>
      </c>
      <c r="C116" t="s">
        <v>54</v>
      </c>
      <c r="D116" t="s">
        <v>34</v>
      </c>
      <c r="E116">
        <v>20.95808383</v>
      </c>
      <c r="F116">
        <v>2</v>
      </c>
      <c r="G116" s="22" t="s">
        <v>40</v>
      </c>
      <c r="H116">
        <v>7.7629999999999999</v>
      </c>
      <c r="I116">
        <v>1</v>
      </c>
    </row>
    <row r="117" spans="1:9" x14ac:dyDescent="0.25">
      <c r="A117">
        <v>102</v>
      </c>
      <c r="B117">
        <v>4</v>
      </c>
      <c r="C117" t="s">
        <v>54</v>
      </c>
      <c r="D117" t="s">
        <v>36</v>
      </c>
      <c r="F117">
        <v>2</v>
      </c>
      <c r="G117" s="22" t="s">
        <v>41</v>
      </c>
      <c r="H117">
        <v>6.6479999999999997</v>
      </c>
      <c r="I117">
        <v>1</v>
      </c>
    </row>
    <row r="118" spans="1:9" x14ac:dyDescent="0.25">
      <c r="A118">
        <v>103</v>
      </c>
      <c r="B118">
        <v>5</v>
      </c>
      <c r="C118" t="s">
        <v>54</v>
      </c>
      <c r="D118" t="s">
        <v>32</v>
      </c>
      <c r="F118">
        <v>2</v>
      </c>
      <c r="G118" s="22" t="s">
        <v>43</v>
      </c>
      <c r="H118">
        <v>7.6859999999999999</v>
      </c>
      <c r="I118">
        <v>1</v>
      </c>
    </row>
    <row r="119" spans="1:9" x14ac:dyDescent="0.25">
      <c r="A119">
        <v>104</v>
      </c>
      <c r="B119">
        <v>5</v>
      </c>
      <c r="C119" t="s">
        <v>54</v>
      </c>
      <c r="D119" t="s">
        <v>34</v>
      </c>
      <c r="E119">
        <v>14.970059880000001</v>
      </c>
      <c r="F119">
        <v>2</v>
      </c>
      <c r="G119" s="22" t="s">
        <v>44</v>
      </c>
      <c r="H119">
        <v>8.0739999999999998</v>
      </c>
      <c r="I119">
        <v>1</v>
      </c>
    </row>
    <row r="120" spans="1:9" x14ac:dyDescent="0.25">
      <c r="A120">
        <v>105</v>
      </c>
      <c r="B120">
        <v>5</v>
      </c>
      <c r="C120" t="s">
        <v>54</v>
      </c>
      <c r="D120" t="s">
        <v>36</v>
      </c>
      <c r="F120">
        <v>2</v>
      </c>
      <c r="G120" s="22" t="s">
        <v>45</v>
      </c>
      <c r="H120">
        <v>6.0650000000000004</v>
      </c>
      <c r="I120">
        <v>1</v>
      </c>
    </row>
    <row r="121" spans="1:9" x14ac:dyDescent="0.25">
      <c r="A121">
        <v>106</v>
      </c>
      <c r="B121">
        <v>6</v>
      </c>
      <c r="C121" t="s">
        <v>54</v>
      </c>
      <c r="D121" t="s">
        <v>32</v>
      </c>
      <c r="F121">
        <v>2</v>
      </c>
      <c r="G121" s="22" t="s">
        <v>47</v>
      </c>
      <c r="H121">
        <v>6.1189999999999998</v>
      </c>
      <c r="I121">
        <v>1</v>
      </c>
    </row>
    <row r="122" spans="1:9" x14ac:dyDescent="0.25">
      <c r="A122">
        <v>107</v>
      </c>
      <c r="B122">
        <v>6</v>
      </c>
      <c r="C122" t="s">
        <v>54</v>
      </c>
      <c r="D122" t="s">
        <v>34</v>
      </c>
      <c r="E122">
        <v>18.399999999999999</v>
      </c>
      <c r="F122">
        <v>2</v>
      </c>
      <c r="G122" s="22" t="s">
        <v>48</v>
      </c>
      <c r="H122">
        <v>7.1680000000000001</v>
      </c>
      <c r="I122">
        <v>1</v>
      </c>
    </row>
    <row r="123" spans="1:9" x14ac:dyDescent="0.25">
      <c r="A123">
        <v>108</v>
      </c>
      <c r="B123">
        <v>6</v>
      </c>
      <c r="C123" t="s">
        <v>54</v>
      </c>
      <c r="D123" t="s">
        <v>36</v>
      </c>
      <c r="F123">
        <v>2</v>
      </c>
      <c r="G123" s="22" t="s">
        <v>49</v>
      </c>
      <c r="H123">
        <v>7.8310000000000004</v>
      </c>
      <c r="I123">
        <v>1</v>
      </c>
    </row>
    <row r="125" spans="1:9" x14ac:dyDescent="0.25">
      <c r="A125">
        <v>112</v>
      </c>
      <c r="B125">
        <v>2</v>
      </c>
      <c r="C125" t="s">
        <v>58</v>
      </c>
      <c r="D125" t="s">
        <v>32</v>
      </c>
      <c r="F125">
        <v>2</v>
      </c>
      <c r="G125" s="22" t="s">
        <v>55</v>
      </c>
      <c r="H125">
        <v>6.8719999999999999</v>
      </c>
      <c r="I125">
        <v>1</v>
      </c>
    </row>
    <row r="126" spans="1:9" x14ac:dyDescent="0.25">
      <c r="A126">
        <v>113</v>
      </c>
      <c r="B126">
        <v>2</v>
      </c>
      <c r="C126" t="s">
        <v>58</v>
      </c>
      <c r="D126" t="s">
        <v>34</v>
      </c>
      <c r="E126">
        <v>15.537848609999999</v>
      </c>
      <c r="F126">
        <v>2</v>
      </c>
      <c r="G126" s="22" t="s">
        <v>56</v>
      </c>
      <c r="H126">
        <v>6.6719999999999997</v>
      </c>
      <c r="I126">
        <v>1</v>
      </c>
    </row>
    <row r="127" spans="1:9" x14ac:dyDescent="0.25">
      <c r="A127">
        <v>114</v>
      </c>
      <c r="B127">
        <v>2</v>
      </c>
      <c r="C127" t="s">
        <v>58</v>
      </c>
      <c r="D127" t="s">
        <v>36</v>
      </c>
      <c r="F127">
        <v>2</v>
      </c>
      <c r="G127" s="22" t="s">
        <v>57</v>
      </c>
      <c r="H127">
        <v>6.1130000000000004</v>
      </c>
      <c r="I127">
        <v>1</v>
      </c>
    </row>
    <row r="128" spans="1:9" x14ac:dyDescent="0.25">
      <c r="A128">
        <v>115</v>
      </c>
      <c r="B128">
        <v>3</v>
      </c>
      <c r="C128" t="s">
        <v>58</v>
      </c>
      <c r="D128" t="s">
        <v>32</v>
      </c>
      <c r="F128">
        <v>2</v>
      </c>
      <c r="G128" s="22" t="s">
        <v>59</v>
      </c>
      <c r="H128">
        <v>6.7919999999999998</v>
      </c>
      <c r="I128">
        <v>1</v>
      </c>
    </row>
    <row r="129" spans="1:9" x14ac:dyDescent="0.25">
      <c r="A129">
        <v>116</v>
      </c>
      <c r="B129">
        <v>3</v>
      </c>
      <c r="C129" t="s">
        <v>58</v>
      </c>
      <c r="D129" t="s">
        <v>34</v>
      </c>
      <c r="E129">
        <v>14.31411531</v>
      </c>
      <c r="F129">
        <v>2</v>
      </c>
      <c r="G129" s="22" t="s">
        <v>60</v>
      </c>
      <c r="H129">
        <v>7.3289999999999997</v>
      </c>
      <c r="I129">
        <v>1</v>
      </c>
    </row>
    <row r="130" spans="1:9" x14ac:dyDescent="0.25">
      <c r="A130">
        <v>117</v>
      </c>
      <c r="B130">
        <v>3</v>
      </c>
      <c r="C130" t="s">
        <v>58</v>
      </c>
      <c r="D130" t="s">
        <v>36</v>
      </c>
      <c r="F130">
        <v>2</v>
      </c>
      <c r="G130" s="22" t="s">
        <v>61</v>
      </c>
      <c r="H130">
        <v>7.2140000000000004</v>
      </c>
      <c r="I130">
        <v>1</v>
      </c>
    </row>
    <row r="131" spans="1:9" x14ac:dyDescent="0.25">
      <c r="A131">
        <v>118</v>
      </c>
      <c r="B131">
        <v>4</v>
      </c>
      <c r="C131" t="s">
        <v>58</v>
      </c>
      <c r="D131" t="s">
        <v>32</v>
      </c>
      <c r="F131">
        <v>2</v>
      </c>
      <c r="G131" s="22" t="s">
        <v>63</v>
      </c>
      <c r="H131">
        <v>7.133</v>
      </c>
      <c r="I131">
        <v>1</v>
      </c>
    </row>
    <row r="132" spans="1:9" x14ac:dyDescent="0.25">
      <c r="A132">
        <v>119</v>
      </c>
      <c r="B132">
        <v>4</v>
      </c>
      <c r="C132" t="s">
        <v>58</v>
      </c>
      <c r="D132" t="s">
        <v>34</v>
      </c>
      <c r="E132">
        <v>13</v>
      </c>
      <c r="F132">
        <v>2</v>
      </c>
      <c r="G132" s="22" t="s">
        <v>64</v>
      </c>
      <c r="H132">
        <v>6.0529999999999999</v>
      </c>
      <c r="I132">
        <v>1</v>
      </c>
    </row>
    <row r="133" spans="1:9" x14ac:dyDescent="0.25">
      <c r="A133">
        <v>120</v>
      </c>
      <c r="B133">
        <v>4</v>
      </c>
      <c r="C133" t="s">
        <v>58</v>
      </c>
      <c r="D133" t="s">
        <v>36</v>
      </c>
      <c r="F133">
        <v>2</v>
      </c>
      <c r="G133" s="22" t="s">
        <v>65</v>
      </c>
      <c r="H133">
        <v>6.6429999999999998</v>
      </c>
      <c r="I133">
        <v>1</v>
      </c>
    </row>
    <row r="134" spans="1:9" x14ac:dyDescent="0.25">
      <c r="A134">
        <v>121</v>
      </c>
      <c r="B134">
        <v>5</v>
      </c>
      <c r="C134" t="s">
        <v>58</v>
      </c>
      <c r="D134" t="s">
        <v>32</v>
      </c>
      <c r="F134">
        <v>2</v>
      </c>
      <c r="G134" s="22" t="s">
        <v>66</v>
      </c>
      <c r="H134">
        <v>6.3819999999999997</v>
      </c>
      <c r="I134">
        <v>1</v>
      </c>
    </row>
    <row r="135" spans="1:9" x14ac:dyDescent="0.25">
      <c r="A135">
        <v>122</v>
      </c>
      <c r="B135">
        <v>5</v>
      </c>
      <c r="C135" t="s">
        <v>58</v>
      </c>
      <c r="D135" t="s">
        <v>34</v>
      </c>
      <c r="E135">
        <v>19.920318730000002</v>
      </c>
      <c r="F135">
        <v>2</v>
      </c>
      <c r="G135" s="22" t="s">
        <v>67</v>
      </c>
      <c r="H135">
        <v>6.3929999999999998</v>
      </c>
      <c r="I135">
        <v>1</v>
      </c>
    </row>
    <row r="136" spans="1:9" x14ac:dyDescent="0.25">
      <c r="A136">
        <v>123</v>
      </c>
      <c r="B136">
        <v>5</v>
      </c>
      <c r="C136" t="s">
        <v>58</v>
      </c>
      <c r="D136" t="s">
        <v>36</v>
      </c>
      <c r="F136">
        <v>2</v>
      </c>
      <c r="G136" s="22" t="s">
        <v>68</v>
      </c>
      <c r="H136">
        <v>6.2709999999999999</v>
      </c>
      <c r="I136">
        <v>1</v>
      </c>
    </row>
    <row r="137" spans="1:9" x14ac:dyDescent="0.25">
      <c r="A137">
        <v>124</v>
      </c>
      <c r="B137">
        <v>6</v>
      </c>
      <c r="C137" t="s">
        <v>58</v>
      </c>
      <c r="D137" t="s">
        <v>32</v>
      </c>
      <c r="F137">
        <v>2</v>
      </c>
      <c r="G137" s="22" t="s">
        <v>69</v>
      </c>
      <c r="H137">
        <v>6.4180000000000001</v>
      </c>
      <c r="I137">
        <v>1</v>
      </c>
    </row>
    <row r="138" spans="1:9" x14ac:dyDescent="0.25">
      <c r="A138">
        <v>125</v>
      </c>
      <c r="B138">
        <v>6</v>
      </c>
      <c r="C138" t="s">
        <v>58</v>
      </c>
      <c r="D138" t="s">
        <v>34</v>
      </c>
      <c r="E138">
        <v>17.131474099999998</v>
      </c>
      <c r="F138">
        <v>2</v>
      </c>
      <c r="G138" s="22" t="s">
        <v>70</v>
      </c>
      <c r="H138">
        <v>7.4770000000000003</v>
      </c>
      <c r="I138">
        <v>1</v>
      </c>
    </row>
    <row r="139" spans="1:9" x14ac:dyDescent="0.25">
      <c r="A139">
        <v>126</v>
      </c>
      <c r="B139">
        <v>6</v>
      </c>
      <c r="C139" t="s">
        <v>58</v>
      </c>
      <c r="D139" t="s">
        <v>36</v>
      </c>
      <c r="F139">
        <v>2</v>
      </c>
      <c r="G139" s="22" t="s">
        <v>71</v>
      </c>
      <c r="H139">
        <v>8.3480000000000008</v>
      </c>
      <c r="I139">
        <v>1</v>
      </c>
    </row>
    <row r="141" spans="1:9" x14ac:dyDescent="0.25">
      <c r="A141">
        <v>130</v>
      </c>
      <c r="B141">
        <v>2</v>
      </c>
      <c r="C141" t="s">
        <v>62</v>
      </c>
      <c r="D141" t="s">
        <v>32</v>
      </c>
      <c r="F141">
        <v>2</v>
      </c>
      <c r="G141" s="22" t="s">
        <v>75</v>
      </c>
      <c r="H141">
        <v>6.1390000000000002</v>
      </c>
      <c r="I141">
        <v>1</v>
      </c>
    </row>
    <row r="142" spans="1:9" x14ac:dyDescent="0.25">
      <c r="A142">
        <v>131</v>
      </c>
      <c r="B142">
        <v>2</v>
      </c>
      <c r="C142" t="s">
        <v>62</v>
      </c>
      <c r="D142" t="s">
        <v>34</v>
      </c>
      <c r="E142">
        <v>16.465863450000001</v>
      </c>
      <c r="F142">
        <v>2</v>
      </c>
      <c r="G142" s="22" t="s">
        <v>76</v>
      </c>
      <c r="H142">
        <v>7.2880000000000003</v>
      </c>
      <c r="I142">
        <v>1</v>
      </c>
    </row>
    <row r="143" spans="1:9" x14ac:dyDescent="0.25">
      <c r="A143">
        <v>132</v>
      </c>
      <c r="B143">
        <v>2</v>
      </c>
      <c r="C143" t="s">
        <v>62</v>
      </c>
      <c r="D143" t="s">
        <v>36</v>
      </c>
      <c r="F143">
        <v>2</v>
      </c>
      <c r="G143" s="22" t="s">
        <v>77</v>
      </c>
      <c r="H143">
        <v>6.319</v>
      </c>
      <c r="I143">
        <v>1</v>
      </c>
    </row>
    <row r="144" spans="1:9" x14ac:dyDescent="0.25">
      <c r="A144">
        <v>133</v>
      </c>
      <c r="B144">
        <v>3</v>
      </c>
      <c r="C144" t="s">
        <v>62</v>
      </c>
      <c r="D144" t="s">
        <v>32</v>
      </c>
      <c r="F144">
        <v>2</v>
      </c>
      <c r="G144" s="22" t="s">
        <v>126</v>
      </c>
      <c r="H144">
        <v>6.2530000000000001</v>
      </c>
      <c r="I144">
        <v>1</v>
      </c>
    </row>
    <row r="145" spans="1:9" x14ac:dyDescent="0.25">
      <c r="A145">
        <v>134</v>
      </c>
      <c r="B145">
        <v>3</v>
      </c>
      <c r="C145" t="s">
        <v>62</v>
      </c>
      <c r="D145" t="s">
        <v>34</v>
      </c>
      <c r="E145">
        <v>27.655310620000002</v>
      </c>
      <c r="F145">
        <v>2</v>
      </c>
      <c r="G145" s="22" t="s">
        <v>127</v>
      </c>
      <c r="H145">
        <v>6.9249999999999998</v>
      </c>
      <c r="I145">
        <v>1</v>
      </c>
    </row>
    <row r="146" spans="1:9" x14ac:dyDescent="0.25">
      <c r="A146">
        <v>135</v>
      </c>
      <c r="B146">
        <v>3</v>
      </c>
      <c r="C146" t="s">
        <v>62</v>
      </c>
      <c r="D146" t="s">
        <v>36</v>
      </c>
      <c r="F146">
        <v>2</v>
      </c>
      <c r="G146" s="22" t="s">
        <v>128</v>
      </c>
      <c r="H146">
        <v>6.944</v>
      </c>
      <c r="I146">
        <v>1</v>
      </c>
    </row>
    <row r="147" spans="1:9" x14ac:dyDescent="0.25">
      <c r="A147">
        <v>136</v>
      </c>
      <c r="B147">
        <v>4</v>
      </c>
      <c r="C147" t="s">
        <v>62</v>
      </c>
      <c r="D147" t="s">
        <v>32</v>
      </c>
      <c r="F147">
        <v>2</v>
      </c>
      <c r="G147" s="22" t="s">
        <v>78</v>
      </c>
      <c r="H147">
        <v>6.4409999999999998</v>
      </c>
      <c r="I147">
        <v>1</v>
      </c>
    </row>
    <row r="148" spans="1:9" x14ac:dyDescent="0.25">
      <c r="A148">
        <v>137</v>
      </c>
      <c r="B148">
        <v>4</v>
      </c>
      <c r="C148" t="s">
        <v>62</v>
      </c>
      <c r="D148" t="s">
        <v>34</v>
      </c>
      <c r="E148">
        <v>15.308151090000001</v>
      </c>
      <c r="F148">
        <v>2</v>
      </c>
      <c r="G148" s="22" t="s">
        <v>79</v>
      </c>
      <c r="H148">
        <v>7.4450000000000003</v>
      </c>
      <c r="I148">
        <v>1</v>
      </c>
    </row>
    <row r="149" spans="1:9" x14ac:dyDescent="0.25">
      <c r="A149">
        <v>138</v>
      </c>
      <c r="B149">
        <v>4</v>
      </c>
      <c r="C149" t="s">
        <v>62</v>
      </c>
      <c r="D149" t="s">
        <v>36</v>
      </c>
      <c r="F149">
        <v>2</v>
      </c>
      <c r="G149" s="22" t="s">
        <v>80</v>
      </c>
      <c r="H149">
        <v>7.0839999999999996</v>
      </c>
      <c r="I149">
        <v>1</v>
      </c>
    </row>
    <row r="150" spans="1:9" x14ac:dyDescent="0.25">
      <c r="A150">
        <v>139</v>
      </c>
      <c r="B150">
        <v>5</v>
      </c>
      <c r="C150" t="s">
        <v>62</v>
      </c>
      <c r="D150" t="s">
        <v>32</v>
      </c>
      <c r="F150">
        <v>2</v>
      </c>
      <c r="G150" s="22" t="s">
        <v>81</v>
      </c>
      <c r="H150">
        <v>6.1920000000000002</v>
      </c>
      <c r="I150">
        <v>1</v>
      </c>
    </row>
    <row r="151" spans="1:9" x14ac:dyDescent="0.25">
      <c r="A151">
        <v>140</v>
      </c>
      <c r="B151">
        <v>5</v>
      </c>
      <c r="C151" t="s">
        <v>62</v>
      </c>
      <c r="D151" t="s">
        <v>34</v>
      </c>
      <c r="E151">
        <v>22.8</v>
      </c>
      <c r="F151">
        <v>2</v>
      </c>
      <c r="G151" s="22" t="s">
        <v>82</v>
      </c>
      <c r="H151">
        <v>6.4279999999999999</v>
      </c>
      <c r="I151">
        <v>1</v>
      </c>
    </row>
    <row r="152" spans="1:9" x14ac:dyDescent="0.25">
      <c r="A152">
        <v>141</v>
      </c>
      <c r="B152">
        <v>5</v>
      </c>
      <c r="C152" t="s">
        <v>62</v>
      </c>
      <c r="D152" t="s">
        <v>36</v>
      </c>
      <c r="F152">
        <v>2</v>
      </c>
      <c r="G152" s="22" t="s">
        <v>83</v>
      </c>
      <c r="H152">
        <v>6.4189999999999996</v>
      </c>
      <c r="I152">
        <v>1</v>
      </c>
    </row>
    <row r="153" spans="1:9" x14ac:dyDescent="0.25">
      <c r="A153">
        <v>142</v>
      </c>
      <c r="B153">
        <v>6</v>
      </c>
      <c r="C153" t="s">
        <v>62</v>
      </c>
      <c r="D153" t="s">
        <v>32</v>
      </c>
      <c r="F153">
        <v>2</v>
      </c>
      <c r="G153" s="22" t="s">
        <v>84</v>
      </c>
      <c r="H153">
        <v>8.4090000000000007</v>
      </c>
      <c r="I153">
        <v>1</v>
      </c>
    </row>
    <row r="154" spans="1:9" x14ac:dyDescent="0.25">
      <c r="A154">
        <v>143</v>
      </c>
      <c r="B154">
        <v>6</v>
      </c>
      <c r="C154" t="s">
        <v>62</v>
      </c>
      <c r="D154" t="s">
        <v>34</v>
      </c>
      <c r="E154">
        <v>20.35928144</v>
      </c>
      <c r="F154">
        <v>2</v>
      </c>
      <c r="G154" s="22" t="s">
        <v>85</v>
      </c>
      <c r="H154">
        <v>6.3029999999999999</v>
      </c>
      <c r="I154">
        <v>1</v>
      </c>
    </row>
    <row r="155" spans="1:9" x14ac:dyDescent="0.25">
      <c r="A155">
        <v>144</v>
      </c>
      <c r="B155">
        <v>6</v>
      </c>
      <c r="C155" t="s">
        <v>62</v>
      </c>
      <c r="D155" t="s">
        <v>36</v>
      </c>
      <c r="F155">
        <v>2</v>
      </c>
      <c r="G155" s="22" t="s">
        <v>86</v>
      </c>
      <c r="H155">
        <v>7.0110000000000001</v>
      </c>
      <c r="I155">
        <v>1</v>
      </c>
    </row>
    <row r="156" spans="1:9" x14ac:dyDescent="0.25">
      <c r="A156">
        <v>145</v>
      </c>
      <c r="B156">
        <v>2</v>
      </c>
      <c r="C156" t="s">
        <v>31</v>
      </c>
      <c r="D156" t="s">
        <v>129</v>
      </c>
      <c r="F156">
        <v>2</v>
      </c>
      <c r="G156" s="22" t="s">
        <v>87</v>
      </c>
      <c r="H156">
        <v>6.3410000000000002</v>
      </c>
      <c r="I156">
        <v>1</v>
      </c>
    </row>
    <row r="157" spans="1:9" x14ac:dyDescent="0.25">
      <c r="A157">
        <v>146</v>
      </c>
      <c r="B157">
        <v>2</v>
      </c>
      <c r="C157" t="s">
        <v>38</v>
      </c>
      <c r="D157" t="s">
        <v>129</v>
      </c>
      <c r="F157">
        <v>2</v>
      </c>
      <c r="G157" s="22" t="s">
        <v>88</v>
      </c>
      <c r="H157">
        <v>7.4790000000000001</v>
      </c>
      <c r="I157">
        <v>1</v>
      </c>
    </row>
    <row r="158" spans="1:9" x14ac:dyDescent="0.25">
      <c r="A158">
        <v>147</v>
      </c>
      <c r="B158">
        <v>3</v>
      </c>
      <c r="C158" t="s">
        <v>42</v>
      </c>
      <c r="D158" t="s">
        <v>129</v>
      </c>
      <c r="F158">
        <v>2</v>
      </c>
      <c r="G158" s="22" t="s">
        <v>89</v>
      </c>
      <c r="H158">
        <v>6.6079999999999997</v>
      </c>
      <c r="I158">
        <v>1</v>
      </c>
    </row>
    <row r="159" spans="1:9" x14ac:dyDescent="0.25">
      <c r="A159">
        <v>148</v>
      </c>
      <c r="B159">
        <v>4</v>
      </c>
      <c r="C159" t="s">
        <v>54</v>
      </c>
      <c r="D159" t="s">
        <v>129</v>
      </c>
      <c r="F159">
        <v>2</v>
      </c>
      <c r="G159" s="22" t="s">
        <v>90</v>
      </c>
      <c r="H159">
        <v>6.1520000000000001</v>
      </c>
      <c r="I1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4031-B527-4D03-ABED-2C4396F5251E}">
  <dimension ref="A1:N149"/>
  <sheetViews>
    <sheetView zoomScale="70" zoomScaleNormal="70" workbookViewId="0">
      <selection activeCell="M22" sqref="M22"/>
    </sheetView>
  </sheetViews>
  <sheetFormatPr defaultRowHeight="15" x14ac:dyDescent="0.25"/>
  <cols>
    <col min="1" max="1" width="6.42578125" customWidth="1"/>
    <col min="2" max="2" width="6.140625" customWidth="1"/>
    <col min="5" max="5" width="7" customWidth="1"/>
    <col min="6" max="6" width="7.5703125" customWidth="1"/>
    <col min="7" max="7" width="12.5703125" customWidth="1"/>
    <col min="8" max="8" width="8.140625" customWidth="1"/>
    <col min="9" max="9" width="8.7109375" customWidth="1"/>
    <col min="10" max="10" width="24.42578125" bestFit="1" customWidth="1"/>
    <col min="11" max="11" width="25.7109375" bestFit="1" customWidth="1"/>
    <col min="12" max="12" width="26.85546875" bestFit="1" customWidth="1"/>
    <col min="13" max="13" width="28.140625" bestFit="1" customWidth="1"/>
    <col min="14" max="14" width="27.5703125" bestFit="1" customWidth="1"/>
  </cols>
  <sheetData>
    <row r="1" spans="1:14" ht="15.75" x14ac:dyDescent="0.25">
      <c r="A1" s="50" t="s">
        <v>22</v>
      </c>
      <c r="B1" s="50" t="s">
        <v>23</v>
      </c>
      <c r="C1" s="50" t="s">
        <v>24</v>
      </c>
      <c r="D1" s="50" t="s">
        <v>25</v>
      </c>
      <c r="E1" s="50" t="s">
        <v>26</v>
      </c>
      <c r="F1" s="50" t="s">
        <v>27</v>
      </c>
      <c r="G1" s="51" t="s">
        <v>28</v>
      </c>
      <c r="H1" s="50" t="s">
        <v>29</v>
      </c>
      <c r="I1" s="50" t="s">
        <v>30</v>
      </c>
      <c r="J1" s="52" t="s">
        <v>14</v>
      </c>
      <c r="K1" s="53" t="s">
        <v>15</v>
      </c>
      <c r="L1" s="53" t="s">
        <v>16</v>
      </c>
      <c r="M1" s="54" t="s">
        <v>20</v>
      </c>
      <c r="N1" s="55" t="s">
        <v>21</v>
      </c>
    </row>
    <row r="2" spans="1:14" ht="15.75" x14ac:dyDescent="0.25">
      <c r="A2" s="56">
        <v>1</v>
      </c>
      <c r="B2" s="56">
        <v>1</v>
      </c>
      <c r="C2" s="56" t="s">
        <v>31</v>
      </c>
      <c r="D2" s="56" t="s">
        <v>32</v>
      </c>
      <c r="E2" s="56"/>
      <c r="F2" s="56">
        <v>0</v>
      </c>
      <c r="G2" s="57" t="s">
        <v>33</v>
      </c>
      <c r="H2" s="56">
        <v>7.835</v>
      </c>
      <c r="I2" s="56">
        <v>0</v>
      </c>
      <c r="J2" s="58">
        <v>0.83597867865034214</v>
      </c>
      <c r="K2" s="58">
        <v>16.586981982104497</v>
      </c>
      <c r="L2" s="59">
        <v>19.841393573438488</v>
      </c>
      <c r="M2" s="59">
        <v>-0.84010688851050186</v>
      </c>
      <c r="N2" s="59">
        <v>-29.279966438412867</v>
      </c>
    </row>
    <row r="3" spans="1:14" ht="15.75" x14ac:dyDescent="0.25">
      <c r="A3" s="56">
        <v>2</v>
      </c>
      <c r="B3" s="56">
        <v>1</v>
      </c>
      <c r="C3" s="56" t="s">
        <v>31</v>
      </c>
      <c r="D3" s="56" t="s">
        <v>34</v>
      </c>
      <c r="E3" s="56">
        <v>19.920318730000002</v>
      </c>
      <c r="F3" s="56">
        <v>0</v>
      </c>
      <c r="G3" s="57" t="s">
        <v>35</v>
      </c>
      <c r="H3" s="56">
        <v>7.6319999999999997</v>
      </c>
      <c r="I3" s="56">
        <v>0</v>
      </c>
      <c r="J3" s="58">
        <v>0.44194055371323021</v>
      </c>
      <c r="K3" s="58">
        <v>7.8296783537579007</v>
      </c>
      <c r="L3" s="59">
        <v>17.716587192490334</v>
      </c>
      <c r="M3" s="59">
        <v>0.21073808666171689</v>
      </c>
      <c r="N3" s="59">
        <v>-27.122581895756067</v>
      </c>
    </row>
    <row r="4" spans="1:14" ht="15.75" x14ac:dyDescent="0.25">
      <c r="A4" s="56">
        <v>3</v>
      </c>
      <c r="B4" s="56">
        <v>1</v>
      </c>
      <c r="C4" s="56" t="s">
        <v>31</v>
      </c>
      <c r="D4" s="56" t="s">
        <v>36</v>
      </c>
      <c r="E4" s="56"/>
      <c r="F4" s="56">
        <v>0</v>
      </c>
      <c r="G4" s="57" t="s">
        <v>37</v>
      </c>
      <c r="H4" s="56">
        <v>7.5579999999999998</v>
      </c>
      <c r="I4" s="56">
        <v>0</v>
      </c>
      <c r="J4" s="58">
        <v>0.30150865774565172</v>
      </c>
      <c r="K4" s="58">
        <v>4.3008216131681936</v>
      </c>
      <c r="L4" s="59">
        <v>14.264338693704454</v>
      </c>
      <c r="M4" s="59">
        <v>0.78904754321945758</v>
      </c>
      <c r="N4" s="59">
        <v>-25.441386545574769</v>
      </c>
    </row>
    <row r="5" spans="1:14" ht="15.75" x14ac:dyDescent="0.25">
      <c r="A5" s="56">
        <v>19</v>
      </c>
      <c r="B5" s="56">
        <v>1</v>
      </c>
      <c r="C5" s="56" t="s">
        <v>38</v>
      </c>
      <c r="D5" s="56" t="s">
        <v>32</v>
      </c>
      <c r="E5" s="56"/>
      <c r="F5" s="56">
        <v>0</v>
      </c>
      <c r="G5" s="57" t="s">
        <v>39</v>
      </c>
      <c r="H5" s="56">
        <v>6.3479999999999999</v>
      </c>
      <c r="I5" s="56">
        <v>0</v>
      </c>
      <c r="J5" s="58">
        <v>0.84249983409812101</v>
      </c>
      <c r="K5" s="58">
        <v>18.171898706388127</v>
      </c>
      <c r="L5" s="59">
        <v>21.569023483358635</v>
      </c>
      <c r="M5" s="59">
        <v>-0.46272512044226899</v>
      </c>
      <c r="N5" s="59">
        <v>-28.599889265674147</v>
      </c>
    </row>
    <row r="6" spans="1:14" ht="15.75" x14ac:dyDescent="0.25">
      <c r="A6" s="56">
        <v>20</v>
      </c>
      <c r="B6" s="56">
        <v>1</v>
      </c>
      <c r="C6" s="56" t="s">
        <v>38</v>
      </c>
      <c r="D6" s="56" t="s">
        <v>34</v>
      </c>
      <c r="E6" s="56">
        <v>11.952191239999999</v>
      </c>
      <c r="F6" s="56">
        <v>0</v>
      </c>
      <c r="G6" s="57" t="s">
        <v>40</v>
      </c>
      <c r="H6" s="56">
        <v>7.4210000000000003</v>
      </c>
      <c r="I6" s="56">
        <v>0</v>
      </c>
      <c r="J6" s="58">
        <v>0.41457638249875445</v>
      </c>
      <c r="K6" s="58">
        <v>6.5246944622829188</v>
      </c>
      <c r="L6" s="59">
        <v>15.738220356299532</v>
      </c>
      <c r="M6" s="59">
        <v>-0.15805187797870335</v>
      </c>
      <c r="N6" s="59">
        <v>-27.25659520318251</v>
      </c>
    </row>
    <row r="7" spans="1:14" ht="15.75" x14ac:dyDescent="0.25">
      <c r="A7" s="56">
        <v>21</v>
      </c>
      <c r="B7" s="56">
        <v>1</v>
      </c>
      <c r="C7" s="56" t="s">
        <v>38</v>
      </c>
      <c r="D7" s="56" t="s">
        <v>36</v>
      </c>
      <c r="E7" s="56"/>
      <c r="F7" s="56">
        <v>0</v>
      </c>
      <c r="G7" s="57" t="s">
        <v>41</v>
      </c>
      <c r="H7" s="56">
        <v>7.907</v>
      </c>
      <c r="I7" s="56">
        <v>0</v>
      </c>
      <c r="J7" s="58">
        <v>0.34793498844509818</v>
      </c>
      <c r="K7" s="58">
        <v>4.8342598321796935</v>
      </c>
      <c r="L7" s="59">
        <v>13.894146874344909</v>
      </c>
      <c r="M7" s="59">
        <v>0.47965975063610322</v>
      </c>
      <c r="N7" s="59">
        <v>-25.994179862463263</v>
      </c>
    </row>
    <row r="8" spans="1:14" ht="15.75" x14ac:dyDescent="0.25">
      <c r="A8" s="56">
        <v>37</v>
      </c>
      <c r="B8" s="56">
        <v>1</v>
      </c>
      <c r="C8" s="56" t="s">
        <v>42</v>
      </c>
      <c r="D8" s="56" t="s">
        <v>32</v>
      </c>
      <c r="E8" s="56"/>
      <c r="F8" s="56">
        <v>0</v>
      </c>
      <c r="G8" s="57" t="s">
        <v>43</v>
      </c>
      <c r="H8" s="56">
        <v>6.4169999999999998</v>
      </c>
      <c r="I8" s="56">
        <v>0</v>
      </c>
      <c r="J8" s="58">
        <v>0.90082625215035039</v>
      </c>
      <c r="K8" s="58">
        <v>17.408742768765073</v>
      </c>
      <c r="L8" s="59">
        <v>19.325305770351267</v>
      </c>
      <c r="M8" s="59">
        <v>-0.52457268318349304</v>
      </c>
      <c r="N8" s="59">
        <v>-28.40242736055141</v>
      </c>
    </row>
    <row r="9" spans="1:14" ht="15.75" x14ac:dyDescent="0.25">
      <c r="A9" s="56">
        <v>38</v>
      </c>
      <c r="B9" s="56">
        <v>1</v>
      </c>
      <c r="C9" s="56" t="s">
        <v>42</v>
      </c>
      <c r="D9" s="56" t="s">
        <v>34</v>
      </c>
      <c r="E9" s="56">
        <v>16.071428569999998</v>
      </c>
      <c r="F9" s="56">
        <v>0</v>
      </c>
      <c r="G9" s="57" t="s">
        <v>44</v>
      </c>
      <c r="H9" s="56">
        <v>6.9909999999999997</v>
      </c>
      <c r="I9" s="56">
        <v>0</v>
      </c>
      <c r="J9" s="58">
        <v>0.40786666866610832</v>
      </c>
      <c r="K9" s="58">
        <v>7.7812610027434346</v>
      </c>
      <c r="L9" s="59">
        <v>19.077952675543106</v>
      </c>
      <c r="M9" s="59">
        <v>-0.28331068318399499</v>
      </c>
      <c r="N9" s="59">
        <v>-26.988526404167601</v>
      </c>
    </row>
    <row r="10" spans="1:14" ht="15.75" x14ac:dyDescent="0.25">
      <c r="A10" s="56">
        <v>39</v>
      </c>
      <c r="B10" s="56">
        <v>1</v>
      </c>
      <c r="C10" s="56" t="s">
        <v>42</v>
      </c>
      <c r="D10" s="56" t="s">
        <v>36</v>
      </c>
      <c r="E10" s="56"/>
      <c r="F10" s="56">
        <v>0</v>
      </c>
      <c r="G10" s="57" t="s">
        <v>45</v>
      </c>
      <c r="H10" s="56">
        <v>8.1969999999999992</v>
      </c>
      <c r="I10" s="56">
        <v>0</v>
      </c>
      <c r="J10" s="58">
        <v>0.29007259756025694</v>
      </c>
      <c r="K10" s="58">
        <v>4.2951387248209718</v>
      </c>
      <c r="L10" s="59">
        <v>14.807116428599359</v>
      </c>
      <c r="M10" s="59">
        <v>0.10272581581979401</v>
      </c>
      <c r="N10" s="59">
        <v>-25.769530313858436</v>
      </c>
    </row>
    <row r="11" spans="1:14" ht="15.75" x14ac:dyDescent="0.25">
      <c r="A11" s="56">
        <v>55</v>
      </c>
      <c r="B11" s="56">
        <v>1</v>
      </c>
      <c r="C11" s="56" t="s">
        <v>46</v>
      </c>
      <c r="D11" s="56" t="s">
        <v>32</v>
      </c>
      <c r="E11" s="56"/>
      <c r="F11" s="56">
        <v>0</v>
      </c>
      <c r="G11" s="57" t="s">
        <v>47</v>
      </c>
      <c r="H11" s="56">
        <v>6.3070000000000004</v>
      </c>
      <c r="I11" s="56">
        <v>0</v>
      </c>
      <c r="J11" s="58">
        <v>0.95181484528924054</v>
      </c>
      <c r="K11" s="58">
        <v>18.71171292476464</v>
      </c>
      <c r="L11" s="59">
        <v>19.658984115842895</v>
      </c>
      <c r="M11" s="59">
        <v>-1.0080320041569741</v>
      </c>
      <c r="N11" s="59">
        <v>-28.600159119634871</v>
      </c>
    </row>
    <row r="12" spans="1:14" ht="15.75" x14ac:dyDescent="0.25">
      <c r="A12" s="56">
        <v>56</v>
      </c>
      <c r="B12" s="56">
        <v>1</v>
      </c>
      <c r="C12" s="56" t="s">
        <v>46</v>
      </c>
      <c r="D12" s="56" t="s">
        <v>34</v>
      </c>
      <c r="E12" s="56">
        <v>18.091451289999998</v>
      </c>
      <c r="F12" s="56">
        <v>0</v>
      </c>
      <c r="G12" s="57" t="s">
        <v>48</v>
      </c>
      <c r="H12" s="56">
        <v>8.1370000000000005</v>
      </c>
      <c r="I12" s="56">
        <v>0</v>
      </c>
      <c r="J12" s="58">
        <v>0.5033774210461972</v>
      </c>
      <c r="K12" s="58">
        <v>9.2579051778124679</v>
      </c>
      <c r="L12" s="59">
        <v>18.391578149395837</v>
      </c>
      <c r="M12" s="59">
        <v>-6.1565509586404943E-2</v>
      </c>
      <c r="N12" s="59">
        <v>-27.266783598072855</v>
      </c>
    </row>
    <row r="13" spans="1:14" ht="15.75" x14ac:dyDescent="0.25">
      <c r="A13" s="56">
        <v>57</v>
      </c>
      <c r="B13" s="56">
        <v>1</v>
      </c>
      <c r="C13" s="56" t="s">
        <v>46</v>
      </c>
      <c r="D13" s="56" t="s">
        <v>36</v>
      </c>
      <c r="E13" s="56"/>
      <c r="F13" s="56">
        <v>0</v>
      </c>
      <c r="G13" s="57" t="s">
        <v>49</v>
      </c>
      <c r="H13" s="56">
        <v>8.5280000000000005</v>
      </c>
      <c r="I13" s="56">
        <v>0</v>
      </c>
      <c r="J13" s="58">
        <v>0.14318875853590105</v>
      </c>
      <c r="K13" s="58">
        <v>1.785034259210065</v>
      </c>
      <c r="L13" s="59">
        <v>12.466301666848462</v>
      </c>
      <c r="M13" s="59">
        <v>2.7967408586990103</v>
      </c>
      <c r="N13" s="59">
        <v>-23.627426393183498</v>
      </c>
    </row>
    <row r="14" spans="1:14" ht="15.75" x14ac:dyDescent="0.25">
      <c r="A14" s="56">
        <v>73</v>
      </c>
      <c r="B14" s="56">
        <v>1</v>
      </c>
      <c r="C14" s="56" t="s">
        <v>50</v>
      </c>
      <c r="D14" s="56" t="s">
        <v>32</v>
      </c>
      <c r="E14" s="56"/>
      <c r="F14" s="56">
        <v>0</v>
      </c>
      <c r="G14" s="57" t="s">
        <v>51</v>
      </c>
      <c r="H14" s="56">
        <v>6.665</v>
      </c>
      <c r="I14" s="56">
        <v>0</v>
      </c>
      <c r="J14" s="58">
        <v>0.86121431666320869</v>
      </c>
      <c r="K14" s="58">
        <v>22.738143523820021</v>
      </c>
      <c r="L14" s="59">
        <v>26.402421654948089</v>
      </c>
      <c r="M14" s="59">
        <v>-1.0200901154788378</v>
      </c>
      <c r="N14" s="59">
        <v>-28.989510623542639</v>
      </c>
    </row>
    <row r="15" spans="1:14" ht="15.75" x14ac:dyDescent="0.25">
      <c r="A15" s="56">
        <v>74</v>
      </c>
      <c r="B15" s="56">
        <v>1</v>
      </c>
      <c r="C15" s="56" t="s">
        <v>50</v>
      </c>
      <c r="D15" s="56" t="s">
        <v>34</v>
      </c>
      <c r="E15" s="56">
        <v>20.039682540000001</v>
      </c>
      <c r="F15" s="56">
        <v>0</v>
      </c>
      <c r="G15" s="57" t="s">
        <v>52</v>
      </c>
      <c r="H15" s="56">
        <v>8.0779999999999994</v>
      </c>
      <c r="I15" s="56">
        <v>0</v>
      </c>
      <c r="J15" s="58">
        <v>0.58277775514055474</v>
      </c>
      <c r="K15" s="58">
        <v>9.4192190552951249</v>
      </c>
      <c r="L15" s="59">
        <v>16.162626270838686</v>
      </c>
      <c r="M15" s="59">
        <v>-0.40348811399387352</v>
      </c>
      <c r="N15" s="59">
        <v>-27.192517313041989</v>
      </c>
    </row>
    <row r="16" spans="1:14" ht="15.75" x14ac:dyDescent="0.25">
      <c r="A16" s="56">
        <v>75</v>
      </c>
      <c r="B16" s="56">
        <v>1</v>
      </c>
      <c r="C16" s="56" t="s">
        <v>50</v>
      </c>
      <c r="D16" s="56" t="s">
        <v>36</v>
      </c>
      <c r="E16" s="56"/>
      <c r="F16" s="56">
        <v>0</v>
      </c>
      <c r="G16" s="57" t="s">
        <v>53</v>
      </c>
      <c r="H16" s="56">
        <v>8.2249999999999996</v>
      </c>
      <c r="I16" s="56">
        <v>0</v>
      </c>
      <c r="J16" s="58">
        <v>0.48279307055954712</v>
      </c>
      <c r="K16" s="58">
        <v>6.6063260074203596</v>
      </c>
      <c r="L16" s="59">
        <v>13.683555979301371</v>
      </c>
      <c r="M16" s="59">
        <v>0.72397591181840959</v>
      </c>
      <c r="N16" s="59">
        <v>-26.135452380813643</v>
      </c>
    </row>
    <row r="17" spans="1:14" ht="15.75" x14ac:dyDescent="0.25">
      <c r="A17" s="56">
        <v>91</v>
      </c>
      <c r="B17" s="56">
        <v>1</v>
      </c>
      <c r="C17" s="56" t="s">
        <v>54</v>
      </c>
      <c r="D17" s="56" t="s">
        <v>32</v>
      </c>
      <c r="E17" s="56"/>
      <c r="F17" s="56">
        <v>0</v>
      </c>
      <c r="G17" s="57" t="s">
        <v>55</v>
      </c>
      <c r="H17" s="56">
        <v>6.2039999999999997</v>
      </c>
      <c r="I17" s="56">
        <v>0</v>
      </c>
      <c r="J17" s="58">
        <v>1.0053106685602045</v>
      </c>
      <c r="K17" s="58">
        <v>22.868188365399117</v>
      </c>
      <c r="L17" s="59">
        <v>22.74738454546663</v>
      </c>
      <c r="M17" s="59">
        <v>-0.26044247430783052</v>
      </c>
      <c r="N17" s="59">
        <v>-28.181750383804829</v>
      </c>
    </row>
    <row r="18" spans="1:14" ht="15.75" x14ac:dyDescent="0.25">
      <c r="A18" s="56">
        <v>92</v>
      </c>
      <c r="B18" s="56">
        <v>1</v>
      </c>
      <c r="C18" s="56" t="s">
        <v>54</v>
      </c>
      <c r="D18" s="56" t="s">
        <v>34</v>
      </c>
      <c r="E18" s="56">
        <v>20.792079210000001</v>
      </c>
      <c r="F18" s="56">
        <v>0</v>
      </c>
      <c r="G18" s="57" t="s">
        <v>56</v>
      </c>
      <c r="H18" s="56">
        <v>8.3719999999999999</v>
      </c>
      <c r="I18" s="56">
        <v>0</v>
      </c>
      <c r="J18" s="58">
        <v>0.47745870486499392</v>
      </c>
      <c r="K18" s="58">
        <v>8.420493237802658</v>
      </c>
      <c r="L18" s="59">
        <v>17.6360660136747</v>
      </c>
      <c r="M18" s="59">
        <v>0.90394329717080435</v>
      </c>
      <c r="N18" s="59">
        <v>-27.348618357994564</v>
      </c>
    </row>
    <row r="19" spans="1:14" ht="15.75" x14ac:dyDescent="0.25">
      <c r="A19" s="56">
        <v>93</v>
      </c>
      <c r="B19" s="56">
        <v>1</v>
      </c>
      <c r="C19" s="56" t="s">
        <v>54</v>
      </c>
      <c r="D19" s="56" t="s">
        <v>36</v>
      </c>
      <c r="E19" s="56"/>
      <c r="F19" s="56">
        <v>0</v>
      </c>
      <c r="G19" s="57" t="s">
        <v>57</v>
      </c>
      <c r="H19" s="56">
        <v>6.2869999999999999</v>
      </c>
      <c r="I19" s="56">
        <v>0</v>
      </c>
      <c r="J19" s="58">
        <v>0.2862956925998118</v>
      </c>
      <c r="K19" s="58">
        <v>4.6143739796264516</v>
      </c>
      <c r="L19" s="59">
        <v>16.11751101710248</v>
      </c>
      <c r="M19" s="59">
        <v>2.3772654290202015</v>
      </c>
      <c r="N19" s="59">
        <v>-26.189621574184368</v>
      </c>
    </row>
    <row r="20" spans="1:14" ht="15.75" x14ac:dyDescent="0.25">
      <c r="A20" s="56">
        <v>109</v>
      </c>
      <c r="B20" s="56">
        <v>1</v>
      </c>
      <c r="C20" s="56" t="s">
        <v>58</v>
      </c>
      <c r="D20" s="56" t="s">
        <v>32</v>
      </c>
      <c r="E20" s="56"/>
      <c r="F20" s="56">
        <v>0</v>
      </c>
      <c r="G20" s="57" t="s">
        <v>59</v>
      </c>
      <c r="H20" s="56">
        <v>6.1509999999999998</v>
      </c>
      <c r="I20" s="56">
        <v>0</v>
      </c>
      <c r="J20" s="58">
        <v>1.100475345926889</v>
      </c>
      <c r="K20" s="58">
        <v>21.980255480585345</v>
      </c>
      <c r="L20" s="59">
        <v>19.973419270081148</v>
      </c>
      <c r="M20" s="59">
        <v>-1.1947180277987652</v>
      </c>
      <c r="N20" s="59">
        <v>-29.481011916838764</v>
      </c>
    </row>
    <row r="21" spans="1:14" ht="15.75" x14ac:dyDescent="0.25">
      <c r="A21" s="56">
        <v>110</v>
      </c>
      <c r="B21" s="56">
        <v>1</v>
      </c>
      <c r="C21" s="56" t="s">
        <v>58</v>
      </c>
      <c r="D21" s="56" t="s">
        <v>34</v>
      </c>
      <c r="E21" s="56">
        <v>20.318725100000002</v>
      </c>
      <c r="F21" s="56">
        <v>0</v>
      </c>
      <c r="G21" s="57" t="s">
        <v>60</v>
      </c>
      <c r="H21" s="56">
        <v>7.875</v>
      </c>
      <c r="I21" s="56">
        <v>0</v>
      </c>
      <c r="J21" s="58">
        <v>0.51539373007142042</v>
      </c>
      <c r="K21" s="58">
        <v>8.4427132023728593</v>
      </c>
      <c r="L21" s="59">
        <v>16.381094122357513</v>
      </c>
      <c r="M21" s="59">
        <v>-7.8647073793585265E-2</v>
      </c>
      <c r="N21" s="59">
        <v>-27.535560477429659</v>
      </c>
    </row>
    <row r="22" spans="1:14" ht="15.75" x14ac:dyDescent="0.25">
      <c r="A22" s="56">
        <v>111</v>
      </c>
      <c r="B22" s="56">
        <v>1</v>
      </c>
      <c r="C22" s="56" t="s">
        <v>58</v>
      </c>
      <c r="D22" s="56" t="s">
        <v>36</v>
      </c>
      <c r="E22" s="56"/>
      <c r="F22" s="56">
        <v>0</v>
      </c>
      <c r="G22" s="57" t="s">
        <v>61</v>
      </c>
      <c r="H22" s="56">
        <v>6.7329999999999997</v>
      </c>
      <c r="I22" s="56">
        <v>0</v>
      </c>
      <c r="J22" s="58">
        <v>0.54578477095906208</v>
      </c>
      <c r="K22" s="58">
        <v>7.7825293815336352</v>
      </c>
      <c r="L22" s="59">
        <v>14.259337738314034</v>
      </c>
      <c r="M22" s="59">
        <v>0.14457318855316359</v>
      </c>
      <c r="N22" s="59">
        <v>-26.913862259541379</v>
      </c>
    </row>
    <row r="23" spans="1:14" ht="15.75" x14ac:dyDescent="0.25">
      <c r="A23" s="56">
        <v>127</v>
      </c>
      <c r="B23" s="56">
        <v>1</v>
      </c>
      <c r="C23" s="56" t="s">
        <v>62</v>
      </c>
      <c r="D23" s="56" t="s">
        <v>32</v>
      </c>
      <c r="E23" s="56"/>
      <c r="F23" s="56">
        <v>0</v>
      </c>
      <c r="G23" s="57" t="s">
        <v>63</v>
      </c>
      <c r="H23" s="56">
        <v>6.492</v>
      </c>
      <c r="I23" s="56">
        <v>0</v>
      </c>
      <c r="J23" s="58">
        <v>1.2359621461152528</v>
      </c>
      <c r="K23" s="58">
        <v>23.936010116076286</v>
      </c>
      <c r="L23" s="59">
        <v>19.366297091953381</v>
      </c>
      <c r="M23" s="59">
        <v>0.83731743012331428</v>
      </c>
      <c r="N23" s="59">
        <v>-29.332878990374201</v>
      </c>
    </row>
    <row r="24" spans="1:14" ht="15.75" x14ac:dyDescent="0.25">
      <c r="A24" s="56">
        <v>128</v>
      </c>
      <c r="B24" s="56">
        <v>1</v>
      </c>
      <c r="C24" s="56" t="s">
        <v>62</v>
      </c>
      <c r="D24" s="56" t="s">
        <v>34</v>
      </c>
      <c r="E24" s="56">
        <v>19.207920789999999</v>
      </c>
      <c r="F24" s="56">
        <v>0</v>
      </c>
      <c r="G24" s="57" t="s">
        <v>64</v>
      </c>
      <c r="H24" s="56">
        <v>6.891</v>
      </c>
      <c r="I24" s="56">
        <v>0</v>
      </c>
      <c r="J24" s="58">
        <v>0.45740592294857424</v>
      </c>
      <c r="K24" s="58">
        <v>7.0782135042882954</v>
      </c>
      <c r="L24" s="59">
        <v>15.474687032166159</v>
      </c>
      <c r="M24" s="59">
        <v>-0.17485007308428346</v>
      </c>
      <c r="N24" s="59">
        <v>-26.515730857635116</v>
      </c>
    </row>
    <row r="25" spans="1:14" ht="15.75" x14ac:dyDescent="0.25">
      <c r="A25" s="56">
        <v>129</v>
      </c>
      <c r="B25" s="56">
        <v>1</v>
      </c>
      <c r="C25" s="56" t="s">
        <v>62</v>
      </c>
      <c r="D25" s="56" t="s">
        <v>36</v>
      </c>
      <c r="E25" s="56"/>
      <c r="F25" s="56">
        <v>0</v>
      </c>
      <c r="G25" s="57" t="s">
        <v>65</v>
      </c>
      <c r="H25" s="56">
        <v>6.5289999999999999</v>
      </c>
      <c r="I25" s="56">
        <v>0</v>
      </c>
      <c r="J25" s="58">
        <v>0.37454779691023532</v>
      </c>
      <c r="K25" s="58">
        <v>5.4619194557317172</v>
      </c>
      <c r="L25" s="59">
        <v>14.582703464788311</v>
      </c>
      <c r="M25" s="59">
        <v>0.71834834242918244</v>
      </c>
      <c r="N25" s="59">
        <v>-25.937662103182646</v>
      </c>
    </row>
    <row r="26" spans="1:14" ht="15.75" x14ac:dyDescent="0.25">
      <c r="A26" s="56">
        <v>4</v>
      </c>
      <c r="B26" s="56">
        <v>2</v>
      </c>
      <c r="C26" s="56" t="s">
        <v>31</v>
      </c>
      <c r="D26" s="56" t="s">
        <v>32</v>
      </c>
      <c r="E26" s="56"/>
      <c r="F26" s="56">
        <v>1</v>
      </c>
      <c r="G26" s="57" t="s">
        <v>39</v>
      </c>
      <c r="H26" s="56">
        <v>7.1289999999999996</v>
      </c>
      <c r="I26" s="56">
        <v>1</v>
      </c>
      <c r="J26" s="58">
        <v>1.0661873044682271</v>
      </c>
      <c r="K26" s="58">
        <v>24.145809899514237</v>
      </c>
      <c r="L26" s="59">
        <v>22.6468743327958</v>
      </c>
      <c r="M26" s="59">
        <v>158.28992031808298</v>
      </c>
      <c r="N26" s="59">
        <v>-28.066891700950205</v>
      </c>
    </row>
    <row r="27" spans="1:14" ht="15.75" x14ac:dyDescent="0.25">
      <c r="A27" s="56">
        <v>5</v>
      </c>
      <c r="B27" s="56">
        <v>2</v>
      </c>
      <c r="C27" s="56" t="s">
        <v>31</v>
      </c>
      <c r="D27" s="56" t="s">
        <v>34</v>
      </c>
      <c r="E27" s="56">
        <v>14.54183267</v>
      </c>
      <c r="F27" s="56">
        <v>1</v>
      </c>
      <c r="G27" s="57" t="s">
        <v>40</v>
      </c>
      <c r="H27" s="56">
        <v>7.4829999999999997</v>
      </c>
      <c r="I27" s="56">
        <v>1</v>
      </c>
      <c r="J27" s="58">
        <v>0.43573995873926896</v>
      </c>
      <c r="K27" s="58">
        <v>6.7504565874023559</v>
      </c>
      <c r="L27" s="59">
        <v>15.49193837290829</v>
      </c>
      <c r="M27" s="59">
        <v>53.270879384926609</v>
      </c>
      <c r="N27" s="59">
        <v>-25.555369911885172</v>
      </c>
    </row>
    <row r="28" spans="1:14" ht="15.75" x14ac:dyDescent="0.25">
      <c r="A28" s="56">
        <v>6</v>
      </c>
      <c r="B28" s="56">
        <v>2</v>
      </c>
      <c r="C28" s="56" t="s">
        <v>31</v>
      </c>
      <c r="D28" s="56" t="s">
        <v>36</v>
      </c>
      <c r="E28" s="56"/>
      <c r="F28" s="56">
        <v>1</v>
      </c>
      <c r="G28" s="57" t="s">
        <v>41</v>
      </c>
      <c r="H28" s="56">
        <v>7.6159999999999997</v>
      </c>
      <c r="I28" s="56">
        <v>1</v>
      </c>
      <c r="J28" s="58">
        <v>0.32937942561069855</v>
      </c>
      <c r="K28" s="58">
        <v>4.6308841583559106</v>
      </c>
      <c r="L28" s="59">
        <v>14.059421440090988</v>
      </c>
      <c r="M28" s="59">
        <v>2.4814842859291568</v>
      </c>
      <c r="N28" s="59">
        <v>-25.395183641779351</v>
      </c>
    </row>
    <row r="29" spans="1:14" ht="15.75" x14ac:dyDescent="0.25">
      <c r="A29" s="56">
        <v>7</v>
      </c>
      <c r="B29" s="56">
        <v>3</v>
      </c>
      <c r="C29" s="56" t="s">
        <v>31</v>
      </c>
      <c r="D29" s="56" t="s">
        <v>32</v>
      </c>
      <c r="E29" s="56"/>
      <c r="F29" s="56">
        <v>1</v>
      </c>
      <c r="G29" s="57" t="s">
        <v>43</v>
      </c>
      <c r="H29" s="56">
        <v>6.1319999999999997</v>
      </c>
      <c r="I29" s="56">
        <v>1</v>
      </c>
      <c r="J29" s="58">
        <v>0.8943852300040841</v>
      </c>
      <c r="K29" s="58">
        <v>17.491278174307663</v>
      </c>
      <c r="L29" s="59">
        <v>19.55676098791098</v>
      </c>
      <c r="M29" s="59">
        <v>169.429701601402</v>
      </c>
      <c r="N29" s="59">
        <v>-25.001138516266611</v>
      </c>
    </row>
    <row r="30" spans="1:14" ht="15.75" x14ac:dyDescent="0.25">
      <c r="A30" s="56">
        <v>8</v>
      </c>
      <c r="B30" s="56">
        <v>3</v>
      </c>
      <c r="C30" s="56" t="s">
        <v>31</v>
      </c>
      <c r="D30" s="56" t="s">
        <v>34</v>
      </c>
      <c r="E30" s="56">
        <v>21.513944219999999</v>
      </c>
      <c r="F30" s="56">
        <v>1</v>
      </c>
      <c r="G30" s="57" t="s">
        <v>44</v>
      </c>
      <c r="H30" s="56">
        <v>7.2140000000000004</v>
      </c>
      <c r="I30" s="56">
        <v>1</v>
      </c>
      <c r="J30" s="58">
        <v>0.68378229675047508</v>
      </c>
      <c r="K30" s="58">
        <v>10.842239419627024</v>
      </c>
      <c r="L30" s="59">
        <v>15.85627395027976</v>
      </c>
      <c r="M30" s="59">
        <v>10.818240661468652</v>
      </c>
      <c r="N30" s="59">
        <v>-27.320604116409967</v>
      </c>
    </row>
    <row r="31" spans="1:14" ht="15.75" x14ac:dyDescent="0.25">
      <c r="A31" s="56">
        <v>9</v>
      </c>
      <c r="B31" s="56">
        <v>3</v>
      </c>
      <c r="C31" s="56" t="s">
        <v>31</v>
      </c>
      <c r="D31" s="56" t="s">
        <v>36</v>
      </c>
      <c r="E31" s="56"/>
      <c r="F31" s="56">
        <v>1</v>
      </c>
      <c r="G31" s="57" t="s">
        <v>45</v>
      </c>
      <c r="H31" s="56">
        <v>7.7889999999999997</v>
      </c>
      <c r="I31" s="56">
        <v>1</v>
      </c>
      <c r="J31" s="58">
        <v>0.38897340409444692</v>
      </c>
      <c r="K31" s="58">
        <v>5.0944675251510718</v>
      </c>
      <c r="L31" s="59">
        <v>13.097213001005283</v>
      </c>
      <c r="M31" s="59">
        <v>1.6016413001361178</v>
      </c>
      <c r="N31" s="59">
        <v>-25.418974315371965</v>
      </c>
    </row>
    <row r="32" spans="1:14" ht="15.75" x14ac:dyDescent="0.25">
      <c r="A32" s="56">
        <v>10</v>
      </c>
      <c r="B32" s="56">
        <v>4</v>
      </c>
      <c r="C32" s="56" t="s">
        <v>31</v>
      </c>
      <c r="D32" s="56" t="s">
        <v>32</v>
      </c>
      <c r="E32" s="56"/>
      <c r="F32" s="56">
        <v>1</v>
      </c>
      <c r="G32" s="57" t="s">
        <v>47</v>
      </c>
      <c r="H32" s="56">
        <v>6.5940000000000003</v>
      </c>
      <c r="I32" s="56">
        <v>1</v>
      </c>
      <c r="J32" s="58">
        <v>0.98132850327151444</v>
      </c>
      <c r="K32" s="58">
        <v>19.874921730434036</v>
      </c>
      <c r="L32" s="59">
        <v>20.253076991217316</v>
      </c>
      <c r="M32" s="59">
        <v>55.884079992857458</v>
      </c>
      <c r="N32" s="59">
        <v>-27.283474302432147</v>
      </c>
    </row>
    <row r="33" spans="1:14" ht="15.75" x14ac:dyDescent="0.25">
      <c r="A33" s="56">
        <v>11</v>
      </c>
      <c r="B33" s="56">
        <v>4</v>
      </c>
      <c r="C33" s="56" t="s">
        <v>31</v>
      </c>
      <c r="D33" s="56" t="s">
        <v>34</v>
      </c>
      <c r="E33" s="56">
        <v>22.31075697</v>
      </c>
      <c r="F33" s="56">
        <v>1</v>
      </c>
      <c r="G33" s="57" t="s">
        <v>48</v>
      </c>
      <c r="H33" s="56">
        <v>6.859</v>
      </c>
      <c r="I33" s="56">
        <v>1</v>
      </c>
      <c r="J33" s="58">
        <v>0.71548423996941424</v>
      </c>
      <c r="K33" s="58">
        <v>12.885419220080863</v>
      </c>
      <c r="L33" s="59">
        <v>18.009368341407065</v>
      </c>
      <c r="M33" s="59">
        <v>60.382844920998821</v>
      </c>
      <c r="N33" s="59">
        <v>-25.682948940646501</v>
      </c>
    </row>
    <row r="34" spans="1:14" ht="15.75" x14ac:dyDescent="0.25">
      <c r="A34" s="56">
        <v>12</v>
      </c>
      <c r="B34" s="56">
        <v>4</v>
      </c>
      <c r="C34" s="56" t="s">
        <v>31</v>
      </c>
      <c r="D34" s="56" t="s">
        <v>36</v>
      </c>
      <c r="E34" s="56"/>
      <c r="F34" s="56">
        <v>1</v>
      </c>
      <c r="G34" s="57" t="s">
        <v>49</v>
      </c>
      <c r="H34" s="56">
        <v>7.0650000000000004</v>
      </c>
      <c r="I34" s="56">
        <v>1</v>
      </c>
      <c r="J34" s="58">
        <v>0.4987634626729105</v>
      </c>
      <c r="K34" s="58">
        <v>7.1779575812366172</v>
      </c>
      <c r="L34" s="59">
        <v>14.391506432266326</v>
      </c>
      <c r="M34" s="59">
        <v>0.56950438404075143</v>
      </c>
      <c r="N34" s="59">
        <v>-26.005213259843416</v>
      </c>
    </row>
    <row r="35" spans="1:14" ht="15.75" x14ac:dyDescent="0.25">
      <c r="A35" s="56">
        <v>13</v>
      </c>
      <c r="B35" s="56">
        <v>5</v>
      </c>
      <c r="C35" s="56" t="s">
        <v>31</v>
      </c>
      <c r="D35" s="56" t="s">
        <v>32</v>
      </c>
      <c r="E35" s="56"/>
      <c r="F35" s="56">
        <v>1</v>
      </c>
      <c r="G35" s="57" t="s">
        <v>51</v>
      </c>
      <c r="H35" s="56">
        <v>6.2039999999999997</v>
      </c>
      <c r="I35" s="56">
        <v>1</v>
      </c>
      <c r="J35" s="58">
        <v>0.9226572663554361</v>
      </c>
      <c r="K35" s="58">
        <v>24.016125411078178</v>
      </c>
      <c r="L35" s="59">
        <v>26.029302848221892</v>
      </c>
      <c r="M35" s="59">
        <v>55.27748402673857</v>
      </c>
      <c r="N35" s="59">
        <v>-28.485065251644283</v>
      </c>
    </row>
    <row r="36" spans="1:14" ht="15.75" x14ac:dyDescent="0.25">
      <c r="A36" s="56">
        <v>14</v>
      </c>
      <c r="B36" s="56">
        <v>5</v>
      </c>
      <c r="C36" s="56" t="s">
        <v>31</v>
      </c>
      <c r="D36" s="56" t="s">
        <v>34</v>
      </c>
      <c r="E36" s="56">
        <v>16.468253969999999</v>
      </c>
      <c r="F36" s="56">
        <v>1</v>
      </c>
      <c r="G36" s="57" t="s">
        <v>52</v>
      </c>
      <c r="H36" s="56">
        <v>7.1859999999999999</v>
      </c>
      <c r="I36" s="56">
        <v>1</v>
      </c>
      <c r="J36" s="58">
        <v>0.33522310491918461</v>
      </c>
      <c r="K36" s="58">
        <v>5.2237291466264368</v>
      </c>
      <c r="L36" s="59">
        <v>15.582843395850563</v>
      </c>
      <c r="M36" s="59">
        <v>3.2656134433777266</v>
      </c>
      <c r="N36" s="59">
        <v>-26.036778811545126</v>
      </c>
    </row>
    <row r="37" spans="1:14" ht="15.75" x14ac:dyDescent="0.25">
      <c r="A37" s="56">
        <v>15</v>
      </c>
      <c r="B37" s="56">
        <v>5</v>
      </c>
      <c r="C37" s="56" t="s">
        <v>31</v>
      </c>
      <c r="D37" s="56" t="s">
        <v>36</v>
      </c>
      <c r="E37" s="56"/>
      <c r="F37" s="56">
        <v>1</v>
      </c>
      <c r="G37" s="57" t="s">
        <v>53</v>
      </c>
      <c r="H37" s="56">
        <v>6.5659999999999998</v>
      </c>
      <c r="I37" s="56">
        <v>1</v>
      </c>
      <c r="J37" s="58">
        <v>0.51150701348003313</v>
      </c>
      <c r="K37" s="58">
        <v>8.1029558152925922</v>
      </c>
      <c r="L37" s="59">
        <v>15.841338636129754</v>
      </c>
      <c r="M37" s="59">
        <v>0.76935290867045192</v>
      </c>
      <c r="N37" s="59">
        <v>-26.687858703363961</v>
      </c>
    </row>
    <row r="38" spans="1:14" ht="15.75" x14ac:dyDescent="0.25">
      <c r="A38" s="56">
        <v>16</v>
      </c>
      <c r="B38" s="56">
        <v>6</v>
      </c>
      <c r="C38" s="56" t="s">
        <v>31</v>
      </c>
      <c r="D38" s="56" t="s">
        <v>32</v>
      </c>
      <c r="E38" s="56"/>
      <c r="F38" s="56">
        <v>1</v>
      </c>
      <c r="G38" s="57" t="s">
        <v>55</v>
      </c>
      <c r="H38" s="56">
        <v>6.1769999999999996</v>
      </c>
      <c r="I38" s="56">
        <v>1</v>
      </c>
      <c r="J38" s="58">
        <v>0.87924173545121764</v>
      </c>
      <c r="K38" s="58">
        <v>24.784063287674645</v>
      </c>
      <c r="L38" s="59">
        <v>28.187996870912549</v>
      </c>
      <c r="M38" s="59">
        <v>56.108935462573356</v>
      </c>
      <c r="N38" s="59">
        <v>-29.816092284752692</v>
      </c>
    </row>
    <row r="39" spans="1:14" ht="15.75" x14ac:dyDescent="0.25">
      <c r="A39" s="56">
        <v>17</v>
      </c>
      <c r="B39" s="56">
        <v>6</v>
      </c>
      <c r="C39" s="56" t="s">
        <v>31</v>
      </c>
      <c r="D39" s="56" t="s">
        <v>34</v>
      </c>
      <c r="E39" s="56">
        <v>13.2</v>
      </c>
      <c r="F39" s="56">
        <v>1</v>
      </c>
      <c r="G39" s="57" t="s">
        <v>56</v>
      </c>
      <c r="H39" s="56">
        <v>6.6360000000000001</v>
      </c>
      <c r="I39" s="56">
        <v>1</v>
      </c>
      <c r="J39" s="58">
        <v>0.27312695718141761</v>
      </c>
      <c r="K39" s="58">
        <v>5.1531162678791684</v>
      </c>
      <c r="L39" s="59">
        <v>18.867109717245313</v>
      </c>
      <c r="M39" s="59">
        <v>83.180241356181455</v>
      </c>
      <c r="N39" s="59">
        <v>-24.73870265469812</v>
      </c>
    </row>
    <row r="40" spans="1:14" ht="15.75" x14ac:dyDescent="0.25">
      <c r="A40" s="56">
        <v>18</v>
      </c>
      <c r="B40" s="56">
        <v>6</v>
      </c>
      <c r="C40" s="56" t="s">
        <v>31</v>
      </c>
      <c r="D40" s="56" t="s">
        <v>36</v>
      </c>
      <c r="E40" s="56"/>
      <c r="F40" s="56">
        <v>1</v>
      </c>
      <c r="G40" s="57" t="s">
        <v>57</v>
      </c>
      <c r="H40" s="56">
        <v>7.2919999999999998</v>
      </c>
      <c r="I40" s="56">
        <v>1</v>
      </c>
      <c r="J40" s="58">
        <v>0.21767290786154744</v>
      </c>
      <c r="K40" s="58">
        <v>2.8696041304087152</v>
      </c>
      <c r="L40" s="59">
        <v>13.183101923891924</v>
      </c>
      <c r="M40" s="59">
        <v>1.9206456295330003</v>
      </c>
      <c r="N40" s="59">
        <v>-24.66022365132001</v>
      </c>
    </row>
    <row r="41" spans="1:14" ht="15.75" x14ac:dyDescent="0.25">
      <c r="A41" s="56">
        <v>22</v>
      </c>
      <c r="B41" s="56">
        <v>2</v>
      </c>
      <c r="C41" s="56" t="s">
        <v>38</v>
      </c>
      <c r="D41" s="56" t="s">
        <v>32</v>
      </c>
      <c r="E41" s="56"/>
      <c r="F41" s="56">
        <v>1</v>
      </c>
      <c r="G41" s="57" t="s">
        <v>63</v>
      </c>
      <c r="H41" s="56">
        <v>6.9630000000000001</v>
      </c>
      <c r="I41" s="56">
        <v>1</v>
      </c>
      <c r="J41" s="58">
        <v>0.82759812687316503</v>
      </c>
      <c r="K41" s="58">
        <v>17.323771657714605</v>
      </c>
      <c r="L41" s="59">
        <v>20.932589254602785</v>
      </c>
      <c r="M41" s="59">
        <v>155.16955746360108</v>
      </c>
      <c r="N41" s="59">
        <v>-26.115072987428785</v>
      </c>
    </row>
    <row r="42" spans="1:14" ht="15.75" x14ac:dyDescent="0.25">
      <c r="A42" s="56">
        <v>23</v>
      </c>
      <c r="B42" s="56">
        <v>2</v>
      </c>
      <c r="C42" s="56" t="s">
        <v>38</v>
      </c>
      <c r="D42" s="56" t="s">
        <v>34</v>
      </c>
      <c r="E42" s="56">
        <v>19.681908549999999</v>
      </c>
      <c r="F42" s="56">
        <v>1</v>
      </c>
      <c r="G42" s="57" t="s">
        <v>64</v>
      </c>
      <c r="H42" s="56">
        <v>7.8650000000000002</v>
      </c>
      <c r="I42" s="56">
        <v>1</v>
      </c>
      <c r="J42" s="58">
        <v>0.53180219865472711</v>
      </c>
      <c r="K42" s="58">
        <v>9.5223228378824718</v>
      </c>
      <c r="L42" s="59">
        <v>17.905760566561408</v>
      </c>
      <c r="M42" s="60">
        <v>93.187635539347724</v>
      </c>
      <c r="N42" s="59">
        <v>-25.670153471164117</v>
      </c>
    </row>
    <row r="43" spans="1:14" ht="15.75" x14ac:dyDescent="0.25">
      <c r="A43" s="56">
        <v>24</v>
      </c>
      <c r="B43" s="56">
        <v>2</v>
      </c>
      <c r="C43" s="56" t="s">
        <v>38</v>
      </c>
      <c r="D43" s="56" t="s">
        <v>36</v>
      </c>
      <c r="E43" s="56"/>
      <c r="F43" s="56">
        <v>1</v>
      </c>
      <c r="G43" s="57" t="s">
        <v>65</v>
      </c>
      <c r="H43" s="56">
        <v>6.3070000000000004</v>
      </c>
      <c r="I43" s="56">
        <v>1</v>
      </c>
      <c r="J43" s="58">
        <v>0.40758938451526283</v>
      </c>
      <c r="K43" s="58">
        <v>6.3298404493203035</v>
      </c>
      <c r="L43" s="59">
        <v>15.52994432582744</v>
      </c>
      <c r="M43" s="60">
        <v>1.9314200670167798</v>
      </c>
      <c r="N43" s="59">
        <v>-26.44426149229891</v>
      </c>
    </row>
    <row r="44" spans="1:14" ht="15.75" x14ac:dyDescent="0.25">
      <c r="A44" s="56">
        <v>25</v>
      </c>
      <c r="B44" s="56">
        <v>3</v>
      </c>
      <c r="C44" s="56" t="s">
        <v>38</v>
      </c>
      <c r="D44" s="56" t="s">
        <v>32</v>
      </c>
      <c r="E44" s="56"/>
      <c r="F44" s="56">
        <v>1</v>
      </c>
      <c r="G44" s="57" t="s">
        <v>66</v>
      </c>
      <c r="H44" s="56">
        <v>7.7460000000000004</v>
      </c>
      <c r="I44" s="56">
        <v>1</v>
      </c>
      <c r="J44" s="58">
        <v>1.0702862438309286</v>
      </c>
      <c r="K44" s="58">
        <v>20.172240464544394</v>
      </c>
      <c r="L44" s="59">
        <v>18.847519138750108</v>
      </c>
      <c r="M44" s="60">
        <v>800.63217536234936</v>
      </c>
      <c r="N44" s="59">
        <v>-18.265003796015208</v>
      </c>
    </row>
    <row r="45" spans="1:14" ht="15.75" x14ac:dyDescent="0.25">
      <c r="A45" s="56">
        <v>26</v>
      </c>
      <c r="B45" s="56">
        <v>3</v>
      </c>
      <c r="C45" s="56" t="s">
        <v>38</v>
      </c>
      <c r="D45" s="56" t="s">
        <v>34</v>
      </c>
      <c r="E45" s="56">
        <v>12.350597609999999</v>
      </c>
      <c r="F45" s="56">
        <v>1</v>
      </c>
      <c r="G45" s="57" t="s">
        <v>67</v>
      </c>
      <c r="H45" s="56">
        <v>8.0489999999999995</v>
      </c>
      <c r="I45" s="56">
        <v>1</v>
      </c>
      <c r="J45" s="58">
        <v>0.33543135481507647</v>
      </c>
      <c r="K45" s="58">
        <v>5.4908448802917054</v>
      </c>
      <c r="L45" s="59">
        <v>16.369503928214499</v>
      </c>
      <c r="M45" s="60">
        <v>74.789079757909548</v>
      </c>
      <c r="N45" s="59">
        <v>-24.588419813958826</v>
      </c>
    </row>
    <row r="46" spans="1:14" ht="15.75" x14ac:dyDescent="0.25">
      <c r="A46" s="56">
        <v>27</v>
      </c>
      <c r="B46" s="56">
        <v>3</v>
      </c>
      <c r="C46" s="56" t="s">
        <v>38</v>
      </c>
      <c r="D46" s="56" t="s">
        <v>36</v>
      </c>
      <c r="E46" s="56"/>
      <c r="F46" s="56">
        <v>1</v>
      </c>
      <c r="G46" s="57" t="s">
        <v>68</v>
      </c>
      <c r="H46" s="56">
        <v>7.891</v>
      </c>
      <c r="I46" s="56">
        <v>1</v>
      </c>
      <c r="J46" s="58">
        <v>0.25452686911930922</v>
      </c>
      <c r="K46" s="58">
        <v>3.8084151174341674</v>
      </c>
      <c r="L46" s="59">
        <v>14.962723309376726</v>
      </c>
      <c r="M46" s="60">
        <v>1.0554719244473554</v>
      </c>
      <c r="N46" s="59">
        <v>-25.156250149740654</v>
      </c>
    </row>
    <row r="47" spans="1:14" ht="15.75" x14ac:dyDescent="0.25">
      <c r="A47" s="56">
        <v>28</v>
      </c>
      <c r="B47" s="56">
        <v>4</v>
      </c>
      <c r="C47" s="56" t="s">
        <v>38</v>
      </c>
      <c r="D47" s="56" t="s">
        <v>32</v>
      </c>
      <c r="E47" s="56"/>
      <c r="F47" s="56">
        <v>1</v>
      </c>
      <c r="G47" s="57" t="s">
        <v>69</v>
      </c>
      <c r="H47" s="56">
        <v>6.3209999999999997</v>
      </c>
      <c r="I47" s="56">
        <v>1</v>
      </c>
      <c r="J47" s="58">
        <v>0.98773894681506269</v>
      </c>
      <c r="K47" s="58">
        <v>19.819310598506647</v>
      </c>
      <c r="L47" s="59">
        <v>20.065332710037886</v>
      </c>
      <c r="M47" s="60">
        <v>152.97277964076119</v>
      </c>
      <c r="N47" s="59">
        <v>-26.094524801131314</v>
      </c>
    </row>
    <row r="48" spans="1:14" ht="15.75" x14ac:dyDescent="0.25">
      <c r="A48" s="56">
        <v>29</v>
      </c>
      <c r="B48" s="56">
        <v>4</v>
      </c>
      <c r="C48" s="56" t="s">
        <v>38</v>
      </c>
      <c r="D48" s="56" t="s">
        <v>34</v>
      </c>
      <c r="E48" s="56">
        <v>21.825396829999999</v>
      </c>
      <c r="F48" s="56">
        <v>1</v>
      </c>
      <c r="G48" s="57" t="s">
        <v>70</v>
      </c>
      <c r="H48" s="56">
        <v>6.8289999999999997</v>
      </c>
      <c r="I48" s="56">
        <v>1</v>
      </c>
      <c r="J48" s="58">
        <v>0.7031572515450456</v>
      </c>
      <c r="K48" s="58">
        <v>12.068369434209012</v>
      </c>
      <c r="L48" s="59">
        <v>17.16311594268738</v>
      </c>
      <c r="M48" s="59">
        <v>102.20303162314809</v>
      </c>
      <c r="N48" s="59">
        <v>-24.847245021167524</v>
      </c>
    </row>
    <row r="49" spans="1:14" ht="15.75" x14ac:dyDescent="0.25">
      <c r="A49" s="56">
        <v>30</v>
      </c>
      <c r="B49" s="56">
        <v>4</v>
      </c>
      <c r="C49" s="56" t="s">
        <v>38</v>
      </c>
      <c r="D49" s="56" t="s">
        <v>36</v>
      </c>
      <c r="E49" s="56"/>
      <c r="F49" s="56">
        <v>1</v>
      </c>
      <c r="G49" s="57" t="s">
        <v>71</v>
      </c>
      <c r="H49" s="56">
        <v>6.4039999999999999</v>
      </c>
      <c r="I49" s="56">
        <v>1</v>
      </c>
      <c r="J49" s="58">
        <v>0.51176294543179313</v>
      </c>
      <c r="K49" s="58">
        <v>7.4057604812432132</v>
      </c>
      <c r="L49" s="59">
        <v>14.471076007651751</v>
      </c>
      <c r="M49" s="59">
        <v>-0.2865591405588942</v>
      </c>
      <c r="N49" s="59">
        <v>-26.478643154235836</v>
      </c>
    </row>
    <row r="50" spans="1:14" ht="15.75" x14ac:dyDescent="0.25">
      <c r="A50" s="56">
        <v>31</v>
      </c>
      <c r="B50" s="56">
        <v>5</v>
      </c>
      <c r="C50" s="56" t="s">
        <v>38</v>
      </c>
      <c r="D50" s="56" t="s">
        <v>32</v>
      </c>
      <c r="E50" s="56"/>
      <c r="F50" s="56">
        <v>1</v>
      </c>
      <c r="G50" s="57" t="s">
        <v>72</v>
      </c>
      <c r="H50" s="56">
        <v>6.3789999999999996</v>
      </c>
      <c r="I50" s="56">
        <v>1</v>
      </c>
      <c r="J50" s="58">
        <v>0.88571056910234636</v>
      </c>
      <c r="K50" s="58">
        <v>24.412593048860277</v>
      </c>
      <c r="L50" s="59">
        <v>27.562720713158086</v>
      </c>
      <c r="M50" s="59">
        <v>266.83081592229155</v>
      </c>
      <c r="N50" s="59">
        <v>-26.720477620635354</v>
      </c>
    </row>
    <row r="51" spans="1:14" ht="15.75" x14ac:dyDescent="0.25">
      <c r="A51" s="56">
        <v>32</v>
      </c>
      <c r="B51" s="56">
        <v>5</v>
      </c>
      <c r="C51" s="56" t="s">
        <v>38</v>
      </c>
      <c r="D51" s="56" t="s">
        <v>34</v>
      </c>
      <c r="E51" s="56">
        <v>14.71172962</v>
      </c>
      <c r="F51" s="56">
        <v>1</v>
      </c>
      <c r="G51" s="57" t="s">
        <v>73</v>
      </c>
      <c r="H51" s="56">
        <v>7.4409999999999998</v>
      </c>
      <c r="I51" s="56">
        <v>1</v>
      </c>
      <c r="J51" s="58">
        <v>0.38897549706419171</v>
      </c>
      <c r="K51" s="58">
        <v>7.1757463594149788</v>
      </c>
      <c r="L51" s="59">
        <v>18.447810758194834</v>
      </c>
      <c r="M51" s="59">
        <v>47.16739020097598</v>
      </c>
      <c r="N51" s="59">
        <v>-25.756162133997069</v>
      </c>
    </row>
    <row r="52" spans="1:14" ht="15.75" x14ac:dyDescent="0.25">
      <c r="A52" s="56">
        <v>33</v>
      </c>
      <c r="B52" s="56">
        <v>5</v>
      </c>
      <c r="C52" s="56" t="s">
        <v>38</v>
      </c>
      <c r="D52" s="56" t="s">
        <v>36</v>
      </c>
      <c r="E52" s="56"/>
      <c r="F52" s="56">
        <v>1</v>
      </c>
      <c r="G52" s="57" t="s">
        <v>74</v>
      </c>
      <c r="H52" s="56">
        <v>7.2779999999999996</v>
      </c>
      <c r="I52" s="56">
        <v>1</v>
      </c>
      <c r="J52" s="58">
        <v>0.53242443715690524</v>
      </c>
      <c r="K52" s="58">
        <v>7.8811325345964907</v>
      </c>
      <c r="L52" s="59">
        <v>14.802349375023006</v>
      </c>
      <c r="M52" s="59">
        <v>0.56116941893031946</v>
      </c>
      <c r="N52" s="59">
        <v>-26.687998070571989</v>
      </c>
    </row>
    <row r="53" spans="1:14" ht="15.75" x14ac:dyDescent="0.25">
      <c r="A53" s="56">
        <v>34</v>
      </c>
      <c r="B53" s="56">
        <v>6</v>
      </c>
      <c r="C53" s="56" t="s">
        <v>38</v>
      </c>
      <c r="D53" s="56" t="s">
        <v>32</v>
      </c>
      <c r="E53" s="56"/>
      <c r="F53" s="56">
        <v>1</v>
      </c>
      <c r="G53" s="57" t="s">
        <v>75</v>
      </c>
      <c r="H53" s="56">
        <v>6.3369999999999997</v>
      </c>
      <c r="I53" s="56">
        <v>1</v>
      </c>
      <c r="J53" s="58">
        <v>0.74898750141446713</v>
      </c>
      <c r="K53" s="58">
        <v>23.687522792183309</v>
      </c>
      <c r="L53" s="59">
        <v>31.626058842703365</v>
      </c>
      <c r="M53" s="59">
        <v>413.36187665231245</v>
      </c>
      <c r="N53" s="59">
        <v>-25.051278397725948</v>
      </c>
    </row>
    <row r="54" spans="1:14" ht="15.75" x14ac:dyDescent="0.25">
      <c r="A54" s="56">
        <v>35</v>
      </c>
      <c r="B54" s="56">
        <v>6</v>
      </c>
      <c r="C54" s="56" t="s">
        <v>38</v>
      </c>
      <c r="D54" s="56" t="s">
        <v>34</v>
      </c>
      <c r="E54" s="56">
        <v>13.8</v>
      </c>
      <c r="F54" s="56">
        <v>1</v>
      </c>
      <c r="G54" s="57" t="s">
        <v>76</v>
      </c>
      <c r="H54" s="56">
        <v>6.9740000000000002</v>
      </c>
      <c r="I54" s="56">
        <v>1</v>
      </c>
      <c r="J54" s="58">
        <v>0.36197301498615936</v>
      </c>
      <c r="K54" s="58">
        <v>6.2716951670336565</v>
      </c>
      <c r="L54" s="59">
        <v>17.326416355300591</v>
      </c>
      <c r="M54" s="59">
        <v>71.286718497265753</v>
      </c>
      <c r="N54" s="59">
        <v>-24.594491771865787</v>
      </c>
    </row>
    <row r="55" spans="1:14" ht="15.75" x14ac:dyDescent="0.25">
      <c r="A55" s="56">
        <v>36</v>
      </c>
      <c r="B55" s="56">
        <v>6</v>
      </c>
      <c r="C55" s="56" t="s">
        <v>38</v>
      </c>
      <c r="D55" s="56" t="s">
        <v>36</v>
      </c>
      <c r="E55" s="56"/>
      <c r="F55" s="56">
        <v>1</v>
      </c>
      <c r="G55" s="57" t="s">
        <v>77</v>
      </c>
      <c r="H55" s="56">
        <v>6.1159999999999997</v>
      </c>
      <c r="I55" s="56">
        <v>1</v>
      </c>
      <c r="J55" s="58">
        <v>0.27464347613840667</v>
      </c>
      <c r="K55" s="58">
        <v>4.1642394982360367</v>
      </c>
      <c r="L55" s="59">
        <v>15.162346314526932</v>
      </c>
      <c r="M55" s="59">
        <v>0.94493440056970068</v>
      </c>
      <c r="N55" s="59">
        <v>-25.147355246201673</v>
      </c>
    </row>
    <row r="56" spans="1:14" ht="15.75" x14ac:dyDescent="0.25">
      <c r="A56" s="56">
        <v>40</v>
      </c>
      <c r="B56" s="56">
        <v>2</v>
      </c>
      <c r="C56" s="56" t="s">
        <v>42</v>
      </c>
      <c r="D56" s="56" t="s">
        <v>32</v>
      </c>
      <c r="E56" s="56"/>
      <c r="F56" s="56">
        <v>1</v>
      </c>
      <c r="G56" s="57" t="s">
        <v>78</v>
      </c>
      <c r="H56" s="56">
        <v>6.452</v>
      </c>
      <c r="I56" s="56">
        <v>1</v>
      </c>
      <c r="J56" s="58">
        <v>1.0751074195486607</v>
      </c>
      <c r="K56" s="58">
        <v>20.337636802438901</v>
      </c>
      <c r="L56" s="59">
        <v>18.916841640788611</v>
      </c>
      <c r="M56" s="59">
        <v>139.15148956873236</v>
      </c>
      <c r="N56" s="59">
        <v>-26.745936759649041</v>
      </c>
    </row>
    <row r="57" spans="1:14" ht="15.75" x14ac:dyDescent="0.25">
      <c r="A57" s="56">
        <v>41</v>
      </c>
      <c r="B57" s="56">
        <v>2</v>
      </c>
      <c r="C57" s="56" t="s">
        <v>42</v>
      </c>
      <c r="D57" s="56" t="s">
        <v>34</v>
      </c>
      <c r="E57" s="56">
        <v>13.88888889</v>
      </c>
      <c r="F57" s="56">
        <v>1</v>
      </c>
      <c r="G57" s="57" t="s">
        <v>79</v>
      </c>
      <c r="H57" s="56">
        <v>7.0179999999999998</v>
      </c>
      <c r="I57" s="56">
        <v>1</v>
      </c>
      <c r="J57" s="58">
        <v>0.37047701097986646</v>
      </c>
      <c r="K57" s="58">
        <v>6.3739870256494715</v>
      </c>
      <c r="L57" s="59">
        <v>17.204811194063176</v>
      </c>
      <c r="M57" s="59">
        <v>174.64685317021073</v>
      </c>
      <c r="N57" s="59">
        <v>-21.835911707872864</v>
      </c>
    </row>
    <row r="58" spans="1:14" ht="15.75" x14ac:dyDescent="0.25">
      <c r="A58" s="56">
        <v>42</v>
      </c>
      <c r="B58" s="56">
        <v>2</v>
      </c>
      <c r="C58" s="56" t="s">
        <v>42</v>
      </c>
      <c r="D58" s="56" t="s">
        <v>36</v>
      </c>
      <c r="E58" s="56"/>
      <c r="F58" s="56">
        <v>1</v>
      </c>
      <c r="G58" s="57" t="s">
        <v>80</v>
      </c>
      <c r="H58" s="56">
        <v>6.9539999999999997</v>
      </c>
      <c r="I58" s="56">
        <v>1</v>
      </c>
      <c r="J58" s="58">
        <v>0.1872422217500096</v>
      </c>
      <c r="K58" s="58">
        <v>2.4354749341849904</v>
      </c>
      <c r="L58" s="59">
        <v>13.007082010790471</v>
      </c>
      <c r="M58" s="59">
        <v>2.6138734749299601</v>
      </c>
      <c r="N58" s="59">
        <v>-24.202755884610429</v>
      </c>
    </row>
    <row r="59" spans="1:14" ht="15.75" x14ac:dyDescent="0.25">
      <c r="A59" s="56">
        <v>43</v>
      </c>
      <c r="B59" s="56">
        <v>3</v>
      </c>
      <c r="C59" s="56" t="s">
        <v>42</v>
      </c>
      <c r="D59" s="56" t="s">
        <v>32</v>
      </c>
      <c r="E59" s="56"/>
      <c r="F59" s="56">
        <v>1</v>
      </c>
      <c r="G59" s="57" t="s">
        <v>81</v>
      </c>
      <c r="H59" s="56">
        <v>6.0419999999999998</v>
      </c>
      <c r="I59" s="56">
        <v>1</v>
      </c>
      <c r="J59" s="58">
        <v>0.84946159416989664</v>
      </c>
      <c r="K59" s="58">
        <v>17.077886099628543</v>
      </c>
      <c r="L59" s="59">
        <v>20.10436518477006</v>
      </c>
      <c r="M59" s="59">
        <v>192.01992481202657</v>
      </c>
      <c r="N59" s="59">
        <v>-24.733763742062251</v>
      </c>
    </row>
    <row r="60" spans="1:14" ht="15.75" x14ac:dyDescent="0.25">
      <c r="A60" s="56">
        <v>44</v>
      </c>
      <c r="B60" s="56">
        <v>3</v>
      </c>
      <c r="C60" s="56" t="s">
        <v>42</v>
      </c>
      <c r="D60" s="56" t="s">
        <v>34</v>
      </c>
      <c r="E60" s="56">
        <v>14.77045908</v>
      </c>
      <c r="F60" s="56">
        <v>1</v>
      </c>
      <c r="G60" s="57" t="s">
        <v>82</v>
      </c>
      <c r="H60" s="56">
        <v>6.8310000000000004</v>
      </c>
      <c r="I60" s="56">
        <v>1</v>
      </c>
      <c r="J60" s="58">
        <v>0.37560836957542681</v>
      </c>
      <c r="K60" s="58">
        <v>6.2480435262003766</v>
      </c>
      <c r="L60" s="59">
        <v>16.634463000020268</v>
      </c>
      <c r="M60" s="59">
        <v>27.211158025945785</v>
      </c>
      <c r="N60" s="59">
        <v>-25.507985182996691</v>
      </c>
    </row>
    <row r="61" spans="1:14" ht="15.75" x14ac:dyDescent="0.25">
      <c r="A61" s="56">
        <v>45</v>
      </c>
      <c r="B61" s="56">
        <v>3</v>
      </c>
      <c r="C61" s="56" t="s">
        <v>42</v>
      </c>
      <c r="D61" s="56" t="s">
        <v>36</v>
      </c>
      <c r="E61" s="56"/>
      <c r="F61" s="56">
        <v>1</v>
      </c>
      <c r="G61" s="57" t="s">
        <v>83</v>
      </c>
      <c r="H61" s="56">
        <v>7.1369999999999996</v>
      </c>
      <c r="I61" s="56">
        <v>1</v>
      </c>
      <c r="J61" s="58">
        <v>0.34202238294815795</v>
      </c>
      <c r="K61" s="58">
        <v>4.9876692073737869</v>
      </c>
      <c r="L61" s="59">
        <v>14.582873683240178</v>
      </c>
      <c r="M61" s="59">
        <v>1.5347239339814753</v>
      </c>
      <c r="N61" s="59">
        <v>-25.791587644644288</v>
      </c>
    </row>
    <row r="62" spans="1:14" ht="15.75" x14ac:dyDescent="0.25">
      <c r="A62" s="56">
        <v>46</v>
      </c>
      <c r="B62" s="56">
        <v>4</v>
      </c>
      <c r="C62" s="56" t="s">
        <v>42</v>
      </c>
      <c r="D62" s="56" t="s">
        <v>32</v>
      </c>
      <c r="E62" s="56"/>
      <c r="F62" s="56">
        <v>1</v>
      </c>
      <c r="G62" s="57" t="s">
        <v>84</v>
      </c>
      <c r="H62" s="56">
        <v>6.8449999999999998</v>
      </c>
      <c r="I62" s="56">
        <v>1</v>
      </c>
      <c r="J62" s="58">
        <v>1.0500752002385774</v>
      </c>
      <c r="K62" s="58">
        <v>20.757492431538296</v>
      </c>
      <c r="L62" s="59">
        <v>19.767624668044906</v>
      </c>
      <c r="M62" s="59">
        <v>267.71906529408113</v>
      </c>
      <c r="N62" s="59">
        <v>-24.522572896353147</v>
      </c>
    </row>
    <row r="63" spans="1:14" ht="15.75" x14ac:dyDescent="0.25">
      <c r="A63" s="56">
        <v>47</v>
      </c>
      <c r="B63" s="56">
        <v>4</v>
      </c>
      <c r="C63" s="56" t="s">
        <v>42</v>
      </c>
      <c r="D63" s="56" t="s">
        <v>34</v>
      </c>
      <c r="E63" s="56">
        <v>16.2</v>
      </c>
      <c r="F63" s="56">
        <v>1</v>
      </c>
      <c r="G63" s="57" t="s">
        <v>85</v>
      </c>
      <c r="H63" s="56">
        <v>6.2770000000000001</v>
      </c>
      <c r="I63" s="56">
        <v>1</v>
      </c>
      <c r="J63" s="58">
        <v>0.53314739694542845</v>
      </c>
      <c r="K63" s="58">
        <v>9.457592662891658</v>
      </c>
      <c r="L63" s="59">
        <v>17.739170662892146</v>
      </c>
      <c r="M63" s="59">
        <v>44.844896824168728</v>
      </c>
      <c r="N63" s="59">
        <v>-25.263434312937189</v>
      </c>
    </row>
    <row r="64" spans="1:14" ht="15.75" x14ac:dyDescent="0.25">
      <c r="A64" s="56">
        <v>48</v>
      </c>
      <c r="B64" s="56">
        <v>4</v>
      </c>
      <c r="C64" s="56" t="s">
        <v>42</v>
      </c>
      <c r="D64" s="56" t="s">
        <v>36</v>
      </c>
      <c r="E64" s="56"/>
      <c r="F64" s="56">
        <v>1</v>
      </c>
      <c r="G64" s="57" t="s">
        <v>86</v>
      </c>
      <c r="H64" s="56">
        <v>8.0389999999999997</v>
      </c>
      <c r="I64" s="56">
        <v>1</v>
      </c>
      <c r="J64" s="58">
        <v>0.31248454707706796</v>
      </c>
      <c r="K64" s="58">
        <v>4.4930696913759611</v>
      </c>
      <c r="L64" s="59">
        <v>14.378534021613032</v>
      </c>
      <c r="M64" s="59">
        <v>1.8794189305323044</v>
      </c>
      <c r="N64" s="59">
        <v>-25.751669840863102</v>
      </c>
    </row>
    <row r="65" spans="1:14" ht="15.75" x14ac:dyDescent="0.25">
      <c r="A65" s="56">
        <v>49</v>
      </c>
      <c r="B65" s="56">
        <v>5</v>
      </c>
      <c r="C65" s="56" t="s">
        <v>42</v>
      </c>
      <c r="D65" s="56" t="s">
        <v>32</v>
      </c>
      <c r="E65" s="56"/>
      <c r="F65" s="56">
        <v>1</v>
      </c>
      <c r="G65" s="57" t="s">
        <v>87</v>
      </c>
      <c r="H65" s="56">
        <v>6.1210000000000004</v>
      </c>
      <c r="I65" s="56">
        <v>1</v>
      </c>
      <c r="J65" s="58">
        <v>0.81163251041992823</v>
      </c>
      <c r="K65" s="58">
        <v>26.380346885164517</v>
      </c>
      <c r="L65" s="59">
        <v>32.5028218393022</v>
      </c>
      <c r="M65" s="59">
        <v>215.88001543442419</v>
      </c>
      <c r="N65" s="59">
        <v>-26.224052424423359</v>
      </c>
    </row>
    <row r="66" spans="1:14" ht="15.75" x14ac:dyDescent="0.25">
      <c r="A66" s="56">
        <v>50</v>
      </c>
      <c r="B66" s="56">
        <v>5</v>
      </c>
      <c r="C66" s="56" t="s">
        <v>42</v>
      </c>
      <c r="D66" s="56" t="s">
        <v>34</v>
      </c>
      <c r="E66" s="56">
        <v>14.74103586</v>
      </c>
      <c r="F66" s="56">
        <v>1</v>
      </c>
      <c r="G66" s="57" t="s">
        <v>88</v>
      </c>
      <c r="H66" s="56">
        <v>7.5259999999999998</v>
      </c>
      <c r="I66" s="56">
        <v>1</v>
      </c>
      <c r="J66" s="58">
        <v>0.45871215772272311</v>
      </c>
      <c r="K66" s="58">
        <v>7.5469144117747486</v>
      </c>
      <c r="L66" s="59">
        <v>16.452396747540792</v>
      </c>
      <c r="M66" s="59">
        <v>77.818205535839212</v>
      </c>
      <c r="N66" s="59">
        <v>-24.980807544339555</v>
      </c>
    </row>
    <row r="67" spans="1:14" ht="15.75" x14ac:dyDescent="0.25">
      <c r="A67" s="56">
        <v>51</v>
      </c>
      <c r="B67" s="56">
        <v>5</v>
      </c>
      <c r="C67" s="56" t="s">
        <v>42</v>
      </c>
      <c r="D67" s="56" t="s">
        <v>36</v>
      </c>
      <c r="E67" s="56"/>
      <c r="F67" s="56">
        <v>1</v>
      </c>
      <c r="G67" s="57" t="s">
        <v>89</v>
      </c>
      <c r="H67" s="56">
        <v>7.7759999999999998</v>
      </c>
      <c r="I67" s="56">
        <v>1</v>
      </c>
      <c r="J67" s="58">
        <v>0.31292158446193097</v>
      </c>
      <c r="K67" s="58">
        <v>4.5115864034875344</v>
      </c>
      <c r="L67" s="59">
        <v>14.417626100306288</v>
      </c>
      <c r="M67" s="59">
        <v>1.3416428198402202</v>
      </c>
      <c r="N67" s="59">
        <v>-25.781337283426929</v>
      </c>
    </row>
    <row r="68" spans="1:14" ht="15.75" x14ac:dyDescent="0.25">
      <c r="A68" s="56">
        <v>52</v>
      </c>
      <c r="B68" s="56">
        <v>6</v>
      </c>
      <c r="C68" s="56" t="s">
        <v>42</v>
      </c>
      <c r="D68" s="56" t="s">
        <v>32</v>
      </c>
      <c r="E68" s="56"/>
      <c r="F68" s="56">
        <v>1</v>
      </c>
      <c r="G68" s="57" t="s">
        <v>90</v>
      </c>
      <c r="H68" s="56">
        <v>6.4539999999999997</v>
      </c>
      <c r="I68" s="56">
        <v>1</v>
      </c>
      <c r="J68" s="58">
        <v>0.91876294714964946</v>
      </c>
      <c r="K68" s="58">
        <v>18.972205191487685</v>
      </c>
      <c r="L68" s="59">
        <v>20.649728257268805</v>
      </c>
      <c r="M68" s="59">
        <v>172.85642835706244</v>
      </c>
      <c r="N68" s="59">
        <v>-26.125501644293024</v>
      </c>
    </row>
    <row r="69" spans="1:14" ht="15.75" x14ac:dyDescent="0.25">
      <c r="A69" s="56">
        <v>53</v>
      </c>
      <c r="B69" s="56">
        <v>6</v>
      </c>
      <c r="C69" s="56" t="s">
        <v>42</v>
      </c>
      <c r="D69" s="56" t="s">
        <v>34</v>
      </c>
      <c r="E69" s="56">
        <v>19.72111554</v>
      </c>
      <c r="F69" s="56">
        <v>1</v>
      </c>
      <c r="G69" s="57" t="s">
        <v>91</v>
      </c>
      <c r="H69" s="56">
        <v>6.6289999999999996</v>
      </c>
      <c r="I69" s="56">
        <v>1</v>
      </c>
      <c r="J69" s="58">
        <v>0.69297519364291316</v>
      </c>
      <c r="K69" s="58">
        <v>14.043373714365933</v>
      </c>
      <c r="L69" s="59">
        <v>20.265333944410155</v>
      </c>
      <c r="M69" s="59">
        <v>94.689401942517549</v>
      </c>
      <c r="N69" s="59">
        <v>-25.647268061983343</v>
      </c>
    </row>
    <row r="70" spans="1:14" ht="15.75" x14ac:dyDescent="0.25">
      <c r="A70" s="56">
        <v>54</v>
      </c>
      <c r="B70" s="56">
        <v>6</v>
      </c>
      <c r="C70" s="56" t="s">
        <v>42</v>
      </c>
      <c r="D70" s="56" t="s">
        <v>36</v>
      </c>
      <c r="E70" s="56"/>
      <c r="F70" s="56">
        <v>1</v>
      </c>
      <c r="G70" s="57" t="s">
        <v>92</v>
      </c>
      <c r="H70" s="56">
        <v>7.984</v>
      </c>
      <c r="I70" s="56">
        <v>1</v>
      </c>
      <c r="J70" s="58">
        <v>0.56115543115234989</v>
      </c>
      <c r="K70" s="58">
        <v>9.6338206572880551</v>
      </c>
      <c r="L70" s="59">
        <v>17.167829308013129</v>
      </c>
      <c r="M70" s="59">
        <v>-0.40962447822494763</v>
      </c>
      <c r="N70" s="59">
        <v>-26.618380926460485</v>
      </c>
    </row>
    <row r="71" spans="1:14" ht="15.75" x14ac:dyDescent="0.25">
      <c r="A71" s="56">
        <v>58</v>
      </c>
      <c r="B71" s="56">
        <v>2</v>
      </c>
      <c r="C71" s="56" t="s">
        <v>46</v>
      </c>
      <c r="D71" s="56" t="s">
        <v>32</v>
      </c>
      <c r="E71" s="56"/>
      <c r="F71" s="56">
        <v>1</v>
      </c>
      <c r="G71" s="57" t="s">
        <v>93</v>
      </c>
      <c r="H71" s="56">
        <v>6.9420000000000002</v>
      </c>
      <c r="I71" s="56">
        <v>1</v>
      </c>
      <c r="J71" s="58">
        <v>1.0905436868203495</v>
      </c>
      <c r="K71" s="58">
        <v>19.637709289498488</v>
      </c>
      <c r="L71" s="59">
        <v>18.007265116315786</v>
      </c>
      <c r="M71" s="59">
        <v>130.24775896122003</v>
      </c>
      <c r="N71" s="59">
        <v>-27.267230332757244</v>
      </c>
    </row>
    <row r="72" spans="1:14" ht="15.75" x14ac:dyDescent="0.25">
      <c r="A72" s="56">
        <v>59</v>
      </c>
      <c r="B72" s="56">
        <v>2</v>
      </c>
      <c r="C72" s="56" t="s">
        <v>46</v>
      </c>
      <c r="D72" s="56" t="s">
        <v>34</v>
      </c>
      <c r="E72" s="56">
        <v>11.02204409</v>
      </c>
      <c r="F72" s="56">
        <v>1</v>
      </c>
      <c r="G72" s="57" t="s">
        <v>94</v>
      </c>
      <c r="H72" s="56">
        <v>7.6449999999999996</v>
      </c>
      <c r="I72" s="56">
        <v>1</v>
      </c>
      <c r="J72" s="58">
        <v>0.29918084406271467</v>
      </c>
      <c r="K72" s="58">
        <v>4.6921692586426609</v>
      </c>
      <c r="L72" s="59">
        <v>15.683387996789934</v>
      </c>
      <c r="M72" s="59">
        <v>23.888004687879199</v>
      </c>
      <c r="N72" s="59">
        <v>-25.699844388168966</v>
      </c>
    </row>
    <row r="73" spans="1:14" ht="15.75" x14ac:dyDescent="0.25">
      <c r="A73" s="56">
        <v>60</v>
      </c>
      <c r="B73" s="56">
        <v>2</v>
      </c>
      <c r="C73" s="56" t="s">
        <v>46</v>
      </c>
      <c r="D73" s="56" t="s">
        <v>36</v>
      </c>
      <c r="E73" s="56"/>
      <c r="F73" s="56">
        <v>1</v>
      </c>
      <c r="G73" s="57" t="s">
        <v>95</v>
      </c>
      <c r="H73" s="56">
        <v>7.9429999999999996</v>
      </c>
      <c r="I73" s="56">
        <v>1</v>
      </c>
      <c r="J73" s="58">
        <v>0.46068404021916642</v>
      </c>
      <c r="K73" s="58">
        <v>6.37204513463473</v>
      </c>
      <c r="L73" s="59">
        <v>13.831703680473248</v>
      </c>
      <c r="M73" s="59">
        <v>0.16304178364574917</v>
      </c>
      <c r="N73" s="59">
        <v>-27.014802733649855</v>
      </c>
    </row>
    <row r="74" spans="1:14" ht="15.75" x14ac:dyDescent="0.25">
      <c r="A74" s="56">
        <v>61</v>
      </c>
      <c r="B74" s="56">
        <v>3</v>
      </c>
      <c r="C74" s="56" t="s">
        <v>46</v>
      </c>
      <c r="D74" s="56" t="s">
        <v>32</v>
      </c>
      <c r="E74" s="56"/>
      <c r="F74" s="56">
        <v>1</v>
      </c>
      <c r="G74" s="57" t="s">
        <v>96</v>
      </c>
      <c r="H74" s="56">
        <v>7.0049999999999999</v>
      </c>
      <c r="I74" s="56">
        <v>1</v>
      </c>
      <c r="J74" s="58">
        <v>1.0205681969096667</v>
      </c>
      <c r="K74" s="58">
        <v>18.416363415893301</v>
      </c>
      <c r="L74" s="59">
        <v>18.045206064287523</v>
      </c>
      <c r="M74" s="59">
        <v>151.80705737480471</v>
      </c>
      <c r="N74" s="59">
        <v>-26.13401585785612</v>
      </c>
    </row>
    <row r="75" spans="1:14" ht="15.75" x14ac:dyDescent="0.25">
      <c r="A75" s="56">
        <v>62</v>
      </c>
      <c r="B75" s="56">
        <v>3</v>
      </c>
      <c r="C75" s="56" t="s">
        <v>46</v>
      </c>
      <c r="D75" s="56" t="s">
        <v>34</v>
      </c>
      <c r="E75" s="56">
        <v>16.53386454</v>
      </c>
      <c r="F75" s="56">
        <v>1</v>
      </c>
      <c r="G75" s="57" t="s">
        <v>97</v>
      </c>
      <c r="H75" s="56">
        <v>8.0289999999999999</v>
      </c>
      <c r="I75" s="56">
        <v>1</v>
      </c>
      <c r="J75" s="58">
        <v>0.53387130032437347</v>
      </c>
      <c r="K75" s="58">
        <v>9.1588692021112212</v>
      </c>
      <c r="L75" s="59">
        <v>17.155575129336238</v>
      </c>
      <c r="M75" s="59">
        <v>48.281141600447462</v>
      </c>
      <c r="N75" s="59">
        <v>-26.388841728248181</v>
      </c>
    </row>
    <row r="76" spans="1:14" ht="15.75" x14ac:dyDescent="0.25">
      <c r="A76" s="56">
        <v>63</v>
      </c>
      <c r="B76" s="56">
        <v>3</v>
      </c>
      <c r="C76" s="56" t="s">
        <v>46</v>
      </c>
      <c r="D76" s="56" t="s">
        <v>36</v>
      </c>
      <c r="E76" s="56"/>
      <c r="F76" s="56">
        <v>1</v>
      </c>
      <c r="G76" s="57" t="s">
        <v>98</v>
      </c>
      <c r="H76" s="56">
        <v>7.6929999999999996</v>
      </c>
      <c r="I76" s="56">
        <v>1</v>
      </c>
      <c r="J76" s="58">
        <v>0.31736155272588978</v>
      </c>
      <c r="K76" s="58">
        <v>4.5317177151716912</v>
      </c>
      <c r="L76" s="59">
        <v>14.279353236861077</v>
      </c>
      <c r="M76" s="59">
        <v>0.44130613094674576</v>
      </c>
      <c r="N76" s="59">
        <v>-26.003101265444421</v>
      </c>
    </row>
    <row r="77" spans="1:14" ht="15.75" x14ac:dyDescent="0.25">
      <c r="A77" s="56">
        <v>64</v>
      </c>
      <c r="B77" s="56">
        <v>4</v>
      </c>
      <c r="C77" s="56" t="s">
        <v>46</v>
      </c>
      <c r="D77" s="56" t="s">
        <v>32</v>
      </c>
      <c r="E77" s="56"/>
      <c r="F77" s="56">
        <v>1</v>
      </c>
      <c r="G77" s="57" t="s">
        <v>99</v>
      </c>
      <c r="H77" s="56">
        <v>6.4130000000000003</v>
      </c>
      <c r="I77" s="56">
        <v>1</v>
      </c>
      <c r="J77" s="58">
        <v>1.0112271992663082</v>
      </c>
      <c r="K77" s="58">
        <v>21.08552619515233</v>
      </c>
      <c r="L77" s="59">
        <v>20.851423112877946</v>
      </c>
      <c r="M77" s="59">
        <v>69.479786820875518</v>
      </c>
      <c r="N77" s="59">
        <v>-27.767088930733237</v>
      </c>
    </row>
    <row r="78" spans="1:14" ht="15.75" x14ac:dyDescent="0.25">
      <c r="A78" s="56">
        <v>65</v>
      </c>
      <c r="B78" s="56">
        <v>4</v>
      </c>
      <c r="C78" s="56" t="s">
        <v>46</v>
      </c>
      <c r="D78" s="56" t="s">
        <v>34</v>
      </c>
      <c r="E78" s="56">
        <v>17.131474099999998</v>
      </c>
      <c r="F78" s="56">
        <v>1</v>
      </c>
      <c r="G78" s="57" t="s">
        <v>100</v>
      </c>
      <c r="H78" s="56">
        <v>7.2290000000000001</v>
      </c>
      <c r="I78" s="56">
        <v>1</v>
      </c>
      <c r="J78" s="58">
        <v>0.45648873023550651</v>
      </c>
      <c r="K78" s="58">
        <v>7.2551615209023259</v>
      </c>
      <c r="L78" s="59">
        <v>15.893407745596097</v>
      </c>
      <c r="M78" s="59">
        <v>31.24596849926634</v>
      </c>
      <c r="N78" s="59">
        <v>-25.83332429759453</v>
      </c>
    </row>
    <row r="79" spans="1:14" ht="15.75" x14ac:dyDescent="0.25">
      <c r="A79" s="56">
        <v>66</v>
      </c>
      <c r="B79" s="56">
        <v>4</v>
      </c>
      <c r="C79" s="56" t="s">
        <v>46</v>
      </c>
      <c r="D79" s="56" t="s">
        <v>36</v>
      </c>
      <c r="E79" s="56"/>
      <c r="F79" s="56">
        <v>1</v>
      </c>
      <c r="G79" s="57" t="s">
        <v>101</v>
      </c>
      <c r="H79" s="56">
        <v>8.3520000000000003</v>
      </c>
      <c r="I79" s="56">
        <v>1</v>
      </c>
      <c r="J79" s="58">
        <v>0.1745777577677973</v>
      </c>
      <c r="K79" s="58">
        <v>2.1726259127225256</v>
      </c>
      <c r="L79" s="59">
        <v>12.445032749316761</v>
      </c>
      <c r="M79" s="59">
        <v>2.8625646456366654</v>
      </c>
      <c r="N79" s="59">
        <v>-24.118452072225345</v>
      </c>
    </row>
    <row r="80" spans="1:14" ht="15.75" x14ac:dyDescent="0.25">
      <c r="A80" s="56">
        <v>67</v>
      </c>
      <c r="B80" s="56">
        <v>5</v>
      </c>
      <c r="C80" s="56" t="s">
        <v>46</v>
      </c>
      <c r="D80" s="56" t="s">
        <v>32</v>
      </c>
      <c r="E80" s="56"/>
      <c r="F80" s="56">
        <v>1</v>
      </c>
      <c r="G80" s="57" t="s">
        <v>102</v>
      </c>
      <c r="H80" s="56">
        <v>6.3890000000000002</v>
      </c>
      <c r="I80" s="56">
        <v>1</v>
      </c>
      <c r="J80" s="58">
        <v>0.61425161846087806</v>
      </c>
      <c r="K80" s="58">
        <v>18.132344109869397</v>
      </c>
      <c r="L80" s="59">
        <v>29.519407950936078</v>
      </c>
      <c r="M80" s="59">
        <v>385.60192420560378</v>
      </c>
      <c r="N80" s="59">
        <v>-22.829221915922044</v>
      </c>
    </row>
    <row r="81" spans="1:14" ht="15.75" x14ac:dyDescent="0.25">
      <c r="A81" s="56">
        <v>68</v>
      </c>
      <c r="B81" s="56">
        <v>5</v>
      </c>
      <c r="C81" s="56" t="s">
        <v>46</v>
      </c>
      <c r="D81" s="56" t="s">
        <v>34</v>
      </c>
      <c r="E81" s="56">
        <v>22.355289419999998</v>
      </c>
      <c r="F81" s="56">
        <v>1</v>
      </c>
      <c r="G81" s="57" t="s">
        <v>103</v>
      </c>
      <c r="H81" s="56">
        <v>6.242</v>
      </c>
      <c r="I81" s="56">
        <v>1</v>
      </c>
      <c r="J81" s="58">
        <v>0.85444933901526765</v>
      </c>
      <c r="K81" s="58">
        <v>16.07909142668063</v>
      </c>
      <c r="L81" s="59">
        <v>18.818074627117614</v>
      </c>
      <c r="M81" s="59">
        <v>93.219599690823372</v>
      </c>
      <c r="N81" s="59">
        <v>-25.203543580797614</v>
      </c>
    </row>
    <row r="82" spans="1:14" ht="15.75" x14ac:dyDescent="0.25">
      <c r="A82" s="56">
        <v>69</v>
      </c>
      <c r="B82" s="56">
        <v>5</v>
      </c>
      <c r="C82" s="56" t="s">
        <v>46</v>
      </c>
      <c r="D82" s="56" t="s">
        <v>36</v>
      </c>
      <c r="E82" s="56"/>
      <c r="F82" s="56">
        <v>1</v>
      </c>
      <c r="G82" s="57" t="s">
        <v>104</v>
      </c>
      <c r="H82" s="56">
        <v>6.4169999999999998</v>
      </c>
      <c r="I82" s="56">
        <v>1</v>
      </c>
      <c r="J82" s="58">
        <v>0.3150534260988383</v>
      </c>
      <c r="K82" s="58">
        <v>4.7139129848890802</v>
      </c>
      <c r="L82" s="59">
        <v>14.962265426722372</v>
      </c>
      <c r="M82" s="59">
        <v>0.55743132930680495</v>
      </c>
      <c r="N82" s="59">
        <v>-24.931702631101498</v>
      </c>
    </row>
    <row r="83" spans="1:14" ht="15.75" x14ac:dyDescent="0.25">
      <c r="A83" s="56">
        <v>70</v>
      </c>
      <c r="B83" s="56">
        <v>6</v>
      </c>
      <c r="C83" s="56" t="s">
        <v>46</v>
      </c>
      <c r="D83" s="56" t="s">
        <v>32</v>
      </c>
      <c r="E83" s="56"/>
      <c r="F83" s="56">
        <v>1</v>
      </c>
      <c r="G83" s="57" t="s">
        <v>105</v>
      </c>
      <c r="H83" s="56">
        <v>6.0140000000000002</v>
      </c>
      <c r="I83" s="56">
        <v>1</v>
      </c>
      <c r="J83" s="58">
        <v>0.69668701534430788</v>
      </c>
      <c r="K83" s="58">
        <v>22.38177414464079</v>
      </c>
      <c r="L83" s="59">
        <v>32.126010176290634</v>
      </c>
      <c r="M83" s="59">
        <v>223.35236836462775</v>
      </c>
      <c r="N83" s="59">
        <v>-25.881130279238096</v>
      </c>
    </row>
    <row r="84" spans="1:14" ht="15.75" x14ac:dyDescent="0.25">
      <c r="A84" s="56">
        <v>71</v>
      </c>
      <c r="B84" s="56">
        <v>6</v>
      </c>
      <c r="C84" s="56" t="s">
        <v>46</v>
      </c>
      <c r="D84" s="56" t="s">
        <v>34</v>
      </c>
      <c r="E84" s="56">
        <v>13.6</v>
      </c>
      <c r="F84" s="56">
        <v>1</v>
      </c>
      <c r="G84" s="57" t="s">
        <v>106</v>
      </c>
      <c r="H84" s="56">
        <v>6.5910000000000002</v>
      </c>
      <c r="I84" s="56">
        <v>1</v>
      </c>
      <c r="J84" s="58">
        <v>0.33290166295369961</v>
      </c>
      <c r="K84" s="58">
        <v>5.8497063345751288</v>
      </c>
      <c r="L84" s="59">
        <v>17.57187477729336</v>
      </c>
      <c r="M84" s="59">
        <v>63.785625279575385</v>
      </c>
      <c r="N84" s="59">
        <v>-25.090577215280721</v>
      </c>
    </row>
    <row r="85" spans="1:14" ht="15.75" x14ac:dyDescent="0.25">
      <c r="A85" s="56">
        <v>72</v>
      </c>
      <c r="B85" s="56">
        <v>6</v>
      </c>
      <c r="C85" s="56" t="s">
        <v>46</v>
      </c>
      <c r="D85" s="56" t="s">
        <v>36</v>
      </c>
      <c r="E85" s="56"/>
      <c r="F85" s="56">
        <v>1</v>
      </c>
      <c r="G85" s="57" t="s">
        <v>107</v>
      </c>
      <c r="H85" s="56">
        <v>6.2560000000000002</v>
      </c>
      <c r="I85" s="56">
        <v>1</v>
      </c>
      <c r="J85" s="58">
        <v>0.28282176932304354</v>
      </c>
      <c r="K85" s="58">
        <v>4.2849669344099883</v>
      </c>
      <c r="L85" s="59">
        <v>15.150767724374251</v>
      </c>
      <c r="M85" s="59">
        <v>0.95437780222439406</v>
      </c>
      <c r="N85" s="59">
        <v>-25.400869121059163</v>
      </c>
    </row>
    <row r="86" spans="1:14" ht="15.75" x14ac:dyDescent="0.25">
      <c r="A86" s="56">
        <v>76</v>
      </c>
      <c r="B86" s="56">
        <v>2</v>
      </c>
      <c r="C86" s="56" t="s">
        <v>50</v>
      </c>
      <c r="D86" s="56" t="s">
        <v>32</v>
      </c>
      <c r="E86" s="56"/>
      <c r="F86" s="56">
        <v>1</v>
      </c>
      <c r="G86" s="57" t="s">
        <v>108</v>
      </c>
      <c r="H86" s="56">
        <v>6.9059999999999997</v>
      </c>
      <c r="I86" s="56">
        <v>1</v>
      </c>
      <c r="J86" s="58">
        <v>1.1298472294209811</v>
      </c>
      <c r="K86" s="58">
        <v>21.910062930355839</v>
      </c>
      <c r="L86" s="59">
        <v>19.392057934756547</v>
      </c>
      <c r="M86" s="59">
        <v>218.91759713710047</v>
      </c>
      <c r="N86" s="59">
        <v>-25.850003610427464</v>
      </c>
    </row>
    <row r="87" spans="1:14" ht="15.75" x14ac:dyDescent="0.25">
      <c r="A87" s="56">
        <v>77</v>
      </c>
      <c r="B87" s="56">
        <v>2</v>
      </c>
      <c r="C87" s="56" t="s">
        <v>50</v>
      </c>
      <c r="D87" s="56" t="s">
        <v>34</v>
      </c>
      <c r="E87" s="56">
        <v>17.131474099999998</v>
      </c>
      <c r="F87" s="56">
        <v>1</v>
      </c>
      <c r="G87" s="57" t="s">
        <v>109</v>
      </c>
      <c r="H87" s="56">
        <v>8.3439999999999994</v>
      </c>
      <c r="I87" s="56">
        <v>1</v>
      </c>
      <c r="J87" s="58">
        <v>0.438584186473985</v>
      </c>
      <c r="K87" s="58">
        <v>7.554986732675812</v>
      </c>
      <c r="L87" s="59">
        <v>17.225853019039352</v>
      </c>
      <c r="M87" s="59">
        <v>59.844473302115084</v>
      </c>
      <c r="N87" s="59">
        <v>-25.701704907855071</v>
      </c>
    </row>
    <row r="88" spans="1:14" ht="15.75" x14ac:dyDescent="0.25">
      <c r="A88" s="56">
        <v>78</v>
      </c>
      <c r="B88" s="56">
        <v>2</v>
      </c>
      <c r="C88" s="56" t="s">
        <v>50</v>
      </c>
      <c r="D88" s="56" t="s">
        <v>36</v>
      </c>
      <c r="E88" s="56"/>
      <c r="F88" s="56">
        <v>1</v>
      </c>
      <c r="G88" s="57" t="s">
        <v>110</v>
      </c>
      <c r="H88" s="56">
        <v>6.6740000000000004</v>
      </c>
      <c r="I88" s="56">
        <v>1</v>
      </c>
      <c r="J88" s="58">
        <v>0.34176473559192061</v>
      </c>
      <c r="K88" s="58">
        <v>5.0249303135551839</v>
      </c>
      <c r="L88" s="59">
        <v>14.702892926773849</v>
      </c>
      <c r="M88" s="59">
        <v>1.373674471034068</v>
      </c>
      <c r="N88" s="59">
        <v>-25.451678353087512</v>
      </c>
    </row>
    <row r="89" spans="1:14" ht="15.75" x14ac:dyDescent="0.25">
      <c r="A89" s="56">
        <v>79</v>
      </c>
      <c r="B89" s="56">
        <v>3</v>
      </c>
      <c r="C89" s="56" t="s">
        <v>50</v>
      </c>
      <c r="D89" s="56" t="s">
        <v>32</v>
      </c>
      <c r="E89" s="56"/>
      <c r="F89" s="56">
        <v>1</v>
      </c>
      <c r="G89" s="57" t="s">
        <v>111</v>
      </c>
      <c r="H89" s="56">
        <v>6.5720000000000001</v>
      </c>
      <c r="I89" s="56">
        <v>1</v>
      </c>
      <c r="J89" s="58">
        <v>1.1325568356569802</v>
      </c>
      <c r="K89" s="58">
        <v>25.673370775870008</v>
      </c>
      <c r="L89" s="59">
        <v>22.668505427347718</v>
      </c>
      <c r="M89" s="59">
        <v>183.08002764636453</v>
      </c>
      <c r="N89" s="59">
        <v>-27.607670417864849</v>
      </c>
    </row>
    <row r="90" spans="1:14" ht="15.75" x14ac:dyDescent="0.25">
      <c r="A90" s="56">
        <v>80</v>
      </c>
      <c r="B90" s="56">
        <v>3</v>
      </c>
      <c r="C90" s="56" t="s">
        <v>50</v>
      </c>
      <c r="D90" s="56" t="s">
        <v>34</v>
      </c>
      <c r="E90" s="56">
        <v>13.57285429</v>
      </c>
      <c r="F90" s="56">
        <v>1</v>
      </c>
      <c r="G90" s="57" t="s">
        <v>112</v>
      </c>
      <c r="H90" s="56">
        <v>7.6449999999999996</v>
      </c>
      <c r="I90" s="56">
        <v>1</v>
      </c>
      <c r="J90" s="58">
        <v>0.33392790564714475</v>
      </c>
      <c r="K90" s="58">
        <v>5.2519737596644527</v>
      </c>
      <c r="L90" s="59">
        <v>15.727867215787928</v>
      </c>
      <c r="M90" s="59">
        <v>22.31355366980932</v>
      </c>
      <c r="N90" s="59">
        <v>-25.873879997453098</v>
      </c>
    </row>
    <row r="91" spans="1:14" ht="15.75" x14ac:dyDescent="0.25">
      <c r="A91" s="56">
        <v>81</v>
      </c>
      <c r="B91" s="56">
        <v>3</v>
      </c>
      <c r="C91" s="56" t="s">
        <v>50</v>
      </c>
      <c r="D91" s="56" t="s">
        <v>36</v>
      </c>
      <c r="E91" s="56"/>
      <c r="F91" s="56">
        <v>1</v>
      </c>
      <c r="G91" s="57" t="s">
        <v>113</v>
      </c>
      <c r="H91" s="56">
        <v>7.9050000000000002</v>
      </c>
      <c r="I91" s="56">
        <v>1</v>
      </c>
      <c r="J91" s="58">
        <v>0.31362613815104917</v>
      </c>
      <c r="K91" s="58">
        <v>4.375918940222089</v>
      </c>
      <c r="L91" s="59">
        <v>13.952660215184459</v>
      </c>
      <c r="M91" s="59">
        <v>1.3057736199391528</v>
      </c>
      <c r="N91" s="59">
        <v>-25.427420415871783</v>
      </c>
    </row>
    <row r="92" spans="1:14" ht="15.75" x14ac:dyDescent="0.25">
      <c r="A92" s="56">
        <v>82</v>
      </c>
      <c r="B92" s="56">
        <v>4</v>
      </c>
      <c r="C92" s="56" t="s">
        <v>50</v>
      </c>
      <c r="D92" s="56" t="s">
        <v>32</v>
      </c>
      <c r="E92" s="56"/>
      <c r="F92" s="56">
        <v>1</v>
      </c>
      <c r="G92" s="57" t="s">
        <v>114</v>
      </c>
      <c r="H92" s="56">
        <v>6.4279999999999999</v>
      </c>
      <c r="I92" s="56">
        <v>1</v>
      </c>
      <c r="J92" s="58">
        <v>1.0580124058570706</v>
      </c>
      <c r="K92" s="58">
        <v>22.939381449265909</v>
      </c>
      <c r="L92" s="59">
        <v>21.681580785135754</v>
      </c>
      <c r="M92" s="59">
        <v>83.393459428335404</v>
      </c>
      <c r="N92" s="59">
        <v>-28.243730215173816</v>
      </c>
    </row>
    <row r="93" spans="1:14" ht="15.75" x14ac:dyDescent="0.25">
      <c r="A93" s="56">
        <v>83</v>
      </c>
      <c r="B93" s="56">
        <v>4</v>
      </c>
      <c r="C93" s="56" t="s">
        <v>50</v>
      </c>
      <c r="D93" s="56" t="s">
        <v>34</v>
      </c>
      <c r="E93" s="56">
        <v>26.946107779999998</v>
      </c>
      <c r="F93" s="56">
        <v>1</v>
      </c>
      <c r="G93" s="57" t="s">
        <v>115</v>
      </c>
      <c r="H93" s="56">
        <v>7.7290000000000001</v>
      </c>
      <c r="I93" s="56">
        <v>1</v>
      </c>
      <c r="J93" s="58">
        <v>0.53476570518861621</v>
      </c>
      <c r="K93" s="58">
        <v>9.8117311763838444</v>
      </c>
      <c r="L93" s="59">
        <v>18.347719536209166</v>
      </c>
      <c r="M93" s="59">
        <v>65.563355418403177</v>
      </c>
      <c r="N93" s="59">
        <v>-25.292805059303873</v>
      </c>
    </row>
    <row r="94" spans="1:14" ht="15.75" x14ac:dyDescent="0.25">
      <c r="A94" s="56">
        <v>84</v>
      </c>
      <c r="B94" s="56">
        <v>4</v>
      </c>
      <c r="C94" s="56" t="s">
        <v>50</v>
      </c>
      <c r="D94" s="56" t="s">
        <v>36</v>
      </c>
      <c r="E94" s="56"/>
      <c r="F94" s="56">
        <v>1</v>
      </c>
      <c r="G94" s="57" t="s">
        <v>116</v>
      </c>
      <c r="H94" s="56">
        <v>6.6020000000000003</v>
      </c>
      <c r="I94" s="56">
        <v>1</v>
      </c>
      <c r="J94" s="58">
        <v>0.35614373645143205</v>
      </c>
      <c r="K94" s="58">
        <v>5.5189834386338168</v>
      </c>
      <c r="L94" s="59">
        <v>15.496505690719765</v>
      </c>
      <c r="M94" s="59">
        <v>-0.10776786383986559</v>
      </c>
      <c r="N94" s="59">
        <v>-25.936999801147788</v>
      </c>
    </row>
    <row r="95" spans="1:14" ht="15.75" x14ac:dyDescent="0.25">
      <c r="A95" s="56">
        <v>85</v>
      </c>
      <c r="B95" s="56">
        <v>5</v>
      </c>
      <c r="C95" s="56" t="s">
        <v>50</v>
      </c>
      <c r="D95" s="56" t="s">
        <v>32</v>
      </c>
      <c r="E95" s="56"/>
      <c r="F95" s="56">
        <v>1</v>
      </c>
      <c r="G95" s="57" t="s">
        <v>117</v>
      </c>
      <c r="H95" s="56">
        <v>6.4080000000000004</v>
      </c>
      <c r="I95" s="56">
        <v>1</v>
      </c>
      <c r="J95" s="58">
        <v>0.93380472952122806</v>
      </c>
      <c r="K95" s="58">
        <v>21.54412648022582</v>
      </c>
      <c r="L95" s="59">
        <v>23.07134007692564</v>
      </c>
      <c r="M95" s="59">
        <v>286.23850201787474</v>
      </c>
      <c r="N95" s="59">
        <v>-24.493510180514978</v>
      </c>
    </row>
    <row r="96" spans="1:14" ht="15.75" x14ac:dyDescent="0.25">
      <c r="A96" s="56">
        <v>86</v>
      </c>
      <c r="B96" s="56">
        <v>5</v>
      </c>
      <c r="C96" s="56" t="s">
        <v>50</v>
      </c>
      <c r="D96" s="56" t="s">
        <v>34</v>
      </c>
      <c r="E96" s="56">
        <v>30.33932136</v>
      </c>
      <c r="F96" s="56">
        <v>1</v>
      </c>
      <c r="G96" s="57" t="s">
        <v>118</v>
      </c>
      <c r="H96" s="56">
        <v>6.9740000000000002</v>
      </c>
      <c r="I96" s="56">
        <v>1</v>
      </c>
      <c r="J96" s="58">
        <v>0.74900879206326776</v>
      </c>
      <c r="K96" s="58">
        <v>17.088916840340616</v>
      </c>
      <c r="L96" s="59">
        <v>22.815375495481682</v>
      </c>
      <c r="M96" s="59">
        <v>114.88687974165748</v>
      </c>
      <c r="N96" s="59">
        <v>-25.345753158914313</v>
      </c>
    </row>
    <row r="97" spans="1:14" ht="15.75" x14ac:dyDescent="0.25">
      <c r="A97" s="56">
        <v>87</v>
      </c>
      <c r="B97" s="56">
        <v>5</v>
      </c>
      <c r="C97" s="56" t="s">
        <v>50</v>
      </c>
      <c r="D97" s="56" t="s">
        <v>36</v>
      </c>
      <c r="E97" s="56"/>
      <c r="F97" s="56">
        <v>1</v>
      </c>
      <c r="G97" s="57" t="s">
        <v>119</v>
      </c>
      <c r="H97" s="56">
        <v>8.1539999999999999</v>
      </c>
      <c r="I97" s="56">
        <v>1</v>
      </c>
      <c r="J97" s="58">
        <v>0.45090541765212849</v>
      </c>
      <c r="K97" s="58">
        <v>7.2903263001918654</v>
      </c>
      <c r="L97" s="59">
        <v>16.168194070837973</v>
      </c>
      <c r="M97" s="59">
        <v>0.19775722114458538</v>
      </c>
      <c r="N97" s="59">
        <v>-26.57594175406383</v>
      </c>
    </row>
    <row r="98" spans="1:14" ht="15.75" x14ac:dyDescent="0.25">
      <c r="A98" s="56">
        <v>88</v>
      </c>
      <c r="B98" s="56">
        <v>6</v>
      </c>
      <c r="C98" s="56" t="s">
        <v>50</v>
      </c>
      <c r="D98" s="56" t="s">
        <v>32</v>
      </c>
      <c r="E98" s="56"/>
      <c r="F98" s="56">
        <v>1</v>
      </c>
      <c r="G98" s="57" t="s">
        <v>120</v>
      </c>
      <c r="H98" s="56">
        <v>6.2830000000000004</v>
      </c>
      <c r="I98" s="56">
        <v>1</v>
      </c>
      <c r="J98" s="58">
        <v>1.1980423214860447</v>
      </c>
      <c r="K98" s="58">
        <v>27.248881053277323</v>
      </c>
      <c r="L98" s="59">
        <v>22.744506237040078</v>
      </c>
      <c r="M98" s="59">
        <v>167.25106646983488</v>
      </c>
      <c r="N98" s="59">
        <v>-27.682087889136859</v>
      </c>
    </row>
    <row r="99" spans="1:14" ht="15.75" x14ac:dyDescent="0.25">
      <c r="A99" s="56">
        <v>89</v>
      </c>
      <c r="B99" s="56">
        <v>6</v>
      </c>
      <c r="C99" s="56" t="s">
        <v>50</v>
      </c>
      <c r="D99" s="56" t="s">
        <v>34</v>
      </c>
      <c r="E99" s="56">
        <v>17</v>
      </c>
      <c r="F99" s="56">
        <v>1</v>
      </c>
      <c r="G99" s="57" t="s">
        <v>121</v>
      </c>
      <c r="H99" s="56">
        <v>8.5399999999999991</v>
      </c>
      <c r="I99" s="56">
        <v>1</v>
      </c>
      <c r="J99" s="58">
        <v>0.54024972024354001</v>
      </c>
      <c r="K99" s="58">
        <v>10.057367398517206</v>
      </c>
      <c r="L99" s="59">
        <v>18.616145500239096</v>
      </c>
      <c r="M99" s="59">
        <v>77.891005198182512</v>
      </c>
      <c r="N99" s="59">
        <v>-25.664435616501585</v>
      </c>
    </row>
    <row r="100" spans="1:14" ht="15.75" x14ac:dyDescent="0.25">
      <c r="A100" s="56">
        <v>90</v>
      </c>
      <c r="B100" s="56">
        <v>6</v>
      </c>
      <c r="C100" s="56" t="s">
        <v>50</v>
      </c>
      <c r="D100" s="56" t="s">
        <v>36</v>
      </c>
      <c r="E100" s="56"/>
      <c r="F100" s="56">
        <v>1</v>
      </c>
      <c r="G100" s="57" t="s">
        <v>122</v>
      </c>
      <c r="H100" s="56">
        <v>7.1829999999999998</v>
      </c>
      <c r="I100" s="56">
        <v>1</v>
      </c>
      <c r="J100" s="58">
        <v>0.29232826045741123</v>
      </c>
      <c r="K100" s="58">
        <v>4.2733220349062169</v>
      </c>
      <c r="L100" s="59">
        <v>14.618230985330236</v>
      </c>
      <c r="M100" s="59">
        <v>1.4553745493056334</v>
      </c>
      <c r="N100" s="59">
        <v>-25.078876352560673</v>
      </c>
    </row>
    <row r="101" spans="1:14" ht="15.75" x14ac:dyDescent="0.25">
      <c r="A101" s="56">
        <v>94</v>
      </c>
      <c r="B101" s="56">
        <v>2</v>
      </c>
      <c r="C101" s="56" t="s">
        <v>54</v>
      </c>
      <c r="D101" s="56" t="s">
        <v>32</v>
      </c>
      <c r="E101" s="56"/>
      <c r="F101" s="56">
        <v>1</v>
      </c>
      <c r="G101" s="57" t="s">
        <v>123</v>
      </c>
      <c r="H101" s="56">
        <v>6.181</v>
      </c>
      <c r="I101" s="56">
        <v>1</v>
      </c>
      <c r="J101" s="58">
        <v>1.2586719424753785</v>
      </c>
      <c r="K101" s="58">
        <v>25.766968380521071</v>
      </c>
      <c r="L101" s="59">
        <v>20.471552205927644</v>
      </c>
      <c r="M101" s="59">
        <v>101.14169296659998</v>
      </c>
      <c r="N101" s="59">
        <v>-27.876857079916487</v>
      </c>
    </row>
    <row r="102" spans="1:14" ht="15.75" x14ac:dyDescent="0.25">
      <c r="A102" s="56">
        <v>95</v>
      </c>
      <c r="B102" s="56">
        <v>2</v>
      </c>
      <c r="C102" s="56" t="s">
        <v>54</v>
      </c>
      <c r="D102" s="56" t="s">
        <v>34</v>
      </c>
      <c r="E102" s="56">
        <v>18.29025845</v>
      </c>
      <c r="F102" s="56">
        <v>1</v>
      </c>
      <c r="G102" s="57" t="s">
        <v>124</v>
      </c>
      <c r="H102" s="56">
        <v>6.1680000000000001</v>
      </c>
      <c r="I102" s="56">
        <v>1</v>
      </c>
      <c r="J102" s="58">
        <v>0.52232900520538261</v>
      </c>
      <c r="K102" s="58">
        <v>9.1894512686829177</v>
      </c>
      <c r="L102" s="59">
        <v>17.593224150111237</v>
      </c>
      <c r="M102" s="59">
        <v>74.220055930989162</v>
      </c>
      <c r="N102" s="59">
        <v>-25.113559003351615</v>
      </c>
    </row>
    <row r="103" spans="1:14" ht="15.75" x14ac:dyDescent="0.25">
      <c r="A103" s="56">
        <v>96</v>
      </c>
      <c r="B103" s="56">
        <v>2</v>
      </c>
      <c r="C103" s="56" t="s">
        <v>54</v>
      </c>
      <c r="D103" s="56" t="s">
        <v>36</v>
      </c>
      <c r="E103" s="56"/>
      <c r="F103" s="56">
        <v>1</v>
      </c>
      <c r="G103" s="57" t="s">
        <v>125</v>
      </c>
      <c r="H103" s="56">
        <v>6.5519999999999996</v>
      </c>
      <c r="I103" s="56">
        <v>1</v>
      </c>
      <c r="J103" s="58">
        <v>0.5150157773945413</v>
      </c>
      <c r="K103" s="58">
        <v>7.3608561142750757</v>
      </c>
      <c r="L103" s="59">
        <v>14.292486633154345</v>
      </c>
      <c r="M103" s="59">
        <v>0.53312488608243769</v>
      </c>
      <c r="N103" s="59">
        <v>-25.801478500037227</v>
      </c>
    </row>
    <row r="104" spans="1:14" ht="15.75" x14ac:dyDescent="0.25">
      <c r="A104" s="56">
        <v>97</v>
      </c>
      <c r="B104" s="56">
        <v>3</v>
      </c>
      <c r="C104" s="56" t="s">
        <v>54</v>
      </c>
      <c r="D104" s="56" t="s">
        <v>32</v>
      </c>
      <c r="E104" s="56"/>
      <c r="F104" s="56">
        <v>2</v>
      </c>
      <c r="G104" s="57" t="s">
        <v>33</v>
      </c>
      <c r="H104" s="56">
        <v>7.0720000000000001</v>
      </c>
      <c r="I104" s="56">
        <v>1</v>
      </c>
      <c r="J104" s="58">
        <v>1.1236873513553953</v>
      </c>
      <c r="K104" s="58">
        <v>20.79378609433703</v>
      </c>
      <c r="L104" s="59">
        <v>18.504956978696519</v>
      </c>
      <c r="M104" s="59">
        <v>233.16994036390696</v>
      </c>
      <c r="N104" s="59">
        <v>-25.295866595687858</v>
      </c>
    </row>
    <row r="105" spans="1:14" ht="15.75" x14ac:dyDescent="0.25">
      <c r="A105" s="56">
        <v>98</v>
      </c>
      <c r="B105" s="56">
        <v>3</v>
      </c>
      <c r="C105" s="56" t="s">
        <v>54</v>
      </c>
      <c r="D105" s="56" t="s">
        <v>34</v>
      </c>
      <c r="E105" s="56">
        <v>17.169811320000001</v>
      </c>
      <c r="F105" s="56">
        <v>2</v>
      </c>
      <c r="G105" s="57" t="s">
        <v>35</v>
      </c>
      <c r="H105" s="56">
        <v>8.1440000000000001</v>
      </c>
      <c r="I105" s="56">
        <v>1</v>
      </c>
      <c r="J105" s="58">
        <v>0.30915475697579231</v>
      </c>
      <c r="K105" s="58">
        <v>5.0843979223846896</v>
      </c>
      <c r="L105" s="59">
        <v>16.446125468426196</v>
      </c>
      <c r="M105" s="59">
        <v>39.917925197739088</v>
      </c>
      <c r="N105" s="59">
        <v>-25.412124914476717</v>
      </c>
    </row>
    <row r="106" spans="1:14" ht="15.75" x14ac:dyDescent="0.25">
      <c r="A106" s="56">
        <v>99</v>
      </c>
      <c r="B106" s="56">
        <v>3</v>
      </c>
      <c r="C106" s="56" t="s">
        <v>54</v>
      </c>
      <c r="D106" s="56" t="s">
        <v>36</v>
      </c>
      <c r="E106" s="56"/>
      <c r="F106" s="56">
        <v>2</v>
      </c>
      <c r="G106" s="57" t="s">
        <v>37</v>
      </c>
      <c r="H106" s="56">
        <v>8.4979999999999993</v>
      </c>
      <c r="I106" s="56">
        <v>1</v>
      </c>
      <c r="J106" s="58">
        <v>0.16708791110942706</v>
      </c>
      <c r="K106" s="58">
        <v>2.0979653278249937</v>
      </c>
      <c r="L106" s="59">
        <v>12.556056951666726</v>
      </c>
      <c r="M106" s="59">
        <v>2.7894194918765809</v>
      </c>
      <c r="N106" s="59">
        <v>-24.291226638796996</v>
      </c>
    </row>
    <row r="107" spans="1:14" ht="15.75" x14ac:dyDescent="0.25">
      <c r="A107" s="56">
        <v>100</v>
      </c>
      <c r="B107" s="56">
        <v>4</v>
      </c>
      <c r="C107" s="56" t="s">
        <v>54</v>
      </c>
      <c r="D107" s="56" t="s">
        <v>32</v>
      </c>
      <c r="E107" s="56"/>
      <c r="F107" s="56">
        <v>2</v>
      </c>
      <c r="G107" s="57" t="s">
        <v>39</v>
      </c>
      <c r="H107" s="56">
        <v>6.1180000000000003</v>
      </c>
      <c r="I107" s="56">
        <v>1</v>
      </c>
      <c r="J107" s="58">
        <v>1.0128143515581094</v>
      </c>
      <c r="K107" s="58">
        <v>27.405807986532555</v>
      </c>
      <c r="L107" s="59">
        <v>27.059063632314821</v>
      </c>
      <c r="M107" s="59">
        <v>160.5609106068637</v>
      </c>
      <c r="N107" s="59">
        <v>-27.396787595689673</v>
      </c>
    </row>
    <row r="108" spans="1:14" ht="15.75" x14ac:dyDescent="0.25">
      <c r="A108" s="56">
        <v>101</v>
      </c>
      <c r="B108" s="56">
        <v>4</v>
      </c>
      <c r="C108" s="56" t="s">
        <v>54</v>
      </c>
      <c r="D108" s="56" t="s">
        <v>34</v>
      </c>
      <c r="E108" s="56">
        <v>20.95808383</v>
      </c>
      <c r="F108" s="56">
        <v>2</v>
      </c>
      <c r="G108" s="57" t="s">
        <v>40</v>
      </c>
      <c r="H108" s="56">
        <v>7.7629999999999999</v>
      </c>
      <c r="I108" s="56">
        <v>1</v>
      </c>
      <c r="J108" s="58">
        <v>0.5515582537978716</v>
      </c>
      <c r="K108" s="58">
        <v>10.208127497198118</v>
      </c>
      <c r="L108" s="59">
        <v>18.507795734916279</v>
      </c>
      <c r="M108" s="59">
        <v>88.565388328590132</v>
      </c>
      <c r="N108" s="59">
        <v>-26.061062713041338</v>
      </c>
    </row>
    <row r="109" spans="1:14" ht="15.75" x14ac:dyDescent="0.25">
      <c r="A109" s="56">
        <v>102</v>
      </c>
      <c r="B109" s="56">
        <v>4</v>
      </c>
      <c r="C109" s="56" t="s">
        <v>54</v>
      </c>
      <c r="D109" s="56" t="s">
        <v>36</v>
      </c>
      <c r="E109" s="56"/>
      <c r="F109" s="56">
        <v>2</v>
      </c>
      <c r="G109" s="57" t="s">
        <v>41</v>
      </c>
      <c r="H109" s="56">
        <v>6.6479999999999997</v>
      </c>
      <c r="I109" s="56">
        <v>1</v>
      </c>
      <c r="J109" s="58">
        <v>0.16497260800512836</v>
      </c>
      <c r="K109" s="58">
        <v>2.0606836831238167</v>
      </c>
      <c r="L109" s="59">
        <v>12.491065686854864</v>
      </c>
      <c r="M109" s="59">
        <v>2.5488380791732279</v>
      </c>
      <c r="N109" s="59">
        <v>-22.832795394619527</v>
      </c>
    </row>
    <row r="110" spans="1:14" ht="15.75" x14ac:dyDescent="0.25">
      <c r="A110" s="56">
        <v>103</v>
      </c>
      <c r="B110" s="56">
        <v>5</v>
      </c>
      <c r="C110" s="56" t="s">
        <v>54</v>
      </c>
      <c r="D110" s="56" t="s">
        <v>32</v>
      </c>
      <c r="E110" s="56"/>
      <c r="F110" s="56">
        <v>2</v>
      </c>
      <c r="G110" s="57" t="s">
        <v>43</v>
      </c>
      <c r="H110" s="56">
        <v>7.6859999999999999</v>
      </c>
      <c r="I110" s="56">
        <v>1</v>
      </c>
      <c r="J110" s="58">
        <v>0.97598433509778015</v>
      </c>
      <c r="K110" s="58">
        <v>20.560343296637733</v>
      </c>
      <c r="L110" s="59">
        <v>21.066263624587652</v>
      </c>
      <c r="M110" s="59">
        <v>236.92265560502429</v>
      </c>
      <c r="N110" s="59">
        <v>-26.112726953147654</v>
      </c>
    </row>
    <row r="111" spans="1:14" ht="15.75" x14ac:dyDescent="0.25">
      <c r="A111" s="56">
        <v>104</v>
      </c>
      <c r="B111" s="56">
        <v>5</v>
      </c>
      <c r="C111" s="56" t="s">
        <v>54</v>
      </c>
      <c r="D111" s="56" t="s">
        <v>34</v>
      </c>
      <c r="E111" s="56">
        <v>14.970059880000001</v>
      </c>
      <c r="F111" s="56">
        <v>2</v>
      </c>
      <c r="G111" s="57" t="s">
        <v>44</v>
      </c>
      <c r="H111" s="56">
        <v>8.0739999999999998</v>
      </c>
      <c r="I111" s="56">
        <v>1</v>
      </c>
      <c r="J111" s="58">
        <v>0.47974243256037252</v>
      </c>
      <c r="K111" s="58">
        <v>8.4832322096066548</v>
      </c>
      <c r="L111" s="59">
        <v>17.68288905430331</v>
      </c>
      <c r="M111" s="59">
        <v>95.982919092043488</v>
      </c>
      <c r="N111" s="59">
        <v>-24.872801560781394</v>
      </c>
    </row>
    <row r="112" spans="1:14" ht="15.75" x14ac:dyDescent="0.25">
      <c r="A112" s="56">
        <v>105</v>
      </c>
      <c r="B112" s="56">
        <v>5</v>
      </c>
      <c r="C112" s="56" t="s">
        <v>54</v>
      </c>
      <c r="D112" s="56" t="s">
        <v>36</v>
      </c>
      <c r="E112" s="56"/>
      <c r="F112" s="56">
        <v>2</v>
      </c>
      <c r="G112" s="57" t="s">
        <v>45</v>
      </c>
      <c r="H112" s="56">
        <v>6.0650000000000004</v>
      </c>
      <c r="I112" s="56">
        <v>1</v>
      </c>
      <c r="J112" s="58">
        <v>0.43383227578609485</v>
      </c>
      <c r="K112" s="58">
        <v>6.0579098863696643</v>
      </c>
      <c r="L112" s="59">
        <v>13.963714145963117</v>
      </c>
      <c r="M112" s="59">
        <v>0.4093469183338232</v>
      </c>
      <c r="N112" s="59">
        <v>-26.131746898612803</v>
      </c>
    </row>
    <row r="113" spans="1:14" ht="15.75" x14ac:dyDescent="0.25">
      <c r="A113" s="56">
        <v>106</v>
      </c>
      <c r="B113" s="56">
        <v>6</v>
      </c>
      <c r="C113" s="56" t="s">
        <v>54</v>
      </c>
      <c r="D113" s="56" t="s">
        <v>32</v>
      </c>
      <c r="E113" s="56"/>
      <c r="F113" s="56">
        <v>2</v>
      </c>
      <c r="G113" s="57" t="s">
        <v>47</v>
      </c>
      <c r="H113" s="56">
        <v>6.1189999999999998</v>
      </c>
      <c r="I113" s="56">
        <v>1</v>
      </c>
      <c r="J113" s="58">
        <v>1.1195636705118344</v>
      </c>
      <c r="K113" s="58">
        <v>28.363580815991781</v>
      </c>
      <c r="L113" s="59">
        <v>25.334495538806394</v>
      </c>
      <c r="M113" s="59">
        <v>339.09700760532081</v>
      </c>
      <c r="N113" s="59">
        <v>-24.536872463891726</v>
      </c>
    </row>
    <row r="114" spans="1:14" ht="15.75" x14ac:dyDescent="0.25">
      <c r="A114" s="56">
        <v>107</v>
      </c>
      <c r="B114" s="56">
        <v>6</v>
      </c>
      <c r="C114" s="56" t="s">
        <v>54</v>
      </c>
      <c r="D114" s="56" t="s">
        <v>34</v>
      </c>
      <c r="E114" s="56">
        <v>18.399999999999999</v>
      </c>
      <c r="F114" s="56">
        <v>2</v>
      </c>
      <c r="G114" s="57" t="s">
        <v>48</v>
      </c>
      <c r="H114" s="56">
        <v>7.1680000000000001</v>
      </c>
      <c r="I114" s="56">
        <v>1</v>
      </c>
      <c r="J114" s="58">
        <v>0.50476037279191766</v>
      </c>
      <c r="K114" s="58">
        <v>9.2751331022752854</v>
      </c>
      <c r="L114" s="59">
        <v>18.375319462922391</v>
      </c>
      <c r="M114" s="59">
        <v>80.762055154678677</v>
      </c>
      <c r="N114" s="59">
        <v>-25.453769011626722</v>
      </c>
    </row>
    <row r="115" spans="1:14" ht="15.75" x14ac:dyDescent="0.25">
      <c r="A115" s="56">
        <v>108</v>
      </c>
      <c r="B115" s="56">
        <v>6</v>
      </c>
      <c r="C115" s="56" t="s">
        <v>54</v>
      </c>
      <c r="D115" s="56" t="s">
        <v>36</v>
      </c>
      <c r="E115" s="56"/>
      <c r="F115" s="56">
        <v>2</v>
      </c>
      <c r="G115" s="57" t="s">
        <v>49</v>
      </c>
      <c r="H115" s="56">
        <v>7.8310000000000004</v>
      </c>
      <c r="I115" s="56">
        <v>1</v>
      </c>
      <c r="J115" s="58">
        <v>0.3018251958821942</v>
      </c>
      <c r="K115" s="58">
        <v>4.5474503065076313</v>
      </c>
      <c r="L115" s="59">
        <v>15.066503289150694</v>
      </c>
      <c r="M115" s="59">
        <v>9.3128967945457486</v>
      </c>
      <c r="N115" s="59">
        <v>-25.640621517098136</v>
      </c>
    </row>
    <row r="116" spans="1:14" ht="15.75" x14ac:dyDescent="0.25">
      <c r="A116" s="56">
        <v>112</v>
      </c>
      <c r="B116" s="56">
        <v>2</v>
      </c>
      <c r="C116" s="56" t="s">
        <v>58</v>
      </c>
      <c r="D116" s="56" t="s">
        <v>32</v>
      </c>
      <c r="E116" s="56"/>
      <c r="F116" s="56">
        <v>2</v>
      </c>
      <c r="G116" s="57" t="s">
        <v>55</v>
      </c>
      <c r="H116" s="56">
        <v>6.8719999999999999</v>
      </c>
      <c r="I116" s="56">
        <v>1</v>
      </c>
      <c r="J116" s="58">
        <v>0.93258428815245986</v>
      </c>
      <c r="K116" s="58">
        <v>21.59998609577729</v>
      </c>
      <c r="L116" s="59">
        <v>23.161430414583716</v>
      </c>
      <c r="M116" s="59">
        <v>240.11535160304234</v>
      </c>
      <c r="N116" s="59">
        <v>-24.668226048776067</v>
      </c>
    </row>
    <row r="117" spans="1:14" ht="15.75" x14ac:dyDescent="0.25">
      <c r="A117" s="56">
        <v>113</v>
      </c>
      <c r="B117" s="56">
        <v>2</v>
      </c>
      <c r="C117" s="56" t="s">
        <v>58</v>
      </c>
      <c r="D117" s="56" t="s">
        <v>34</v>
      </c>
      <c r="E117" s="56">
        <v>15.537848609999999</v>
      </c>
      <c r="F117" s="56">
        <v>2</v>
      </c>
      <c r="G117" s="57" t="s">
        <v>56</v>
      </c>
      <c r="H117" s="56">
        <v>6.6719999999999997</v>
      </c>
      <c r="I117" s="56">
        <v>1</v>
      </c>
      <c r="J117" s="58">
        <v>0.3730962668793511</v>
      </c>
      <c r="K117" s="58">
        <v>6.2401453325308571</v>
      </c>
      <c r="L117" s="59">
        <v>16.725295550997153</v>
      </c>
      <c r="M117" s="59">
        <v>26.537384869173792</v>
      </c>
      <c r="N117" s="59">
        <v>-24.874860946405501</v>
      </c>
    </row>
    <row r="118" spans="1:14" ht="15.75" x14ac:dyDescent="0.25">
      <c r="A118" s="56">
        <v>114</v>
      </c>
      <c r="B118" s="56">
        <v>2</v>
      </c>
      <c r="C118" s="56" t="s">
        <v>58</v>
      </c>
      <c r="D118" s="56" t="s">
        <v>36</v>
      </c>
      <c r="E118" s="56"/>
      <c r="F118" s="56">
        <v>2</v>
      </c>
      <c r="G118" s="57" t="s">
        <v>57</v>
      </c>
      <c r="H118" s="56">
        <v>6.1130000000000004</v>
      </c>
      <c r="I118" s="56">
        <v>1</v>
      </c>
      <c r="J118" s="58">
        <v>0.39075730501606859</v>
      </c>
      <c r="K118" s="58">
        <v>5.7689060074252856</v>
      </c>
      <c r="L118" s="59">
        <v>14.763399003348278</v>
      </c>
      <c r="M118" s="59">
        <v>9.9474847579540757</v>
      </c>
      <c r="N118" s="59">
        <v>-25.431531655129067</v>
      </c>
    </row>
    <row r="119" spans="1:14" ht="15.75" x14ac:dyDescent="0.25">
      <c r="A119" s="56">
        <v>115</v>
      </c>
      <c r="B119" s="56">
        <v>3</v>
      </c>
      <c r="C119" s="56" t="s">
        <v>58</v>
      </c>
      <c r="D119" s="56" t="s">
        <v>32</v>
      </c>
      <c r="E119" s="56"/>
      <c r="F119" s="56">
        <v>2</v>
      </c>
      <c r="G119" s="57" t="s">
        <v>59</v>
      </c>
      <c r="H119" s="56">
        <v>6.7919999999999998</v>
      </c>
      <c r="I119" s="56">
        <v>1</v>
      </c>
      <c r="J119" s="58">
        <v>1.1862770963434519</v>
      </c>
      <c r="K119" s="58">
        <v>23.31303017059588</v>
      </c>
      <c r="L119" s="59">
        <v>19.652263575226502</v>
      </c>
      <c r="M119" s="59">
        <v>190.41192937816751</v>
      </c>
      <c r="N119" s="59">
        <v>-24.698373241027969</v>
      </c>
    </row>
    <row r="120" spans="1:14" ht="15.75" x14ac:dyDescent="0.25">
      <c r="A120" s="56">
        <v>116</v>
      </c>
      <c r="B120" s="56">
        <v>3</v>
      </c>
      <c r="C120" s="56" t="s">
        <v>58</v>
      </c>
      <c r="D120" s="56" t="s">
        <v>34</v>
      </c>
      <c r="E120" s="56">
        <v>14.31411531</v>
      </c>
      <c r="F120" s="56">
        <v>2</v>
      </c>
      <c r="G120" s="57" t="s">
        <v>60</v>
      </c>
      <c r="H120" s="56">
        <v>7.3289999999999997</v>
      </c>
      <c r="I120" s="56">
        <v>1</v>
      </c>
      <c r="J120" s="58">
        <v>0.40309065609201089</v>
      </c>
      <c r="K120" s="58">
        <v>6.476512893833716</v>
      </c>
      <c r="L120" s="59">
        <v>16.067137245561362</v>
      </c>
      <c r="M120" s="59">
        <v>68.771338435210993</v>
      </c>
      <c r="N120" s="59">
        <v>-24.705035420364794</v>
      </c>
    </row>
    <row r="121" spans="1:14" ht="15.75" x14ac:dyDescent="0.25">
      <c r="A121" s="56">
        <v>117</v>
      </c>
      <c r="B121" s="56">
        <v>3</v>
      </c>
      <c r="C121" s="56" t="s">
        <v>58</v>
      </c>
      <c r="D121" s="56" t="s">
        <v>36</v>
      </c>
      <c r="E121" s="56"/>
      <c r="F121" s="56">
        <v>2</v>
      </c>
      <c r="G121" s="57" t="s">
        <v>61</v>
      </c>
      <c r="H121" s="56">
        <v>7.2140000000000004</v>
      </c>
      <c r="I121" s="56">
        <v>1</v>
      </c>
      <c r="J121" s="58">
        <v>0.1782383600464246</v>
      </c>
      <c r="K121" s="58">
        <v>2.3581639461152415</v>
      </c>
      <c r="L121" s="59">
        <v>13.230395216276822</v>
      </c>
      <c r="M121" s="59">
        <v>23.942098902490898</v>
      </c>
      <c r="N121" s="59">
        <v>-25.497474346567952</v>
      </c>
    </row>
    <row r="122" spans="1:14" ht="15.75" x14ac:dyDescent="0.25">
      <c r="A122" s="56">
        <v>118</v>
      </c>
      <c r="B122" s="56">
        <v>4</v>
      </c>
      <c r="C122" s="56" t="s">
        <v>58</v>
      </c>
      <c r="D122" s="56" t="s">
        <v>32</v>
      </c>
      <c r="E122" s="56"/>
      <c r="F122" s="56">
        <v>2</v>
      </c>
      <c r="G122" s="57" t="s">
        <v>63</v>
      </c>
      <c r="H122" s="56">
        <v>7.133</v>
      </c>
      <c r="I122" s="56">
        <v>1</v>
      </c>
      <c r="J122" s="58">
        <v>1.0272060002267209</v>
      </c>
      <c r="K122" s="58">
        <v>21.049893555685198</v>
      </c>
      <c r="L122" s="59">
        <v>20.492377917417873</v>
      </c>
      <c r="M122" s="59">
        <v>234.94450464060304</v>
      </c>
      <c r="N122" s="59">
        <v>-23.640518672182207</v>
      </c>
    </row>
    <row r="123" spans="1:14" ht="15.75" x14ac:dyDescent="0.25">
      <c r="A123" s="56">
        <v>119</v>
      </c>
      <c r="B123" s="56">
        <v>4</v>
      </c>
      <c r="C123" s="56" t="s">
        <v>58</v>
      </c>
      <c r="D123" s="56" t="s">
        <v>34</v>
      </c>
      <c r="E123" s="56">
        <v>13</v>
      </c>
      <c r="F123" s="56">
        <v>2</v>
      </c>
      <c r="G123" s="57" t="s">
        <v>64</v>
      </c>
      <c r="H123" s="56">
        <v>6.0529999999999999</v>
      </c>
      <c r="I123" s="56">
        <v>1</v>
      </c>
      <c r="J123" s="58">
        <v>0.48526791396613045</v>
      </c>
      <c r="K123" s="58">
        <v>7.9514494724663045</v>
      </c>
      <c r="L123" s="59">
        <v>16.385689726482266</v>
      </c>
      <c r="M123" s="59">
        <v>25.786841238077983</v>
      </c>
      <c r="N123" s="59">
        <v>-25.550436438277426</v>
      </c>
    </row>
    <row r="124" spans="1:14" ht="15.75" x14ac:dyDescent="0.25">
      <c r="A124" s="56">
        <v>120</v>
      </c>
      <c r="B124" s="56">
        <v>4</v>
      </c>
      <c r="C124" s="56" t="s">
        <v>58</v>
      </c>
      <c r="D124" s="56" t="s">
        <v>36</v>
      </c>
      <c r="E124" s="56"/>
      <c r="F124" s="56">
        <v>2</v>
      </c>
      <c r="G124" s="57" t="s">
        <v>65</v>
      </c>
      <c r="H124" s="56">
        <v>6.6429999999999998</v>
      </c>
      <c r="I124" s="56">
        <v>1</v>
      </c>
      <c r="J124" s="58">
        <v>0.34232722130676163</v>
      </c>
      <c r="K124" s="58">
        <v>5.600355490105537</v>
      </c>
      <c r="L124" s="59">
        <v>16.359655737359613</v>
      </c>
      <c r="M124" s="59">
        <v>14.526149023273303</v>
      </c>
      <c r="N124" s="59">
        <v>-25.93621879144338</v>
      </c>
    </row>
    <row r="125" spans="1:14" ht="15.75" x14ac:dyDescent="0.25">
      <c r="A125" s="56">
        <v>121</v>
      </c>
      <c r="B125" s="56">
        <v>5</v>
      </c>
      <c r="C125" s="56" t="s">
        <v>58</v>
      </c>
      <c r="D125" s="56" t="s">
        <v>32</v>
      </c>
      <c r="E125" s="56"/>
      <c r="F125" s="56">
        <v>2</v>
      </c>
      <c r="G125" s="57" t="s">
        <v>66</v>
      </c>
      <c r="H125" s="56">
        <v>6.3819999999999997</v>
      </c>
      <c r="I125" s="56">
        <v>1</v>
      </c>
      <c r="J125" s="58">
        <v>1.0170812470015356</v>
      </c>
      <c r="K125" s="58">
        <v>22.658944081337481</v>
      </c>
      <c r="L125" s="59">
        <v>22.278401207512644</v>
      </c>
      <c r="M125" s="59">
        <v>238.33911618636003</v>
      </c>
      <c r="N125" s="59">
        <v>-24.361924198952785</v>
      </c>
    </row>
    <row r="126" spans="1:14" ht="15.75" x14ac:dyDescent="0.25">
      <c r="A126" s="56">
        <v>122</v>
      </c>
      <c r="B126" s="56">
        <v>5</v>
      </c>
      <c r="C126" s="56" t="s">
        <v>58</v>
      </c>
      <c r="D126" s="56" t="s">
        <v>34</v>
      </c>
      <c r="E126" s="56">
        <v>19.920318730000002</v>
      </c>
      <c r="F126" s="56">
        <v>2</v>
      </c>
      <c r="G126" s="57" t="s">
        <v>67</v>
      </c>
      <c r="H126" s="56">
        <v>6.3929999999999998</v>
      </c>
      <c r="I126" s="56">
        <v>1</v>
      </c>
      <c r="J126" s="58">
        <v>0.54850998503108428</v>
      </c>
      <c r="K126" s="58">
        <v>11.22945319618767</v>
      </c>
      <c r="L126" s="59">
        <v>20.472650457860475</v>
      </c>
      <c r="M126" s="59">
        <v>58.567826865354149</v>
      </c>
      <c r="N126" s="59">
        <v>-24.914124536655073</v>
      </c>
    </row>
    <row r="127" spans="1:14" ht="15.75" x14ac:dyDescent="0.25">
      <c r="A127" s="56">
        <v>123</v>
      </c>
      <c r="B127" s="56">
        <v>5</v>
      </c>
      <c r="C127" s="56" t="s">
        <v>58</v>
      </c>
      <c r="D127" s="56" t="s">
        <v>36</v>
      </c>
      <c r="E127" s="56"/>
      <c r="F127" s="56">
        <v>2</v>
      </c>
      <c r="G127" s="57" t="s">
        <v>68</v>
      </c>
      <c r="H127" s="56">
        <v>6.2709999999999999</v>
      </c>
      <c r="I127" s="56">
        <v>1</v>
      </c>
      <c r="J127" s="58">
        <v>0.41264746038878342</v>
      </c>
      <c r="K127" s="58">
        <v>6.6644815563671855</v>
      </c>
      <c r="L127" s="59">
        <v>16.150545431899957</v>
      </c>
      <c r="M127" s="59">
        <v>12.469060922207058</v>
      </c>
      <c r="N127" s="59">
        <v>-25.279657219921472</v>
      </c>
    </row>
    <row r="128" spans="1:14" ht="15.75" x14ac:dyDescent="0.25">
      <c r="A128" s="56">
        <v>124</v>
      </c>
      <c r="B128" s="56">
        <v>6</v>
      </c>
      <c r="C128" s="56" t="s">
        <v>58</v>
      </c>
      <c r="D128" s="56" t="s">
        <v>32</v>
      </c>
      <c r="E128" s="56"/>
      <c r="F128" s="56">
        <v>2</v>
      </c>
      <c r="G128" s="57" t="s">
        <v>69</v>
      </c>
      <c r="H128" s="56">
        <v>6.4180000000000001</v>
      </c>
      <c r="I128" s="56">
        <v>1</v>
      </c>
      <c r="J128" s="58">
        <v>1.0554860626961604</v>
      </c>
      <c r="K128" s="58">
        <v>27.689195574216708</v>
      </c>
      <c r="L128" s="59">
        <v>26.233596589126641</v>
      </c>
      <c r="M128" s="59">
        <v>391.75170133784991</v>
      </c>
      <c r="N128" s="59">
        <v>-23.059315044735644</v>
      </c>
    </row>
    <row r="129" spans="1:14" ht="15.75" x14ac:dyDescent="0.25">
      <c r="A129" s="56">
        <v>125</v>
      </c>
      <c r="B129" s="56">
        <v>6</v>
      </c>
      <c r="C129" s="56" t="s">
        <v>58</v>
      </c>
      <c r="D129" s="56" t="s">
        <v>34</v>
      </c>
      <c r="E129" s="56">
        <v>17.131474099999998</v>
      </c>
      <c r="F129" s="56">
        <v>2</v>
      </c>
      <c r="G129" s="57" t="s">
        <v>70</v>
      </c>
      <c r="H129" s="56">
        <v>7.4770000000000003</v>
      </c>
      <c r="I129" s="56">
        <v>1</v>
      </c>
      <c r="J129" s="58">
        <v>0.50711495550853658</v>
      </c>
      <c r="K129" s="58">
        <v>9.0344220956819239</v>
      </c>
      <c r="L129" s="59">
        <v>17.815333579784049</v>
      </c>
      <c r="M129" s="59">
        <v>30.780334309851977</v>
      </c>
      <c r="N129" s="59">
        <v>-26.177843982554339</v>
      </c>
    </row>
    <row r="130" spans="1:14" ht="15.75" x14ac:dyDescent="0.25">
      <c r="A130" s="56">
        <v>126</v>
      </c>
      <c r="B130" s="56">
        <v>6</v>
      </c>
      <c r="C130" s="56" t="s">
        <v>58</v>
      </c>
      <c r="D130" s="56" t="s">
        <v>36</v>
      </c>
      <c r="E130" s="56"/>
      <c r="F130" s="56">
        <v>2</v>
      </c>
      <c r="G130" s="57" t="s">
        <v>71</v>
      </c>
      <c r="H130" s="56">
        <v>8.3480000000000008</v>
      </c>
      <c r="I130" s="56">
        <v>1</v>
      </c>
      <c r="J130" s="58">
        <v>0.28219544159513593</v>
      </c>
      <c r="K130" s="58">
        <v>4.3356924760759421</v>
      </c>
      <c r="L130" s="59">
        <v>15.364147810354547</v>
      </c>
      <c r="M130" s="59">
        <v>15.679685969443728</v>
      </c>
      <c r="N130" s="59">
        <v>-25.061963168719554</v>
      </c>
    </row>
    <row r="131" spans="1:14" ht="15.75" x14ac:dyDescent="0.25">
      <c r="A131" s="56">
        <v>130</v>
      </c>
      <c r="B131" s="56">
        <v>2</v>
      </c>
      <c r="C131" s="56" t="s">
        <v>62</v>
      </c>
      <c r="D131" s="56" t="s">
        <v>32</v>
      </c>
      <c r="E131" s="56"/>
      <c r="F131" s="56">
        <v>2</v>
      </c>
      <c r="G131" s="57" t="s">
        <v>75</v>
      </c>
      <c r="H131" s="56">
        <v>6.1390000000000002</v>
      </c>
      <c r="I131" s="56">
        <v>1</v>
      </c>
      <c r="J131" s="58">
        <v>0.96731185307826362</v>
      </c>
      <c r="K131" s="58">
        <v>22.277532023851947</v>
      </c>
      <c r="L131" s="59">
        <v>23.03035153860511</v>
      </c>
      <c r="M131" s="59">
        <v>317.9290597266691</v>
      </c>
      <c r="N131" s="59">
        <v>-23.587756382551792</v>
      </c>
    </row>
    <row r="132" spans="1:14" ht="15.75" x14ac:dyDescent="0.25">
      <c r="A132" s="56">
        <v>131</v>
      </c>
      <c r="B132" s="56">
        <v>2</v>
      </c>
      <c r="C132" s="56" t="s">
        <v>62</v>
      </c>
      <c r="D132" s="56" t="s">
        <v>34</v>
      </c>
      <c r="E132" s="56">
        <v>16.465863450000001</v>
      </c>
      <c r="F132" s="56">
        <v>2</v>
      </c>
      <c r="G132" s="57" t="s">
        <v>76</v>
      </c>
      <c r="H132" s="56">
        <v>7.2880000000000003</v>
      </c>
      <c r="I132" s="56">
        <v>1</v>
      </c>
      <c r="J132" s="58">
        <v>0.39492755804669344</v>
      </c>
      <c r="K132" s="58">
        <v>7.9320985414247351</v>
      </c>
      <c r="L132" s="59">
        <v>20.084945656000283</v>
      </c>
      <c r="M132" s="59">
        <v>36.544021329377713</v>
      </c>
      <c r="N132" s="59">
        <v>-25.720717844702136</v>
      </c>
    </row>
    <row r="133" spans="1:14" ht="15.75" x14ac:dyDescent="0.25">
      <c r="A133" s="56">
        <v>132</v>
      </c>
      <c r="B133" s="56">
        <v>2</v>
      </c>
      <c r="C133" s="56" t="s">
        <v>62</v>
      </c>
      <c r="D133" s="56" t="s">
        <v>36</v>
      </c>
      <c r="E133" s="56"/>
      <c r="F133" s="56">
        <v>2</v>
      </c>
      <c r="G133" s="57" t="s">
        <v>77</v>
      </c>
      <c r="H133" s="56">
        <v>6.319</v>
      </c>
      <c r="I133" s="56">
        <v>1</v>
      </c>
      <c r="J133" s="58">
        <v>0.29890419752176006</v>
      </c>
      <c r="K133" s="58">
        <v>4.3603087274124199</v>
      </c>
      <c r="L133" s="59">
        <v>14.58764635479899</v>
      </c>
      <c r="M133" s="59">
        <v>4.5177799139411032</v>
      </c>
      <c r="N133" s="59">
        <v>-25.734433408164101</v>
      </c>
    </row>
    <row r="134" spans="1:14" ht="15.75" x14ac:dyDescent="0.25">
      <c r="A134" s="56">
        <v>133</v>
      </c>
      <c r="B134" s="56">
        <v>3</v>
      </c>
      <c r="C134" s="56" t="s">
        <v>62</v>
      </c>
      <c r="D134" s="56" t="s">
        <v>32</v>
      </c>
      <c r="E134" s="56"/>
      <c r="F134" s="56">
        <v>2</v>
      </c>
      <c r="G134" s="57" t="s">
        <v>126</v>
      </c>
      <c r="H134" s="56">
        <v>6.2530000000000001</v>
      </c>
      <c r="I134" s="56">
        <v>1</v>
      </c>
      <c r="J134" s="58">
        <v>1.1526638150028172</v>
      </c>
      <c r="K134" s="58">
        <v>25.5421896329307</v>
      </c>
      <c r="L134" s="59">
        <v>22.159270812945813</v>
      </c>
      <c r="M134" s="59">
        <v>468.0092594328176</v>
      </c>
      <c r="N134" s="59">
        <v>-21.583789362084964</v>
      </c>
    </row>
    <row r="135" spans="1:14" ht="15.75" x14ac:dyDescent="0.25">
      <c r="A135" s="56">
        <v>134</v>
      </c>
      <c r="B135" s="56">
        <v>3</v>
      </c>
      <c r="C135" s="56" t="s">
        <v>62</v>
      </c>
      <c r="D135" s="56" t="s">
        <v>34</v>
      </c>
      <c r="E135" s="56">
        <v>27.655310620000002</v>
      </c>
      <c r="F135" s="56">
        <v>2</v>
      </c>
      <c r="G135" s="57" t="s">
        <v>127</v>
      </c>
      <c r="H135" s="56">
        <v>6.9249999999999998</v>
      </c>
      <c r="I135" s="56">
        <v>1</v>
      </c>
      <c r="J135" s="58">
        <v>0.89082276917063163</v>
      </c>
      <c r="K135" s="58">
        <v>15.469664746633178</v>
      </c>
      <c r="L135" s="59">
        <v>17.365591992036361</v>
      </c>
      <c r="M135" s="59">
        <v>23.424653712874274</v>
      </c>
      <c r="N135" s="59">
        <v>-26.527345383827637</v>
      </c>
    </row>
    <row r="136" spans="1:14" ht="15.75" x14ac:dyDescent="0.25">
      <c r="A136" s="56">
        <v>135</v>
      </c>
      <c r="B136" s="56">
        <v>3</v>
      </c>
      <c r="C136" s="56" t="s">
        <v>62</v>
      </c>
      <c r="D136" s="56" t="s">
        <v>36</v>
      </c>
      <c r="E136" s="56"/>
      <c r="F136" s="56">
        <v>2</v>
      </c>
      <c r="G136" s="57" t="s">
        <v>128</v>
      </c>
      <c r="H136" s="56">
        <v>6.944</v>
      </c>
      <c r="I136" s="56">
        <v>1</v>
      </c>
      <c r="J136" s="58">
        <v>0.39170999515284632</v>
      </c>
      <c r="K136" s="58">
        <v>5.9449465315301637</v>
      </c>
      <c r="L136" s="59">
        <v>15.176907929577926</v>
      </c>
      <c r="M136" s="59">
        <v>15.860411613106038</v>
      </c>
      <c r="N136" s="59">
        <v>-26.146421724014033</v>
      </c>
    </row>
    <row r="137" spans="1:14" ht="15.75" x14ac:dyDescent="0.25">
      <c r="A137" s="56">
        <v>136</v>
      </c>
      <c r="B137" s="56">
        <v>4</v>
      </c>
      <c r="C137" s="56" t="s">
        <v>62</v>
      </c>
      <c r="D137" s="56" t="s">
        <v>32</v>
      </c>
      <c r="E137" s="56"/>
      <c r="F137" s="56">
        <v>2</v>
      </c>
      <c r="G137" s="57" t="s">
        <v>78</v>
      </c>
      <c r="H137" s="56">
        <v>6.4409999999999998</v>
      </c>
      <c r="I137" s="56">
        <v>1</v>
      </c>
      <c r="J137" s="58">
        <v>1.1993563076926266</v>
      </c>
      <c r="K137" s="58">
        <v>23.052802266012154</v>
      </c>
      <c r="L137" s="59">
        <v>19.220978885217296</v>
      </c>
      <c r="M137" s="59">
        <v>213.98487096047833</v>
      </c>
      <c r="N137" s="59">
        <v>-24.188188703485771</v>
      </c>
    </row>
    <row r="138" spans="1:14" ht="15.75" x14ac:dyDescent="0.25">
      <c r="A138" s="56">
        <v>137</v>
      </c>
      <c r="B138" s="56">
        <v>4</v>
      </c>
      <c r="C138" s="56" t="s">
        <v>62</v>
      </c>
      <c r="D138" s="56" t="s">
        <v>34</v>
      </c>
      <c r="E138" s="56">
        <v>15.308151090000001</v>
      </c>
      <c r="F138" s="56">
        <v>2</v>
      </c>
      <c r="G138" s="57" t="s">
        <v>79</v>
      </c>
      <c r="H138" s="56">
        <v>7.4450000000000003</v>
      </c>
      <c r="I138" s="56">
        <v>1</v>
      </c>
      <c r="J138" s="58">
        <v>0.39559236788782809</v>
      </c>
      <c r="K138" s="58">
        <v>7.2701253899613585</v>
      </c>
      <c r="L138" s="59">
        <v>18.377820150521291</v>
      </c>
      <c r="M138" s="59">
        <v>67.571625997056771</v>
      </c>
      <c r="N138" s="59">
        <v>-25.109133442065982</v>
      </c>
    </row>
    <row r="139" spans="1:14" ht="15.75" x14ac:dyDescent="0.25">
      <c r="A139" s="56">
        <v>138</v>
      </c>
      <c r="B139" s="56">
        <v>4</v>
      </c>
      <c r="C139" s="56" t="s">
        <v>62</v>
      </c>
      <c r="D139" s="56" t="s">
        <v>36</v>
      </c>
      <c r="E139" s="56"/>
      <c r="F139" s="56">
        <v>2</v>
      </c>
      <c r="G139" s="57" t="s">
        <v>80</v>
      </c>
      <c r="H139" s="56">
        <v>7.0839999999999996</v>
      </c>
      <c r="I139" s="56">
        <v>1</v>
      </c>
      <c r="J139" s="58">
        <v>0.18199259727074357</v>
      </c>
      <c r="K139" s="58">
        <v>2.4750929831026869</v>
      </c>
      <c r="L139" s="59">
        <v>13.599965164630207</v>
      </c>
      <c r="M139" s="59">
        <v>14.829671965768313</v>
      </c>
      <c r="N139" s="59">
        <v>-25.925548149049533</v>
      </c>
    </row>
    <row r="140" spans="1:14" ht="15.75" x14ac:dyDescent="0.25">
      <c r="A140" s="56">
        <v>139</v>
      </c>
      <c r="B140" s="56">
        <v>5</v>
      </c>
      <c r="C140" s="56" t="s">
        <v>62</v>
      </c>
      <c r="D140" s="56" t="s">
        <v>32</v>
      </c>
      <c r="E140" s="56"/>
      <c r="F140" s="56">
        <v>2</v>
      </c>
      <c r="G140" s="57" t="s">
        <v>81</v>
      </c>
      <c r="H140" s="56">
        <v>6.1920000000000002</v>
      </c>
      <c r="I140" s="56">
        <v>1</v>
      </c>
      <c r="J140" s="58">
        <v>1.069816418026915</v>
      </c>
      <c r="K140" s="58">
        <v>20.931022012450267</v>
      </c>
      <c r="L140" s="59">
        <v>19.565059630561468</v>
      </c>
      <c r="M140" s="60">
        <v>127.4615659495222</v>
      </c>
      <c r="N140" s="59">
        <v>-25.616360998150348</v>
      </c>
    </row>
    <row r="141" spans="1:14" ht="15.75" x14ac:dyDescent="0.25">
      <c r="A141" s="56">
        <v>140</v>
      </c>
      <c r="B141" s="56">
        <v>5</v>
      </c>
      <c r="C141" s="56" t="s">
        <v>62</v>
      </c>
      <c r="D141" s="56" t="s">
        <v>34</v>
      </c>
      <c r="E141" s="56">
        <v>22.8</v>
      </c>
      <c r="F141" s="56">
        <v>2</v>
      </c>
      <c r="G141" s="57" t="s">
        <v>82</v>
      </c>
      <c r="H141" s="56">
        <v>6.4279999999999999</v>
      </c>
      <c r="I141" s="56">
        <v>1</v>
      </c>
      <c r="J141" s="58">
        <v>0.6857593608517436</v>
      </c>
      <c r="K141" s="58">
        <v>14.735063460154038</v>
      </c>
      <c r="L141" s="59">
        <v>21.487221759324488</v>
      </c>
      <c r="M141" s="59">
        <v>64.655684959776579</v>
      </c>
      <c r="N141" s="59">
        <v>-24.720877025615671</v>
      </c>
    </row>
    <row r="142" spans="1:14" ht="15.75" x14ac:dyDescent="0.25">
      <c r="A142" s="56">
        <v>141</v>
      </c>
      <c r="B142" s="56">
        <v>5</v>
      </c>
      <c r="C142" s="56" t="s">
        <v>62</v>
      </c>
      <c r="D142" s="56" t="s">
        <v>36</v>
      </c>
      <c r="E142" s="56"/>
      <c r="F142" s="56">
        <v>2</v>
      </c>
      <c r="G142" s="57" t="s">
        <v>83</v>
      </c>
      <c r="H142" s="56">
        <v>6.4189999999999996</v>
      </c>
      <c r="I142" s="56">
        <v>1</v>
      </c>
      <c r="J142" s="58">
        <v>0.74033356392374283</v>
      </c>
      <c r="K142" s="58">
        <v>11.320369202491705</v>
      </c>
      <c r="L142" s="59">
        <v>15.290903660363757</v>
      </c>
      <c r="M142" s="59">
        <v>-1.601752232718916</v>
      </c>
      <c r="N142" s="59">
        <v>-26.181970805696317</v>
      </c>
    </row>
    <row r="143" spans="1:14" ht="15.75" x14ac:dyDescent="0.25">
      <c r="A143" s="56">
        <v>142</v>
      </c>
      <c r="B143" s="56">
        <v>6</v>
      </c>
      <c r="C143" s="56" t="s">
        <v>62</v>
      </c>
      <c r="D143" s="56" t="s">
        <v>32</v>
      </c>
      <c r="E143" s="56"/>
      <c r="F143" s="56">
        <v>2</v>
      </c>
      <c r="G143" s="57" t="s">
        <v>84</v>
      </c>
      <c r="H143" s="56">
        <v>8.4090000000000007</v>
      </c>
      <c r="I143" s="56">
        <v>1</v>
      </c>
      <c r="J143" s="58">
        <v>1.0604352912453101</v>
      </c>
      <c r="K143" s="58">
        <v>20.572406765094527</v>
      </c>
      <c r="L143" s="59">
        <v>19.399964274044063</v>
      </c>
      <c r="M143" s="59">
        <v>78.958780217245646</v>
      </c>
      <c r="N143" s="59">
        <v>-27.622882494504431</v>
      </c>
    </row>
    <row r="144" spans="1:14" ht="15.75" x14ac:dyDescent="0.25">
      <c r="A144" s="56">
        <v>143</v>
      </c>
      <c r="B144" s="56">
        <v>6</v>
      </c>
      <c r="C144" s="56" t="s">
        <v>62</v>
      </c>
      <c r="D144" s="56" t="s">
        <v>34</v>
      </c>
      <c r="E144" s="56">
        <v>20.35928144</v>
      </c>
      <c r="F144" s="56">
        <v>2</v>
      </c>
      <c r="G144" s="57" t="s">
        <v>85</v>
      </c>
      <c r="H144" s="56">
        <v>6.3029999999999999</v>
      </c>
      <c r="I144" s="56">
        <v>1</v>
      </c>
      <c r="J144" s="58">
        <v>0.56408930670045243</v>
      </c>
      <c r="K144" s="58">
        <v>10.27740755647994</v>
      </c>
      <c r="L144" s="59">
        <v>18.219468857858594</v>
      </c>
      <c r="M144" s="59">
        <v>72.690862258501028</v>
      </c>
      <c r="N144" s="59">
        <v>-25.113868201821479</v>
      </c>
    </row>
    <row r="145" spans="1:14" ht="15.75" x14ac:dyDescent="0.25">
      <c r="A145" s="56">
        <v>144</v>
      </c>
      <c r="B145" s="56">
        <v>6</v>
      </c>
      <c r="C145" s="56" t="s">
        <v>62</v>
      </c>
      <c r="D145" s="56" t="s">
        <v>36</v>
      </c>
      <c r="E145" s="56"/>
      <c r="F145" s="56">
        <v>2</v>
      </c>
      <c r="G145" s="57" t="s">
        <v>86</v>
      </c>
      <c r="H145" s="56">
        <v>7.0110000000000001</v>
      </c>
      <c r="I145" s="56">
        <v>1</v>
      </c>
      <c r="J145" s="58">
        <v>0.47924000144053441</v>
      </c>
      <c r="K145" s="58">
        <v>7.154655797360598</v>
      </c>
      <c r="L145" s="59">
        <v>14.929170720003787</v>
      </c>
      <c r="M145" s="59">
        <v>0.28166456587645317</v>
      </c>
      <c r="N145" s="59">
        <v>-26.246875323043977</v>
      </c>
    </row>
    <row r="146" spans="1:14" ht="15.75" x14ac:dyDescent="0.25">
      <c r="A146" s="56">
        <v>145</v>
      </c>
      <c r="B146" s="56">
        <v>2</v>
      </c>
      <c r="C146" s="56" t="s">
        <v>31</v>
      </c>
      <c r="D146" s="56" t="s">
        <v>129</v>
      </c>
      <c r="E146" s="56"/>
      <c r="F146" s="56">
        <v>2</v>
      </c>
      <c r="G146" s="57" t="s">
        <v>87</v>
      </c>
      <c r="H146" s="56">
        <v>6.3410000000000002</v>
      </c>
      <c r="I146" s="56">
        <v>1</v>
      </c>
      <c r="J146" s="58">
        <v>1.5763326051934545</v>
      </c>
      <c r="K146" s="58">
        <v>30.303241173961581</v>
      </c>
      <c r="L146" s="59">
        <v>19.223887822990651</v>
      </c>
      <c r="M146" s="59">
        <v>6.5933357684611309</v>
      </c>
      <c r="N146" s="59">
        <v>-30.25252159084841</v>
      </c>
    </row>
    <row r="147" spans="1:14" ht="15.75" x14ac:dyDescent="0.25">
      <c r="A147" s="56">
        <v>146</v>
      </c>
      <c r="B147" s="56">
        <v>2</v>
      </c>
      <c r="C147" s="56" t="s">
        <v>38</v>
      </c>
      <c r="D147" s="56" t="s">
        <v>129</v>
      </c>
      <c r="E147" s="56"/>
      <c r="F147" s="56">
        <v>2</v>
      </c>
      <c r="G147" s="57" t="s">
        <v>88</v>
      </c>
      <c r="H147" s="56">
        <v>7.4790000000000001</v>
      </c>
      <c r="I147" s="56">
        <v>1</v>
      </c>
      <c r="J147" s="58">
        <v>3.0531137520035911</v>
      </c>
      <c r="K147" s="58">
        <v>31.818520010903285</v>
      </c>
      <c r="L147" s="59">
        <v>10.421662144105353</v>
      </c>
      <c r="M147" s="59">
        <v>131.8235663262266</v>
      </c>
      <c r="N147" s="59">
        <v>-29.400805102893951</v>
      </c>
    </row>
    <row r="148" spans="1:14" ht="15.75" x14ac:dyDescent="0.25">
      <c r="A148" s="56">
        <v>147</v>
      </c>
      <c r="B148" s="56">
        <v>3</v>
      </c>
      <c r="C148" s="56" t="s">
        <v>42</v>
      </c>
      <c r="D148" s="56" t="s">
        <v>129</v>
      </c>
      <c r="E148" s="56"/>
      <c r="F148" s="56">
        <v>2</v>
      </c>
      <c r="G148" s="57" t="s">
        <v>89</v>
      </c>
      <c r="H148" s="56">
        <v>6.6079999999999997</v>
      </c>
      <c r="I148" s="56">
        <v>1</v>
      </c>
      <c r="J148" s="58">
        <v>1.6635684572038492</v>
      </c>
      <c r="K148" s="58">
        <v>29.104401379484074</v>
      </c>
      <c r="L148" s="59">
        <v>17.495163035492503</v>
      </c>
      <c r="M148" s="59">
        <v>18.387575257787439</v>
      </c>
      <c r="N148" s="59">
        <v>-28.802956876859348</v>
      </c>
    </row>
    <row r="149" spans="1:14" ht="15.75" x14ac:dyDescent="0.25">
      <c r="A149" s="56">
        <v>148</v>
      </c>
      <c r="B149" s="56">
        <v>4</v>
      </c>
      <c r="C149" s="56" t="s">
        <v>54</v>
      </c>
      <c r="D149" s="56" t="s">
        <v>129</v>
      </c>
      <c r="E149" s="56"/>
      <c r="F149" s="56">
        <v>2</v>
      </c>
      <c r="G149" s="57" t="s">
        <v>90</v>
      </c>
      <c r="H149" s="56">
        <v>6.1520000000000001</v>
      </c>
      <c r="I149" s="56">
        <v>1</v>
      </c>
      <c r="J149" s="58">
        <v>1.6733709455457835</v>
      </c>
      <c r="K149" s="58">
        <v>31.870771243498027</v>
      </c>
      <c r="L149" s="59">
        <v>19.045849534039281</v>
      </c>
      <c r="M149" s="59">
        <v>325.5694848267928</v>
      </c>
      <c r="N149" s="59">
        <v>-23.685535614064371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Sheet1</vt:lpstr>
      <vt:lpstr>FINAL</vt:lpstr>
    </vt:vector>
  </TitlesOfParts>
  <Company>Faculty of Science, 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Michelsen</dc:creator>
  <cp:lastModifiedBy>Elise Ida Blum Samuelsen</cp:lastModifiedBy>
  <dcterms:created xsi:type="dcterms:W3CDTF">2018-09-28T09:22:35Z</dcterms:created>
  <dcterms:modified xsi:type="dcterms:W3CDTF">2026-05-13T10:49:17Z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2023-08-17T13:52:44Z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b8cecdca-e096-4483-a979-223b81f68545</vt:lpwstr>
  </property>
  <property fmtid="{D5CDD505-2E9C-101B-9397-08002B2CF9AE}" pid="8" name="MSIP_Label_6a2630e2-1ac5-455e-8217-0156b1936a76_ContentBits">
    <vt:lpwstr>0</vt:lpwstr>
  </property>
</Properties>
</file>